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uchi\Box\WES-E3-Shared\E3 Projects\CEC\CEC EPIC Long-Duration Storage\model development\clustering\"/>
    </mc:Choice>
  </mc:AlternateContent>
  <xr:revisionPtr revIDLastSave="0" documentId="13_ncr:1_{450AE2C8-16FA-44FD-9293-A462F09F1977}" xr6:coauthVersionLast="47" xr6:coauthVersionMax="47" xr10:uidLastSave="{00000000-0000-0000-0000-000000000000}"/>
  <bookViews>
    <workbookView xWindow="-108" yWindow="-108" windowWidth="23256" windowHeight="14016" activeTab="1" xr2:uid="{ABDEC57F-77B8-5B48-A96C-33C4CFEE34A5}"/>
  </bookViews>
  <sheets>
    <sheet name="Cover" sheetId="67" r:id="rId1"/>
    <sheet name="Dashboard" sheetId="32" r:id="rId2"/>
    <sheet name="Results Grouping" sheetId="33" r:id="rId3"/>
    <sheet name="Lists" sheetId="34" r:id="rId4"/>
    <sheet name="xlwings.conf" sheetId="45" r:id="rId5"/>
    <sheet name="Raw Summary Files →" sheetId="43" r:id="rId6"/>
    <sheet name="Asset Summary" sheetId="48" r:id="rId7"/>
    <sheet name="Resource Summary" sheetId="50" r:id="rId8"/>
    <sheet name="Resource Fuel Burn" sheetId="52" r:id="rId9"/>
    <sheet name="Transmission Summary" sheetId="39" r:id="rId10"/>
    <sheet name="Zonal Summary" sheetId="51" r:id="rId11"/>
    <sheet name="Policy Summary" sheetId="49" r:id="rId12"/>
    <sheet name="Energy Policy Summary" sheetId="54" r:id="rId13"/>
    <sheet name="Emissions Policy TxPath" sheetId="57" r:id="rId14"/>
    <sheet name="Emissions Policy Resource" sheetId="56" r:id="rId15"/>
    <sheet name="PRM Resource Summary" sheetId="60" r:id="rId16"/>
    <sheet name="ELCC_Facet_Constraint_LHS" sheetId="58" r:id="rId17"/>
    <sheet name="ELCC_Facet_Value" sheetId="59" r:id="rId18"/>
    <sheet name="Custom Constraints" sheetId="44" r:id="rId19"/>
    <sheet name="Deliverability Upgrade Factors" sheetId="53" r:id="rId20"/>
    <sheet name="System" sheetId="70" r:id="rId21"/>
    <sheet name="Temporal Settings" sheetId="69" r:id="rId22"/>
  </sheets>
  <functionGroups builtInGroupCount="19"/>
  <externalReferences>
    <externalReference r:id="rId23"/>
  </externalReferences>
  <definedNames>
    <definedName name="__FDS_HYPERLINK_TOGGLE_STATE__" hidden="1">"ON"</definedName>
    <definedName name="_xlnm._FilterDatabase" localSheetId="18" hidden="1">'Custom Constraints'!$A$1:$F$1042</definedName>
    <definedName name="_xlnm._FilterDatabase" localSheetId="14" hidden="1">'Emissions Policy Resource'!$A$1:$D$3257</definedName>
    <definedName name="_xlnm._FilterDatabase" localSheetId="7" hidden="1">'Resource Summary'!$A$1:$Y$1629</definedName>
    <definedName name="_xlnm._FilterDatabase" localSheetId="2" hidden="1">'Results Grouping'!$K$8:$R$156</definedName>
    <definedName name="_Order1" hidden="1">255</definedName>
    <definedName name="_Order2" hidden="1">255</definedName>
    <definedName name="active_case">Dashboard!$D$8</definedName>
    <definedName name="component_names">[1]System!$C$16:$C$971</definedName>
    <definedName name="component_results_groups">'Results Grouping'!$G$8:$I$322</definedName>
    <definedName name="component_types">[1]System!$B$16:$B$971</definedName>
    <definedName name="custom_constraint_groups_annual" localSheetId="0">'[1]Custom Constraints'!$B$13:$B$559</definedName>
    <definedName name="custom_constraint_groups_annual">'[1]Custom Constraints'!$B$9:$B$542</definedName>
    <definedName name="custom_constraint_groups_timepoint">'[1]Custom Constraints'!$BV$13:$BV$29</definedName>
    <definedName name="custom_constraints_annual" localSheetId="0">'[1]Custom Constraints'!$C$13:$C$559</definedName>
    <definedName name="custom_constraints_annual">'[1]Custom Constraints'!$C$9:$C$542</definedName>
    <definedName name="custom_constraints_timepoint">'[1]Custom Constraints'!$BW$13:$BW$29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TODAY" hidden="1">0</definedName>
    <definedName name="IQ_YTDMONTH" hidden="1">130000</definedName>
    <definedName name="linkage_instance_from">[1]System!$F$16:$F$971</definedName>
    <definedName name="linkage_instance_to">[1]System!$G$16:$G$971</definedName>
    <definedName name="linkage_types">[1]System!$E$16:$E$971</definedName>
    <definedName name="lists_cases">Lists!$D$6:$D$305</definedName>
    <definedName name="lists_components">[1]Lists!$B$6:$B$205</definedName>
    <definedName name="lists_custom_constraint_groups_annual">[1]Lists!$N$6:$N$205</definedName>
    <definedName name="lists_custom_constraint_groups_timepoint">[1]Lists!$P$6:$P$205</definedName>
    <definedName name="lists_custom_constraints_annual">[1]Lists!$O$6:$O$205</definedName>
    <definedName name="lists_custom_constraints_timepoint">[1]Lists!$Q$6:$Q$205</definedName>
    <definedName name="lists_linkages">[1]Lists!$C$6:$C$206</definedName>
    <definedName name="lists_policies">[1]Lists!$F$6:$F$205</definedName>
    <definedName name="lists_reserves">[1]Lists!$G$6:$G$205</definedName>
    <definedName name="lists_resources">[1]Lists!$H$6:$H$205</definedName>
    <definedName name="lists_results_types">Lists!$B$6:$B$15</definedName>
    <definedName name="lists_simultaneous_flow_groups">[1]Lists!$L$6:$L$205</definedName>
    <definedName name="lists_transmission_paths">[1]Lists!$I$6:$I$205</definedName>
    <definedName name="lists_zones">[1]Lists!$J$6:$J$205</definedName>
    <definedName name="resource_build__new_build_capacity">Dashboard!$D$78:$AD$93</definedName>
    <definedName name="resource_build__operational_capacity">Dashboard!$D$60:$AD$74</definedName>
    <definedName name="results_folders">Lists!$D$6</definedName>
    <definedName name="results_groups">'Results Grouping'!$D$8:$E$55</definedName>
    <definedName name="scenario_tags" localSheetId="0">[1]Lists!$T$6:$AB$115</definedName>
    <definedName name="scenario_tags">[1]Lists!$R$6:$Z$115</definedName>
    <definedName name="start_year" localSheetId="0">[1]Lists!$AD$6</definedName>
    <definedName name="start_year">[1]Lists!$AB$6</definedName>
    <definedName name="system_name">[1]System!$B$5</definedName>
    <definedName name="zones_to_group">'Results Grouping'!$B$9:$B$11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F499" i="32" l="1"/>
  <c r="AF498" i="32"/>
  <c r="AF497" i="32"/>
  <c r="AF496" i="32"/>
  <c r="AF495" i="32"/>
  <c r="AF494" i="32"/>
  <c r="AF493" i="32"/>
  <c r="AF492" i="32"/>
  <c r="AF491" i="32"/>
  <c r="AF490" i="32"/>
  <c r="AF489" i="32"/>
  <c r="AF488" i="32"/>
  <c r="AF487" i="32"/>
  <c r="AF486" i="32"/>
  <c r="AF485" i="32"/>
  <c r="AF484" i="32"/>
  <c r="AF483" i="32"/>
  <c r="AF482" i="32"/>
  <c r="AF481" i="32"/>
  <c r="AF480" i="32"/>
  <c r="AF479" i="32"/>
  <c r="AF478" i="32"/>
  <c r="AF477" i="32"/>
  <c r="AF476" i="32"/>
  <c r="AF475" i="32"/>
  <c r="AF474" i="32"/>
  <c r="AF473" i="32"/>
  <c r="AF472" i="32"/>
  <c r="AF471" i="32"/>
  <c r="AF220" i="32"/>
  <c r="E165" i="32" a="1"/>
  <c r="E165" i="32" s="1"/>
  <c r="AF500" i="32" l="1"/>
  <c r="E26" i="32" l="1"/>
  <c r="E25" i="32"/>
  <c r="E24" i="32"/>
  <c r="E23" i="32"/>
  <c r="E22" i="32"/>
  <c r="E400" i="32"/>
  <c r="F399" i="32" l="1"/>
  <c r="F400" i="32" s="1"/>
  <c r="E395" i="32" a="1"/>
  <c r="E395" i="32" s="1"/>
  <c r="E393" i="32"/>
  <c r="E392" i="32"/>
  <c r="E394" i="32" a="1"/>
  <c r="E394" i="32" s="1"/>
  <c r="E391" i="32"/>
  <c r="F390" i="32"/>
  <c r="F393" i="32" s="1"/>
  <c r="E47" i="32" a="1"/>
  <c r="E47" i="32" s="1"/>
  <c r="E41" i="32" a="1"/>
  <c r="E41" i="32" s="1"/>
  <c r="E40" i="32" a="1"/>
  <c r="E40" i="32" s="1"/>
  <c r="E39" i="32" a="1"/>
  <c r="E39" i="32" s="1"/>
  <c r="E38" i="32" a="1"/>
  <c r="E38" i="32" s="1"/>
  <c r="E472" i="32"/>
  <c r="E473" i="32"/>
  <c r="E474" i="32"/>
  <c r="E475" i="32"/>
  <c r="E476" i="32"/>
  <c r="E477" i="32"/>
  <c r="E478" i="32"/>
  <c r="E479" i="32"/>
  <c r="E480" i="32"/>
  <c r="E481" i="32"/>
  <c r="E482" i="32"/>
  <c r="E483" i="32"/>
  <c r="E484" i="32"/>
  <c r="E485" i="32"/>
  <c r="E486" i="32"/>
  <c r="E487" i="32"/>
  <c r="E488" i="32"/>
  <c r="E489" i="32"/>
  <c r="E490" i="32"/>
  <c r="E491" i="32"/>
  <c r="E492" i="32"/>
  <c r="E493" i="32"/>
  <c r="E494" i="32"/>
  <c r="E495" i="32"/>
  <c r="E496" i="32"/>
  <c r="E497" i="32"/>
  <c r="E498" i="32"/>
  <c r="E499" i="32"/>
  <c r="F439" i="32"/>
  <c r="G439" i="32" s="1"/>
  <c r="H439" i="32" s="1"/>
  <c r="I439" i="32" s="1"/>
  <c r="J439" i="32" s="1"/>
  <c r="K439" i="32" s="1"/>
  <c r="L439" i="32" s="1"/>
  <c r="M439" i="32" s="1"/>
  <c r="N439" i="32" s="1"/>
  <c r="O439" i="32" s="1"/>
  <c r="P439" i="32" s="1"/>
  <c r="Q439" i="32" s="1"/>
  <c r="R439" i="32" s="1"/>
  <c r="S439" i="32" s="1"/>
  <c r="T439" i="32" s="1"/>
  <c r="U439" i="32" s="1"/>
  <c r="V439" i="32" s="1"/>
  <c r="W439" i="32" s="1"/>
  <c r="X439" i="32" s="1"/>
  <c r="Y439" i="32" s="1"/>
  <c r="Z439" i="32" s="1"/>
  <c r="AA439" i="32" s="1"/>
  <c r="AB439" i="32" s="1"/>
  <c r="AC439" i="32" s="1"/>
  <c r="AD439" i="32" s="1"/>
  <c r="F861" i="32"/>
  <c r="G861" i="32" s="1"/>
  <c r="H861" i="32" s="1"/>
  <c r="I861" i="32" s="1"/>
  <c r="J861" i="32" s="1"/>
  <c r="K861" i="32" s="1"/>
  <c r="L861" i="32" s="1"/>
  <c r="M861" i="32" s="1"/>
  <c r="N861" i="32" s="1"/>
  <c r="O861" i="32" s="1"/>
  <c r="P861" i="32" s="1"/>
  <c r="Q861" i="32" s="1"/>
  <c r="R861" i="32" s="1"/>
  <c r="S861" i="32" s="1"/>
  <c r="T861" i="32" s="1"/>
  <c r="U861" i="32" s="1"/>
  <c r="V861" i="32" s="1"/>
  <c r="W861" i="32" s="1"/>
  <c r="X861" i="32" s="1"/>
  <c r="Y861" i="32" s="1"/>
  <c r="Z861" i="32" s="1"/>
  <c r="AA861" i="32" s="1"/>
  <c r="AB861" i="32" s="1"/>
  <c r="AC861" i="32" s="1"/>
  <c r="AD861" i="32" s="1"/>
  <c r="F731" i="32"/>
  <c r="G731" i="32" s="1"/>
  <c r="H731" i="32" s="1"/>
  <c r="I731" i="32" s="1"/>
  <c r="J731" i="32" s="1"/>
  <c r="K731" i="32" s="1"/>
  <c r="L731" i="32" s="1"/>
  <c r="M731" i="32" s="1"/>
  <c r="N731" i="32" s="1"/>
  <c r="O731" i="32" s="1"/>
  <c r="P731" i="32" s="1"/>
  <c r="Q731" i="32" s="1"/>
  <c r="R731" i="32" s="1"/>
  <c r="S731" i="32" s="1"/>
  <c r="T731" i="32" s="1"/>
  <c r="U731" i="32" s="1"/>
  <c r="V731" i="32" s="1"/>
  <c r="W731" i="32" s="1"/>
  <c r="X731" i="32" s="1"/>
  <c r="Y731" i="32" s="1"/>
  <c r="Z731" i="32" s="1"/>
  <c r="AA731" i="32" s="1"/>
  <c r="AB731" i="32" s="1"/>
  <c r="AC731" i="32" s="1"/>
  <c r="AD731" i="32" s="1"/>
  <c r="G399" i="32" l="1"/>
  <c r="F391" i="32"/>
  <c r="F392" i="32"/>
  <c r="F395" i="32" a="1"/>
  <c r="F395" i="32" s="1"/>
  <c r="F394" i="32" a="1"/>
  <c r="F394" i="32" s="1"/>
  <c r="E396" i="32"/>
  <c r="G390" i="32"/>
  <c r="L117" i="33"/>
  <c r="L118" i="33"/>
  <c r="L119" i="33"/>
  <c r="L120" i="33"/>
  <c r="L121" i="33"/>
  <c r="L122" i="33"/>
  <c r="L123" i="33"/>
  <c r="L124" i="33"/>
  <c r="L125" i="33"/>
  <c r="L126" i="33"/>
  <c r="L127" i="33"/>
  <c r="L128" i="33"/>
  <c r="L129" i="33"/>
  <c r="L130" i="33"/>
  <c r="L131" i="33"/>
  <c r="L132" i="33"/>
  <c r="L133" i="33"/>
  <c r="L134" i="33"/>
  <c r="L135" i="33"/>
  <c r="L136" i="33"/>
  <c r="L137" i="33"/>
  <c r="L138" i="33"/>
  <c r="L139" i="33"/>
  <c r="L140" i="33"/>
  <c r="L141" i="33"/>
  <c r="L142" i="33"/>
  <c r="L143" i="33"/>
  <c r="L144" i="33"/>
  <c r="L145" i="33"/>
  <c r="L146" i="33"/>
  <c r="L147" i="33"/>
  <c r="L148" i="33"/>
  <c r="L149" i="33"/>
  <c r="L150" i="33"/>
  <c r="L151" i="33"/>
  <c r="L152" i="33"/>
  <c r="L153" i="33"/>
  <c r="L154" i="33"/>
  <c r="L155" i="33"/>
  <c r="L156" i="33"/>
  <c r="K9" i="33" a="1"/>
  <c r="K9" i="33" s="1"/>
  <c r="L9" i="33" s="1"/>
  <c r="P117" i="33" a="1"/>
  <c r="P117" i="33" s="1"/>
  <c r="Q117" i="33" a="1"/>
  <c r="Q117" i="33" s="1"/>
  <c r="R117" i="33" a="1"/>
  <c r="R117" i="33" s="1"/>
  <c r="P118" i="33" a="1"/>
  <c r="P118" i="33" s="1"/>
  <c r="Q118" i="33" a="1"/>
  <c r="Q118" i="33" s="1"/>
  <c r="R118" i="33" a="1"/>
  <c r="R118" i="33" s="1"/>
  <c r="P119" i="33" a="1"/>
  <c r="P119" i="33" s="1"/>
  <c r="Q119" i="33" a="1"/>
  <c r="Q119" i="33" s="1"/>
  <c r="R119" i="33" a="1"/>
  <c r="R119" i="33" s="1"/>
  <c r="P120" i="33" a="1"/>
  <c r="P120" i="33" s="1"/>
  <c r="Q120" i="33" a="1"/>
  <c r="Q120" i="33" s="1"/>
  <c r="R120" i="33" a="1"/>
  <c r="R120" i="33" s="1"/>
  <c r="P121" i="33" a="1"/>
  <c r="P121" i="33" s="1"/>
  <c r="Q121" i="33" a="1"/>
  <c r="Q121" i="33" s="1"/>
  <c r="R121" i="33" a="1"/>
  <c r="R121" i="33" s="1"/>
  <c r="P122" i="33" a="1"/>
  <c r="P122" i="33" s="1"/>
  <c r="Q122" i="33" a="1"/>
  <c r="Q122" i="33" s="1"/>
  <c r="R122" i="33" a="1"/>
  <c r="R122" i="33" s="1"/>
  <c r="P123" i="33" a="1"/>
  <c r="P123" i="33" s="1"/>
  <c r="Q123" i="33" a="1"/>
  <c r="Q123" i="33" s="1"/>
  <c r="R123" i="33" a="1"/>
  <c r="R123" i="33" s="1"/>
  <c r="P124" i="33" a="1"/>
  <c r="P124" i="33" s="1"/>
  <c r="Q124" i="33" a="1"/>
  <c r="Q124" i="33" s="1"/>
  <c r="R124" i="33" a="1"/>
  <c r="R124" i="33" s="1"/>
  <c r="P125" i="33" a="1"/>
  <c r="P125" i="33" s="1"/>
  <c r="Q125" i="33" a="1"/>
  <c r="Q125" i="33" s="1"/>
  <c r="R125" i="33" a="1"/>
  <c r="R125" i="33" s="1"/>
  <c r="P126" i="33" a="1"/>
  <c r="P126" i="33" s="1"/>
  <c r="Q126" i="33" a="1"/>
  <c r="Q126" i="33" s="1"/>
  <c r="R126" i="33" a="1"/>
  <c r="R126" i="33" s="1"/>
  <c r="P127" i="33" a="1"/>
  <c r="P127" i="33" s="1"/>
  <c r="Q127" i="33" a="1"/>
  <c r="Q127" i="33" s="1"/>
  <c r="R127" i="33" a="1"/>
  <c r="R127" i="33" s="1"/>
  <c r="P128" i="33" a="1"/>
  <c r="P128" i="33" s="1"/>
  <c r="Q128" i="33" a="1"/>
  <c r="Q128" i="33" s="1"/>
  <c r="R128" i="33" a="1"/>
  <c r="R128" i="33" s="1"/>
  <c r="P129" i="33" a="1"/>
  <c r="P129" i="33" s="1"/>
  <c r="Q129" i="33" a="1"/>
  <c r="Q129" i="33" s="1"/>
  <c r="R129" i="33" a="1"/>
  <c r="R129" i="33" s="1"/>
  <c r="P130" i="33" a="1"/>
  <c r="P130" i="33" s="1"/>
  <c r="Q130" i="33" a="1"/>
  <c r="Q130" i="33" s="1"/>
  <c r="R130" i="33" a="1"/>
  <c r="R130" i="33" s="1"/>
  <c r="P131" i="33" a="1"/>
  <c r="P131" i="33" s="1"/>
  <c r="Q131" i="33" a="1"/>
  <c r="Q131" i="33" s="1"/>
  <c r="R131" i="33" a="1"/>
  <c r="R131" i="33" s="1"/>
  <c r="P132" i="33" a="1"/>
  <c r="P132" i="33" s="1"/>
  <c r="Q132" i="33" a="1"/>
  <c r="Q132" i="33" s="1"/>
  <c r="R132" i="33" a="1"/>
  <c r="R132" i="33" s="1"/>
  <c r="P133" i="33" a="1"/>
  <c r="P133" i="33" s="1"/>
  <c r="Q133" i="33" a="1"/>
  <c r="Q133" i="33" s="1"/>
  <c r="R133" i="33" a="1"/>
  <c r="R133" i="33" s="1"/>
  <c r="P134" i="33" a="1"/>
  <c r="P134" i="33" s="1"/>
  <c r="Q134" i="33" a="1"/>
  <c r="Q134" i="33" s="1"/>
  <c r="R134" i="33" a="1"/>
  <c r="R134" i="33" s="1"/>
  <c r="P135" i="33" a="1"/>
  <c r="P135" i="33" s="1"/>
  <c r="Q135" i="33" a="1"/>
  <c r="Q135" i="33" s="1"/>
  <c r="R135" i="33" a="1"/>
  <c r="R135" i="33" s="1"/>
  <c r="P136" i="33" a="1"/>
  <c r="P136" i="33" s="1"/>
  <c r="Q136" i="33" a="1"/>
  <c r="Q136" i="33" s="1"/>
  <c r="R136" i="33" a="1"/>
  <c r="R136" i="33" s="1"/>
  <c r="P137" i="33" a="1"/>
  <c r="P137" i="33" s="1"/>
  <c r="Q137" i="33" a="1"/>
  <c r="Q137" i="33" s="1"/>
  <c r="R137" i="33" a="1"/>
  <c r="R137" i="33" s="1"/>
  <c r="P138" i="33" a="1"/>
  <c r="P138" i="33" s="1"/>
  <c r="Q138" i="33" a="1"/>
  <c r="Q138" i="33" s="1"/>
  <c r="R138" i="33" a="1"/>
  <c r="R138" i="33" s="1"/>
  <c r="P139" i="33" a="1"/>
  <c r="P139" i="33" s="1"/>
  <c r="Q139" i="33" a="1"/>
  <c r="Q139" i="33" s="1"/>
  <c r="R139" i="33" a="1"/>
  <c r="R139" i="33" s="1"/>
  <c r="P140" i="33" a="1"/>
  <c r="P140" i="33" s="1"/>
  <c r="Q140" i="33" a="1"/>
  <c r="Q140" i="33" s="1"/>
  <c r="R140" i="33" a="1"/>
  <c r="R140" i="33" s="1"/>
  <c r="P141" i="33" a="1"/>
  <c r="P141" i="33" s="1"/>
  <c r="Q141" i="33" a="1"/>
  <c r="Q141" i="33" s="1"/>
  <c r="R141" i="33" a="1"/>
  <c r="R141" i="33" s="1"/>
  <c r="P142" i="33" a="1"/>
  <c r="P142" i="33" s="1"/>
  <c r="Q142" i="33" a="1"/>
  <c r="Q142" i="33" s="1"/>
  <c r="R142" i="33" a="1"/>
  <c r="R142" i="33" s="1"/>
  <c r="P143" i="33" a="1"/>
  <c r="P143" i="33" s="1"/>
  <c r="Q143" i="33" a="1"/>
  <c r="Q143" i="33" s="1"/>
  <c r="R143" i="33" a="1"/>
  <c r="R143" i="33" s="1"/>
  <c r="P144" i="33" a="1"/>
  <c r="P144" i="33" s="1"/>
  <c r="Q144" i="33" a="1"/>
  <c r="Q144" i="33" s="1"/>
  <c r="R144" i="33" a="1"/>
  <c r="R144" i="33" s="1"/>
  <c r="P145" i="33" a="1"/>
  <c r="P145" i="33" s="1"/>
  <c r="Q145" i="33" a="1"/>
  <c r="Q145" i="33" s="1"/>
  <c r="R145" i="33" a="1"/>
  <c r="R145" i="33" s="1"/>
  <c r="P146" i="33" a="1"/>
  <c r="P146" i="33" s="1"/>
  <c r="Q146" i="33" a="1"/>
  <c r="Q146" i="33" s="1"/>
  <c r="R146" i="33" a="1"/>
  <c r="R146" i="33" s="1"/>
  <c r="P147" i="33" a="1"/>
  <c r="P147" i="33" s="1"/>
  <c r="Q147" i="33" a="1"/>
  <c r="Q147" i="33" s="1"/>
  <c r="R147" i="33" a="1"/>
  <c r="R147" i="33" s="1"/>
  <c r="P148" i="33" a="1"/>
  <c r="P148" i="33" s="1"/>
  <c r="Q148" i="33" a="1"/>
  <c r="Q148" i="33" s="1"/>
  <c r="R148" i="33" a="1"/>
  <c r="R148" i="33" s="1"/>
  <c r="P149" i="33" a="1"/>
  <c r="P149" i="33" s="1"/>
  <c r="Q149" i="33" a="1"/>
  <c r="Q149" i="33" s="1"/>
  <c r="R149" i="33" a="1"/>
  <c r="R149" i="33" s="1"/>
  <c r="P150" i="33" a="1"/>
  <c r="P150" i="33" s="1"/>
  <c r="Q150" i="33" a="1"/>
  <c r="Q150" i="33" s="1"/>
  <c r="R150" i="33" a="1"/>
  <c r="R150" i="33" s="1"/>
  <c r="P151" i="33" a="1"/>
  <c r="P151" i="33" s="1"/>
  <c r="Q151" i="33" a="1"/>
  <c r="Q151" i="33" s="1"/>
  <c r="R151" i="33" a="1"/>
  <c r="R151" i="33" s="1"/>
  <c r="P152" i="33" a="1"/>
  <c r="P152" i="33" s="1"/>
  <c r="Q152" i="33" a="1"/>
  <c r="Q152" i="33" s="1"/>
  <c r="R152" i="33" a="1"/>
  <c r="R152" i="33" s="1"/>
  <c r="P153" i="33" a="1"/>
  <c r="P153" i="33" s="1"/>
  <c r="Q153" i="33" a="1"/>
  <c r="Q153" i="33" s="1"/>
  <c r="R153" i="33" a="1"/>
  <c r="R153" i="33" s="1"/>
  <c r="P154" i="33" a="1"/>
  <c r="P154" i="33" s="1"/>
  <c r="Q154" i="33" a="1"/>
  <c r="Q154" i="33" s="1"/>
  <c r="R154" i="33" a="1"/>
  <c r="R154" i="33" s="1"/>
  <c r="P155" i="33" a="1"/>
  <c r="P155" i="33" s="1"/>
  <c r="Q155" i="33" a="1"/>
  <c r="Q155" i="33" s="1"/>
  <c r="R155" i="33" a="1"/>
  <c r="R155" i="33" s="1"/>
  <c r="P156" i="33" a="1"/>
  <c r="P156" i="33" s="1"/>
  <c r="Q156" i="33" a="1"/>
  <c r="Q156" i="33" s="1"/>
  <c r="R156" i="33" a="1"/>
  <c r="R156" i="33" s="1"/>
  <c r="H399" i="32" l="1"/>
  <c r="G400" i="32"/>
  <c r="F396" i="32"/>
  <c r="G391" i="32"/>
  <c r="G393" i="32"/>
  <c r="G395" i="32" a="1"/>
  <c r="G395" i="32" s="1"/>
  <c r="G394" i="32" a="1"/>
  <c r="G394" i="32" s="1"/>
  <c r="G392" i="32"/>
  <c r="H390" i="32"/>
  <c r="L108" i="33"/>
  <c r="L98" i="33"/>
  <c r="L88" i="33"/>
  <c r="L78" i="33"/>
  <c r="L68" i="33"/>
  <c r="L58" i="33"/>
  <c r="L48" i="33"/>
  <c r="L38" i="33"/>
  <c r="L28" i="33"/>
  <c r="L18" i="33"/>
  <c r="L107" i="33"/>
  <c r="L97" i="33"/>
  <c r="L87" i="33"/>
  <c r="L77" i="33"/>
  <c r="L67" i="33"/>
  <c r="L57" i="33"/>
  <c r="L47" i="33"/>
  <c r="L37" i="33"/>
  <c r="L27" i="33"/>
  <c r="L17" i="33"/>
  <c r="L116" i="33"/>
  <c r="L106" i="33"/>
  <c r="L96" i="33"/>
  <c r="L86" i="33"/>
  <c r="L76" i="33"/>
  <c r="L66" i="33"/>
  <c r="L56" i="33"/>
  <c r="L46" i="33"/>
  <c r="L36" i="33"/>
  <c r="L26" i="33"/>
  <c r="L16" i="33"/>
  <c r="L115" i="33"/>
  <c r="L105" i="33"/>
  <c r="L95" i="33"/>
  <c r="L85" i="33"/>
  <c r="L75" i="33"/>
  <c r="L65" i="33"/>
  <c r="L55" i="33"/>
  <c r="L45" i="33"/>
  <c r="L35" i="33"/>
  <c r="L25" i="33"/>
  <c r="L15" i="33"/>
  <c r="L114" i="33"/>
  <c r="L104" i="33"/>
  <c r="L94" i="33"/>
  <c r="L84" i="33"/>
  <c r="L74" i="33"/>
  <c r="L64" i="33"/>
  <c r="L54" i="33"/>
  <c r="L44" i="33"/>
  <c r="L34" i="33"/>
  <c r="L24" i="33"/>
  <c r="L14" i="33"/>
  <c r="L113" i="33"/>
  <c r="L103" i="33"/>
  <c r="L93" i="33"/>
  <c r="L83" i="33"/>
  <c r="L73" i="33"/>
  <c r="L63" i="33"/>
  <c r="L53" i="33"/>
  <c r="L43" i="33"/>
  <c r="L33" i="33"/>
  <c r="L23" i="33"/>
  <c r="L13" i="33"/>
  <c r="L112" i="33"/>
  <c r="L102" i="33"/>
  <c r="L92" i="33"/>
  <c r="L82" i="33"/>
  <c r="L72" i="33"/>
  <c r="L62" i="33"/>
  <c r="L52" i="33"/>
  <c r="L42" i="33"/>
  <c r="L32" i="33"/>
  <c r="L22" i="33"/>
  <c r="L12" i="33"/>
  <c r="L111" i="33"/>
  <c r="L101" i="33"/>
  <c r="L91" i="33"/>
  <c r="L81" i="33"/>
  <c r="L71" i="33"/>
  <c r="L61" i="33"/>
  <c r="L51" i="33"/>
  <c r="L41" i="33"/>
  <c r="L31" i="33"/>
  <c r="L21" i="33"/>
  <c r="L11" i="33"/>
  <c r="L110" i="33"/>
  <c r="L100" i="33"/>
  <c r="L90" i="33"/>
  <c r="L80" i="33"/>
  <c r="L70" i="33"/>
  <c r="L60" i="33"/>
  <c r="L50" i="33"/>
  <c r="L40" i="33"/>
  <c r="L30" i="33"/>
  <c r="L20" i="33"/>
  <c r="L10" i="33"/>
  <c r="L109" i="33"/>
  <c r="L99" i="33"/>
  <c r="L89" i="33"/>
  <c r="L79" i="33"/>
  <c r="L69" i="33"/>
  <c r="L59" i="33"/>
  <c r="L49" i="33"/>
  <c r="L39" i="33"/>
  <c r="L29" i="33"/>
  <c r="L19" i="33"/>
  <c r="P108" i="33" a="1"/>
  <c r="P108" i="33" s="1"/>
  <c r="P96" i="33" a="1"/>
  <c r="P96" i="33" s="1"/>
  <c r="R84" i="33" a="1"/>
  <c r="R84" i="33" s="1"/>
  <c r="R68" i="33" a="1"/>
  <c r="R68" i="33" s="1"/>
  <c r="Q52" i="33" a="1"/>
  <c r="Q52" i="33" s="1"/>
  <c r="P36" i="33" a="1"/>
  <c r="P36" i="33" s="1"/>
  <c r="R19" i="33" a="1"/>
  <c r="R19" i="33" s="1"/>
  <c r="R107" i="33" a="1"/>
  <c r="R107" i="33" s="1"/>
  <c r="P81" i="33" a="1"/>
  <c r="P81" i="33" s="1"/>
  <c r="Q68" i="33" a="1"/>
  <c r="Q68" i="33" s="1"/>
  <c r="Q45" i="33" a="1"/>
  <c r="Q45" i="33" s="1"/>
  <c r="Q32" i="33" a="1"/>
  <c r="Q32" i="33" s="1"/>
  <c r="Q19" i="33" a="1"/>
  <c r="Q19" i="33" s="1"/>
  <c r="Q107" i="33" a="1"/>
  <c r="Q107" i="33" s="1"/>
  <c r="R95" i="33" a="1"/>
  <c r="R95" i="33" s="1"/>
  <c r="P84" i="33" a="1"/>
  <c r="P84" i="33" s="1"/>
  <c r="Q71" i="33" a="1"/>
  <c r="Q71" i="33" s="1"/>
  <c r="R51" i="33" a="1"/>
  <c r="R51" i="33" s="1"/>
  <c r="R38" i="33" a="1"/>
  <c r="R38" i="33" s="1"/>
  <c r="Q25" i="33" a="1"/>
  <c r="Q25" i="33" s="1"/>
  <c r="Q113" i="33" a="1"/>
  <c r="Q113" i="33" s="1"/>
  <c r="P107" i="33" a="1"/>
  <c r="P107" i="33" s="1"/>
  <c r="Q95" i="33" a="1"/>
  <c r="Q95" i="33" s="1"/>
  <c r="R89" i="33" a="1"/>
  <c r="R89" i="33" s="1"/>
  <c r="Q80" i="33" a="1"/>
  <c r="Q80" i="33" s="1"/>
  <c r="P74" i="33" a="1"/>
  <c r="P74" i="33" s="1"/>
  <c r="R67" i="33" a="1"/>
  <c r="R67" i="33" s="1"/>
  <c r="Q54" i="33" a="1"/>
  <c r="Q54" i="33" s="1"/>
  <c r="P48" i="33" a="1"/>
  <c r="P48" i="33" s="1"/>
  <c r="Q38" i="33" a="1"/>
  <c r="Q38" i="33" s="1"/>
  <c r="R31" i="33" a="1"/>
  <c r="R31" i="33" s="1"/>
  <c r="P25" i="33" a="1"/>
  <c r="P25" i="33" s="1"/>
  <c r="R18" i="33" a="1"/>
  <c r="R18" i="33" s="1"/>
  <c r="Q15" i="33" a="1"/>
  <c r="Q15" i="33" s="1"/>
  <c r="P113" i="33" a="1"/>
  <c r="P113" i="33" s="1"/>
  <c r="P110" i="33" a="1"/>
  <c r="P110" i="33" s="1"/>
  <c r="P104" i="33" a="1"/>
  <c r="P104" i="33" s="1"/>
  <c r="R100" i="33" a="1"/>
  <c r="R100" i="33" s="1"/>
  <c r="R97" i="33" a="1"/>
  <c r="R97" i="33" s="1"/>
  <c r="P95" i="33" a="1"/>
  <c r="P95" i="33" s="1"/>
  <c r="P92" i="33" a="1"/>
  <c r="P92" i="33" s="1"/>
  <c r="Q89" i="33" a="1"/>
  <c r="Q89" i="33" s="1"/>
  <c r="R86" i="33" a="1"/>
  <c r="R86" i="33" s="1"/>
  <c r="Q83" i="33" a="1"/>
  <c r="Q83" i="33" s="1"/>
  <c r="P80" i="33" a="1"/>
  <c r="P80" i="33" s="1"/>
  <c r="R76" i="33" a="1"/>
  <c r="R76" i="33" s="1"/>
  <c r="R73" i="33" a="1"/>
  <c r="R73" i="33" s="1"/>
  <c r="R70" i="33" a="1"/>
  <c r="R70" i="33" s="1"/>
  <c r="Q67" i="33" a="1"/>
  <c r="Q67" i="33" s="1"/>
  <c r="P64" i="33" a="1"/>
  <c r="P64" i="33" s="1"/>
  <c r="R60" i="33" a="1"/>
  <c r="R60" i="33" s="1"/>
  <c r="Q57" i="33" a="1"/>
  <c r="Q57" i="33" s="1"/>
  <c r="P51" i="33" a="1"/>
  <c r="P51" i="33" s="1"/>
  <c r="R47" i="33" a="1"/>
  <c r="R47" i="33" s="1"/>
  <c r="R44" i="33" a="1"/>
  <c r="R44" i="33" s="1"/>
  <c r="Q41" i="33" a="1"/>
  <c r="Q41" i="33" s="1"/>
  <c r="P38" i="33" a="1"/>
  <c r="P38" i="33" s="1"/>
  <c r="R34" i="33" a="1"/>
  <c r="R34" i="33" s="1"/>
  <c r="Q31" i="33" a="1"/>
  <c r="Q31" i="33" s="1"/>
  <c r="P28" i="33" a="1"/>
  <c r="P28" i="33" s="1"/>
  <c r="R21" i="33" a="1"/>
  <c r="R21" i="33" s="1"/>
  <c r="Q18" i="33" a="1"/>
  <c r="Q18" i="33" s="1"/>
  <c r="P15" i="33" a="1"/>
  <c r="P15" i="33" s="1"/>
  <c r="R11" i="33" a="1"/>
  <c r="R11" i="33" s="1"/>
  <c r="Q111" i="33" a="1"/>
  <c r="Q111" i="33" s="1"/>
  <c r="P102" i="33" a="1"/>
  <c r="P102" i="33" s="1"/>
  <c r="Q90" i="33" a="1"/>
  <c r="Q90" i="33" s="1"/>
  <c r="P78" i="33" a="1"/>
  <c r="P78" i="33" s="1"/>
  <c r="Q65" i="33" a="1"/>
  <c r="Q65" i="33" s="1"/>
  <c r="Q55" i="33" a="1"/>
  <c r="Q55" i="33" s="1"/>
  <c r="R42" i="33" a="1"/>
  <c r="R42" i="33" s="1"/>
  <c r="R32" i="33" a="1"/>
  <c r="R32" i="33" s="1"/>
  <c r="P23" i="33" a="1"/>
  <c r="P23" i="33" s="1"/>
  <c r="P111" i="33" a="1"/>
  <c r="P111" i="33" s="1"/>
  <c r="R101" i="33" a="1"/>
  <c r="R101" i="33" s="1"/>
  <c r="R74" i="33" a="1"/>
  <c r="R74" i="33" s="1"/>
  <c r="R61" i="33" a="1"/>
  <c r="R61" i="33" s="1"/>
  <c r="P52" i="33" a="1"/>
  <c r="P52" i="33" s="1"/>
  <c r="R35" i="33" a="1"/>
  <c r="R35" i="33" s="1"/>
  <c r="R25" i="33" a="1"/>
  <c r="R25" i="33" s="1"/>
  <c r="Q98" i="33" a="1"/>
  <c r="Q98" i="33" s="1"/>
  <c r="Q87" i="33" a="1"/>
  <c r="Q87" i="33" s="1"/>
  <c r="Q74" i="33" a="1"/>
  <c r="Q74" i="33" s="1"/>
  <c r="Q61" i="33" a="1"/>
  <c r="Q61" i="33" s="1"/>
  <c r="Q48" i="33" a="1"/>
  <c r="Q48" i="33" s="1"/>
  <c r="Q35" i="33" a="1"/>
  <c r="Q35" i="33" s="1"/>
  <c r="Q22" i="33" a="1"/>
  <c r="Q22" i="33" s="1"/>
  <c r="Q12" i="33" a="1"/>
  <c r="Q12" i="33" s="1"/>
  <c r="P98" i="33" a="1"/>
  <c r="P98" i="33" s="1"/>
  <c r="P61" i="33" a="1"/>
  <c r="P61" i="33" s="1"/>
  <c r="R115" i="33" a="1"/>
  <c r="R115" i="33" s="1"/>
  <c r="R112" i="33" a="1"/>
  <c r="R112" i="33" s="1"/>
  <c r="R109" i="33" a="1"/>
  <c r="R109" i="33" s="1"/>
  <c r="R106" i="33" a="1"/>
  <c r="R106" i="33" s="1"/>
  <c r="R103" i="33" a="1"/>
  <c r="R103" i="33" s="1"/>
  <c r="Q100" i="33" a="1"/>
  <c r="Q100" i="33" s="1"/>
  <c r="P89" i="33" a="1"/>
  <c r="P89" i="33" s="1"/>
  <c r="Q86" i="33" a="1"/>
  <c r="Q86" i="33" s="1"/>
  <c r="P83" i="33" a="1"/>
  <c r="P83" i="33" s="1"/>
  <c r="R79" i="33" a="1"/>
  <c r="R79" i="33" s="1"/>
  <c r="Q76" i="33" a="1"/>
  <c r="Q76" i="33" s="1"/>
  <c r="Q73" i="33" a="1"/>
  <c r="Q73" i="33" s="1"/>
  <c r="Q70" i="33" a="1"/>
  <c r="Q70" i="33" s="1"/>
  <c r="P67" i="33" a="1"/>
  <c r="P67" i="33" s="1"/>
  <c r="R63" i="33" a="1"/>
  <c r="R63" i="33" s="1"/>
  <c r="Q60" i="33" a="1"/>
  <c r="Q60" i="33" s="1"/>
  <c r="P57" i="33" a="1"/>
  <c r="P57" i="33" s="1"/>
  <c r="P54" i="33" a="1"/>
  <c r="P54" i="33" s="1"/>
  <c r="R50" i="33" a="1"/>
  <c r="R50" i="33" s="1"/>
  <c r="Q47" i="33" a="1"/>
  <c r="Q47" i="33" s="1"/>
  <c r="Q44" i="33" a="1"/>
  <c r="Q44" i="33" s="1"/>
  <c r="P41" i="33" a="1"/>
  <c r="P41" i="33" s="1"/>
  <c r="R37" i="33" a="1"/>
  <c r="R37" i="33" s="1"/>
  <c r="Q34" i="33" a="1"/>
  <c r="Q34" i="33" s="1"/>
  <c r="P31" i="33" a="1"/>
  <c r="P31" i="33" s="1"/>
  <c r="R27" i="33" a="1"/>
  <c r="R27" i="33" s="1"/>
  <c r="R24" i="33" a="1"/>
  <c r="R24" i="33" s="1"/>
  <c r="Q21" i="33" a="1"/>
  <c r="Q21" i="33" s="1"/>
  <c r="P18" i="33" a="1"/>
  <c r="P18" i="33" s="1"/>
  <c r="R14" i="33" a="1"/>
  <c r="R14" i="33" s="1"/>
  <c r="Q11" i="33" a="1"/>
  <c r="Q11" i="33" s="1"/>
  <c r="P114" i="33" a="1"/>
  <c r="P114" i="33" s="1"/>
  <c r="P99" i="33" a="1"/>
  <c r="P99" i="33" s="1"/>
  <c r="R87" i="33" a="1"/>
  <c r="R87" i="33" s="1"/>
  <c r="P75" i="33" a="1"/>
  <c r="P75" i="33" s="1"/>
  <c r="P62" i="33" a="1"/>
  <c r="P62" i="33" s="1"/>
  <c r="P49" i="33" a="1"/>
  <c r="P49" i="33" s="1"/>
  <c r="Q29" i="33" a="1"/>
  <c r="Q29" i="33" s="1"/>
  <c r="Q16" i="33" a="1"/>
  <c r="Q16" i="33" s="1"/>
  <c r="R113" i="33" a="1"/>
  <c r="R113" i="33" s="1"/>
  <c r="R98" i="33" a="1"/>
  <c r="R98" i="33" s="1"/>
  <c r="R77" i="33" a="1"/>
  <c r="R77" i="33" s="1"/>
  <c r="P65" i="33" a="1"/>
  <c r="P65" i="33" s="1"/>
  <c r="P55" i="33" a="1"/>
  <c r="P55" i="33" s="1"/>
  <c r="Q42" i="33" a="1"/>
  <c r="Q42" i="33" s="1"/>
  <c r="R22" i="33" a="1"/>
  <c r="R22" i="33" s="1"/>
  <c r="R12" i="33" a="1"/>
  <c r="R12" i="33" s="1"/>
  <c r="Q116" i="33" a="1"/>
  <c r="Q116" i="33" s="1"/>
  <c r="R104" i="33" a="1"/>
  <c r="R104" i="33" s="1"/>
  <c r="P90" i="33" a="1"/>
  <c r="P90" i="33" s="1"/>
  <c r="Q77" i="33" a="1"/>
  <c r="Q77" i="33" s="1"/>
  <c r="R64" i="33" a="1"/>
  <c r="R64" i="33" s="1"/>
  <c r="P58" i="33" a="1"/>
  <c r="P58" i="33" s="1"/>
  <c r="P42" i="33" a="1"/>
  <c r="P42" i="33" s="1"/>
  <c r="R28" i="33" a="1"/>
  <c r="R28" i="33" s="1"/>
  <c r="P19" i="33" a="1"/>
  <c r="P19" i="33" s="1"/>
  <c r="P101" i="33" a="1"/>
  <c r="P101" i="33" s="1"/>
  <c r="Q64" i="33" a="1"/>
  <c r="Q64" i="33" s="1"/>
  <c r="Q115" i="33" a="1"/>
  <c r="Q115" i="33" s="1"/>
  <c r="Q109" i="33" a="1"/>
  <c r="Q109" i="33" s="1"/>
  <c r="Q106" i="33" a="1"/>
  <c r="Q106" i="33" s="1"/>
  <c r="Q103" i="33" a="1"/>
  <c r="Q103" i="33" s="1"/>
  <c r="Q97" i="33" a="1"/>
  <c r="Q97" i="33" s="1"/>
  <c r="R94" i="33" a="1"/>
  <c r="R94" i="33" s="1"/>
  <c r="R91" i="33" a="1"/>
  <c r="R91" i="33" s="1"/>
  <c r="R88" i="33" a="1"/>
  <c r="R88" i="33" s="1"/>
  <c r="P86" i="33" a="1"/>
  <c r="P86" i="33" s="1"/>
  <c r="R82" i="33" a="1"/>
  <c r="R82" i="33" s="1"/>
  <c r="Q79" i="33" a="1"/>
  <c r="Q79" i="33" s="1"/>
  <c r="P76" i="33" a="1"/>
  <c r="P76" i="33" s="1"/>
  <c r="P73" i="33" a="1"/>
  <c r="P73" i="33" s="1"/>
  <c r="P70" i="33" a="1"/>
  <c r="P70" i="33" s="1"/>
  <c r="R66" i="33" a="1"/>
  <c r="R66" i="33" s="1"/>
  <c r="Q63" i="33" a="1"/>
  <c r="Q63" i="33" s="1"/>
  <c r="P60" i="33" a="1"/>
  <c r="P60" i="33" s="1"/>
  <c r="R56" i="33" a="1"/>
  <c r="R56" i="33" s="1"/>
  <c r="R53" i="33" a="1"/>
  <c r="R53" i="33" s="1"/>
  <c r="Q50" i="33" a="1"/>
  <c r="Q50" i="33" s="1"/>
  <c r="P47" i="33" a="1"/>
  <c r="P47" i="33" s="1"/>
  <c r="P44" i="33" a="1"/>
  <c r="P44" i="33" s="1"/>
  <c r="R40" i="33" a="1"/>
  <c r="R40" i="33" s="1"/>
  <c r="Q37" i="33" a="1"/>
  <c r="Q37" i="33" s="1"/>
  <c r="P34" i="33" a="1"/>
  <c r="P34" i="33" s="1"/>
  <c r="R30" i="33" a="1"/>
  <c r="R30" i="33" s="1"/>
  <c r="Q27" i="33" a="1"/>
  <c r="Q27" i="33" s="1"/>
  <c r="Q24" i="33" a="1"/>
  <c r="Q24" i="33" s="1"/>
  <c r="P21" i="33" a="1"/>
  <c r="P21" i="33" s="1"/>
  <c r="R17" i="33" a="1"/>
  <c r="R17" i="33" s="1"/>
  <c r="Q14" i="33" a="1"/>
  <c r="Q14" i="33" s="1"/>
  <c r="P11" i="33" a="1"/>
  <c r="P11" i="33" s="1"/>
  <c r="Q93" i="33" a="1"/>
  <c r="Q93" i="33" s="1"/>
  <c r="Q81" i="33" a="1"/>
  <c r="Q81" i="33" s="1"/>
  <c r="P72" i="33" a="1"/>
  <c r="P72" i="33" s="1"/>
  <c r="R58" i="33" a="1"/>
  <c r="R58" i="33" s="1"/>
  <c r="R45" i="33" a="1"/>
  <c r="R45" i="33" s="1"/>
  <c r="Q39" i="33" a="1"/>
  <c r="Q39" i="33" s="1"/>
  <c r="P26" i="33" a="1"/>
  <c r="P26" i="33" s="1"/>
  <c r="P13" i="33" a="1"/>
  <c r="P13" i="33" s="1"/>
  <c r="R116" i="33" a="1"/>
  <c r="R116" i="33" s="1"/>
  <c r="P105" i="33" a="1"/>
  <c r="P105" i="33" s="1"/>
  <c r="P93" i="33" a="1"/>
  <c r="P93" i="33" s="1"/>
  <c r="Q84" i="33" a="1"/>
  <c r="Q84" i="33" s="1"/>
  <c r="R71" i="33" a="1"/>
  <c r="R71" i="33" s="1"/>
  <c r="Q58" i="33" a="1"/>
  <c r="Q58" i="33" s="1"/>
  <c r="R48" i="33" a="1"/>
  <c r="R48" i="33" s="1"/>
  <c r="P39" i="33" a="1"/>
  <c r="P39" i="33" s="1"/>
  <c r="P29" i="33" a="1"/>
  <c r="P29" i="33" s="1"/>
  <c r="P16" i="33" a="1"/>
  <c r="P16" i="33" s="1"/>
  <c r="R110" i="33" a="1"/>
  <c r="R110" i="33" s="1"/>
  <c r="Q101" i="33" a="1"/>
  <c r="Q101" i="33" s="1"/>
  <c r="R92" i="33" a="1"/>
  <c r="R92" i="33" s="1"/>
  <c r="R80" i="33" a="1"/>
  <c r="R80" i="33" s="1"/>
  <c r="P68" i="33" a="1"/>
  <c r="P68" i="33" s="1"/>
  <c r="R54" i="33" a="1"/>
  <c r="R54" i="33" s="1"/>
  <c r="P45" i="33" a="1"/>
  <c r="P45" i="33" s="1"/>
  <c r="P32" i="33" a="1"/>
  <c r="P32" i="33" s="1"/>
  <c r="R15" i="33" a="1"/>
  <c r="R15" i="33" s="1"/>
  <c r="P116" i="33" a="1"/>
  <c r="P116" i="33" s="1"/>
  <c r="Q110" i="33" a="1"/>
  <c r="Q110" i="33" s="1"/>
  <c r="Q104" i="33" a="1"/>
  <c r="Q104" i="33" s="1"/>
  <c r="Q92" i="33" a="1"/>
  <c r="Q92" i="33" s="1"/>
  <c r="P87" i="33" a="1"/>
  <c r="P87" i="33" s="1"/>
  <c r="R83" i="33" a="1"/>
  <c r="R83" i="33" s="1"/>
  <c r="P77" i="33" a="1"/>
  <c r="P77" i="33" s="1"/>
  <c r="P71" i="33" a="1"/>
  <c r="P71" i="33" s="1"/>
  <c r="R57" i="33" a="1"/>
  <c r="R57" i="33" s="1"/>
  <c r="Q51" i="33" a="1"/>
  <c r="Q51" i="33" s="1"/>
  <c r="R41" i="33" a="1"/>
  <c r="R41" i="33" s="1"/>
  <c r="P35" i="33" a="1"/>
  <c r="P35" i="33" s="1"/>
  <c r="Q28" i="33" a="1"/>
  <c r="Q28" i="33" s="1"/>
  <c r="P22" i="33" a="1"/>
  <c r="P22" i="33" s="1"/>
  <c r="P12" i="33" a="1"/>
  <c r="P12" i="33" s="1"/>
  <c r="P115" i="33" a="1"/>
  <c r="P115" i="33" s="1"/>
  <c r="Q112" i="33" a="1"/>
  <c r="Q112" i="33" s="1"/>
  <c r="P109" i="33" a="1"/>
  <c r="P109" i="33" s="1"/>
  <c r="P106" i="33" a="1"/>
  <c r="P106" i="33" s="1"/>
  <c r="P103" i="33" a="1"/>
  <c r="P103" i="33" s="1"/>
  <c r="P100" i="33" a="1"/>
  <c r="P100" i="33" s="1"/>
  <c r="P97" i="33" a="1"/>
  <c r="P97" i="33" s="1"/>
  <c r="Q94" i="33" a="1"/>
  <c r="Q94" i="33" s="1"/>
  <c r="Q91" i="33" a="1"/>
  <c r="Q91" i="33" s="1"/>
  <c r="R85" i="33" a="1"/>
  <c r="R85" i="33" s="1"/>
  <c r="Q82" i="33" a="1"/>
  <c r="Q82" i="33" s="1"/>
  <c r="P79" i="33" a="1"/>
  <c r="P79" i="33" s="1"/>
  <c r="R75" i="33" a="1"/>
  <c r="R75" i="33" s="1"/>
  <c r="R72" i="33" a="1"/>
  <c r="R72" i="33" s="1"/>
  <c r="R69" i="33" a="1"/>
  <c r="R69" i="33" s="1"/>
  <c r="Q66" i="33" a="1"/>
  <c r="Q66" i="33" s="1"/>
  <c r="P63" i="33" a="1"/>
  <c r="P63" i="33" s="1"/>
  <c r="R59" i="33" a="1"/>
  <c r="R59" i="33" s="1"/>
  <c r="Q56" i="33" a="1"/>
  <c r="Q56" i="33" s="1"/>
  <c r="Q53" i="33" a="1"/>
  <c r="Q53" i="33" s="1"/>
  <c r="P50" i="33" a="1"/>
  <c r="P50" i="33" s="1"/>
  <c r="R46" i="33" a="1"/>
  <c r="R46" i="33" s="1"/>
  <c r="R43" i="33" a="1"/>
  <c r="R43" i="33" s="1"/>
  <c r="Q40" i="33" a="1"/>
  <c r="Q40" i="33" s="1"/>
  <c r="P37" i="33" a="1"/>
  <c r="P37" i="33" s="1"/>
  <c r="R33" i="33" a="1"/>
  <c r="R33" i="33" s="1"/>
  <c r="Q30" i="33" a="1"/>
  <c r="Q30" i="33" s="1"/>
  <c r="P27" i="33" a="1"/>
  <c r="P27" i="33" s="1"/>
  <c r="P24" i="33" a="1"/>
  <c r="P24" i="33" s="1"/>
  <c r="R20" i="33" a="1"/>
  <c r="R20" i="33" s="1"/>
  <c r="Q17" i="33" a="1"/>
  <c r="Q17" i="33" s="1"/>
  <c r="P14" i="33" a="1"/>
  <c r="P14" i="33" s="1"/>
  <c r="R10" i="33" a="1"/>
  <c r="R10" i="33" s="1"/>
  <c r="R114" i="33" a="1"/>
  <c r="R114" i="33" s="1"/>
  <c r="P112" i="33" a="1"/>
  <c r="P112" i="33" s="1"/>
  <c r="R108" i="33" a="1"/>
  <c r="R108" i="33" s="1"/>
  <c r="R105" i="33" a="1"/>
  <c r="R105" i="33" s="1"/>
  <c r="R102" i="33" a="1"/>
  <c r="R102" i="33" s="1"/>
  <c r="R99" i="33" a="1"/>
  <c r="R99" i="33" s="1"/>
  <c r="R96" i="33" a="1"/>
  <c r="R96" i="33" s="1"/>
  <c r="P94" i="33" a="1"/>
  <c r="P94" i="33" s="1"/>
  <c r="P91" i="33" a="1"/>
  <c r="P91" i="33" s="1"/>
  <c r="Q88" i="33" a="1"/>
  <c r="Q88" i="33" s="1"/>
  <c r="Q85" i="33" a="1"/>
  <c r="Q85" i="33" s="1"/>
  <c r="P82" i="33" a="1"/>
  <c r="P82" i="33" s="1"/>
  <c r="R78" i="33" a="1"/>
  <c r="R78" i="33" s="1"/>
  <c r="Q75" i="33" a="1"/>
  <c r="Q75" i="33" s="1"/>
  <c r="Q69" i="33" a="1"/>
  <c r="Q69" i="33" s="1"/>
  <c r="P66" i="33" a="1"/>
  <c r="P66" i="33" s="1"/>
  <c r="R62" i="33" a="1"/>
  <c r="R62" i="33" s="1"/>
  <c r="Q59" i="33" a="1"/>
  <c r="Q59" i="33" s="1"/>
  <c r="P56" i="33" a="1"/>
  <c r="P56" i="33" s="1"/>
  <c r="P53" i="33" a="1"/>
  <c r="P53" i="33" s="1"/>
  <c r="R49" i="33" a="1"/>
  <c r="R49" i="33" s="1"/>
  <c r="Q46" i="33" a="1"/>
  <c r="Q46" i="33" s="1"/>
  <c r="Q43" i="33" a="1"/>
  <c r="Q43" i="33" s="1"/>
  <c r="P40" i="33" a="1"/>
  <c r="P40" i="33" s="1"/>
  <c r="R36" i="33" a="1"/>
  <c r="R36" i="33" s="1"/>
  <c r="Q33" i="33" a="1"/>
  <c r="Q33" i="33" s="1"/>
  <c r="P30" i="33" a="1"/>
  <c r="P30" i="33" s="1"/>
  <c r="R26" i="33" a="1"/>
  <c r="R26" i="33" s="1"/>
  <c r="R23" i="33" a="1"/>
  <c r="R23" i="33" s="1"/>
  <c r="Q20" i="33" a="1"/>
  <c r="Q20" i="33" s="1"/>
  <c r="P17" i="33" a="1"/>
  <c r="P17" i="33" s="1"/>
  <c r="R13" i="33" a="1"/>
  <c r="R13" i="33" s="1"/>
  <c r="Q10" i="33" a="1"/>
  <c r="Q10" i="33" s="1"/>
  <c r="Q114" i="33" a="1"/>
  <c r="Q114" i="33" s="1"/>
  <c r="R111" i="33" a="1"/>
  <c r="R111" i="33" s="1"/>
  <c r="Q108" i="33" a="1"/>
  <c r="Q108" i="33" s="1"/>
  <c r="Q105" i="33" a="1"/>
  <c r="Q105" i="33" s="1"/>
  <c r="Q102" i="33" a="1"/>
  <c r="Q102" i="33" s="1"/>
  <c r="Q99" i="33" a="1"/>
  <c r="Q99" i="33" s="1"/>
  <c r="Q96" i="33" a="1"/>
  <c r="Q96" i="33" s="1"/>
  <c r="R93" i="33" a="1"/>
  <c r="R93" i="33" s="1"/>
  <c r="R90" i="33" a="1"/>
  <c r="R90" i="33" s="1"/>
  <c r="P88" i="33" a="1"/>
  <c r="P88" i="33" s="1"/>
  <c r="P85" i="33" a="1"/>
  <c r="P85" i="33" s="1"/>
  <c r="R81" i="33" a="1"/>
  <c r="R81" i="33" s="1"/>
  <c r="Q78" i="33" a="1"/>
  <c r="Q78" i="33" s="1"/>
  <c r="Q72" i="33" a="1"/>
  <c r="Q72" i="33" s="1"/>
  <c r="P69" i="33" a="1"/>
  <c r="P69" i="33" s="1"/>
  <c r="R65" i="33" a="1"/>
  <c r="R65" i="33" s="1"/>
  <c r="Q62" i="33" a="1"/>
  <c r="Q62" i="33" s="1"/>
  <c r="P59" i="33" a="1"/>
  <c r="P59" i="33" s="1"/>
  <c r="R55" i="33" a="1"/>
  <c r="R55" i="33" s="1"/>
  <c r="R52" i="33" a="1"/>
  <c r="R52" i="33" s="1"/>
  <c r="Q49" i="33" a="1"/>
  <c r="Q49" i="33" s="1"/>
  <c r="P46" i="33" a="1"/>
  <c r="P46" i="33" s="1"/>
  <c r="P43" i="33" a="1"/>
  <c r="P43" i="33" s="1"/>
  <c r="R39" i="33" a="1"/>
  <c r="R39" i="33" s="1"/>
  <c r="Q36" i="33" a="1"/>
  <c r="Q36" i="33" s="1"/>
  <c r="P33" i="33" a="1"/>
  <c r="P33" i="33" s="1"/>
  <c r="R29" i="33" a="1"/>
  <c r="R29" i="33" s="1"/>
  <c r="Q26" i="33" a="1"/>
  <c r="Q26" i="33" s="1"/>
  <c r="Q23" i="33" a="1"/>
  <c r="Q23" i="33" s="1"/>
  <c r="P20" i="33" a="1"/>
  <c r="P20" i="33" s="1"/>
  <c r="R16" i="33" a="1"/>
  <c r="R16" i="33" s="1"/>
  <c r="Q13" i="33" a="1"/>
  <c r="Q13" i="33" s="1"/>
  <c r="P10" i="33" a="1"/>
  <c r="P10" i="33" s="1"/>
  <c r="P9" i="33" a="1"/>
  <c r="P9" i="33" s="1"/>
  <c r="Q9" i="33" a="1"/>
  <c r="Q9" i="33" s="1"/>
  <c r="R9" i="33" a="1"/>
  <c r="R9" i="33" s="1"/>
  <c r="E369" i="32"/>
  <c r="E370" i="32"/>
  <c r="E371" i="32"/>
  <c r="E372" i="32"/>
  <c r="E373" i="32"/>
  <c r="I399" i="32" l="1"/>
  <c r="H400" i="32"/>
  <c r="G396" i="32"/>
  <c r="H392" i="32"/>
  <c r="H391" i="32"/>
  <c r="H393" i="32"/>
  <c r="H394" i="32" a="1"/>
  <c r="H394" i="32" s="1"/>
  <c r="H395" i="32" a="1"/>
  <c r="H395" i="32" s="1"/>
  <c r="I390" i="32"/>
  <c r="E360" i="32"/>
  <c r="E361" i="32"/>
  <c r="E362" i="32"/>
  <c r="E363" i="32"/>
  <c r="E364" i="32"/>
  <c r="J399" i="32" l="1"/>
  <c r="I400" i="32"/>
  <c r="H396" i="32"/>
  <c r="I392" i="32"/>
  <c r="I391" i="32"/>
  <c r="I393" i="32"/>
  <c r="I395" i="32" a="1"/>
  <c r="I395" i="32" s="1"/>
  <c r="I394" i="32" a="1"/>
  <c r="I394" i="32" s="1"/>
  <c r="J390" i="32"/>
  <c r="E223" i="32" a="1"/>
  <c r="E223" i="32" s="1"/>
  <c r="E224" i="32" a="1"/>
  <c r="E224" i="32" s="1"/>
  <c r="E225" i="32" a="1"/>
  <c r="E225" i="32" s="1"/>
  <c r="E226" i="32" a="1"/>
  <c r="E226" i="32" s="1"/>
  <c r="E227" i="32" a="1"/>
  <c r="E227" i="32" s="1"/>
  <c r="E228" i="32" a="1"/>
  <c r="E228" i="32" s="1"/>
  <c r="E229" i="32" a="1"/>
  <c r="E229" i="32" s="1"/>
  <c r="E230" i="32" a="1"/>
  <c r="E230" i="32" s="1"/>
  <c r="E231" i="32" a="1"/>
  <c r="E231" i="32" s="1"/>
  <c r="E232" i="32" a="1"/>
  <c r="E232" i="32" s="1"/>
  <c r="E233" i="32" a="1"/>
  <c r="E233" i="32" s="1"/>
  <c r="E234" i="32" a="1"/>
  <c r="E234" i="32" s="1"/>
  <c r="E220" i="32"/>
  <c r="E235" i="32" s="1" a="1"/>
  <c r="E235" i="32" s="1"/>
  <c r="K399" i="32" l="1"/>
  <c r="J400" i="32"/>
  <c r="I396" i="32"/>
  <c r="J392" i="32"/>
  <c r="J391" i="32"/>
  <c r="J393" i="32"/>
  <c r="J395" i="32" a="1"/>
  <c r="J395" i="32" s="1"/>
  <c r="J394" i="32" a="1"/>
  <c r="J394" i="32" s="1"/>
  <c r="K390" i="32"/>
  <c r="E236" i="32"/>
  <c r="E237" i="32" s="1"/>
  <c r="F203" i="32"/>
  <c r="G203" i="32" s="1"/>
  <c r="H203" i="32" s="1"/>
  <c r="I203" i="32" s="1"/>
  <c r="J203" i="32" s="1"/>
  <c r="K203" i="32" s="1"/>
  <c r="L203" i="32" s="1"/>
  <c r="M203" i="32" s="1"/>
  <c r="N203" i="32" s="1"/>
  <c r="O203" i="32" s="1"/>
  <c r="P203" i="32" s="1"/>
  <c r="Q203" i="32" s="1"/>
  <c r="R203" i="32" s="1"/>
  <c r="S203" i="32" s="1"/>
  <c r="T203" i="32" s="1"/>
  <c r="U203" i="32" s="1"/>
  <c r="V203" i="32" s="1"/>
  <c r="W203" i="32" s="1"/>
  <c r="X203" i="32" s="1"/>
  <c r="Y203" i="32" s="1"/>
  <c r="Z203" i="32" s="1"/>
  <c r="AA203" i="32" s="1"/>
  <c r="AB203" i="32" s="1"/>
  <c r="AC203" i="32" s="1"/>
  <c r="AD203" i="32" s="1"/>
  <c r="E190" i="32"/>
  <c r="E191" i="32"/>
  <c r="E192" i="32"/>
  <c r="E193" i="32"/>
  <c r="E194" i="32"/>
  <c r="E195" i="32"/>
  <c r="E196" i="32"/>
  <c r="E197" i="32"/>
  <c r="E198" i="32"/>
  <c r="E199" i="32"/>
  <c r="E289" i="32"/>
  <c r="E290" i="32"/>
  <c r="E291" i="32"/>
  <c r="E292" i="32"/>
  <c r="E293" i="32"/>
  <c r="E294" i="32"/>
  <c r="E295" i="32"/>
  <c r="E296" i="32"/>
  <c r="E297" i="32"/>
  <c r="E298" i="32"/>
  <c r="E282" i="32" a="1"/>
  <c r="E282" i="32" s="1"/>
  <c r="E281" i="32" a="1"/>
  <c r="E281" i="32" s="1"/>
  <c r="E280" i="32" a="1"/>
  <c r="E280" i="32" s="1"/>
  <c r="E279" i="32" a="1"/>
  <c r="E279" i="32" s="1"/>
  <c r="E277" i="32" a="1"/>
  <c r="E277" i="32" s="1"/>
  <c r="L399" i="32" l="1"/>
  <c r="K400" i="32"/>
  <c r="J396" i="32"/>
  <c r="K395" i="32" a="1"/>
  <c r="K395" i="32" s="1"/>
  <c r="K394" i="32" a="1"/>
  <c r="K394" i="32" s="1"/>
  <c r="K392" i="32"/>
  <c r="K391" i="32"/>
  <c r="K393" i="32"/>
  <c r="L390" i="32"/>
  <c r="E329" i="32"/>
  <c r="E330" i="32"/>
  <c r="E261" i="32" a="1"/>
  <c r="E261" i="32" s="1"/>
  <c r="E262" i="32" a="1"/>
  <c r="E262" i="32" s="1"/>
  <c r="E263" i="32"/>
  <c r="M9" i="33" a="1"/>
  <c r="M9" i="33" s="1"/>
  <c r="N9" i="33" a="1"/>
  <c r="N9" i="33" s="1"/>
  <c r="O9" i="33" a="1"/>
  <c r="O9" i="33" s="1"/>
  <c r="M10" i="33" a="1"/>
  <c r="M10" i="33" s="1"/>
  <c r="N10" i="33" a="1"/>
  <c r="N10" i="33" s="1"/>
  <c r="O10" i="33" a="1"/>
  <c r="O10" i="33" s="1"/>
  <c r="M11" i="33" a="1"/>
  <c r="M11" i="33" s="1"/>
  <c r="N11" i="33" a="1"/>
  <c r="N11" i="33" s="1"/>
  <c r="O11" i="33" a="1"/>
  <c r="O11" i="33" s="1"/>
  <c r="M12" i="33" a="1"/>
  <c r="M12" i="33" s="1"/>
  <c r="N12" i="33" a="1"/>
  <c r="N12" i="33" s="1"/>
  <c r="O12" i="33" a="1"/>
  <c r="O12" i="33" s="1"/>
  <c r="M13" i="33" a="1"/>
  <c r="M13" i="33" s="1"/>
  <c r="N13" i="33" a="1"/>
  <c r="N13" i="33" s="1"/>
  <c r="O13" i="33" a="1"/>
  <c r="O13" i="33" s="1"/>
  <c r="M14" i="33" a="1"/>
  <c r="M14" i="33" s="1"/>
  <c r="N14" i="33" a="1"/>
  <c r="N14" i="33" s="1"/>
  <c r="O14" i="33" a="1"/>
  <c r="O14" i="33" s="1"/>
  <c r="M15" i="33" a="1"/>
  <c r="M15" i="33" s="1"/>
  <c r="N15" i="33" a="1"/>
  <c r="N15" i="33" s="1"/>
  <c r="O15" i="33" a="1"/>
  <c r="O15" i="33" s="1"/>
  <c r="M16" i="33" a="1"/>
  <c r="M16" i="33" s="1"/>
  <c r="N16" i="33" a="1"/>
  <c r="N16" i="33" s="1"/>
  <c r="O16" i="33" a="1"/>
  <c r="O16" i="33" s="1"/>
  <c r="M17" i="33" a="1"/>
  <c r="M17" i="33" s="1"/>
  <c r="N17" i="33" a="1"/>
  <c r="N17" i="33" s="1"/>
  <c r="O17" i="33" a="1"/>
  <c r="O17" i="33" s="1"/>
  <c r="M18" i="33" a="1"/>
  <c r="M18" i="33" s="1"/>
  <c r="N18" i="33" a="1"/>
  <c r="N18" i="33" s="1"/>
  <c r="O18" i="33" a="1"/>
  <c r="O18" i="33" s="1"/>
  <c r="M19" i="33" a="1"/>
  <c r="M19" i="33" s="1"/>
  <c r="N19" i="33" a="1"/>
  <c r="N19" i="33" s="1"/>
  <c r="O19" i="33" a="1"/>
  <c r="O19" i="33" s="1"/>
  <c r="M20" i="33" a="1"/>
  <c r="M20" i="33" s="1"/>
  <c r="N20" i="33" a="1"/>
  <c r="N20" i="33" s="1"/>
  <c r="O20" i="33" a="1"/>
  <c r="O20" i="33" s="1"/>
  <c r="M21" i="33" a="1"/>
  <c r="M21" i="33" s="1"/>
  <c r="N21" i="33" a="1"/>
  <c r="N21" i="33" s="1"/>
  <c r="O21" i="33" a="1"/>
  <c r="O21" i="33" s="1"/>
  <c r="M22" i="33" a="1"/>
  <c r="M22" i="33" s="1"/>
  <c r="N22" i="33" a="1"/>
  <c r="N22" i="33" s="1"/>
  <c r="O22" i="33" a="1"/>
  <c r="O22" i="33" s="1"/>
  <c r="M23" i="33" a="1"/>
  <c r="M23" i="33" s="1"/>
  <c r="N23" i="33" a="1"/>
  <c r="N23" i="33" s="1"/>
  <c r="O23" i="33" a="1"/>
  <c r="O23" i="33" s="1"/>
  <c r="M24" i="33" a="1"/>
  <c r="M24" i="33" s="1"/>
  <c r="N24" i="33" a="1"/>
  <c r="N24" i="33" s="1"/>
  <c r="O24" i="33" a="1"/>
  <c r="O24" i="33" s="1"/>
  <c r="M25" i="33" a="1"/>
  <c r="M25" i="33" s="1"/>
  <c r="N25" i="33" a="1"/>
  <c r="N25" i="33" s="1"/>
  <c r="O25" i="33" a="1"/>
  <c r="O25" i="33" s="1"/>
  <c r="M26" i="33" a="1"/>
  <c r="M26" i="33" s="1"/>
  <c r="N26" i="33" a="1"/>
  <c r="N26" i="33" s="1"/>
  <c r="O26" i="33" a="1"/>
  <c r="O26" i="33" s="1"/>
  <c r="M27" i="33" a="1"/>
  <c r="M27" i="33" s="1"/>
  <c r="N27" i="33" a="1"/>
  <c r="N27" i="33" s="1"/>
  <c r="O27" i="33" a="1"/>
  <c r="O27" i="33" s="1"/>
  <c r="M28" i="33" a="1"/>
  <c r="M28" i="33" s="1"/>
  <c r="N28" i="33" a="1"/>
  <c r="N28" i="33" s="1"/>
  <c r="O28" i="33" a="1"/>
  <c r="O28" i="33" s="1"/>
  <c r="M29" i="33" a="1"/>
  <c r="M29" i="33" s="1"/>
  <c r="N29" i="33" a="1"/>
  <c r="N29" i="33" s="1"/>
  <c r="O29" i="33" a="1"/>
  <c r="O29" i="33" s="1"/>
  <c r="M30" i="33" a="1"/>
  <c r="M30" i="33" s="1"/>
  <c r="N30" i="33" a="1"/>
  <c r="N30" i="33" s="1"/>
  <c r="O30" i="33" a="1"/>
  <c r="O30" i="33" s="1"/>
  <c r="M31" i="33" a="1"/>
  <c r="M31" i="33" s="1"/>
  <c r="N31" i="33" a="1"/>
  <c r="N31" i="33" s="1"/>
  <c r="O31" i="33" a="1"/>
  <c r="O31" i="33" s="1"/>
  <c r="M32" i="33" a="1"/>
  <c r="M32" i="33" s="1"/>
  <c r="N32" i="33" a="1"/>
  <c r="N32" i="33" s="1"/>
  <c r="O32" i="33" a="1"/>
  <c r="O32" i="33" s="1"/>
  <c r="M33" i="33" a="1"/>
  <c r="M33" i="33" s="1"/>
  <c r="N33" i="33" a="1"/>
  <c r="N33" i="33" s="1"/>
  <c r="O33" i="33" a="1"/>
  <c r="O33" i="33" s="1"/>
  <c r="M34" i="33" a="1"/>
  <c r="M34" i="33" s="1"/>
  <c r="N34" i="33" a="1"/>
  <c r="N34" i="33" s="1"/>
  <c r="O34" i="33" a="1"/>
  <c r="O34" i="33" s="1"/>
  <c r="M35" i="33" a="1"/>
  <c r="M35" i="33" s="1"/>
  <c r="N35" i="33" a="1"/>
  <c r="N35" i="33" s="1"/>
  <c r="O35" i="33" a="1"/>
  <c r="O35" i="33" s="1"/>
  <c r="M36" i="33" a="1"/>
  <c r="M36" i="33" s="1"/>
  <c r="N36" i="33" a="1"/>
  <c r="N36" i="33" s="1"/>
  <c r="O36" i="33" a="1"/>
  <c r="O36" i="33" s="1"/>
  <c r="M37" i="33" a="1"/>
  <c r="M37" i="33" s="1"/>
  <c r="N37" i="33" a="1"/>
  <c r="N37" i="33" s="1"/>
  <c r="O37" i="33" a="1"/>
  <c r="O37" i="33" s="1"/>
  <c r="M38" i="33" a="1"/>
  <c r="M38" i="33" s="1"/>
  <c r="N38" i="33" a="1"/>
  <c r="N38" i="33" s="1"/>
  <c r="O38" i="33" a="1"/>
  <c r="O38" i="33" s="1"/>
  <c r="M39" i="33" a="1"/>
  <c r="M39" i="33" s="1"/>
  <c r="N39" i="33" a="1"/>
  <c r="N39" i="33" s="1"/>
  <c r="O39" i="33" a="1"/>
  <c r="O39" i="33" s="1"/>
  <c r="M40" i="33" a="1"/>
  <c r="M40" i="33" s="1"/>
  <c r="N40" i="33" a="1"/>
  <c r="N40" i="33" s="1"/>
  <c r="O40" i="33" a="1"/>
  <c r="O40" i="33" s="1"/>
  <c r="M41" i="33" a="1"/>
  <c r="M41" i="33" s="1"/>
  <c r="N41" i="33" a="1"/>
  <c r="N41" i="33" s="1"/>
  <c r="O41" i="33" a="1"/>
  <c r="O41" i="33" s="1"/>
  <c r="M42" i="33" a="1"/>
  <c r="M42" i="33" s="1"/>
  <c r="N42" i="33" a="1"/>
  <c r="N42" i="33" s="1"/>
  <c r="O42" i="33" a="1"/>
  <c r="O42" i="33" s="1"/>
  <c r="M43" i="33" a="1"/>
  <c r="M43" i="33" s="1"/>
  <c r="N43" i="33" a="1"/>
  <c r="N43" i="33" s="1"/>
  <c r="O43" i="33" a="1"/>
  <c r="O43" i="33" s="1"/>
  <c r="M44" i="33" a="1"/>
  <c r="M44" i="33" s="1"/>
  <c r="N44" i="33" a="1"/>
  <c r="N44" i="33" s="1"/>
  <c r="O44" i="33" a="1"/>
  <c r="O44" i="33" s="1"/>
  <c r="M45" i="33" a="1"/>
  <c r="M45" i="33" s="1"/>
  <c r="N45" i="33" a="1"/>
  <c r="N45" i="33" s="1"/>
  <c r="O45" i="33" a="1"/>
  <c r="O45" i="33" s="1"/>
  <c r="M46" i="33" a="1"/>
  <c r="M46" i="33" s="1"/>
  <c r="N46" i="33" a="1"/>
  <c r="N46" i="33" s="1"/>
  <c r="O46" i="33" a="1"/>
  <c r="O46" i="33" s="1"/>
  <c r="M47" i="33" a="1"/>
  <c r="M47" i="33" s="1"/>
  <c r="N47" i="33" a="1"/>
  <c r="N47" i="33" s="1"/>
  <c r="O47" i="33" a="1"/>
  <c r="O47" i="33" s="1"/>
  <c r="M48" i="33" a="1"/>
  <c r="M48" i="33" s="1"/>
  <c r="N48" i="33" a="1"/>
  <c r="N48" i="33" s="1"/>
  <c r="O48" i="33" a="1"/>
  <c r="O48" i="33" s="1"/>
  <c r="M49" i="33" a="1"/>
  <c r="M49" i="33" s="1"/>
  <c r="N49" i="33" a="1"/>
  <c r="N49" i="33" s="1"/>
  <c r="O49" i="33" a="1"/>
  <c r="O49" i="33" s="1"/>
  <c r="M50" i="33" a="1"/>
  <c r="M50" i="33" s="1"/>
  <c r="N50" i="33" a="1"/>
  <c r="N50" i="33" s="1"/>
  <c r="O50" i="33" a="1"/>
  <c r="O50" i="33" s="1"/>
  <c r="M51" i="33" a="1"/>
  <c r="M51" i="33" s="1"/>
  <c r="N51" i="33" a="1"/>
  <c r="N51" i="33" s="1"/>
  <c r="O51" i="33" a="1"/>
  <c r="O51" i="33" s="1"/>
  <c r="M52" i="33" a="1"/>
  <c r="M52" i="33" s="1"/>
  <c r="N52" i="33" a="1"/>
  <c r="N52" i="33" s="1"/>
  <c r="O52" i="33" a="1"/>
  <c r="O52" i="33" s="1"/>
  <c r="M53" i="33" a="1"/>
  <c r="M53" i="33" s="1"/>
  <c r="N53" i="33" a="1"/>
  <c r="N53" i="33" s="1"/>
  <c r="O53" i="33" a="1"/>
  <c r="O53" i="33" s="1"/>
  <c r="M54" i="33" a="1"/>
  <c r="M54" i="33" s="1"/>
  <c r="N54" i="33" a="1"/>
  <c r="N54" i="33" s="1"/>
  <c r="O54" i="33" a="1"/>
  <c r="O54" i="33" s="1"/>
  <c r="M55" i="33" a="1"/>
  <c r="M55" i="33" s="1"/>
  <c r="N55" i="33" a="1"/>
  <c r="N55" i="33" s="1"/>
  <c r="O55" i="33" a="1"/>
  <c r="O55" i="33" s="1"/>
  <c r="M56" i="33" a="1"/>
  <c r="M56" i="33" s="1"/>
  <c r="N56" i="33" a="1"/>
  <c r="N56" i="33" s="1"/>
  <c r="O56" i="33" a="1"/>
  <c r="O56" i="33" s="1"/>
  <c r="M57" i="33" a="1"/>
  <c r="M57" i="33" s="1"/>
  <c r="N57" i="33" a="1"/>
  <c r="N57" i="33" s="1"/>
  <c r="O57" i="33" a="1"/>
  <c r="O57" i="33" s="1"/>
  <c r="M58" i="33" a="1"/>
  <c r="M58" i="33" s="1"/>
  <c r="N58" i="33" a="1"/>
  <c r="N58" i="33" s="1"/>
  <c r="O58" i="33" a="1"/>
  <c r="O58" i="33" s="1"/>
  <c r="M59" i="33" a="1"/>
  <c r="M59" i="33" s="1"/>
  <c r="N59" i="33" a="1"/>
  <c r="N59" i="33" s="1"/>
  <c r="O59" i="33" a="1"/>
  <c r="O59" i="33" s="1"/>
  <c r="M60" i="33" a="1"/>
  <c r="M60" i="33" s="1"/>
  <c r="N60" i="33" a="1"/>
  <c r="N60" i="33" s="1"/>
  <c r="O60" i="33" a="1"/>
  <c r="O60" i="33" s="1"/>
  <c r="M61" i="33" a="1"/>
  <c r="M61" i="33" s="1"/>
  <c r="N61" i="33" a="1"/>
  <c r="N61" i="33" s="1"/>
  <c r="O61" i="33" a="1"/>
  <c r="O61" i="33" s="1"/>
  <c r="M62" i="33" a="1"/>
  <c r="M62" i="33" s="1"/>
  <c r="N62" i="33" a="1"/>
  <c r="N62" i="33" s="1"/>
  <c r="O62" i="33" a="1"/>
  <c r="O62" i="33" s="1"/>
  <c r="M63" i="33" a="1"/>
  <c r="M63" i="33" s="1"/>
  <c r="N63" i="33" a="1"/>
  <c r="N63" i="33" s="1"/>
  <c r="O63" i="33" a="1"/>
  <c r="O63" i="33" s="1"/>
  <c r="M64" i="33" a="1"/>
  <c r="M64" i="33" s="1"/>
  <c r="N64" i="33" a="1"/>
  <c r="N64" i="33" s="1"/>
  <c r="O64" i="33" a="1"/>
  <c r="O64" i="33" s="1"/>
  <c r="M65" i="33" a="1"/>
  <c r="M65" i="33" s="1"/>
  <c r="N65" i="33" a="1"/>
  <c r="N65" i="33" s="1"/>
  <c r="O65" i="33" a="1"/>
  <c r="O65" i="33" s="1"/>
  <c r="M66" i="33" a="1"/>
  <c r="M66" i="33" s="1"/>
  <c r="N66" i="33" a="1"/>
  <c r="N66" i="33" s="1"/>
  <c r="O66" i="33" a="1"/>
  <c r="O66" i="33" s="1"/>
  <c r="M67" i="33" a="1"/>
  <c r="M67" i="33" s="1"/>
  <c r="N67" i="33" a="1"/>
  <c r="N67" i="33" s="1"/>
  <c r="O67" i="33" a="1"/>
  <c r="O67" i="33" s="1"/>
  <c r="M68" i="33" a="1"/>
  <c r="M68" i="33" s="1"/>
  <c r="N68" i="33" a="1"/>
  <c r="N68" i="33" s="1"/>
  <c r="O68" i="33" a="1"/>
  <c r="O68" i="33" s="1"/>
  <c r="M69" i="33" a="1"/>
  <c r="M69" i="33" s="1"/>
  <c r="N69" i="33" a="1"/>
  <c r="N69" i="33" s="1"/>
  <c r="O69" i="33" a="1"/>
  <c r="O69" i="33" s="1"/>
  <c r="M70" i="33" a="1"/>
  <c r="M70" i="33" s="1"/>
  <c r="N70" i="33" a="1"/>
  <c r="N70" i="33" s="1"/>
  <c r="O70" i="33" a="1"/>
  <c r="O70" i="33" s="1"/>
  <c r="M71" i="33" a="1"/>
  <c r="M71" i="33" s="1"/>
  <c r="N71" i="33" a="1"/>
  <c r="N71" i="33" s="1"/>
  <c r="O71" i="33" a="1"/>
  <c r="O71" i="33" s="1"/>
  <c r="M72" i="33" a="1"/>
  <c r="M72" i="33" s="1"/>
  <c r="N72" i="33" a="1"/>
  <c r="N72" i="33" s="1"/>
  <c r="O72" i="33" a="1"/>
  <c r="O72" i="33" s="1"/>
  <c r="M73" i="33" a="1"/>
  <c r="M73" i="33" s="1"/>
  <c r="N73" i="33" a="1"/>
  <c r="N73" i="33" s="1"/>
  <c r="O73" i="33" a="1"/>
  <c r="O73" i="33" s="1"/>
  <c r="M74" i="33" a="1"/>
  <c r="M74" i="33" s="1"/>
  <c r="N74" i="33" a="1"/>
  <c r="N74" i="33" s="1"/>
  <c r="O74" i="33" a="1"/>
  <c r="O74" i="33" s="1"/>
  <c r="M75" i="33" a="1"/>
  <c r="M75" i="33" s="1"/>
  <c r="N75" i="33" a="1"/>
  <c r="N75" i="33" s="1"/>
  <c r="O75" i="33" a="1"/>
  <c r="O75" i="33" s="1"/>
  <c r="M76" i="33" a="1"/>
  <c r="M76" i="33" s="1"/>
  <c r="N76" i="33" a="1"/>
  <c r="N76" i="33" s="1"/>
  <c r="O76" i="33" a="1"/>
  <c r="O76" i="33" s="1"/>
  <c r="M77" i="33" a="1"/>
  <c r="M77" i="33" s="1"/>
  <c r="N77" i="33" a="1"/>
  <c r="N77" i="33" s="1"/>
  <c r="O77" i="33" a="1"/>
  <c r="O77" i="33" s="1"/>
  <c r="M78" i="33" a="1"/>
  <c r="M78" i="33" s="1"/>
  <c r="N78" i="33" a="1"/>
  <c r="N78" i="33" s="1"/>
  <c r="O78" i="33" a="1"/>
  <c r="O78" i="33" s="1"/>
  <c r="M79" i="33" a="1"/>
  <c r="M79" i="33"/>
  <c r="N79" i="33" a="1"/>
  <c r="N79" i="33" s="1"/>
  <c r="O79" i="33" a="1"/>
  <c r="O79" i="33" s="1"/>
  <c r="M80" i="33" a="1"/>
  <c r="M80" i="33" s="1"/>
  <c r="N80" i="33" a="1"/>
  <c r="N80" i="33" s="1"/>
  <c r="O80" i="33" a="1"/>
  <c r="O80" i="33" s="1"/>
  <c r="M81" i="33" a="1"/>
  <c r="M81" i="33" s="1"/>
  <c r="N81" i="33" a="1"/>
  <c r="N81" i="33" s="1"/>
  <c r="O81" i="33" a="1"/>
  <c r="O81" i="33" s="1"/>
  <c r="M82" i="33" a="1"/>
  <c r="M82" i="33" s="1"/>
  <c r="N82" i="33" a="1"/>
  <c r="N82" i="33" s="1"/>
  <c r="O82" i="33" a="1"/>
  <c r="O82" i="33" s="1"/>
  <c r="M83" i="33" a="1"/>
  <c r="M83" i="33" s="1"/>
  <c r="N83" i="33" a="1"/>
  <c r="N83" i="33" s="1"/>
  <c r="O83" i="33" a="1"/>
  <c r="O83" i="33" s="1"/>
  <c r="M84" i="33" a="1"/>
  <c r="M84" i="33" s="1"/>
  <c r="N84" i="33" a="1"/>
  <c r="N84" i="33" s="1"/>
  <c r="O84" i="33" a="1"/>
  <c r="O84" i="33" s="1"/>
  <c r="M85" i="33" a="1"/>
  <c r="M85" i="33" s="1"/>
  <c r="N85" i="33" a="1"/>
  <c r="N85" i="33" s="1"/>
  <c r="O85" i="33" a="1"/>
  <c r="O85" i="33" s="1"/>
  <c r="M86" i="33" a="1"/>
  <c r="M86" i="33" s="1"/>
  <c r="N86" i="33" a="1"/>
  <c r="N86" i="33" s="1"/>
  <c r="O86" i="33" a="1"/>
  <c r="O86" i="33" s="1"/>
  <c r="M87" i="33" a="1"/>
  <c r="M87" i="33" s="1"/>
  <c r="N87" i="33" a="1"/>
  <c r="N87" i="33" s="1"/>
  <c r="O87" i="33" a="1"/>
  <c r="O87" i="33" s="1"/>
  <c r="M88" i="33" a="1"/>
  <c r="M88" i="33" s="1"/>
  <c r="N88" i="33" a="1"/>
  <c r="N88" i="33" s="1"/>
  <c r="O88" i="33" a="1"/>
  <c r="O88" i="33" s="1"/>
  <c r="M89" i="33" a="1"/>
  <c r="M89" i="33" s="1"/>
  <c r="N89" i="33" a="1"/>
  <c r="N89" i="33" s="1"/>
  <c r="O89" i="33" a="1"/>
  <c r="O89" i="33" s="1"/>
  <c r="M90" i="33" a="1"/>
  <c r="M90" i="33" s="1"/>
  <c r="N90" i="33" a="1"/>
  <c r="N90" i="33" s="1"/>
  <c r="O90" i="33" a="1"/>
  <c r="O90" i="33" s="1"/>
  <c r="M91" i="33" a="1"/>
  <c r="M91" i="33" s="1"/>
  <c r="N91" i="33" a="1"/>
  <c r="N91" i="33" s="1"/>
  <c r="O91" i="33" a="1"/>
  <c r="O91" i="33" s="1"/>
  <c r="M92" i="33" a="1"/>
  <c r="M92" i="33" s="1"/>
  <c r="N92" i="33" a="1"/>
  <c r="N92" i="33" s="1"/>
  <c r="O92" i="33" a="1"/>
  <c r="O92" i="33" s="1"/>
  <c r="M93" i="33" a="1"/>
  <c r="M93" i="33" s="1"/>
  <c r="N93" i="33" a="1"/>
  <c r="N93" i="33" s="1"/>
  <c r="O93" i="33" a="1"/>
  <c r="O93" i="33" s="1"/>
  <c r="M94" i="33" a="1"/>
  <c r="M94" i="33" s="1"/>
  <c r="N94" i="33" a="1"/>
  <c r="N94" i="33" s="1"/>
  <c r="O94" i="33" a="1"/>
  <c r="O94" i="33" s="1"/>
  <c r="M95" i="33" a="1"/>
  <c r="M95" i="33" s="1"/>
  <c r="N95" i="33" a="1"/>
  <c r="N95" i="33" s="1"/>
  <c r="O95" i="33" a="1"/>
  <c r="O95" i="33" s="1"/>
  <c r="M96" i="33" a="1"/>
  <c r="M96" i="33" s="1"/>
  <c r="N96" i="33" a="1"/>
  <c r="N96" i="33" s="1"/>
  <c r="O96" i="33" a="1"/>
  <c r="O96" i="33" s="1"/>
  <c r="M97" i="33" a="1"/>
  <c r="M97" i="33" s="1"/>
  <c r="N97" i="33" a="1"/>
  <c r="N97" i="33" s="1"/>
  <c r="O97" i="33" a="1"/>
  <c r="O97" i="33" s="1"/>
  <c r="M98" i="33" a="1"/>
  <c r="M98" i="33" s="1"/>
  <c r="N98" i="33" a="1"/>
  <c r="N98" i="33" s="1"/>
  <c r="O98" i="33" a="1"/>
  <c r="O98" i="33" s="1"/>
  <c r="M99" i="33" a="1"/>
  <c r="M99" i="33" s="1"/>
  <c r="N99" i="33" a="1"/>
  <c r="N99" i="33" s="1"/>
  <c r="O99" i="33" a="1"/>
  <c r="O99" i="33" s="1"/>
  <c r="M100" i="33" a="1"/>
  <c r="M100" i="33" s="1"/>
  <c r="N100" i="33" a="1"/>
  <c r="N100" i="33" s="1"/>
  <c r="O100" i="33" a="1"/>
  <c r="O100" i="33" s="1"/>
  <c r="M101" i="33" a="1"/>
  <c r="M101" i="33" s="1"/>
  <c r="N101" i="33" a="1"/>
  <c r="N101" i="33" s="1"/>
  <c r="O101" i="33" a="1"/>
  <c r="O101" i="33" s="1"/>
  <c r="M102" i="33" a="1"/>
  <c r="M102" i="33" s="1"/>
  <c r="N102" i="33" a="1"/>
  <c r="N102" i="33" s="1"/>
  <c r="O102" i="33" a="1"/>
  <c r="O102" i="33" s="1"/>
  <c r="M103" i="33" a="1"/>
  <c r="M103" i="33" s="1"/>
  <c r="N103" i="33" a="1"/>
  <c r="N103" i="33" s="1"/>
  <c r="O103" i="33" a="1"/>
  <c r="O103" i="33" s="1"/>
  <c r="M104" i="33" a="1"/>
  <c r="M104" i="33" s="1"/>
  <c r="N104" i="33" a="1"/>
  <c r="N104" i="33" s="1"/>
  <c r="O104" i="33" a="1"/>
  <c r="O104" i="33" s="1"/>
  <c r="M105" i="33" a="1"/>
  <c r="M105" i="33" s="1"/>
  <c r="N105" i="33" a="1"/>
  <c r="N105" i="33" s="1"/>
  <c r="O105" i="33" a="1"/>
  <c r="O105" i="33" s="1"/>
  <c r="M106" i="33" a="1"/>
  <c r="M106" i="33" s="1"/>
  <c r="N106" i="33" a="1"/>
  <c r="N106" i="33" s="1"/>
  <c r="O106" i="33" a="1"/>
  <c r="O106" i="33" s="1"/>
  <c r="M107" i="33" a="1"/>
  <c r="M107" i="33" s="1"/>
  <c r="N107" i="33" a="1"/>
  <c r="N107" i="33" s="1"/>
  <c r="O107" i="33" a="1"/>
  <c r="O107" i="33" s="1"/>
  <c r="M108" i="33" a="1"/>
  <c r="M108" i="33" s="1"/>
  <c r="N108" i="33" a="1"/>
  <c r="N108" i="33" s="1"/>
  <c r="O108" i="33" a="1"/>
  <c r="O108" i="33" s="1"/>
  <c r="M109" i="33" a="1"/>
  <c r="M109" i="33" s="1"/>
  <c r="N109" i="33" a="1"/>
  <c r="N109" i="33" s="1"/>
  <c r="O109" i="33" a="1"/>
  <c r="O109" i="33" s="1"/>
  <c r="M110" i="33" a="1"/>
  <c r="M110" i="33" s="1"/>
  <c r="N110" i="33" a="1"/>
  <c r="N110" i="33" s="1"/>
  <c r="O110" i="33" a="1"/>
  <c r="O110" i="33" s="1"/>
  <c r="M111" i="33" a="1"/>
  <c r="M111" i="33" s="1"/>
  <c r="N111" i="33" a="1"/>
  <c r="N111" i="33" s="1"/>
  <c r="O111" i="33" a="1"/>
  <c r="O111" i="33" s="1"/>
  <c r="M112" i="33" a="1"/>
  <c r="M112" i="33" s="1"/>
  <c r="N112" i="33" a="1"/>
  <c r="N112" i="33" s="1"/>
  <c r="O112" i="33" a="1"/>
  <c r="O112" i="33" s="1"/>
  <c r="M113" i="33" a="1"/>
  <c r="M113" i="33" s="1"/>
  <c r="N113" i="33" a="1"/>
  <c r="N113" i="33" s="1"/>
  <c r="O113" i="33" a="1"/>
  <c r="O113" i="33" s="1"/>
  <c r="M114" i="33" a="1"/>
  <c r="M114" i="33" s="1"/>
  <c r="N114" i="33" a="1"/>
  <c r="N114" i="33" s="1"/>
  <c r="O114" i="33" a="1"/>
  <c r="O114" i="33" s="1"/>
  <c r="M115" i="33" a="1"/>
  <c r="M115" i="33" s="1"/>
  <c r="N115" i="33" a="1"/>
  <c r="N115" i="33" s="1"/>
  <c r="O115" i="33" a="1"/>
  <c r="O115" i="33" s="1"/>
  <c r="M116" i="33" a="1"/>
  <c r="M116" i="33" s="1"/>
  <c r="N116" i="33" a="1"/>
  <c r="N116" i="33" s="1"/>
  <c r="O116" i="33" a="1"/>
  <c r="O116" i="33" s="1"/>
  <c r="M117" i="33" a="1"/>
  <c r="M117" i="33" s="1"/>
  <c r="N117" i="33" a="1"/>
  <c r="N117" i="33" s="1"/>
  <c r="O117" i="33" a="1"/>
  <c r="O117" i="33" s="1"/>
  <c r="M118" i="33" a="1"/>
  <c r="M118" i="33" s="1"/>
  <c r="N118" i="33" a="1"/>
  <c r="N118" i="33" s="1"/>
  <c r="O118" i="33" a="1"/>
  <c r="O118" i="33" s="1"/>
  <c r="M119" i="33" a="1"/>
  <c r="M119" i="33" s="1"/>
  <c r="N119" i="33" a="1"/>
  <c r="N119" i="33" s="1"/>
  <c r="O119" i="33" a="1"/>
  <c r="O119" i="33" s="1"/>
  <c r="M120" i="33" a="1"/>
  <c r="M120" i="33" s="1"/>
  <c r="N120" i="33" a="1"/>
  <c r="N120" i="33" s="1"/>
  <c r="O120" i="33" a="1"/>
  <c r="O120" i="33" s="1"/>
  <c r="M121" i="33" a="1"/>
  <c r="M121" i="33" s="1"/>
  <c r="N121" i="33" a="1"/>
  <c r="N121" i="33" s="1"/>
  <c r="O121" i="33" a="1"/>
  <c r="O121" i="33" s="1"/>
  <c r="M122" i="33" a="1"/>
  <c r="M122" i="33" s="1"/>
  <c r="N122" i="33" a="1"/>
  <c r="N122" i="33" s="1"/>
  <c r="O122" i="33" a="1"/>
  <c r="O122" i="33" s="1"/>
  <c r="M123" i="33" a="1"/>
  <c r="M123" i="33" s="1"/>
  <c r="N123" i="33" a="1"/>
  <c r="N123" i="33" s="1"/>
  <c r="O123" i="33" a="1"/>
  <c r="O123" i="33" s="1"/>
  <c r="M124" i="33" a="1"/>
  <c r="M124" i="33" s="1"/>
  <c r="N124" i="33" a="1"/>
  <c r="N124" i="33" s="1"/>
  <c r="O124" i="33" a="1"/>
  <c r="O124" i="33" s="1"/>
  <c r="M125" i="33" a="1"/>
  <c r="M125" i="33" s="1"/>
  <c r="N125" i="33" a="1"/>
  <c r="N125" i="33" s="1"/>
  <c r="O125" i="33" a="1"/>
  <c r="O125" i="33" s="1"/>
  <c r="M126" i="33" a="1"/>
  <c r="M126" i="33" s="1"/>
  <c r="N126" i="33" a="1"/>
  <c r="N126" i="33" s="1"/>
  <c r="O126" i="33" a="1"/>
  <c r="O126" i="33" s="1"/>
  <c r="M127" i="33" a="1"/>
  <c r="M127" i="33" s="1"/>
  <c r="N127" i="33" a="1"/>
  <c r="N127" i="33" s="1"/>
  <c r="O127" i="33" a="1"/>
  <c r="O127" i="33" s="1"/>
  <c r="M128" i="33" a="1"/>
  <c r="M128" i="33" s="1"/>
  <c r="N128" i="33" a="1"/>
  <c r="N128" i="33" s="1"/>
  <c r="O128" i="33" a="1"/>
  <c r="O128" i="33" s="1"/>
  <c r="M129" i="33" a="1"/>
  <c r="M129" i="33" s="1"/>
  <c r="N129" i="33" a="1"/>
  <c r="N129" i="33" s="1"/>
  <c r="O129" i="33" a="1"/>
  <c r="O129" i="33" s="1"/>
  <c r="M130" i="33" a="1"/>
  <c r="M130" i="33" s="1"/>
  <c r="N130" i="33" a="1"/>
  <c r="N130" i="33" s="1"/>
  <c r="O130" i="33" a="1"/>
  <c r="O130" i="33" s="1"/>
  <c r="M131" i="33" a="1"/>
  <c r="M131" i="33" s="1"/>
  <c r="N131" i="33" a="1"/>
  <c r="N131" i="33" s="1"/>
  <c r="O131" i="33" a="1"/>
  <c r="O131" i="33" s="1"/>
  <c r="M132" i="33" a="1"/>
  <c r="M132" i="33" s="1"/>
  <c r="N132" i="33" a="1"/>
  <c r="N132" i="33" s="1"/>
  <c r="O132" i="33" a="1"/>
  <c r="O132" i="33" s="1"/>
  <c r="M133" i="33" a="1"/>
  <c r="M133" i="33" s="1"/>
  <c r="N133" i="33" a="1"/>
  <c r="N133" i="33" s="1"/>
  <c r="O133" i="33" a="1"/>
  <c r="O133" i="33" s="1"/>
  <c r="M134" i="33" a="1"/>
  <c r="M134" i="33" s="1"/>
  <c r="N134" i="33" a="1"/>
  <c r="N134" i="33" s="1"/>
  <c r="O134" i="33" a="1"/>
  <c r="O134" i="33" s="1"/>
  <c r="M135" i="33" a="1"/>
  <c r="M135" i="33" s="1"/>
  <c r="N135" i="33" a="1"/>
  <c r="N135" i="33" s="1"/>
  <c r="O135" i="33" a="1"/>
  <c r="O135" i="33" s="1"/>
  <c r="M136" i="33" a="1"/>
  <c r="M136" i="33" s="1"/>
  <c r="N136" i="33" a="1"/>
  <c r="N136" i="33" s="1"/>
  <c r="O136" i="33" a="1"/>
  <c r="O136" i="33" s="1"/>
  <c r="M137" i="33" a="1"/>
  <c r="M137" i="33" s="1"/>
  <c r="N137" i="33" a="1"/>
  <c r="N137" i="33" s="1"/>
  <c r="O137" i="33" a="1"/>
  <c r="O137" i="33" s="1"/>
  <c r="M138" i="33" a="1"/>
  <c r="M138" i="33" s="1"/>
  <c r="N138" i="33" a="1"/>
  <c r="N138" i="33" s="1"/>
  <c r="O138" i="33" a="1"/>
  <c r="O138" i="33" s="1"/>
  <c r="M139" i="33" a="1"/>
  <c r="M139" i="33" s="1"/>
  <c r="N139" i="33" a="1"/>
  <c r="N139" i="33" s="1"/>
  <c r="O139" i="33" a="1"/>
  <c r="O139" i="33" s="1"/>
  <c r="M140" i="33" a="1"/>
  <c r="M140" i="33" s="1"/>
  <c r="N140" i="33" a="1"/>
  <c r="N140" i="33" s="1"/>
  <c r="O140" i="33" a="1"/>
  <c r="O140" i="33" s="1"/>
  <c r="M141" i="33" a="1"/>
  <c r="M141" i="33" s="1"/>
  <c r="N141" i="33" a="1"/>
  <c r="N141" i="33" s="1"/>
  <c r="O141" i="33" a="1"/>
  <c r="O141" i="33" s="1"/>
  <c r="M142" i="33" a="1"/>
  <c r="M142" i="33" s="1"/>
  <c r="N142" i="33" a="1"/>
  <c r="N142" i="33" s="1"/>
  <c r="O142" i="33" a="1"/>
  <c r="O142" i="33" s="1"/>
  <c r="M143" i="33" a="1"/>
  <c r="M143" i="33" s="1"/>
  <c r="N143" i="33" a="1"/>
  <c r="N143" i="33" s="1"/>
  <c r="O143" i="33" a="1"/>
  <c r="O143" i="33" s="1"/>
  <c r="M144" i="33" a="1"/>
  <c r="M144" i="33" s="1"/>
  <c r="N144" i="33" a="1"/>
  <c r="N144" i="33" s="1"/>
  <c r="O144" i="33" a="1"/>
  <c r="O144" i="33" s="1"/>
  <c r="M145" i="33" a="1"/>
  <c r="M145" i="33" s="1"/>
  <c r="N145" i="33" a="1"/>
  <c r="N145" i="33" s="1"/>
  <c r="O145" i="33" a="1"/>
  <c r="O145" i="33" s="1"/>
  <c r="M146" i="33" a="1"/>
  <c r="M146" i="33" s="1"/>
  <c r="N146" i="33" a="1"/>
  <c r="N146" i="33" s="1"/>
  <c r="O146" i="33" a="1"/>
  <c r="O146" i="33" s="1"/>
  <c r="M147" i="33" a="1"/>
  <c r="M147" i="33" s="1"/>
  <c r="N147" i="33" a="1"/>
  <c r="N147" i="33" s="1"/>
  <c r="O147" i="33" a="1"/>
  <c r="O147" i="33" s="1"/>
  <c r="M148" i="33" a="1"/>
  <c r="M148" i="33" s="1"/>
  <c r="N148" i="33" a="1"/>
  <c r="N148" i="33" s="1"/>
  <c r="O148" i="33" a="1"/>
  <c r="O148" i="33" s="1"/>
  <c r="M149" i="33" a="1"/>
  <c r="M149" i="33" s="1"/>
  <c r="N149" i="33" a="1"/>
  <c r="N149" i="33" s="1"/>
  <c r="O149" i="33" a="1"/>
  <c r="O149" i="33" s="1"/>
  <c r="M150" i="33" a="1"/>
  <c r="M150" i="33" s="1"/>
  <c r="N150" i="33" a="1"/>
  <c r="N150" i="33" s="1"/>
  <c r="O150" i="33" a="1"/>
  <c r="O150" i="33" s="1"/>
  <c r="M151" i="33" a="1"/>
  <c r="M151" i="33" s="1"/>
  <c r="N151" i="33" a="1"/>
  <c r="N151" i="33" s="1"/>
  <c r="O151" i="33" a="1"/>
  <c r="O151" i="33" s="1"/>
  <c r="M152" i="33" a="1"/>
  <c r="M152" i="33" s="1"/>
  <c r="N152" i="33" a="1"/>
  <c r="N152" i="33" s="1"/>
  <c r="O152" i="33" a="1"/>
  <c r="O152" i="33" s="1"/>
  <c r="M153" i="33" a="1"/>
  <c r="M153" i="33" s="1"/>
  <c r="N153" i="33" a="1"/>
  <c r="N153" i="33" s="1"/>
  <c r="O153" i="33" a="1"/>
  <c r="O153" i="33" s="1"/>
  <c r="M154" i="33" a="1"/>
  <c r="M154" i="33" s="1"/>
  <c r="N154" i="33" a="1"/>
  <c r="N154" i="33" s="1"/>
  <c r="O154" i="33" a="1"/>
  <c r="O154" i="33" s="1"/>
  <c r="M155" i="33" a="1"/>
  <c r="M155" i="33" s="1"/>
  <c r="N155" i="33" a="1"/>
  <c r="N155" i="33" s="1"/>
  <c r="O155" i="33" a="1"/>
  <c r="O155" i="33" s="1"/>
  <c r="M156" i="33" a="1"/>
  <c r="M156" i="33" s="1"/>
  <c r="N156" i="33" a="1"/>
  <c r="N156" i="33" s="1"/>
  <c r="O156" i="33" a="1"/>
  <c r="O156" i="33" s="1"/>
  <c r="M399" i="32" l="1"/>
  <c r="L400" i="32"/>
  <c r="K396" i="32"/>
  <c r="L395" i="32" a="1"/>
  <c r="L395" i="32" s="1"/>
  <c r="L394" i="32" a="1"/>
  <c r="L394" i="32" s="1"/>
  <c r="L392" i="32"/>
  <c r="L391" i="32"/>
  <c r="L393" i="32"/>
  <c r="M390" i="32"/>
  <c r="E278" i="32"/>
  <c r="E161" i="32" a="1"/>
  <c r="E161" i="32" s="1"/>
  <c r="E331" i="32" s="1"/>
  <c r="F569" i="32"/>
  <c r="G569" i="32" s="1"/>
  <c r="H569" i="32" s="1"/>
  <c r="I569" i="32" s="1"/>
  <c r="J569" i="32" s="1"/>
  <c r="K569" i="32" s="1"/>
  <c r="L569" i="32" s="1"/>
  <c r="M569" i="32" s="1"/>
  <c r="N569" i="32" s="1"/>
  <c r="O569" i="32" s="1"/>
  <c r="P569" i="32" s="1"/>
  <c r="Q569" i="32" s="1"/>
  <c r="R569" i="32" s="1"/>
  <c r="S569" i="32" s="1"/>
  <c r="T569" i="32" s="1"/>
  <c r="U569" i="32" s="1"/>
  <c r="V569" i="32" s="1"/>
  <c r="W569" i="32" s="1"/>
  <c r="X569" i="32" s="1"/>
  <c r="Y569" i="32" s="1"/>
  <c r="Z569" i="32" s="1"/>
  <c r="AA569" i="32" s="1"/>
  <c r="AB569" i="32" s="1"/>
  <c r="AC569" i="32" s="1"/>
  <c r="AD569" i="32" s="1"/>
  <c r="E825" i="32"/>
  <c r="E824" i="32"/>
  <c r="E823" i="32"/>
  <c r="E822" i="32"/>
  <c r="E821" i="32"/>
  <c r="E820" i="32"/>
  <c r="E819" i="32"/>
  <c r="E818" i="32"/>
  <c r="E817" i="32"/>
  <c r="E816" i="32"/>
  <c r="E815" i="32"/>
  <c r="E814" i="32"/>
  <c r="E813" i="32"/>
  <c r="E812" i="32"/>
  <c r="E811" i="32"/>
  <c r="E810" i="32"/>
  <c r="E809" i="32"/>
  <c r="E808" i="32"/>
  <c r="E807" i="32"/>
  <c r="E806" i="32"/>
  <c r="E805" i="32"/>
  <c r="E804" i="32"/>
  <c r="E803" i="32"/>
  <c r="E802" i="32"/>
  <c r="E801" i="32"/>
  <c r="E800" i="32"/>
  <c r="E799" i="32"/>
  <c r="E798" i="32"/>
  <c r="F829" i="32"/>
  <c r="G829" i="32" s="1"/>
  <c r="H829" i="32" s="1"/>
  <c r="I829" i="32" s="1"/>
  <c r="J829" i="32" s="1"/>
  <c r="K829" i="32" s="1"/>
  <c r="L829" i="32" s="1"/>
  <c r="M829" i="32" s="1"/>
  <c r="N829" i="32" s="1"/>
  <c r="O829" i="32" s="1"/>
  <c r="P829" i="32" s="1"/>
  <c r="Q829" i="32" s="1"/>
  <c r="R829" i="32" s="1"/>
  <c r="S829" i="32" s="1"/>
  <c r="T829" i="32" s="1"/>
  <c r="U829" i="32" s="1"/>
  <c r="V829" i="32" s="1"/>
  <c r="W829" i="32" s="1"/>
  <c r="X829" i="32" s="1"/>
  <c r="Y829" i="32" s="1"/>
  <c r="Z829" i="32" s="1"/>
  <c r="AA829" i="32" s="1"/>
  <c r="AB829" i="32" s="1"/>
  <c r="AC829" i="32" s="1"/>
  <c r="AD829" i="32" s="1"/>
  <c r="F797" i="32"/>
  <c r="G797" i="32" s="1"/>
  <c r="H797" i="32" s="1"/>
  <c r="I797" i="32" s="1"/>
  <c r="J797" i="32" s="1"/>
  <c r="K797" i="32" s="1"/>
  <c r="L797" i="32" s="1"/>
  <c r="M797" i="32" s="1"/>
  <c r="N797" i="32" s="1"/>
  <c r="O797" i="32" s="1"/>
  <c r="P797" i="32" s="1"/>
  <c r="Q797" i="32" s="1"/>
  <c r="R797" i="32" s="1"/>
  <c r="S797" i="32" s="1"/>
  <c r="T797" i="32" s="1"/>
  <c r="U797" i="32" s="1"/>
  <c r="V797" i="32" s="1"/>
  <c r="W797" i="32" s="1"/>
  <c r="X797" i="32" s="1"/>
  <c r="Y797" i="32" s="1"/>
  <c r="Z797" i="32" s="1"/>
  <c r="AA797" i="32" s="1"/>
  <c r="AB797" i="32" s="1"/>
  <c r="AC797" i="32" s="1"/>
  <c r="AD797" i="32" s="1"/>
  <c r="F765" i="32"/>
  <c r="G765" i="32" s="1"/>
  <c r="H765" i="32" s="1"/>
  <c r="I765" i="32" s="1"/>
  <c r="J765" i="32" s="1"/>
  <c r="K765" i="32" s="1"/>
  <c r="L765" i="32" s="1"/>
  <c r="M765" i="32" s="1"/>
  <c r="N765" i="32" s="1"/>
  <c r="O765" i="32" s="1"/>
  <c r="P765" i="32" s="1"/>
  <c r="Q765" i="32" s="1"/>
  <c r="R765" i="32" s="1"/>
  <c r="S765" i="32" s="1"/>
  <c r="T765" i="32" s="1"/>
  <c r="U765" i="32" s="1"/>
  <c r="V765" i="32" s="1"/>
  <c r="W765" i="32" s="1"/>
  <c r="X765" i="32" s="1"/>
  <c r="Y765" i="32" s="1"/>
  <c r="Z765" i="32" s="1"/>
  <c r="AA765" i="32" s="1"/>
  <c r="AB765" i="32" s="1"/>
  <c r="AC765" i="32" s="1"/>
  <c r="AD765" i="32" s="1"/>
  <c r="E695" i="32"/>
  <c r="E694" i="32"/>
  <c r="E693" i="32"/>
  <c r="E692" i="32"/>
  <c r="E691" i="32"/>
  <c r="E690" i="32"/>
  <c r="E689" i="32"/>
  <c r="E688" i="32"/>
  <c r="E687" i="32"/>
  <c r="E686" i="32"/>
  <c r="E685" i="32"/>
  <c r="E684" i="32"/>
  <c r="E683" i="32"/>
  <c r="E682" i="32"/>
  <c r="E681" i="32"/>
  <c r="E680" i="32"/>
  <c r="E679" i="32"/>
  <c r="E678" i="32"/>
  <c r="E677" i="32"/>
  <c r="E676" i="32"/>
  <c r="E675" i="32"/>
  <c r="E674" i="32"/>
  <c r="E673" i="32"/>
  <c r="E672" i="32"/>
  <c r="E671" i="32"/>
  <c r="E670" i="32"/>
  <c r="E669" i="32"/>
  <c r="E668" i="32"/>
  <c r="F699" i="32"/>
  <c r="G699" i="32" s="1"/>
  <c r="H699" i="32" s="1"/>
  <c r="I699" i="32" s="1"/>
  <c r="J699" i="32" s="1"/>
  <c r="K699" i="32" s="1"/>
  <c r="L699" i="32" s="1"/>
  <c r="M699" i="32" s="1"/>
  <c r="N699" i="32" s="1"/>
  <c r="O699" i="32" s="1"/>
  <c r="P699" i="32" s="1"/>
  <c r="Q699" i="32" s="1"/>
  <c r="R699" i="32" s="1"/>
  <c r="S699" i="32" s="1"/>
  <c r="T699" i="32" s="1"/>
  <c r="U699" i="32" s="1"/>
  <c r="V699" i="32" s="1"/>
  <c r="W699" i="32" s="1"/>
  <c r="X699" i="32" s="1"/>
  <c r="Y699" i="32" s="1"/>
  <c r="Z699" i="32" s="1"/>
  <c r="AA699" i="32" s="1"/>
  <c r="AB699" i="32" s="1"/>
  <c r="AC699" i="32" s="1"/>
  <c r="AD699" i="32" s="1"/>
  <c r="F667" i="32"/>
  <c r="G667" i="32" s="1"/>
  <c r="H667" i="32" s="1"/>
  <c r="I667" i="32" s="1"/>
  <c r="J667" i="32" s="1"/>
  <c r="K667" i="32" s="1"/>
  <c r="L667" i="32" s="1"/>
  <c r="M667" i="32" s="1"/>
  <c r="N667" i="32" s="1"/>
  <c r="O667" i="32" s="1"/>
  <c r="P667" i="32" s="1"/>
  <c r="Q667" i="32" s="1"/>
  <c r="R667" i="32" s="1"/>
  <c r="S667" i="32" s="1"/>
  <c r="T667" i="32" s="1"/>
  <c r="U667" i="32" s="1"/>
  <c r="V667" i="32" s="1"/>
  <c r="W667" i="32" s="1"/>
  <c r="X667" i="32" s="1"/>
  <c r="Y667" i="32" s="1"/>
  <c r="Z667" i="32" s="1"/>
  <c r="AA667" i="32" s="1"/>
  <c r="AB667" i="32" s="1"/>
  <c r="AC667" i="32" s="1"/>
  <c r="AD667" i="32" s="1"/>
  <c r="F635" i="32"/>
  <c r="G635" i="32" s="1"/>
  <c r="H635" i="32" s="1"/>
  <c r="I635" i="32" s="1"/>
  <c r="J635" i="32" s="1"/>
  <c r="K635" i="32" s="1"/>
  <c r="L635" i="32" s="1"/>
  <c r="M635" i="32" s="1"/>
  <c r="N635" i="32" s="1"/>
  <c r="O635" i="32" s="1"/>
  <c r="P635" i="32" s="1"/>
  <c r="Q635" i="32" s="1"/>
  <c r="R635" i="32" s="1"/>
  <c r="S635" i="32" s="1"/>
  <c r="T635" i="32" s="1"/>
  <c r="U635" i="32" s="1"/>
  <c r="V635" i="32" s="1"/>
  <c r="W635" i="32" s="1"/>
  <c r="X635" i="32" s="1"/>
  <c r="Y635" i="32" s="1"/>
  <c r="Z635" i="32" s="1"/>
  <c r="AA635" i="32" s="1"/>
  <c r="AB635" i="32" s="1"/>
  <c r="AC635" i="32" s="1"/>
  <c r="AD635" i="32" s="1"/>
  <c r="N399" i="32" l="1"/>
  <c r="M400" i="32"/>
  <c r="L396" i="32"/>
  <c r="M395" i="32" a="1"/>
  <c r="M395" i="32" s="1"/>
  <c r="M394" i="32" a="1"/>
  <c r="M394" i="32" s="1"/>
  <c r="M392" i="32"/>
  <c r="M391" i="32"/>
  <c r="M393" i="32"/>
  <c r="N390" i="32"/>
  <c r="E826" i="32"/>
  <c r="E696" i="32"/>
  <c r="E538" i="32"/>
  <c r="E539" i="32"/>
  <c r="E540" i="32"/>
  <c r="E541" i="32"/>
  <c r="E542" i="32"/>
  <c r="E543" i="32"/>
  <c r="E544" i="32"/>
  <c r="E545" i="32"/>
  <c r="E546" i="32"/>
  <c r="E547" i="32"/>
  <c r="E548" i="32"/>
  <c r="E549" i="32"/>
  <c r="E550" i="32"/>
  <c r="E551" i="32"/>
  <c r="E552" i="32"/>
  <c r="E553" i="32"/>
  <c r="E554" i="32"/>
  <c r="E555" i="32"/>
  <c r="E556" i="32"/>
  <c r="E557" i="32"/>
  <c r="E558" i="32"/>
  <c r="E559" i="32"/>
  <c r="E560" i="32"/>
  <c r="E561" i="32"/>
  <c r="E562" i="32"/>
  <c r="E563" i="32"/>
  <c r="E564" i="32"/>
  <c r="E565" i="32"/>
  <c r="F537" i="32"/>
  <c r="F601" i="32"/>
  <c r="G601" i="32" s="1"/>
  <c r="H601" i="32" s="1"/>
  <c r="I601" i="32" s="1"/>
  <c r="J601" i="32" s="1"/>
  <c r="K601" i="32" s="1"/>
  <c r="L601" i="32" s="1"/>
  <c r="M601" i="32" s="1"/>
  <c r="N601" i="32" s="1"/>
  <c r="O601" i="32" s="1"/>
  <c r="P601" i="32" s="1"/>
  <c r="Q601" i="32" s="1"/>
  <c r="R601" i="32" s="1"/>
  <c r="S601" i="32" s="1"/>
  <c r="T601" i="32" s="1"/>
  <c r="U601" i="32" s="1"/>
  <c r="V601" i="32" s="1"/>
  <c r="W601" i="32" s="1"/>
  <c r="X601" i="32" s="1"/>
  <c r="Y601" i="32" s="1"/>
  <c r="Z601" i="32" s="1"/>
  <c r="AA601" i="32" s="1"/>
  <c r="AB601" i="32" s="1"/>
  <c r="AC601" i="32" s="1"/>
  <c r="AD601" i="32" s="1"/>
  <c r="F505" i="32"/>
  <c r="G505" i="32" s="1"/>
  <c r="H505" i="32" s="1"/>
  <c r="I505" i="32" s="1"/>
  <c r="J505" i="32" s="1"/>
  <c r="K505" i="32" s="1"/>
  <c r="L505" i="32" s="1"/>
  <c r="M505" i="32" s="1"/>
  <c r="N505" i="32" s="1"/>
  <c r="O505" i="32" s="1"/>
  <c r="P505" i="32" s="1"/>
  <c r="Q505" i="32" s="1"/>
  <c r="R505" i="32" s="1"/>
  <c r="S505" i="32" s="1"/>
  <c r="T505" i="32" s="1"/>
  <c r="U505" i="32" s="1"/>
  <c r="V505" i="32" s="1"/>
  <c r="W505" i="32" s="1"/>
  <c r="X505" i="32" s="1"/>
  <c r="Y505" i="32" s="1"/>
  <c r="Z505" i="32" s="1"/>
  <c r="AA505" i="32" s="1"/>
  <c r="AB505" i="32" s="1"/>
  <c r="AC505" i="32" s="1"/>
  <c r="AD505" i="32" s="1"/>
  <c r="O399" i="32" l="1"/>
  <c r="N400" i="32"/>
  <c r="M396" i="32"/>
  <c r="N393" i="32"/>
  <c r="N394" i="32" a="1"/>
  <c r="N394" i="32" s="1"/>
  <c r="N395" i="32" a="1"/>
  <c r="N395" i="32" s="1"/>
  <c r="N391" i="32"/>
  <c r="N392" i="32"/>
  <c r="O390" i="32"/>
  <c r="F822" i="32"/>
  <c r="F817" i="32"/>
  <c r="F812" i="32"/>
  <c r="F807" i="32"/>
  <c r="F802" i="32"/>
  <c r="F825" i="32"/>
  <c r="F818" i="32"/>
  <c r="F819" i="32"/>
  <c r="F820" i="32"/>
  <c r="F824" i="32"/>
  <c r="F814" i="32"/>
  <c r="F811" i="32"/>
  <c r="F808" i="32"/>
  <c r="F805" i="32"/>
  <c r="F803" i="32"/>
  <c r="F816" i="32"/>
  <c r="F810" i="32"/>
  <c r="F823" i="32"/>
  <c r="F821" i="32"/>
  <c r="F804" i="32"/>
  <c r="F815" i="32"/>
  <c r="F800" i="32"/>
  <c r="F813" i="32"/>
  <c r="F798" i="32"/>
  <c r="F799" i="32"/>
  <c r="F809" i="32"/>
  <c r="F806" i="32"/>
  <c r="F801" i="32"/>
  <c r="F564" i="32"/>
  <c r="F695" i="32"/>
  <c r="F691" i="32"/>
  <c r="F686" i="32"/>
  <c r="F689" i="32"/>
  <c r="F690" i="32"/>
  <c r="F694" i="32"/>
  <c r="F692" i="32"/>
  <c r="F688" i="32"/>
  <c r="F687" i="32"/>
  <c r="F679" i="32"/>
  <c r="F674" i="32"/>
  <c r="F669" i="32"/>
  <c r="F684" i="32"/>
  <c r="F685" i="32"/>
  <c r="F682" i="32"/>
  <c r="F676" i="32"/>
  <c r="F678" i="32"/>
  <c r="F675" i="32"/>
  <c r="F672" i="32"/>
  <c r="F683" i="32"/>
  <c r="F680" i="32"/>
  <c r="F693" i="32"/>
  <c r="F681" i="32"/>
  <c r="F671" i="32"/>
  <c r="F670" i="32"/>
  <c r="F673" i="32"/>
  <c r="F668" i="32"/>
  <c r="F677" i="32"/>
  <c r="G537" i="32"/>
  <c r="E566" i="32"/>
  <c r="F541" i="32"/>
  <c r="F546" i="32"/>
  <c r="F551" i="32"/>
  <c r="F556" i="32"/>
  <c r="F561" i="32"/>
  <c r="F538" i="32"/>
  <c r="F543" i="32"/>
  <c r="F548" i="32"/>
  <c r="F553" i="32"/>
  <c r="F558" i="32"/>
  <c r="F563" i="32"/>
  <c r="F540" i="32"/>
  <c r="F545" i="32"/>
  <c r="F550" i="32"/>
  <c r="F555" i="32"/>
  <c r="F560" i="32"/>
  <c r="F565" i="32"/>
  <c r="F542" i="32"/>
  <c r="F547" i="32"/>
  <c r="F552" i="32"/>
  <c r="F557" i="32"/>
  <c r="F562" i="32"/>
  <c r="F544" i="32"/>
  <c r="F539" i="32"/>
  <c r="F549" i="32"/>
  <c r="F554" i="32"/>
  <c r="F559" i="32"/>
  <c r="P399" i="32" l="1"/>
  <c r="O400" i="32"/>
  <c r="N396" i="32"/>
  <c r="O391" i="32"/>
  <c r="O393" i="32"/>
  <c r="O395" i="32" a="1"/>
  <c r="O395" i="32" s="1"/>
  <c r="O394" i="32" a="1"/>
  <c r="O394" i="32" s="1"/>
  <c r="O392" i="32"/>
  <c r="P390" i="32"/>
  <c r="G552" i="32"/>
  <c r="G551" i="32"/>
  <c r="G539" i="32"/>
  <c r="G565" i="32"/>
  <c r="G559" i="32"/>
  <c r="G558" i="32"/>
  <c r="G544" i="32"/>
  <c r="G560" i="32"/>
  <c r="G561" i="32"/>
  <c r="G541" i="32"/>
  <c r="G543" i="32"/>
  <c r="G825" i="32"/>
  <c r="G822" i="32"/>
  <c r="G820" i="32"/>
  <c r="G824" i="32"/>
  <c r="G819" i="32"/>
  <c r="G802" i="32"/>
  <c r="G799" i="32"/>
  <c r="G821" i="32"/>
  <c r="G813" i="32"/>
  <c r="G810" i="32"/>
  <c r="G811" i="32"/>
  <c r="G808" i="32"/>
  <c r="G804" i="32"/>
  <c r="G823" i="32"/>
  <c r="G818" i="32"/>
  <c r="G806" i="32"/>
  <c r="G814" i="32"/>
  <c r="G812" i="32"/>
  <c r="G801" i="32"/>
  <c r="G805" i="32"/>
  <c r="G815" i="32"/>
  <c r="G800" i="32"/>
  <c r="G803" i="32"/>
  <c r="G798" i="32"/>
  <c r="G809" i="32"/>
  <c r="G817" i="32"/>
  <c r="G807" i="32"/>
  <c r="G816" i="32"/>
  <c r="G550" i="32"/>
  <c r="G564" i="32"/>
  <c r="G542" i="32"/>
  <c r="G553" i="32"/>
  <c r="F826" i="32"/>
  <c r="F696" i="32"/>
  <c r="G695" i="32"/>
  <c r="G689" i="32"/>
  <c r="G694" i="32"/>
  <c r="G692" i="32"/>
  <c r="G683" i="32"/>
  <c r="G693" i="32"/>
  <c r="G685" i="32"/>
  <c r="G682" i="32"/>
  <c r="G680" i="32"/>
  <c r="G684" i="32"/>
  <c r="G691" i="32"/>
  <c r="G690" i="32"/>
  <c r="G681" i="32"/>
  <c r="G687" i="32"/>
  <c r="G676" i="32"/>
  <c r="G673" i="32"/>
  <c r="G688" i="32"/>
  <c r="G679" i="32"/>
  <c r="G669" i="32"/>
  <c r="G671" i="32"/>
  <c r="G670" i="32"/>
  <c r="G677" i="32"/>
  <c r="G672" i="32"/>
  <c r="G668" i="32"/>
  <c r="G686" i="32"/>
  <c r="G678" i="32"/>
  <c r="G675" i="32"/>
  <c r="G674" i="32"/>
  <c r="H537" i="32"/>
  <c r="G556" i="32"/>
  <c r="G540" i="32"/>
  <c r="G563" i="32"/>
  <c r="G548" i="32"/>
  <c r="G538" i="32"/>
  <c r="G554" i="32"/>
  <c r="G555" i="32"/>
  <c r="G557" i="32"/>
  <c r="G547" i="32"/>
  <c r="G546" i="32"/>
  <c r="G549" i="32"/>
  <c r="G545" i="32"/>
  <c r="G562" i="32"/>
  <c r="F566" i="32"/>
  <c r="Q399" i="32" l="1"/>
  <c r="P400" i="32"/>
  <c r="O396" i="32"/>
  <c r="P391" i="32"/>
  <c r="P393" i="32"/>
  <c r="P395" i="32" a="1"/>
  <c r="P395" i="32" s="1"/>
  <c r="P394" i="32" a="1"/>
  <c r="P394" i="32" s="1"/>
  <c r="P392" i="32"/>
  <c r="Q390" i="32"/>
  <c r="G826" i="32"/>
  <c r="H825" i="32"/>
  <c r="H822" i="32"/>
  <c r="H820" i="32"/>
  <c r="H815" i="32"/>
  <c r="H810" i="32"/>
  <c r="H805" i="32"/>
  <c r="H800" i="32"/>
  <c r="H824" i="32"/>
  <c r="H821" i="32"/>
  <c r="H816" i="32"/>
  <c r="H814" i="32"/>
  <c r="H811" i="32"/>
  <c r="H808" i="32"/>
  <c r="H807" i="32"/>
  <c r="H804" i="32"/>
  <c r="H801" i="32"/>
  <c r="H823" i="32"/>
  <c r="H818" i="32"/>
  <c r="H806" i="32"/>
  <c r="H812" i="32"/>
  <c r="H803" i="32"/>
  <c r="H809" i="32"/>
  <c r="H798" i="32"/>
  <c r="H802" i="32"/>
  <c r="H799" i="32"/>
  <c r="H817" i="32"/>
  <c r="H813" i="32"/>
  <c r="H819" i="32"/>
  <c r="G696" i="32"/>
  <c r="H693" i="32"/>
  <c r="H689" i="32"/>
  <c r="H684" i="32"/>
  <c r="H695" i="32"/>
  <c r="H694" i="32"/>
  <c r="H687" i="32"/>
  <c r="H692" i="32"/>
  <c r="H688" i="32"/>
  <c r="H686" i="32"/>
  <c r="H677" i="32"/>
  <c r="H672" i="32"/>
  <c r="H691" i="32"/>
  <c r="H690" i="32"/>
  <c r="H685" i="32"/>
  <c r="H682" i="32"/>
  <c r="H680" i="32"/>
  <c r="H681" i="32"/>
  <c r="H679" i="32"/>
  <c r="H669" i="32"/>
  <c r="H668" i="32"/>
  <c r="H670" i="32"/>
  <c r="H676" i="32"/>
  <c r="H678" i="32"/>
  <c r="H675" i="32"/>
  <c r="H673" i="32"/>
  <c r="H671" i="32"/>
  <c r="H683" i="32"/>
  <c r="H674" i="32"/>
  <c r="H551" i="32"/>
  <c r="H545" i="32"/>
  <c r="I537" i="32"/>
  <c r="H542" i="32"/>
  <c r="H540" i="32"/>
  <c r="H556" i="32"/>
  <c r="H550" i="32"/>
  <c r="H565" i="32"/>
  <c r="H563" i="32"/>
  <c r="H539" i="32"/>
  <c r="H561" i="32"/>
  <c r="H555" i="32"/>
  <c r="H558" i="32"/>
  <c r="H562" i="32"/>
  <c r="H544" i="32"/>
  <c r="H538" i="32"/>
  <c r="H560" i="32"/>
  <c r="H549" i="32"/>
  <c r="H543" i="32"/>
  <c r="H541" i="32"/>
  <c r="H554" i="32"/>
  <c r="H548" i="32"/>
  <c r="H552" i="32"/>
  <c r="H559" i="32"/>
  <c r="H553" i="32"/>
  <c r="H547" i="32"/>
  <c r="H564" i="32"/>
  <c r="H546" i="32"/>
  <c r="H557" i="32"/>
  <c r="G566" i="32"/>
  <c r="R399" i="32" l="1"/>
  <c r="Q400" i="32"/>
  <c r="P396" i="32"/>
  <c r="Q391" i="32"/>
  <c r="Q393" i="32"/>
  <c r="Q395" i="32" a="1"/>
  <c r="Q395" i="32" s="1"/>
  <c r="Q394" i="32" a="1"/>
  <c r="Q394" i="32" s="1"/>
  <c r="Q392" i="32"/>
  <c r="R390" i="32"/>
  <c r="H826" i="32"/>
  <c r="I818" i="32"/>
  <c r="I821" i="32"/>
  <c r="I822" i="32"/>
  <c r="I820" i="32"/>
  <c r="I824" i="32"/>
  <c r="I813" i="32"/>
  <c r="I823" i="32"/>
  <c r="I817" i="32"/>
  <c r="I825" i="32"/>
  <c r="I816" i="32"/>
  <c r="I814" i="32"/>
  <c r="I812" i="32"/>
  <c r="I810" i="32"/>
  <c r="I803" i="32"/>
  <c r="I808" i="32"/>
  <c r="I800" i="32"/>
  <c r="I807" i="32"/>
  <c r="I815" i="32"/>
  <c r="I804" i="32"/>
  <c r="I798" i="32"/>
  <c r="I819" i="32"/>
  <c r="I811" i="32"/>
  <c r="I802" i="32"/>
  <c r="I799" i="32"/>
  <c r="I805" i="32"/>
  <c r="I809" i="32"/>
  <c r="I806" i="32"/>
  <c r="I801" i="32"/>
  <c r="H566" i="32"/>
  <c r="I693" i="32"/>
  <c r="I695" i="32"/>
  <c r="I694" i="32"/>
  <c r="I687" i="32"/>
  <c r="I692" i="32"/>
  <c r="I689" i="32"/>
  <c r="I688" i="32"/>
  <c r="I679" i="32"/>
  <c r="I678" i="32"/>
  <c r="I680" i="32"/>
  <c r="I683" i="32"/>
  <c r="I690" i="32"/>
  <c r="I681" i="32"/>
  <c r="I677" i="32"/>
  <c r="I672" i="32"/>
  <c r="I669" i="32"/>
  <c r="I668" i="32"/>
  <c r="I673" i="32"/>
  <c r="I685" i="32"/>
  <c r="I682" i="32"/>
  <c r="I691" i="32"/>
  <c r="I676" i="32"/>
  <c r="I684" i="32"/>
  <c r="I675" i="32"/>
  <c r="I686" i="32"/>
  <c r="I671" i="32"/>
  <c r="I674" i="32"/>
  <c r="I670" i="32"/>
  <c r="I560" i="32"/>
  <c r="I539" i="32"/>
  <c r="I565" i="32"/>
  <c r="I553" i="32"/>
  <c r="I545" i="32"/>
  <c r="I546" i="32"/>
  <c r="I552" i="32"/>
  <c r="J537" i="32"/>
  <c r="I555" i="32"/>
  <c r="I538" i="32"/>
  <c r="I562" i="32"/>
  <c r="I554" i="32"/>
  <c r="I550" i="32"/>
  <c r="I544" i="32"/>
  <c r="I541" i="32"/>
  <c r="I557" i="32"/>
  <c r="I556" i="32"/>
  <c r="I558" i="32"/>
  <c r="I564" i="32"/>
  <c r="I561" i="32"/>
  <c r="I540" i="32"/>
  <c r="I542" i="32"/>
  <c r="I547" i="32"/>
  <c r="I548" i="32"/>
  <c r="I563" i="32"/>
  <c r="I549" i="32"/>
  <c r="I551" i="32"/>
  <c r="I543" i="32"/>
  <c r="I559" i="32"/>
  <c r="H696" i="32"/>
  <c r="S399" i="32" l="1"/>
  <c r="R400" i="32"/>
  <c r="Q396" i="32"/>
  <c r="R392" i="32"/>
  <c r="R391" i="32"/>
  <c r="R393" i="32"/>
  <c r="R394" i="32" a="1"/>
  <c r="R394" i="32" s="1"/>
  <c r="R395" i="32" a="1"/>
  <c r="R395" i="32" s="1"/>
  <c r="S390" i="32"/>
  <c r="J823" i="32"/>
  <c r="J818" i="32"/>
  <c r="J813" i="32"/>
  <c r="J808" i="32"/>
  <c r="J803" i="32"/>
  <c r="J798" i="32"/>
  <c r="J824" i="32"/>
  <c r="J819" i="32"/>
  <c r="J822" i="32"/>
  <c r="J820" i="32"/>
  <c r="J810" i="32"/>
  <c r="J807" i="32"/>
  <c r="J804" i="32"/>
  <c r="J801" i="32"/>
  <c r="J816" i="32"/>
  <c r="J825" i="32"/>
  <c r="J809" i="32"/>
  <c r="J806" i="32"/>
  <c r="J805" i="32"/>
  <c r="J815" i="32"/>
  <c r="J821" i="32"/>
  <c r="J814" i="32"/>
  <c r="J811" i="32"/>
  <c r="J800" i="32"/>
  <c r="J802" i="32"/>
  <c r="J799" i="32"/>
  <c r="J817" i="32"/>
  <c r="J812" i="32"/>
  <c r="I826" i="32"/>
  <c r="I566" i="32"/>
  <c r="I696" i="32"/>
  <c r="J695" i="32"/>
  <c r="J694" i="32"/>
  <c r="J687" i="32"/>
  <c r="J682" i="32"/>
  <c r="J693" i="32"/>
  <c r="J692" i="32"/>
  <c r="J690" i="32"/>
  <c r="J686" i="32"/>
  <c r="J685" i="32"/>
  <c r="J680" i="32"/>
  <c r="J675" i="32"/>
  <c r="J670" i="32"/>
  <c r="J689" i="32"/>
  <c r="J688" i="32"/>
  <c r="J683" i="32"/>
  <c r="J678" i="32"/>
  <c r="J684" i="32"/>
  <c r="J677" i="32"/>
  <c r="J674" i="32"/>
  <c r="J671" i="32"/>
  <c r="J668" i="32"/>
  <c r="J681" i="32"/>
  <c r="J679" i="32"/>
  <c r="J673" i="32"/>
  <c r="J691" i="32"/>
  <c r="J669" i="32"/>
  <c r="J672" i="32"/>
  <c r="J676" i="32"/>
  <c r="J549" i="32"/>
  <c r="J543" i="32"/>
  <c r="J555" i="32"/>
  <c r="J564" i="32"/>
  <c r="J541" i="32"/>
  <c r="J563" i="32"/>
  <c r="J552" i="32"/>
  <c r="J546" i="32"/>
  <c r="J565" i="32"/>
  <c r="J557" i="32"/>
  <c r="J551" i="32"/>
  <c r="J540" i="32"/>
  <c r="J556" i="32"/>
  <c r="J554" i="32"/>
  <c r="J548" i="32"/>
  <c r="K537" i="32"/>
  <c r="J542" i="32"/>
  <c r="J538" i="32"/>
  <c r="J559" i="32"/>
  <c r="J553" i="32"/>
  <c r="J558" i="32"/>
  <c r="J547" i="32"/>
  <c r="J562" i="32"/>
  <c r="J544" i="32"/>
  <c r="J550" i="32"/>
  <c r="J545" i="32"/>
  <c r="J539" i="32"/>
  <c r="J561" i="32"/>
  <c r="J560" i="32"/>
  <c r="T399" i="32" l="1"/>
  <c r="S400" i="32"/>
  <c r="R396" i="32"/>
  <c r="S392" i="32"/>
  <c r="S391" i="32"/>
  <c r="S393" i="32"/>
  <c r="S395" i="32" a="1"/>
  <c r="S395" i="32" s="1"/>
  <c r="S394" i="32" a="1"/>
  <c r="S394" i="32" s="1"/>
  <c r="T390" i="32"/>
  <c r="J826" i="32"/>
  <c r="K824" i="32"/>
  <c r="K821" i="32"/>
  <c r="K823" i="32"/>
  <c r="K817" i="32"/>
  <c r="K815" i="32"/>
  <c r="K812" i="32"/>
  <c r="K809" i="32"/>
  <c r="K806" i="32"/>
  <c r="K822" i="32"/>
  <c r="K814" i="32"/>
  <c r="K808" i="32"/>
  <c r="K819" i="32"/>
  <c r="K825" i="32"/>
  <c r="K813" i="32"/>
  <c r="K804" i="32"/>
  <c r="K800" i="32"/>
  <c r="K798" i="32"/>
  <c r="K818" i="32"/>
  <c r="K803" i="32"/>
  <c r="K820" i="32"/>
  <c r="K802" i="32"/>
  <c r="K799" i="32"/>
  <c r="K816" i="32"/>
  <c r="K807" i="32"/>
  <c r="K810" i="32"/>
  <c r="K805" i="32"/>
  <c r="K811" i="32"/>
  <c r="K801" i="32"/>
  <c r="J566" i="32"/>
  <c r="K693" i="32"/>
  <c r="K692" i="32"/>
  <c r="K694" i="32"/>
  <c r="K682" i="32"/>
  <c r="K691" i="32"/>
  <c r="K684" i="32"/>
  <c r="K681" i="32"/>
  <c r="K695" i="32"/>
  <c r="K683" i="32"/>
  <c r="K687" i="32"/>
  <c r="K686" i="32"/>
  <c r="K675" i="32"/>
  <c r="K672" i="32"/>
  <c r="K688" i="32"/>
  <c r="K679" i="32"/>
  <c r="K690" i="32"/>
  <c r="K685" i="32"/>
  <c r="K674" i="32"/>
  <c r="K678" i="32"/>
  <c r="K673" i="32"/>
  <c r="K671" i="32"/>
  <c r="K668" i="32"/>
  <c r="K689" i="32"/>
  <c r="K680" i="32"/>
  <c r="K676" i="32"/>
  <c r="K670" i="32"/>
  <c r="K677" i="32"/>
  <c r="K669" i="32"/>
  <c r="K549" i="32"/>
  <c r="K550" i="32"/>
  <c r="K545" i="32"/>
  <c r="K558" i="32"/>
  <c r="K559" i="32"/>
  <c r="K555" i="32"/>
  <c r="K542" i="32"/>
  <c r="K552" i="32"/>
  <c r="L537" i="32"/>
  <c r="K551" i="32"/>
  <c r="K561" i="32"/>
  <c r="K539" i="32"/>
  <c r="K544" i="32"/>
  <c r="K562" i="32"/>
  <c r="K541" i="32"/>
  <c r="K553" i="32"/>
  <c r="K563" i="32"/>
  <c r="K538" i="32"/>
  <c r="K560" i="32"/>
  <c r="K564" i="32"/>
  <c r="K540" i="32"/>
  <c r="K546" i="32"/>
  <c r="K554" i="32"/>
  <c r="K547" i="32"/>
  <c r="K548" i="32"/>
  <c r="K565" i="32"/>
  <c r="K556" i="32"/>
  <c r="K543" i="32"/>
  <c r="K557" i="32"/>
  <c r="J696" i="32"/>
  <c r="U399" i="32" l="1"/>
  <c r="T400" i="32"/>
  <c r="S396" i="32"/>
  <c r="T392" i="32"/>
  <c r="T391" i="32"/>
  <c r="T393" i="32"/>
  <c r="T395" i="32" a="1"/>
  <c r="T395" i="32" s="1"/>
  <c r="T394" i="32" a="1"/>
  <c r="T394" i="32" s="1"/>
  <c r="U390" i="32"/>
  <c r="L821" i="32"/>
  <c r="L816" i="32"/>
  <c r="L811" i="32"/>
  <c r="L806" i="32"/>
  <c r="L801" i="32"/>
  <c r="L823" i="32"/>
  <c r="L817" i="32"/>
  <c r="L824" i="32"/>
  <c r="L813" i="32"/>
  <c r="L810" i="32"/>
  <c r="L807" i="32"/>
  <c r="L818" i="32"/>
  <c r="L803" i="32"/>
  <c r="L800" i="32"/>
  <c r="L822" i="32"/>
  <c r="L812" i="32"/>
  <c r="L799" i="32"/>
  <c r="L819" i="32"/>
  <c r="L805" i="32"/>
  <c r="L802" i="32"/>
  <c r="L798" i="32"/>
  <c r="L820" i="32"/>
  <c r="L809" i="32"/>
  <c r="L808" i="32"/>
  <c r="L815" i="32"/>
  <c r="L814" i="32"/>
  <c r="L825" i="32"/>
  <c r="L804" i="32"/>
  <c r="K826" i="32"/>
  <c r="L694" i="32"/>
  <c r="L693" i="32"/>
  <c r="L692" i="32"/>
  <c r="L690" i="32"/>
  <c r="L685" i="32"/>
  <c r="L688" i="32"/>
  <c r="L678" i="32"/>
  <c r="L673" i="32"/>
  <c r="L668" i="32"/>
  <c r="L691" i="32"/>
  <c r="L695" i="32"/>
  <c r="L687" i="32"/>
  <c r="L686" i="32"/>
  <c r="L684" i="32"/>
  <c r="L679" i="32"/>
  <c r="L689" i="32"/>
  <c r="L683" i="32"/>
  <c r="L681" i="32"/>
  <c r="L674" i="32"/>
  <c r="L682" i="32"/>
  <c r="L675" i="32"/>
  <c r="L671" i="32"/>
  <c r="L680" i="32"/>
  <c r="L669" i="32"/>
  <c r="L677" i="32"/>
  <c r="L670" i="32"/>
  <c r="L672" i="32"/>
  <c r="L676" i="32"/>
  <c r="L565" i="32"/>
  <c r="L559" i="32"/>
  <c r="L558" i="32"/>
  <c r="L540" i="32"/>
  <c r="L556" i="32"/>
  <c r="L555" i="32"/>
  <c r="L549" i="32"/>
  <c r="L563" i="32"/>
  <c r="L560" i="32"/>
  <c r="L554" i="32"/>
  <c r="L543" i="32"/>
  <c r="L542" i="32"/>
  <c r="L564" i="32"/>
  <c r="L548" i="32"/>
  <c r="L552" i="32"/>
  <c r="L546" i="32"/>
  <c r="M537" i="32"/>
  <c r="L561" i="32"/>
  <c r="L550" i="32"/>
  <c r="L544" i="32"/>
  <c r="L547" i="32"/>
  <c r="L541" i="32"/>
  <c r="L553" i="32"/>
  <c r="L562" i="32"/>
  <c r="L551" i="32"/>
  <c r="L557" i="32"/>
  <c r="L545" i="32"/>
  <c r="L539" i="32"/>
  <c r="L538" i="32"/>
  <c r="K566" i="32"/>
  <c r="K696" i="32"/>
  <c r="V399" i="32" l="1"/>
  <c r="U400" i="32"/>
  <c r="T396" i="32"/>
  <c r="U395" i="32" a="1"/>
  <c r="U395" i="32" s="1"/>
  <c r="U394" i="32" a="1"/>
  <c r="U394" i="32" s="1"/>
  <c r="U392" i="32"/>
  <c r="U391" i="32"/>
  <c r="U393" i="32"/>
  <c r="V390" i="32"/>
  <c r="L826" i="32"/>
  <c r="M819" i="32"/>
  <c r="M824" i="32"/>
  <c r="M821" i="32"/>
  <c r="M816" i="32"/>
  <c r="M815" i="32"/>
  <c r="M812" i="32"/>
  <c r="M809" i="32"/>
  <c r="M825" i="32"/>
  <c r="M823" i="32"/>
  <c r="M804" i="32"/>
  <c r="M820" i="32"/>
  <c r="M799" i="32"/>
  <c r="M818" i="32"/>
  <c r="M803" i="32"/>
  <c r="M802" i="32"/>
  <c r="M811" i="32"/>
  <c r="M810" i="32"/>
  <c r="M822" i="32"/>
  <c r="M817" i="32"/>
  <c r="M806" i="32"/>
  <c r="M801" i="32"/>
  <c r="M798" i="32"/>
  <c r="M805" i="32"/>
  <c r="M807" i="32"/>
  <c r="M814" i="32"/>
  <c r="M800" i="32"/>
  <c r="M813" i="32"/>
  <c r="M808" i="32"/>
  <c r="L696" i="32"/>
  <c r="L566" i="32"/>
  <c r="M694" i="32"/>
  <c r="M685" i="32"/>
  <c r="M695" i="32"/>
  <c r="M693" i="32"/>
  <c r="M690" i="32"/>
  <c r="M689" i="32"/>
  <c r="M679" i="32"/>
  <c r="M692" i="32"/>
  <c r="M680" i="32"/>
  <c r="M688" i="32"/>
  <c r="M677" i="32"/>
  <c r="M676" i="32"/>
  <c r="M691" i="32"/>
  <c r="M686" i="32"/>
  <c r="M682" i="32"/>
  <c r="M675" i="32"/>
  <c r="M687" i="32"/>
  <c r="M671" i="32"/>
  <c r="M684" i="32"/>
  <c r="M678" i="32"/>
  <c r="M673" i="32"/>
  <c r="M668" i="32"/>
  <c r="M669" i="32"/>
  <c r="M683" i="32"/>
  <c r="M672" i="32"/>
  <c r="M681" i="32"/>
  <c r="M670" i="32"/>
  <c r="M674" i="32"/>
  <c r="M542" i="32"/>
  <c r="M550" i="32"/>
  <c r="N537" i="32"/>
  <c r="M538" i="32"/>
  <c r="M543" i="32"/>
  <c r="M546" i="32"/>
  <c r="M554" i="32"/>
  <c r="M561" i="32"/>
  <c r="M547" i="32"/>
  <c r="M562" i="32"/>
  <c r="M563" i="32"/>
  <c r="M559" i="32"/>
  <c r="M549" i="32"/>
  <c r="M541" i="32"/>
  <c r="M565" i="32"/>
  <c r="M551" i="32"/>
  <c r="M555" i="32"/>
  <c r="M539" i="32"/>
  <c r="M558" i="32"/>
  <c r="M552" i="32"/>
  <c r="M544" i="32"/>
  <c r="M545" i="32"/>
  <c r="M560" i="32"/>
  <c r="M553" i="32"/>
  <c r="M540" i="32"/>
  <c r="M557" i="32"/>
  <c r="M556" i="32"/>
  <c r="M564" i="32"/>
  <c r="M548" i="32"/>
  <c r="W399" i="32" l="1"/>
  <c r="V400" i="32"/>
  <c r="U396" i="32"/>
  <c r="V395" i="32" a="1"/>
  <c r="V395" i="32" s="1"/>
  <c r="V394" i="32" a="1"/>
  <c r="V394" i="32" s="1"/>
  <c r="V392" i="32"/>
  <c r="V391" i="32"/>
  <c r="V393" i="32"/>
  <c r="W390" i="32"/>
  <c r="M826" i="32"/>
  <c r="N824" i="32"/>
  <c r="N819" i="32"/>
  <c r="N814" i="32"/>
  <c r="N809" i="32"/>
  <c r="N804" i="32"/>
  <c r="N799" i="32"/>
  <c r="N823" i="32"/>
  <c r="N825" i="32"/>
  <c r="N822" i="32"/>
  <c r="N820" i="32"/>
  <c r="N815" i="32"/>
  <c r="N817" i="32"/>
  <c r="N821" i="32"/>
  <c r="N818" i="32"/>
  <c r="N806" i="32"/>
  <c r="N803" i="32"/>
  <c r="N800" i="32"/>
  <c r="N798" i="32"/>
  <c r="N801" i="32"/>
  <c r="N811" i="32"/>
  <c r="N802" i="32"/>
  <c r="N816" i="32"/>
  <c r="N810" i="32"/>
  <c r="N808" i="32"/>
  <c r="N807" i="32"/>
  <c r="N813" i="32"/>
  <c r="N812" i="32"/>
  <c r="N805" i="32"/>
  <c r="M566" i="32"/>
  <c r="M696" i="32"/>
  <c r="N692" i="32"/>
  <c r="N688" i="32"/>
  <c r="N683" i="32"/>
  <c r="N691" i="32"/>
  <c r="N686" i="32"/>
  <c r="N684" i="32"/>
  <c r="N681" i="32"/>
  <c r="N676" i="32"/>
  <c r="N671" i="32"/>
  <c r="N690" i="32"/>
  <c r="N689" i="32"/>
  <c r="N694" i="32"/>
  <c r="N685" i="32"/>
  <c r="N682" i="32"/>
  <c r="N677" i="32"/>
  <c r="N674" i="32"/>
  <c r="N680" i="32"/>
  <c r="N695" i="32"/>
  <c r="N673" i="32"/>
  <c r="N670" i="32"/>
  <c r="N693" i="32"/>
  <c r="N675" i="32"/>
  <c r="N687" i="32"/>
  <c r="N678" i="32"/>
  <c r="N668" i="32"/>
  <c r="N679" i="32"/>
  <c r="N669" i="32"/>
  <c r="N672" i="32"/>
  <c r="N563" i="32"/>
  <c r="N557" i="32"/>
  <c r="N551" i="32"/>
  <c r="N548" i="32"/>
  <c r="N547" i="32"/>
  <c r="N540" i="32"/>
  <c r="N562" i="32"/>
  <c r="N546" i="32"/>
  <c r="N545" i="32"/>
  <c r="N539" i="32"/>
  <c r="N541" i="32"/>
  <c r="N542" i="32"/>
  <c r="N561" i="32"/>
  <c r="N550" i="32"/>
  <c r="N544" i="32"/>
  <c r="O537" i="32"/>
  <c r="N555" i="32"/>
  <c r="N549" i="32"/>
  <c r="N564" i="32"/>
  <c r="N538" i="32"/>
  <c r="N560" i="32"/>
  <c r="N554" i="32"/>
  <c r="N543" i="32"/>
  <c r="N565" i="32"/>
  <c r="N559" i="32"/>
  <c r="N553" i="32"/>
  <c r="N558" i="32"/>
  <c r="N552" i="32"/>
  <c r="N556" i="32"/>
  <c r="X399" i="32" l="1"/>
  <c r="W400" i="32"/>
  <c r="V396" i="32"/>
  <c r="W395" i="32" a="1"/>
  <c r="W395" i="32" s="1"/>
  <c r="W394" i="32" a="1"/>
  <c r="W394" i="32" s="1"/>
  <c r="W392" i="32"/>
  <c r="W391" i="32"/>
  <c r="W393" i="32"/>
  <c r="X390" i="32"/>
  <c r="O823" i="32"/>
  <c r="O817" i="32"/>
  <c r="O825" i="32"/>
  <c r="O822" i="32"/>
  <c r="O820" i="32"/>
  <c r="O821" i="32"/>
  <c r="O816" i="32"/>
  <c r="O812" i="32"/>
  <c r="O819" i="32"/>
  <c r="O814" i="32"/>
  <c r="O811" i="32"/>
  <c r="O808" i="32"/>
  <c r="O805" i="32"/>
  <c r="O802" i="32"/>
  <c r="O815" i="32"/>
  <c r="O800" i="32"/>
  <c r="O804" i="32"/>
  <c r="O807" i="32"/>
  <c r="O813" i="32"/>
  <c r="O818" i="32"/>
  <c r="O803" i="32"/>
  <c r="O824" i="32"/>
  <c r="O810" i="32"/>
  <c r="O799" i="32"/>
  <c r="O809" i="32"/>
  <c r="O801" i="32"/>
  <c r="O798" i="32"/>
  <c r="O806" i="32"/>
  <c r="N826" i="32"/>
  <c r="N566" i="32"/>
  <c r="N696" i="32"/>
  <c r="O692" i="32"/>
  <c r="O691" i="32"/>
  <c r="O695" i="32"/>
  <c r="O693" i="32"/>
  <c r="O688" i="32"/>
  <c r="O687" i="32"/>
  <c r="O683" i="32"/>
  <c r="O694" i="32"/>
  <c r="O685" i="32"/>
  <c r="O682" i="32"/>
  <c r="O678" i="32"/>
  <c r="O680" i="32"/>
  <c r="O671" i="32"/>
  <c r="O689" i="32"/>
  <c r="O690" i="32"/>
  <c r="O684" i="32"/>
  <c r="O675" i="32"/>
  <c r="O673" i="32"/>
  <c r="O679" i="32"/>
  <c r="O669" i="32"/>
  <c r="O686" i="32"/>
  <c r="O677" i="32"/>
  <c r="O672" i="32"/>
  <c r="O681" i="32"/>
  <c r="O674" i="32"/>
  <c r="O676" i="32"/>
  <c r="O668" i="32"/>
  <c r="O670" i="32"/>
  <c r="O561" i="32"/>
  <c r="O555" i="32"/>
  <c r="P537" i="32"/>
  <c r="O549" i="32"/>
  <c r="O553" i="32"/>
  <c r="O552" i="32"/>
  <c r="O544" i="32"/>
  <c r="O558" i="32"/>
  <c r="O538" i="32"/>
  <c r="O564" i="32"/>
  <c r="O550" i="32"/>
  <c r="O540" i="32"/>
  <c r="O556" i="32"/>
  <c r="O545" i="32"/>
  <c r="O547" i="32"/>
  <c r="O539" i="32"/>
  <c r="O559" i="32"/>
  <c r="O548" i="32"/>
  <c r="O541" i="32"/>
  <c r="O565" i="32"/>
  <c r="O557" i="32"/>
  <c r="O543" i="32"/>
  <c r="O551" i="32"/>
  <c r="O563" i="32"/>
  <c r="O560" i="32"/>
  <c r="O542" i="32"/>
  <c r="O554" i="32"/>
  <c r="O546" i="32"/>
  <c r="O562" i="32"/>
  <c r="Y399" i="32" l="1"/>
  <c r="X400" i="32"/>
  <c r="W396" i="32"/>
  <c r="X393" i="32"/>
  <c r="X394" i="32" a="1"/>
  <c r="X394" i="32" s="1"/>
  <c r="X395" i="32" a="1"/>
  <c r="X395" i="32" s="1"/>
  <c r="X391" i="32"/>
  <c r="X392" i="32"/>
  <c r="Y390" i="32"/>
  <c r="O826" i="32"/>
  <c r="P822" i="32"/>
  <c r="P825" i="32"/>
  <c r="P817" i="32"/>
  <c r="P812" i="32"/>
  <c r="P807" i="32"/>
  <c r="P802" i="32"/>
  <c r="P818" i="32"/>
  <c r="P821" i="32"/>
  <c r="P816" i="32"/>
  <c r="P815" i="32"/>
  <c r="P809" i="32"/>
  <c r="P806" i="32"/>
  <c r="P823" i="32"/>
  <c r="P799" i="32"/>
  <c r="P810" i="32"/>
  <c r="P801" i="32"/>
  <c r="P820" i="32"/>
  <c r="P819" i="32"/>
  <c r="P813" i="32"/>
  <c r="P811" i="32"/>
  <c r="P824" i="32"/>
  <c r="P808" i="32"/>
  <c r="P805" i="32"/>
  <c r="P814" i="32"/>
  <c r="P803" i="32"/>
  <c r="P800" i="32"/>
  <c r="P804" i="32"/>
  <c r="P798" i="32"/>
  <c r="O566" i="32"/>
  <c r="O696" i="32"/>
  <c r="P695" i="32"/>
  <c r="P691" i="32"/>
  <c r="P686" i="32"/>
  <c r="P681" i="32"/>
  <c r="P689" i="32"/>
  <c r="P684" i="32"/>
  <c r="P693" i="32"/>
  <c r="P690" i="32"/>
  <c r="P679" i="32"/>
  <c r="P674" i="32"/>
  <c r="P669" i="32"/>
  <c r="P688" i="32"/>
  <c r="P687" i="32"/>
  <c r="P694" i="32"/>
  <c r="P685" i="32"/>
  <c r="P682" i="32"/>
  <c r="P678" i="32"/>
  <c r="P692" i="32"/>
  <c r="P683" i="32"/>
  <c r="P680" i="32"/>
  <c r="P677" i="32"/>
  <c r="P672" i="32"/>
  <c r="P670" i="32"/>
  <c r="P676" i="32"/>
  <c r="P671" i="32"/>
  <c r="P675" i="32"/>
  <c r="P673" i="32"/>
  <c r="P668" i="32"/>
  <c r="P543" i="32"/>
  <c r="P565" i="32"/>
  <c r="P539" i="32"/>
  <c r="P548" i="32"/>
  <c r="P542" i="32"/>
  <c r="P564" i="32"/>
  <c r="P553" i="32"/>
  <c r="P547" i="32"/>
  <c r="Q537" i="32"/>
  <c r="P558" i="32"/>
  <c r="P552" i="32"/>
  <c r="P541" i="32"/>
  <c r="P563" i="32"/>
  <c r="P557" i="32"/>
  <c r="P546" i="32"/>
  <c r="P540" i="32"/>
  <c r="P562" i="32"/>
  <c r="P551" i="32"/>
  <c r="P545" i="32"/>
  <c r="P559" i="32"/>
  <c r="P556" i="32"/>
  <c r="P550" i="32"/>
  <c r="P554" i="32"/>
  <c r="P561" i="32"/>
  <c r="P555" i="32"/>
  <c r="P549" i="32"/>
  <c r="P538" i="32"/>
  <c r="P560" i="32"/>
  <c r="P544" i="32"/>
  <c r="Z399" i="32" l="1"/>
  <c r="Y400" i="32"/>
  <c r="X396" i="32"/>
  <c r="Y391" i="32"/>
  <c r="Y393" i="32"/>
  <c r="Y395" i="32" a="1"/>
  <c r="Y395" i="32" s="1"/>
  <c r="Y394" i="32" a="1"/>
  <c r="Y394" i="32" s="1"/>
  <c r="Y392" i="32"/>
  <c r="Z390" i="32"/>
  <c r="Q820" i="32"/>
  <c r="Q825" i="32"/>
  <c r="Q817" i="32"/>
  <c r="Q815" i="32"/>
  <c r="Q818" i="32"/>
  <c r="Q823" i="32"/>
  <c r="Q819" i="32"/>
  <c r="Q814" i="32"/>
  <c r="Q811" i="32"/>
  <c r="Q808" i="32"/>
  <c r="Q805" i="32"/>
  <c r="Q813" i="32"/>
  <c r="Q807" i="32"/>
  <c r="Q824" i="32"/>
  <c r="Q821" i="32"/>
  <c r="Q809" i="32"/>
  <c r="Q798" i="32"/>
  <c r="Q822" i="32"/>
  <c r="Q816" i="32"/>
  <c r="Q810" i="32"/>
  <c r="Q803" i="32"/>
  <c r="Q802" i="32"/>
  <c r="Q799" i="32"/>
  <c r="Q806" i="32"/>
  <c r="Q812" i="32"/>
  <c r="Q800" i="32"/>
  <c r="Q801" i="32"/>
  <c r="Q804" i="32"/>
  <c r="P826" i="32"/>
  <c r="P696" i="32"/>
  <c r="Q695" i="32"/>
  <c r="Q693" i="32"/>
  <c r="Q690" i="32"/>
  <c r="Q691" i="32"/>
  <c r="Q689" i="32"/>
  <c r="Q686" i="32"/>
  <c r="Q680" i="32"/>
  <c r="Q694" i="32"/>
  <c r="Q684" i="32"/>
  <c r="Q683" i="32"/>
  <c r="Q681" i="32"/>
  <c r="Q676" i="32"/>
  <c r="Q692" i="32"/>
  <c r="Q675" i="32"/>
  <c r="Q672" i="32"/>
  <c r="Q682" i="32"/>
  <c r="Q687" i="32"/>
  <c r="Q685" i="32"/>
  <c r="Q679" i="32"/>
  <c r="Q678" i="32"/>
  <c r="Q669" i="32"/>
  <c r="Q677" i="32"/>
  <c r="Q670" i="32"/>
  <c r="Q674" i="32"/>
  <c r="Q688" i="32"/>
  <c r="Q671" i="32"/>
  <c r="Q673" i="32"/>
  <c r="Q668" i="32"/>
  <c r="Q547" i="32"/>
  <c r="Q561" i="32"/>
  <c r="Q538" i="32"/>
  <c r="Q554" i="32"/>
  <c r="Q558" i="32"/>
  <c r="Q540" i="32"/>
  <c r="Q563" i="32"/>
  <c r="Q560" i="32"/>
  <c r="Q539" i="32"/>
  <c r="Q542" i="32"/>
  <c r="Q564" i="32"/>
  <c r="Q550" i="32"/>
  <c r="Q549" i="32"/>
  <c r="Q557" i="32"/>
  <c r="Q541" i="32"/>
  <c r="Q544" i="32"/>
  <c r="Q565" i="32"/>
  <c r="Q543" i="32"/>
  <c r="Q553" i="32"/>
  <c r="Q548" i="32"/>
  <c r="Q552" i="32"/>
  <c r="Q562" i="32"/>
  <c r="Q551" i="32"/>
  <c r="Q559" i="32"/>
  <c r="Q546" i="32"/>
  <c r="Q556" i="32"/>
  <c r="Q545" i="32"/>
  <c r="Q555" i="32"/>
  <c r="R537" i="32"/>
  <c r="P566" i="32"/>
  <c r="AA399" i="32" l="1"/>
  <c r="Z400" i="32"/>
  <c r="Y396" i="32"/>
  <c r="Z391" i="32"/>
  <c r="Z393" i="32"/>
  <c r="Z395" i="32" a="1"/>
  <c r="Z395" i="32" s="1"/>
  <c r="Z394" i="32" a="1"/>
  <c r="Z394" i="32" s="1"/>
  <c r="Z392" i="32"/>
  <c r="AA390" i="32"/>
  <c r="Q826" i="32"/>
  <c r="R825" i="32"/>
  <c r="R820" i="32"/>
  <c r="R815" i="32"/>
  <c r="R810" i="32"/>
  <c r="R805" i="32"/>
  <c r="R800" i="32"/>
  <c r="R822" i="32"/>
  <c r="R824" i="32"/>
  <c r="R821" i="32"/>
  <c r="R816" i="32"/>
  <c r="R818" i="32"/>
  <c r="R823" i="32"/>
  <c r="R819" i="32"/>
  <c r="R802" i="32"/>
  <c r="R799" i="32"/>
  <c r="R813" i="32"/>
  <c r="R811" i="32"/>
  <c r="R809" i="32"/>
  <c r="R807" i="32"/>
  <c r="R817" i="32"/>
  <c r="R808" i="32"/>
  <c r="R806" i="32"/>
  <c r="R801" i="32"/>
  <c r="R812" i="32"/>
  <c r="R814" i="32"/>
  <c r="R804" i="32"/>
  <c r="R798" i="32"/>
  <c r="R803" i="32"/>
  <c r="Q566" i="32"/>
  <c r="Q696" i="32"/>
  <c r="R693" i="32"/>
  <c r="R689" i="32"/>
  <c r="R684" i="32"/>
  <c r="R687" i="32"/>
  <c r="R690" i="32"/>
  <c r="R695" i="32"/>
  <c r="R691" i="32"/>
  <c r="R688" i="32"/>
  <c r="R683" i="32"/>
  <c r="R677" i="32"/>
  <c r="R672" i="32"/>
  <c r="R686" i="32"/>
  <c r="R694" i="32"/>
  <c r="R692" i="32"/>
  <c r="R685" i="32"/>
  <c r="R682" i="32"/>
  <c r="R681" i="32"/>
  <c r="R676" i="32"/>
  <c r="R673" i="32"/>
  <c r="R678" i="32"/>
  <c r="R669" i="32"/>
  <c r="R670" i="32"/>
  <c r="R680" i="32"/>
  <c r="R674" i="32"/>
  <c r="R675" i="32"/>
  <c r="R671" i="32"/>
  <c r="R679" i="32"/>
  <c r="R668" i="32"/>
  <c r="R539" i="32"/>
  <c r="R561" i="32"/>
  <c r="R555" i="32"/>
  <c r="R544" i="32"/>
  <c r="R538" i="32"/>
  <c r="R560" i="32"/>
  <c r="R553" i="32"/>
  <c r="R549" i="32"/>
  <c r="R543" i="32"/>
  <c r="R565" i="32"/>
  <c r="R554" i="32"/>
  <c r="R548" i="32"/>
  <c r="R557" i="32"/>
  <c r="R540" i="32"/>
  <c r="R559" i="32"/>
  <c r="R552" i="32"/>
  <c r="R562" i="32"/>
  <c r="R564" i="32"/>
  <c r="R558" i="32"/>
  <c r="R547" i="32"/>
  <c r="R541" i="32"/>
  <c r="R563" i="32"/>
  <c r="R542" i="32"/>
  <c r="R546" i="32"/>
  <c r="R551" i="32"/>
  <c r="R545" i="32"/>
  <c r="S537" i="32"/>
  <c r="R556" i="32"/>
  <c r="R550" i="32"/>
  <c r="AB399" i="32" l="1"/>
  <c r="AA400" i="32"/>
  <c r="Z396" i="32"/>
  <c r="AA391" i="32"/>
  <c r="AA393" i="32"/>
  <c r="AA395" i="32" a="1"/>
  <c r="AA395" i="32" s="1"/>
  <c r="AA394" i="32" a="1"/>
  <c r="AA394" i="32" s="1"/>
  <c r="AA392" i="32"/>
  <c r="AB390" i="32"/>
  <c r="R826" i="32"/>
  <c r="S822" i="32"/>
  <c r="S825" i="32"/>
  <c r="S818" i="32"/>
  <c r="S824" i="32"/>
  <c r="S821" i="32"/>
  <c r="S823" i="32"/>
  <c r="S819" i="32"/>
  <c r="S814" i="32"/>
  <c r="S811" i="32"/>
  <c r="S808" i="32"/>
  <c r="S820" i="32"/>
  <c r="S810" i="32"/>
  <c r="S807" i="32"/>
  <c r="S804" i="32"/>
  <c r="S801" i="32"/>
  <c r="S803" i="32"/>
  <c r="S802" i="32"/>
  <c r="S813" i="32"/>
  <c r="S805" i="32"/>
  <c r="S815" i="32"/>
  <c r="S812" i="32"/>
  <c r="S800" i="32"/>
  <c r="S799" i="32"/>
  <c r="S816" i="32"/>
  <c r="S809" i="32"/>
  <c r="S806" i="32"/>
  <c r="S817" i="32"/>
  <c r="S798" i="32"/>
  <c r="S693" i="32"/>
  <c r="S695" i="32"/>
  <c r="S691" i="32"/>
  <c r="S689" i="32"/>
  <c r="S687" i="32"/>
  <c r="S694" i="32"/>
  <c r="S692" i="32"/>
  <c r="S678" i="32"/>
  <c r="S684" i="32"/>
  <c r="S690" i="32"/>
  <c r="S679" i="32"/>
  <c r="S683" i="32"/>
  <c r="S681" i="32"/>
  <c r="S682" i="32"/>
  <c r="S686" i="32"/>
  <c r="S685" i="32"/>
  <c r="S680" i="32"/>
  <c r="S670" i="32"/>
  <c r="S676" i="32"/>
  <c r="S671" i="32"/>
  <c r="S677" i="32"/>
  <c r="S674" i="32"/>
  <c r="S672" i="32"/>
  <c r="S675" i="32"/>
  <c r="S668" i="32"/>
  <c r="S673" i="32"/>
  <c r="S688" i="32"/>
  <c r="S669" i="32"/>
  <c r="S541" i="32"/>
  <c r="S553" i="32"/>
  <c r="S556" i="32"/>
  <c r="S561" i="32"/>
  <c r="S564" i="32"/>
  <c r="S559" i="32"/>
  <c r="S543" i="32"/>
  <c r="S549" i="32"/>
  <c r="S546" i="32"/>
  <c r="S545" i="32"/>
  <c r="S555" i="32"/>
  <c r="T537" i="32"/>
  <c r="S538" i="32"/>
  <c r="S563" i="32"/>
  <c r="S551" i="32"/>
  <c r="S552" i="32"/>
  <c r="S554" i="32"/>
  <c r="S560" i="32"/>
  <c r="S539" i="32"/>
  <c r="S547" i="32"/>
  <c r="S540" i="32"/>
  <c r="S548" i="32"/>
  <c r="S542" i="32"/>
  <c r="S558" i="32"/>
  <c r="S550" i="32"/>
  <c r="S562" i="32"/>
  <c r="S557" i="32"/>
  <c r="S544" i="32"/>
  <c r="S565" i="32"/>
  <c r="R566" i="32"/>
  <c r="R696" i="32"/>
  <c r="AC399" i="32" l="1"/>
  <c r="AB400" i="32"/>
  <c r="AA396" i="32"/>
  <c r="AB392" i="32"/>
  <c r="AB391" i="32"/>
  <c r="AB393" i="32"/>
  <c r="AB395" i="32" a="1"/>
  <c r="AB395" i="32" s="1"/>
  <c r="AB394" i="32" a="1"/>
  <c r="AB394" i="32" s="1"/>
  <c r="AC390" i="32"/>
  <c r="S826" i="32"/>
  <c r="T823" i="32"/>
  <c r="T825" i="32"/>
  <c r="T818" i="32"/>
  <c r="T813" i="32"/>
  <c r="T808" i="32"/>
  <c r="T803" i="32"/>
  <c r="T798" i="32"/>
  <c r="T819" i="32"/>
  <c r="T822" i="32"/>
  <c r="T824" i="32"/>
  <c r="T820" i="32"/>
  <c r="T817" i="32"/>
  <c r="T805" i="32"/>
  <c r="T802" i="32"/>
  <c r="T799" i="32"/>
  <c r="T814" i="32"/>
  <c r="T816" i="32"/>
  <c r="T810" i="32"/>
  <c r="T809" i="32"/>
  <c r="T806" i="32"/>
  <c r="T801" i="32"/>
  <c r="T812" i="32"/>
  <c r="T811" i="32"/>
  <c r="T807" i="32"/>
  <c r="T800" i="32"/>
  <c r="T821" i="32"/>
  <c r="T804" i="32"/>
  <c r="T815" i="32"/>
  <c r="S566" i="32"/>
  <c r="T691" i="32"/>
  <c r="T687" i="32"/>
  <c r="T682" i="32"/>
  <c r="T695" i="32"/>
  <c r="T694" i="32"/>
  <c r="T690" i="32"/>
  <c r="T689" i="32"/>
  <c r="T688" i="32"/>
  <c r="T686" i="32"/>
  <c r="T680" i="32"/>
  <c r="T675" i="32"/>
  <c r="T670" i="32"/>
  <c r="T693" i="32"/>
  <c r="T692" i="32"/>
  <c r="T685" i="32"/>
  <c r="T679" i="32"/>
  <c r="T684" i="32"/>
  <c r="T676" i="32"/>
  <c r="T671" i="32"/>
  <c r="T669" i="32"/>
  <c r="T668" i="32"/>
  <c r="T683" i="32"/>
  <c r="T677" i="32"/>
  <c r="T674" i="32"/>
  <c r="T672" i="32"/>
  <c r="T681" i="32"/>
  <c r="T673" i="32"/>
  <c r="T678" i="32"/>
  <c r="T549" i="32"/>
  <c r="T543" i="32"/>
  <c r="T565" i="32"/>
  <c r="T558" i="32"/>
  <c r="T539" i="32"/>
  <c r="T545" i="32"/>
  <c r="T554" i="32"/>
  <c r="T548" i="32"/>
  <c r="U537" i="32"/>
  <c r="T561" i="32"/>
  <c r="T559" i="32"/>
  <c r="T553" i="32"/>
  <c r="T562" i="32"/>
  <c r="T550" i="32"/>
  <c r="T542" i="32"/>
  <c r="T564" i="32"/>
  <c r="T547" i="32"/>
  <c r="T541" i="32"/>
  <c r="T563" i="32"/>
  <c r="T552" i="32"/>
  <c r="T546" i="32"/>
  <c r="T540" i="32"/>
  <c r="T557" i="32"/>
  <c r="T551" i="32"/>
  <c r="T555" i="32"/>
  <c r="T556" i="32"/>
  <c r="T544" i="32"/>
  <c r="T538" i="32"/>
  <c r="T560" i="32"/>
  <c r="S696" i="32"/>
  <c r="AD399" i="32" l="1"/>
  <c r="AD400" i="32" s="1"/>
  <c r="AC400" i="32"/>
  <c r="AB396" i="32"/>
  <c r="AC392" i="32"/>
  <c r="AC391" i="32"/>
  <c r="AC394" i="32" a="1"/>
  <c r="AC394" i="32" s="1"/>
  <c r="AC393" i="32"/>
  <c r="AC395" i="32" a="1"/>
  <c r="AC395" i="32" s="1"/>
  <c r="AD390" i="32"/>
  <c r="U824" i="32"/>
  <c r="U821" i="32"/>
  <c r="U819" i="32"/>
  <c r="U820" i="32"/>
  <c r="U813" i="32"/>
  <c r="U810" i="32"/>
  <c r="U807" i="32"/>
  <c r="U804" i="32"/>
  <c r="U801" i="32"/>
  <c r="U825" i="32"/>
  <c r="U823" i="32"/>
  <c r="U817" i="32"/>
  <c r="U814" i="32"/>
  <c r="U818" i="32"/>
  <c r="U802" i="32"/>
  <c r="U816" i="32"/>
  <c r="U822" i="32"/>
  <c r="U809" i="32"/>
  <c r="U806" i="32"/>
  <c r="U812" i="32"/>
  <c r="U811" i="32"/>
  <c r="U808" i="32"/>
  <c r="U805" i="32"/>
  <c r="U799" i="32"/>
  <c r="U803" i="32"/>
  <c r="U800" i="32"/>
  <c r="U798" i="32"/>
  <c r="U815" i="32"/>
  <c r="T826" i="32"/>
  <c r="T696" i="32"/>
  <c r="U695" i="32"/>
  <c r="U694" i="32"/>
  <c r="U692" i="32"/>
  <c r="U685" i="32"/>
  <c r="U693" i="32"/>
  <c r="U690" i="32"/>
  <c r="U691" i="32"/>
  <c r="U689" i="32"/>
  <c r="U688" i="32"/>
  <c r="U683" i="32"/>
  <c r="U675" i="32"/>
  <c r="U686" i="32"/>
  <c r="U679" i="32"/>
  <c r="U677" i="32"/>
  <c r="U674" i="32"/>
  <c r="U671" i="32"/>
  <c r="U668" i="32"/>
  <c r="U687" i="32"/>
  <c r="U669" i="32"/>
  <c r="U672" i="32"/>
  <c r="U680" i="32"/>
  <c r="U670" i="32"/>
  <c r="U681" i="32"/>
  <c r="U676" i="32"/>
  <c r="U673" i="32"/>
  <c r="U678" i="32"/>
  <c r="U684" i="32"/>
  <c r="U682" i="32"/>
  <c r="U548" i="32"/>
  <c r="U547" i="32"/>
  <c r="U553" i="32"/>
  <c r="U555" i="32"/>
  <c r="U552" i="32"/>
  <c r="U565" i="32"/>
  <c r="U543" i="32"/>
  <c r="U544" i="32"/>
  <c r="U556" i="32"/>
  <c r="U550" i="32"/>
  <c r="U554" i="32"/>
  <c r="U539" i="32"/>
  <c r="U559" i="32"/>
  <c r="U561" i="32"/>
  <c r="U541" i="32"/>
  <c r="U545" i="32"/>
  <c r="U563" i="32"/>
  <c r="U551" i="32"/>
  <c r="V537" i="32"/>
  <c r="U538" i="32"/>
  <c r="U549" i="32"/>
  <c r="U564" i="32"/>
  <c r="U540" i="32"/>
  <c r="U558" i="32"/>
  <c r="U557" i="32"/>
  <c r="U562" i="32"/>
  <c r="U546" i="32"/>
  <c r="U542" i="32"/>
  <c r="U560" i="32"/>
  <c r="T566" i="32"/>
  <c r="AC396" i="32" l="1"/>
  <c r="AD392" i="32"/>
  <c r="AF392" i="32" s="1"/>
  <c r="AD391" i="32"/>
  <c r="AF391" i="32" s="1"/>
  <c r="AD393" i="32"/>
  <c r="AF393" i="32" s="1"/>
  <c r="AD394" i="32" a="1"/>
  <c r="AD394" i="32" s="1"/>
  <c r="AF394" i="32" s="1"/>
  <c r="AD395" i="32" a="1"/>
  <c r="AD395" i="32" s="1"/>
  <c r="AF395" i="32" s="1"/>
  <c r="U826" i="32"/>
  <c r="V821" i="32"/>
  <c r="V824" i="32"/>
  <c r="V816" i="32"/>
  <c r="V811" i="32"/>
  <c r="V806" i="32"/>
  <c r="V801" i="32"/>
  <c r="V823" i="32"/>
  <c r="V817" i="32"/>
  <c r="V820" i="32"/>
  <c r="V825" i="32"/>
  <c r="V822" i="32"/>
  <c r="V798" i="32"/>
  <c r="V812" i="32"/>
  <c r="V809" i="32"/>
  <c r="V804" i="32"/>
  <c r="V819" i="32"/>
  <c r="V818" i="32"/>
  <c r="V815" i="32"/>
  <c r="V810" i="32"/>
  <c r="V808" i="32"/>
  <c r="V807" i="32"/>
  <c r="V805" i="32"/>
  <c r="V803" i="32"/>
  <c r="V800" i="32"/>
  <c r="V814" i="32"/>
  <c r="V802" i="32"/>
  <c r="V799" i="32"/>
  <c r="V813" i="32"/>
  <c r="U566" i="32"/>
  <c r="V694" i="32"/>
  <c r="V695" i="32"/>
  <c r="V690" i="32"/>
  <c r="V685" i="32"/>
  <c r="V693" i="32"/>
  <c r="V692" i="32"/>
  <c r="V688" i="32"/>
  <c r="V687" i="32"/>
  <c r="V686" i="32"/>
  <c r="V682" i="32"/>
  <c r="V678" i="32"/>
  <c r="V673" i="32"/>
  <c r="V668" i="32"/>
  <c r="V684" i="32"/>
  <c r="V681" i="32"/>
  <c r="V691" i="32"/>
  <c r="V689" i="32"/>
  <c r="V683" i="32"/>
  <c r="V675" i="32"/>
  <c r="V672" i="32"/>
  <c r="V680" i="32"/>
  <c r="V674" i="32"/>
  <c r="V670" i="32"/>
  <c r="V676" i="32"/>
  <c r="V679" i="32"/>
  <c r="V677" i="32"/>
  <c r="V669" i="32"/>
  <c r="V671" i="32"/>
  <c r="V542" i="32"/>
  <c r="V564" i="32"/>
  <c r="V563" i="32"/>
  <c r="V554" i="32"/>
  <c r="V547" i="32"/>
  <c r="V541" i="32"/>
  <c r="V558" i="32"/>
  <c r="V552" i="32"/>
  <c r="V546" i="32"/>
  <c r="W537" i="32"/>
  <c r="V560" i="32"/>
  <c r="V538" i="32"/>
  <c r="V557" i="32"/>
  <c r="V551" i="32"/>
  <c r="V540" i="32"/>
  <c r="V562" i="32"/>
  <c r="V556" i="32"/>
  <c r="V555" i="32"/>
  <c r="V549" i="32"/>
  <c r="V548" i="32"/>
  <c r="V545" i="32"/>
  <c r="V539" i="32"/>
  <c r="V561" i="32"/>
  <c r="V550" i="32"/>
  <c r="V544" i="32"/>
  <c r="V553" i="32"/>
  <c r="V565" i="32"/>
  <c r="V559" i="32"/>
  <c r="V543" i="32"/>
  <c r="U696" i="32"/>
  <c r="AD396" i="32" l="1"/>
  <c r="AF396" i="32" s="1"/>
  <c r="W821" i="32"/>
  <c r="W819" i="32"/>
  <c r="W823" i="32"/>
  <c r="W820" i="32"/>
  <c r="W813" i="32"/>
  <c r="W810" i="32"/>
  <c r="W807" i="32"/>
  <c r="W825" i="32"/>
  <c r="W822" i="32"/>
  <c r="W824" i="32"/>
  <c r="W817" i="32"/>
  <c r="W816" i="32"/>
  <c r="W815" i="32"/>
  <c r="W806" i="32"/>
  <c r="W803" i="32"/>
  <c r="W800" i="32"/>
  <c r="W814" i="32"/>
  <c r="W811" i="32"/>
  <c r="W808" i="32"/>
  <c r="W805" i="32"/>
  <c r="W812" i="32"/>
  <c r="W804" i="32"/>
  <c r="W801" i="32"/>
  <c r="W798" i="32"/>
  <c r="W809" i="32"/>
  <c r="W802" i="32"/>
  <c r="W799" i="32"/>
  <c r="W818" i="32"/>
  <c r="V826" i="32"/>
  <c r="V566" i="32"/>
  <c r="W694" i="32"/>
  <c r="W693" i="32"/>
  <c r="W692" i="32"/>
  <c r="W679" i="32"/>
  <c r="W688" i="32"/>
  <c r="W695" i="32"/>
  <c r="W687" i="32"/>
  <c r="W686" i="32"/>
  <c r="W680" i="32"/>
  <c r="W689" i="32"/>
  <c r="W678" i="32"/>
  <c r="W684" i="32"/>
  <c r="W681" i="32"/>
  <c r="W672" i="32"/>
  <c r="W668" i="32"/>
  <c r="W683" i="32"/>
  <c r="W677" i="32"/>
  <c r="W673" i="32"/>
  <c r="W670" i="32"/>
  <c r="W690" i="32"/>
  <c r="W676" i="32"/>
  <c r="W685" i="32"/>
  <c r="W691" i="32"/>
  <c r="W682" i="32"/>
  <c r="W675" i="32"/>
  <c r="W669" i="32"/>
  <c r="W674" i="32"/>
  <c r="W671" i="32"/>
  <c r="W546" i="32"/>
  <c r="W545" i="32"/>
  <c r="W564" i="32"/>
  <c r="W553" i="32"/>
  <c r="W547" i="32"/>
  <c r="W558" i="32"/>
  <c r="W550" i="32"/>
  <c r="W561" i="32"/>
  <c r="W562" i="32"/>
  <c r="W556" i="32"/>
  <c r="W551" i="32"/>
  <c r="W555" i="32"/>
  <c r="W563" i="32"/>
  <c r="W565" i="32"/>
  <c r="W544" i="32"/>
  <c r="W541" i="32"/>
  <c r="W549" i="32"/>
  <c r="W539" i="32"/>
  <c r="W548" i="32"/>
  <c r="W542" i="32"/>
  <c r="W538" i="32"/>
  <c r="W557" i="32"/>
  <c r="W554" i="32"/>
  <c r="W560" i="32"/>
  <c r="W543" i="32"/>
  <c r="X537" i="32"/>
  <c r="W540" i="32"/>
  <c r="W552" i="32"/>
  <c r="W559" i="32"/>
  <c r="V696" i="32"/>
  <c r="X824" i="32" l="1"/>
  <c r="X819" i="32"/>
  <c r="X814" i="32"/>
  <c r="X809" i="32"/>
  <c r="X804" i="32"/>
  <c r="X799" i="32"/>
  <c r="X820" i="32"/>
  <c r="X815" i="32"/>
  <c r="X825" i="32"/>
  <c r="X822" i="32"/>
  <c r="X812" i="32"/>
  <c r="X823" i="32"/>
  <c r="X818" i="32"/>
  <c r="X816" i="32"/>
  <c r="X806" i="32"/>
  <c r="X803" i="32"/>
  <c r="X800" i="32"/>
  <c r="X810" i="32"/>
  <c r="X801" i="32"/>
  <c r="X808" i="32"/>
  <c r="X811" i="32"/>
  <c r="X807" i="32"/>
  <c r="X805" i="32"/>
  <c r="X798" i="32"/>
  <c r="X817" i="32"/>
  <c r="X813" i="32"/>
  <c r="X821" i="32"/>
  <c r="X802" i="32"/>
  <c r="W826" i="32"/>
  <c r="W566" i="32"/>
  <c r="W696" i="32"/>
  <c r="X692" i="32"/>
  <c r="X694" i="32"/>
  <c r="X693" i="32"/>
  <c r="X688" i="32"/>
  <c r="X683" i="32"/>
  <c r="X686" i="32"/>
  <c r="X685" i="32"/>
  <c r="X676" i="32"/>
  <c r="X671" i="32"/>
  <c r="X695" i="32"/>
  <c r="X687" i="32"/>
  <c r="X678" i="32"/>
  <c r="X682" i="32"/>
  <c r="X677" i="32"/>
  <c r="X690" i="32"/>
  <c r="X684" i="32"/>
  <c r="X680" i="32"/>
  <c r="X691" i="32"/>
  <c r="X673" i="32"/>
  <c r="X674" i="32"/>
  <c r="X689" i="32"/>
  <c r="X672" i="32"/>
  <c r="X681" i="32"/>
  <c r="X668" i="32"/>
  <c r="X675" i="32"/>
  <c r="X679" i="32"/>
  <c r="X669" i="32"/>
  <c r="X670" i="32"/>
  <c r="X545" i="32"/>
  <c r="X539" i="32"/>
  <c r="Y537" i="32"/>
  <c r="X550" i="32"/>
  <c r="X544" i="32"/>
  <c r="X561" i="32"/>
  <c r="X555" i="32"/>
  <c r="X549" i="32"/>
  <c r="X538" i="32"/>
  <c r="X560" i="32"/>
  <c r="X554" i="32"/>
  <c r="X558" i="32"/>
  <c r="X552" i="32"/>
  <c r="X543" i="32"/>
  <c r="X565" i="32"/>
  <c r="X559" i="32"/>
  <c r="X548" i="32"/>
  <c r="X542" i="32"/>
  <c r="X564" i="32"/>
  <c r="X553" i="32"/>
  <c r="X547" i="32"/>
  <c r="X551" i="32"/>
  <c r="X546" i="32"/>
  <c r="X563" i="32"/>
  <c r="X557" i="32"/>
  <c r="X541" i="32"/>
  <c r="X540" i="32"/>
  <c r="X562" i="32"/>
  <c r="X556" i="32"/>
  <c r="Y823" i="32" l="1"/>
  <c r="Y817" i="32"/>
  <c r="Y820" i="32"/>
  <c r="Y822" i="32"/>
  <c r="Y825" i="32"/>
  <c r="Y816" i="32"/>
  <c r="Y809" i="32"/>
  <c r="Y806" i="32"/>
  <c r="Y803" i="32"/>
  <c r="Y800" i="32"/>
  <c r="Y824" i="32"/>
  <c r="Y818" i="32"/>
  <c r="Y821" i="32"/>
  <c r="Y819" i="32"/>
  <c r="Y815" i="32"/>
  <c r="Y812" i="32"/>
  <c r="Y810" i="32"/>
  <c r="Y808" i="32"/>
  <c r="Y798" i="32"/>
  <c r="Y811" i="32"/>
  <c r="Y807" i="32"/>
  <c r="Y801" i="32"/>
  <c r="Y805" i="32"/>
  <c r="Y813" i="32"/>
  <c r="Y814" i="32"/>
  <c r="Y804" i="32"/>
  <c r="Y802" i="32"/>
  <c r="Y799" i="32"/>
  <c r="X826" i="32"/>
  <c r="X566" i="32"/>
  <c r="X696" i="32"/>
  <c r="Y692" i="32"/>
  <c r="Y691" i="32"/>
  <c r="Y684" i="32"/>
  <c r="Y681" i="32"/>
  <c r="Y690" i="32"/>
  <c r="Y689" i="32"/>
  <c r="Y686" i="32"/>
  <c r="Y685" i="32"/>
  <c r="Y682" i="32"/>
  <c r="Y678" i="32"/>
  <c r="Y677" i="32"/>
  <c r="Y674" i="32"/>
  <c r="Y695" i="32"/>
  <c r="Y679" i="32"/>
  <c r="Y694" i="32"/>
  <c r="Y676" i="32"/>
  <c r="Y673" i="32"/>
  <c r="Y670" i="32"/>
  <c r="Y687" i="32"/>
  <c r="Y693" i="32"/>
  <c r="Y688" i="32"/>
  <c r="Y683" i="32"/>
  <c r="Y668" i="32"/>
  <c r="Y675" i="32"/>
  <c r="Y671" i="32"/>
  <c r="Y680" i="32"/>
  <c r="Y672" i="32"/>
  <c r="Y669" i="32"/>
  <c r="Y539" i="32"/>
  <c r="Y548" i="32"/>
  <c r="Y549" i="32"/>
  <c r="Y544" i="32"/>
  <c r="Y541" i="32"/>
  <c r="Y552" i="32"/>
  <c r="Y556" i="32"/>
  <c r="Y551" i="32"/>
  <c r="Y550" i="32"/>
  <c r="Z537" i="32"/>
  <c r="Y560" i="32"/>
  <c r="Y543" i="32"/>
  <c r="Y562" i="32"/>
  <c r="Y540" i="32"/>
  <c r="Y545" i="32"/>
  <c r="Y563" i="32"/>
  <c r="Y555" i="32"/>
  <c r="Y547" i="32"/>
  <c r="Y553" i="32"/>
  <c r="Y554" i="32"/>
  <c r="Y557" i="32"/>
  <c r="Y546" i="32"/>
  <c r="Y561" i="32"/>
  <c r="Y559" i="32"/>
  <c r="Y542" i="32"/>
  <c r="Y564" i="32"/>
  <c r="Y558" i="32"/>
  <c r="Y538" i="32"/>
  <c r="Y565" i="32"/>
  <c r="Y826" i="32" l="1"/>
  <c r="Z822" i="32"/>
  <c r="Z825" i="32"/>
  <c r="Z823" i="32"/>
  <c r="Z817" i="32"/>
  <c r="Z812" i="32"/>
  <c r="Z807" i="32"/>
  <c r="Z802" i="32"/>
  <c r="Z818" i="32"/>
  <c r="Z820" i="32"/>
  <c r="Z824" i="32"/>
  <c r="Z815" i="32"/>
  <c r="Z821" i="32"/>
  <c r="Z814" i="32"/>
  <c r="Z811" i="32"/>
  <c r="Z808" i="32"/>
  <c r="Z805" i="32"/>
  <c r="Z819" i="32"/>
  <c r="Z799" i="32"/>
  <c r="Z798" i="32"/>
  <c r="Z816" i="32"/>
  <c r="Z810" i="32"/>
  <c r="Z806" i="32"/>
  <c r="Z803" i="32"/>
  <c r="Z809" i="32"/>
  <c r="Z813" i="32"/>
  <c r="Z804" i="32"/>
  <c r="Z800" i="32"/>
  <c r="Z801" i="32"/>
  <c r="Z695" i="32"/>
  <c r="Z692" i="32"/>
  <c r="Z686" i="32"/>
  <c r="Z681" i="32"/>
  <c r="Z691" i="32"/>
  <c r="Z689" i="32"/>
  <c r="Z694" i="32"/>
  <c r="Z679" i="32"/>
  <c r="Z674" i="32"/>
  <c r="Z669" i="32"/>
  <c r="Z690" i="32"/>
  <c r="Z683" i="32"/>
  <c r="Z693" i="32"/>
  <c r="Z685" i="32"/>
  <c r="Z682" i="32"/>
  <c r="Z671" i="32"/>
  <c r="Z687" i="32"/>
  <c r="Z677" i="32"/>
  <c r="Z676" i="32"/>
  <c r="Z668" i="32"/>
  <c r="Z675" i="32"/>
  <c r="Z673" i="32"/>
  <c r="Z688" i="32"/>
  <c r="Z684" i="32"/>
  <c r="Z680" i="32"/>
  <c r="Z672" i="32"/>
  <c r="Z670" i="32"/>
  <c r="Z678" i="32"/>
  <c r="Z548" i="32"/>
  <c r="Z542" i="32"/>
  <c r="Z564" i="32"/>
  <c r="Z551" i="32"/>
  <c r="Z549" i="32"/>
  <c r="Z553" i="32"/>
  <c r="Z547" i="32"/>
  <c r="Z559" i="32"/>
  <c r="Z561" i="32"/>
  <c r="Z555" i="32"/>
  <c r="Z558" i="32"/>
  <c r="Z552" i="32"/>
  <c r="Z541" i="32"/>
  <c r="Z563" i="32"/>
  <c r="Z557" i="32"/>
  <c r="Z546" i="32"/>
  <c r="Z540" i="32"/>
  <c r="Z562" i="32"/>
  <c r="Z545" i="32"/>
  <c r="Z556" i="32"/>
  <c r="Z550" i="32"/>
  <c r="Z539" i="32"/>
  <c r="Z544" i="32"/>
  <c r="Z538" i="32"/>
  <c r="Z560" i="32"/>
  <c r="Z554" i="32"/>
  <c r="Z543" i="32"/>
  <c r="Z565" i="32"/>
  <c r="AA537" i="32"/>
  <c r="Y566" i="32"/>
  <c r="Y696" i="32"/>
  <c r="AA820" i="32" l="1"/>
  <c r="AA822" i="32"/>
  <c r="AA825" i="32"/>
  <c r="AA816" i="32"/>
  <c r="AA812" i="32"/>
  <c r="AA809" i="32"/>
  <c r="AA806" i="32"/>
  <c r="AA824" i="32"/>
  <c r="AA817" i="32"/>
  <c r="AA802" i="32"/>
  <c r="AA799" i="32"/>
  <c r="AA819" i="32"/>
  <c r="AA818" i="32"/>
  <c r="AA821" i="32"/>
  <c r="AA823" i="32"/>
  <c r="AA815" i="32"/>
  <c r="AA808" i="32"/>
  <c r="AA814" i="32"/>
  <c r="AA813" i="32"/>
  <c r="AA811" i="32"/>
  <c r="AA807" i="32"/>
  <c r="AA805" i="32"/>
  <c r="AA798" i="32"/>
  <c r="AA804" i="32"/>
  <c r="AA800" i="32"/>
  <c r="AA803" i="32"/>
  <c r="AA801" i="32"/>
  <c r="AA810" i="32"/>
  <c r="Z826" i="32"/>
  <c r="Z566" i="32"/>
  <c r="Z696" i="32"/>
  <c r="AA695" i="32"/>
  <c r="AA691" i="32"/>
  <c r="AA684" i="32"/>
  <c r="AA694" i="32"/>
  <c r="AA692" i="32"/>
  <c r="AA689" i="32"/>
  <c r="AA693" i="32"/>
  <c r="AA688" i="32"/>
  <c r="AA687" i="32"/>
  <c r="AA680" i="32"/>
  <c r="AA682" i="32"/>
  <c r="AA679" i="32"/>
  <c r="AA690" i="32"/>
  <c r="AA685" i="32"/>
  <c r="AA681" i="32"/>
  <c r="AA683" i="32"/>
  <c r="AA674" i="32"/>
  <c r="AA675" i="32"/>
  <c r="AA676" i="32"/>
  <c r="AA686" i="32"/>
  <c r="AA668" i="32"/>
  <c r="AA673" i="32"/>
  <c r="AA671" i="32"/>
  <c r="AA669" i="32"/>
  <c r="AA677" i="32"/>
  <c r="AA672" i="32"/>
  <c r="AA670" i="32"/>
  <c r="AA678" i="32"/>
  <c r="AA542" i="32"/>
  <c r="AA543" i="32"/>
  <c r="AA561" i="32"/>
  <c r="AA545" i="32"/>
  <c r="AA549" i="32"/>
  <c r="AA552" i="32"/>
  <c r="AA563" i="32"/>
  <c r="AA558" i="32"/>
  <c r="AA559" i="32"/>
  <c r="AA557" i="32"/>
  <c r="AA554" i="32"/>
  <c r="AA551" i="32"/>
  <c r="AA564" i="32"/>
  <c r="AA544" i="32"/>
  <c r="AB537" i="32"/>
  <c r="AA538" i="32"/>
  <c r="AA553" i="32"/>
  <c r="AA555" i="32"/>
  <c r="AA540" i="32"/>
  <c r="AA562" i="32"/>
  <c r="AA547" i="32"/>
  <c r="AA539" i="32"/>
  <c r="AA546" i="32"/>
  <c r="AA550" i="32"/>
  <c r="AA565" i="32"/>
  <c r="AA541" i="32"/>
  <c r="AA560" i="32"/>
  <c r="AA556" i="32"/>
  <c r="AA548" i="32"/>
  <c r="AB825" i="32" l="1"/>
  <c r="AB820" i="32"/>
  <c r="AB815" i="32"/>
  <c r="AB810" i="32"/>
  <c r="AB805" i="32"/>
  <c r="AB800" i="32"/>
  <c r="AB816" i="32"/>
  <c r="AB822" i="32"/>
  <c r="AB824" i="32"/>
  <c r="AB821" i="32"/>
  <c r="AB818" i="32"/>
  <c r="AB814" i="32"/>
  <c r="AB811" i="32"/>
  <c r="AB808" i="32"/>
  <c r="AB819" i="32"/>
  <c r="AB817" i="32"/>
  <c r="AB809" i="32"/>
  <c r="AB806" i="32"/>
  <c r="AB812" i="32"/>
  <c r="AB804" i="32"/>
  <c r="AB801" i="32"/>
  <c r="AB802" i="32"/>
  <c r="AB798" i="32"/>
  <c r="AB813" i="32"/>
  <c r="AB823" i="32"/>
  <c r="AB803" i="32"/>
  <c r="AB807" i="32"/>
  <c r="AB799" i="32"/>
  <c r="AA826" i="32"/>
  <c r="AA566" i="32"/>
  <c r="AB693" i="32"/>
  <c r="AB689" i="32"/>
  <c r="AB684" i="32"/>
  <c r="AB687" i="32"/>
  <c r="AB694" i="32"/>
  <c r="AB692" i="32"/>
  <c r="AB690" i="32"/>
  <c r="AB677" i="32"/>
  <c r="AB672" i="32"/>
  <c r="AB688" i="32"/>
  <c r="AB691" i="32"/>
  <c r="AB695" i="32"/>
  <c r="AB685" i="32"/>
  <c r="AB680" i="32"/>
  <c r="AB676" i="32"/>
  <c r="AB686" i="32"/>
  <c r="AB681" i="32"/>
  <c r="AB675" i="32"/>
  <c r="AB683" i="32"/>
  <c r="AB668" i="32"/>
  <c r="AB673" i="32"/>
  <c r="AB671" i="32"/>
  <c r="AB669" i="32"/>
  <c r="AB678" i="32"/>
  <c r="AB679" i="32"/>
  <c r="AB670" i="32"/>
  <c r="AB682" i="32"/>
  <c r="AB674" i="32"/>
  <c r="AB549" i="32"/>
  <c r="AB543" i="32"/>
  <c r="AB565" i="32"/>
  <c r="AB556" i="32"/>
  <c r="AB554" i="32"/>
  <c r="AB548" i="32"/>
  <c r="AB547" i="32"/>
  <c r="AB559" i="32"/>
  <c r="AB553" i="32"/>
  <c r="AB542" i="32"/>
  <c r="AB555" i="32"/>
  <c r="AB564" i="32"/>
  <c r="AB558" i="32"/>
  <c r="AB552" i="32"/>
  <c r="AB550" i="32"/>
  <c r="AB541" i="32"/>
  <c r="AB563" i="32"/>
  <c r="AC537" i="32"/>
  <c r="AB539" i="32"/>
  <c r="AB546" i="32"/>
  <c r="AB540" i="32"/>
  <c r="AB562" i="32"/>
  <c r="AB561" i="32"/>
  <c r="AB551" i="32"/>
  <c r="AB545" i="32"/>
  <c r="AB557" i="32"/>
  <c r="AB544" i="32"/>
  <c r="AB538" i="32"/>
  <c r="AB560" i="32"/>
  <c r="AA696" i="32"/>
  <c r="AC822" i="32" l="1"/>
  <c r="AC818" i="32"/>
  <c r="AC825" i="32"/>
  <c r="AC824" i="32"/>
  <c r="AC821" i="32"/>
  <c r="AC816" i="32"/>
  <c r="AC817" i="32"/>
  <c r="AC815" i="32"/>
  <c r="AC805" i="32"/>
  <c r="AC802" i="32"/>
  <c r="AC799" i="32"/>
  <c r="AC823" i="32"/>
  <c r="AC813" i="32"/>
  <c r="AC812" i="32"/>
  <c r="AC801" i="32"/>
  <c r="AC800" i="32"/>
  <c r="AC804" i="32"/>
  <c r="AC814" i="32"/>
  <c r="AC806" i="32"/>
  <c r="AC820" i="32"/>
  <c r="AC803" i="32"/>
  <c r="AC807" i="32"/>
  <c r="AC809" i="32"/>
  <c r="AC811" i="32"/>
  <c r="AC798" i="32"/>
  <c r="AC819" i="32"/>
  <c r="AC810" i="32"/>
  <c r="AC808" i="32"/>
  <c r="AB826" i="32"/>
  <c r="AB696" i="32"/>
  <c r="AB566" i="32"/>
  <c r="AC693" i="32"/>
  <c r="AC690" i="32"/>
  <c r="AC683" i="32"/>
  <c r="AC691" i="32"/>
  <c r="AC687" i="32"/>
  <c r="AC695" i="32"/>
  <c r="AC686" i="32"/>
  <c r="AC685" i="32"/>
  <c r="AC682" i="32"/>
  <c r="AC678" i="32"/>
  <c r="AC694" i="32"/>
  <c r="AC692" i="32"/>
  <c r="AC684" i="32"/>
  <c r="AC681" i="32"/>
  <c r="AC679" i="32"/>
  <c r="AC680" i="32"/>
  <c r="AC676" i="32"/>
  <c r="AC673" i="32"/>
  <c r="AC670" i="32"/>
  <c r="AC672" i="32"/>
  <c r="AC669" i="32"/>
  <c r="AC688" i="32"/>
  <c r="AC675" i="32"/>
  <c r="AC689" i="32"/>
  <c r="AC671" i="32"/>
  <c r="AC677" i="32"/>
  <c r="AC668" i="32"/>
  <c r="AC674" i="32"/>
  <c r="AC542" i="32"/>
  <c r="AC555" i="32"/>
  <c r="AD537" i="32"/>
  <c r="AC551" i="32"/>
  <c r="AC552" i="32"/>
  <c r="AC549" i="32"/>
  <c r="AC538" i="32"/>
  <c r="AC560" i="32"/>
  <c r="AC545" i="32"/>
  <c r="AC553" i="32"/>
  <c r="AC543" i="32"/>
  <c r="AC559" i="32"/>
  <c r="AC554" i="32"/>
  <c r="AC544" i="32"/>
  <c r="AC548" i="32"/>
  <c r="AC563" i="32"/>
  <c r="AC546" i="32"/>
  <c r="AC558" i="32"/>
  <c r="AC547" i="32"/>
  <c r="AC541" i="32"/>
  <c r="AC561" i="32"/>
  <c r="AC556" i="32"/>
  <c r="AC550" i="32"/>
  <c r="AC562" i="32"/>
  <c r="AC539" i="32"/>
  <c r="AC540" i="32"/>
  <c r="AC565" i="32"/>
  <c r="AC564" i="32"/>
  <c r="AC557" i="32"/>
  <c r="AD823" i="32" l="1"/>
  <c r="AD822" i="32"/>
  <c r="AD818" i="32"/>
  <c r="AD813" i="32"/>
  <c r="AD808" i="32"/>
  <c r="AD803" i="32"/>
  <c r="AD798" i="32"/>
  <c r="AD825" i="32"/>
  <c r="AD824" i="32"/>
  <c r="AD821" i="32"/>
  <c r="AD819" i="32"/>
  <c r="AD817" i="32"/>
  <c r="AD815" i="32"/>
  <c r="AD814" i="32"/>
  <c r="AD811" i="32"/>
  <c r="AD810" i="32"/>
  <c r="AD807" i="32"/>
  <c r="AD804" i="32"/>
  <c r="AD801" i="32"/>
  <c r="AD820" i="32"/>
  <c r="AD816" i="32"/>
  <c r="AD799" i="32"/>
  <c r="AD805" i="32"/>
  <c r="AD812" i="32"/>
  <c r="AD800" i="32"/>
  <c r="AD809" i="32"/>
  <c r="AD806" i="32"/>
  <c r="AD802" i="32"/>
  <c r="AC826" i="32"/>
  <c r="AC696" i="32"/>
  <c r="AC566" i="32"/>
  <c r="AD691" i="32"/>
  <c r="AD687" i="32"/>
  <c r="AD682" i="32"/>
  <c r="AD690" i="32"/>
  <c r="AD685" i="32"/>
  <c r="AD689" i="32"/>
  <c r="AD688" i="32"/>
  <c r="AD680" i="32"/>
  <c r="AD675" i="32"/>
  <c r="AD670" i="32"/>
  <c r="AD695" i="32"/>
  <c r="AD693" i="32"/>
  <c r="AD686" i="32"/>
  <c r="AD694" i="32"/>
  <c r="AD692" i="32"/>
  <c r="AD684" i="32"/>
  <c r="AD683" i="32"/>
  <c r="AD679" i="32"/>
  <c r="AD671" i="32"/>
  <c r="AD681" i="32"/>
  <c r="AD673" i="32"/>
  <c r="AD669" i="32"/>
  <c r="AD678" i="32"/>
  <c r="AD677" i="32"/>
  <c r="AD668" i="32"/>
  <c r="AD674" i="32"/>
  <c r="AD676" i="32"/>
  <c r="AD672" i="32"/>
  <c r="AD544" i="32"/>
  <c r="AD538" i="32"/>
  <c r="AD555" i="32"/>
  <c r="AD549" i="32"/>
  <c r="AD543" i="32"/>
  <c r="AD560" i="32"/>
  <c r="AD562" i="32"/>
  <c r="AD556" i="32"/>
  <c r="AD550" i="32"/>
  <c r="AD554" i="32"/>
  <c r="AD548" i="32"/>
  <c r="AD559" i="32"/>
  <c r="AD553" i="32"/>
  <c r="AD542" i="32"/>
  <c r="AD564" i="32"/>
  <c r="AD558" i="32"/>
  <c r="AD547" i="32"/>
  <c r="AD541" i="32"/>
  <c r="AD563" i="32"/>
  <c r="AD552" i="32"/>
  <c r="AD546" i="32"/>
  <c r="AD545" i="32"/>
  <c r="AD557" i="32"/>
  <c r="AD551" i="32"/>
  <c r="AD540" i="32"/>
  <c r="AD539" i="32"/>
  <c r="AD561" i="32"/>
  <c r="AD565" i="32"/>
  <c r="AD826" i="32" l="1"/>
  <c r="AD566" i="32"/>
  <c r="AD696" i="32"/>
  <c r="E896" i="32" l="1"/>
  <c r="E897" i="32"/>
  <c r="E898" i="32"/>
  <c r="E899" i="32"/>
  <c r="E900" i="32"/>
  <c r="E901" i="32"/>
  <c r="E902" i="32"/>
  <c r="E903" i="32"/>
  <c r="E904" i="32"/>
  <c r="E905" i="32"/>
  <c r="E906" i="32"/>
  <c r="E907" i="32"/>
  <c r="E908" i="32"/>
  <c r="E909" i="32"/>
  <c r="E910" i="32"/>
  <c r="E911" i="32"/>
  <c r="E912" i="32"/>
  <c r="E913" i="32"/>
  <c r="E914" i="32"/>
  <c r="E915" i="32"/>
  <c r="E916" i="32"/>
  <c r="E917" i="32"/>
  <c r="E918" i="32"/>
  <c r="E919" i="32"/>
  <c r="E920" i="32"/>
  <c r="E921" i="32"/>
  <c r="E922" i="32"/>
  <c r="E923" i="32"/>
  <c r="E924" i="32"/>
  <c r="E925" i="32"/>
  <c r="E926" i="32"/>
  <c r="E927" i="32"/>
  <c r="E928" i="32"/>
  <c r="E929" i="32"/>
  <c r="E930" i="32"/>
  <c r="E931" i="32"/>
  <c r="E932" i="32"/>
  <c r="E933" i="32"/>
  <c r="E934" i="32"/>
  <c r="E935" i="32"/>
  <c r="E936" i="32"/>
  <c r="E937" i="32"/>
  <c r="F895" i="32"/>
  <c r="G895" i="32" s="1"/>
  <c r="H895" i="32" s="1"/>
  <c r="I895" i="32" s="1"/>
  <c r="J895" i="32" s="1"/>
  <c r="K895" i="32" s="1"/>
  <c r="L895" i="32" s="1"/>
  <c r="M895" i="32" s="1"/>
  <c r="N895" i="32" s="1"/>
  <c r="O895" i="32" s="1"/>
  <c r="P895" i="32" s="1"/>
  <c r="Q895" i="32" s="1"/>
  <c r="R895" i="32" s="1"/>
  <c r="S895" i="32" s="1"/>
  <c r="T895" i="32" s="1"/>
  <c r="U895" i="32" s="1"/>
  <c r="V895" i="32" s="1"/>
  <c r="W895" i="32" s="1"/>
  <c r="X895" i="32" s="1"/>
  <c r="Y895" i="32" s="1"/>
  <c r="Z895" i="32" s="1"/>
  <c r="AA895" i="32" s="1"/>
  <c r="AB895" i="32" s="1"/>
  <c r="AC895" i="32" s="1"/>
  <c r="AD895" i="32" s="1"/>
  <c r="F471" i="32"/>
  <c r="G471" i="32" s="1"/>
  <c r="H471" i="32" s="1"/>
  <c r="I471" i="32" s="1"/>
  <c r="J471" i="32" s="1"/>
  <c r="K471" i="32" s="1"/>
  <c r="L471" i="32" s="1"/>
  <c r="M471" i="32" s="1"/>
  <c r="N471" i="32" s="1"/>
  <c r="O471" i="32" s="1"/>
  <c r="P471" i="32" s="1"/>
  <c r="Q471" i="32" s="1"/>
  <c r="R471" i="32" s="1"/>
  <c r="S471" i="32" s="1"/>
  <c r="T471" i="32" s="1"/>
  <c r="U471" i="32" s="1"/>
  <c r="V471" i="32" s="1"/>
  <c r="W471" i="32" s="1"/>
  <c r="X471" i="32" s="1"/>
  <c r="Y471" i="32" s="1"/>
  <c r="Z471" i="32" s="1"/>
  <c r="AA471" i="32" s="1"/>
  <c r="AB471" i="32" s="1"/>
  <c r="AC471" i="32" s="1"/>
  <c r="AD471" i="32" s="1"/>
  <c r="E299" i="32"/>
  <c r="F288" i="32"/>
  <c r="G288" i="32" s="1"/>
  <c r="H288" i="32" s="1"/>
  <c r="I288" i="32" s="1"/>
  <c r="J288" i="32" s="1"/>
  <c r="K288" i="32" s="1"/>
  <c r="L288" i="32" s="1"/>
  <c r="M288" i="32" s="1"/>
  <c r="N288" i="32" s="1"/>
  <c r="O288" i="32" s="1"/>
  <c r="P288" i="32" s="1"/>
  <c r="Q288" i="32" s="1"/>
  <c r="R288" i="32" s="1"/>
  <c r="S288" i="32" s="1"/>
  <c r="T288" i="32" s="1"/>
  <c r="U288" i="32" s="1"/>
  <c r="V288" i="32" s="1"/>
  <c r="W288" i="32" s="1"/>
  <c r="X288" i="32" s="1"/>
  <c r="Y288" i="32" s="1"/>
  <c r="Z288" i="32" s="1"/>
  <c r="AA288" i="32" s="1"/>
  <c r="AB288" i="32" s="1"/>
  <c r="AC288" i="32" s="1"/>
  <c r="AD288" i="32" s="1"/>
  <c r="E176" i="32"/>
  <c r="E177" i="32"/>
  <c r="E178" i="32"/>
  <c r="E179" i="32"/>
  <c r="E180" i="32"/>
  <c r="E181" i="32"/>
  <c r="E182" i="32"/>
  <c r="E183" i="32"/>
  <c r="E184" i="32"/>
  <c r="E185" i="32"/>
  <c r="F189" i="32"/>
  <c r="G189" i="32" s="1"/>
  <c r="H189" i="32" s="1"/>
  <c r="I189" i="32" s="1"/>
  <c r="J189" i="32" s="1"/>
  <c r="K189" i="32" s="1"/>
  <c r="L189" i="32" s="1"/>
  <c r="M189" i="32" s="1"/>
  <c r="N189" i="32" s="1"/>
  <c r="O189" i="32" s="1"/>
  <c r="P189" i="32" s="1"/>
  <c r="Q189" i="32" s="1"/>
  <c r="R189" i="32" s="1"/>
  <c r="S189" i="32" s="1"/>
  <c r="T189" i="32" s="1"/>
  <c r="U189" i="32" s="1"/>
  <c r="V189" i="32" s="1"/>
  <c r="W189" i="32" s="1"/>
  <c r="X189" i="32" s="1"/>
  <c r="Y189" i="32" s="1"/>
  <c r="Z189" i="32" s="1"/>
  <c r="AA189" i="32" s="1"/>
  <c r="AB189" i="32" s="1"/>
  <c r="AC189" i="32" s="1"/>
  <c r="AD189" i="32" s="1"/>
  <c r="F302" i="32"/>
  <c r="G302" i="32" s="1"/>
  <c r="H302" i="32" s="1"/>
  <c r="I302" i="32" s="1"/>
  <c r="J302" i="32" s="1"/>
  <c r="K302" i="32" s="1"/>
  <c r="L302" i="32" s="1"/>
  <c r="M302" i="32" s="1"/>
  <c r="N302" i="32" s="1"/>
  <c r="O302" i="32" s="1"/>
  <c r="P302" i="32" s="1"/>
  <c r="Q302" i="32" s="1"/>
  <c r="R302" i="32" s="1"/>
  <c r="S302" i="32" s="1"/>
  <c r="T302" i="32" s="1"/>
  <c r="U302" i="32" s="1"/>
  <c r="V302" i="32" s="1"/>
  <c r="W302" i="32" s="1"/>
  <c r="X302" i="32" s="1"/>
  <c r="Y302" i="32" s="1"/>
  <c r="Z302" i="32" s="1"/>
  <c r="AA302" i="32" s="1"/>
  <c r="AB302" i="32" s="1"/>
  <c r="AC302" i="32" s="1"/>
  <c r="AD302" i="32" s="1"/>
  <c r="F175" i="32"/>
  <c r="E311" i="32" l="1"/>
  <c r="E212" i="32"/>
  <c r="E305" i="32"/>
  <c r="E206" i="32"/>
  <c r="E303" i="32"/>
  <c r="E204" i="32"/>
  <c r="E312" i="32"/>
  <c r="E213" i="32"/>
  <c r="E310" i="32"/>
  <c r="E211" i="32"/>
  <c r="E308" i="32"/>
  <c r="E209" i="32"/>
  <c r="E307" i="32"/>
  <c r="E208" i="32"/>
  <c r="E309" i="32"/>
  <c r="E210" i="32"/>
  <c r="E306" i="32"/>
  <c r="E207" i="32"/>
  <c r="F192" i="32"/>
  <c r="F197" i="32"/>
  <c r="F190" i="32"/>
  <c r="F191" i="32"/>
  <c r="F196" i="32"/>
  <c r="F199" i="32"/>
  <c r="F193" i="32"/>
  <c r="F194" i="32"/>
  <c r="F195" i="32"/>
  <c r="F198" i="32"/>
  <c r="E304" i="32"/>
  <c r="E205" i="32"/>
  <c r="E938" i="32"/>
  <c r="E500" i="32"/>
  <c r="E42" i="32" s="1"/>
  <c r="E186" i="32"/>
  <c r="E313" i="32" s="1"/>
  <c r="E200" i="32"/>
  <c r="G175" i="32"/>
  <c r="E31" i="32" l="1"/>
  <c r="E214" i="32"/>
  <c r="G192" i="32"/>
  <c r="G195" i="32"/>
  <c r="G198" i="32"/>
  <c r="G191" i="32"/>
  <c r="G190" i="32"/>
  <c r="G194" i="32"/>
  <c r="G197" i="32"/>
  <c r="G193" i="32"/>
  <c r="G196" i="32"/>
  <c r="G199" i="32"/>
  <c r="F200" i="32"/>
  <c r="H175" i="32"/>
  <c r="H190" i="32" l="1"/>
  <c r="H195" i="32"/>
  <c r="H191" i="32"/>
  <c r="H192" i="32"/>
  <c r="H193" i="32"/>
  <c r="H194" i="32"/>
  <c r="H197" i="32"/>
  <c r="H199" i="32"/>
  <c r="H196" i="32"/>
  <c r="H198" i="32"/>
  <c r="G200" i="32"/>
  <c r="I175" i="32"/>
  <c r="I190" i="32" l="1"/>
  <c r="I195" i="32"/>
  <c r="I198" i="32"/>
  <c r="I193" i="32"/>
  <c r="I199" i="32"/>
  <c r="I197" i="32"/>
  <c r="I192" i="32"/>
  <c r="I194" i="32"/>
  <c r="I191" i="32"/>
  <c r="I196" i="32"/>
  <c r="H200" i="32"/>
  <c r="J175" i="32"/>
  <c r="J193" i="32" l="1"/>
  <c r="J198" i="32"/>
  <c r="J195" i="32"/>
  <c r="J191" i="32"/>
  <c r="J192" i="32"/>
  <c r="J196" i="32"/>
  <c r="J199" i="32"/>
  <c r="J190" i="32"/>
  <c r="J197" i="32"/>
  <c r="J194" i="32"/>
  <c r="I200" i="32"/>
  <c r="K175" i="32"/>
  <c r="K193" i="32" l="1"/>
  <c r="K190" i="32"/>
  <c r="K194" i="32"/>
  <c r="K197" i="32"/>
  <c r="K191" i="32"/>
  <c r="K192" i="32"/>
  <c r="K196" i="32"/>
  <c r="K199" i="32"/>
  <c r="K195" i="32"/>
  <c r="K198" i="32"/>
  <c r="J200" i="32"/>
  <c r="L175" i="32"/>
  <c r="L191" i="32" l="1"/>
  <c r="L196" i="32"/>
  <c r="L194" i="32"/>
  <c r="L190" i="32"/>
  <c r="L199" i="32"/>
  <c r="L198" i="32"/>
  <c r="L193" i="32"/>
  <c r="L197" i="32"/>
  <c r="L192" i="32"/>
  <c r="L195" i="32"/>
  <c r="K200" i="32"/>
  <c r="M175" i="32"/>
  <c r="M191" i="32" l="1"/>
  <c r="M194" i="32"/>
  <c r="M197" i="32"/>
  <c r="M196" i="32"/>
  <c r="M195" i="32"/>
  <c r="M190" i="32"/>
  <c r="M199" i="32"/>
  <c r="M193" i="32"/>
  <c r="M192" i="32"/>
  <c r="M198" i="32"/>
  <c r="L200" i="32"/>
  <c r="N175" i="32"/>
  <c r="N194" i="32" l="1"/>
  <c r="N199" i="32"/>
  <c r="N190" i="32"/>
  <c r="N192" i="32"/>
  <c r="N193" i="32"/>
  <c r="N195" i="32"/>
  <c r="N198" i="32"/>
  <c r="N196" i="32"/>
  <c r="N191" i="32"/>
  <c r="N197" i="32"/>
  <c r="M200" i="32"/>
  <c r="O175" i="32"/>
  <c r="O190" i="32" l="1"/>
  <c r="O196" i="32"/>
  <c r="O199" i="32"/>
  <c r="O192" i="32"/>
  <c r="O193" i="32"/>
  <c r="O195" i="32"/>
  <c r="O198" i="32"/>
  <c r="O194" i="32"/>
  <c r="O197" i="32"/>
  <c r="O191" i="32"/>
  <c r="N200" i="32"/>
  <c r="P175" i="32"/>
  <c r="P192" i="32" l="1"/>
  <c r="P197" i="32"/>
  <c r="P191" i="32"/>
  <c r="P190" i="32"/>
  <c r="P193" i="32"/>
  <c r="P198" i="32"/>
  <c r="P196" i="32"/>
  <c r="P199" i="32"/>
  <c r="P194" i="32"/>
  <c r="P195" i="32"/>
  <c r="O200" i="32"/>
  <c r="Q175" i="32"/>
  <c r="Q192" i="32" l="1"/>
  <c r="Q191" i="32"/>
  <c r="Q190" i="32"/>
  <c r="Q196" i="32"/>
  <c r="Q199" i="32"/>
  <c r="Q195" i="32"/>
  <c r="Q198" i="32"/>
  <c r="Q194" i="32"/>
  <c r="Q193" i="32"/>
  <c r="Q197" i="32"/>
  <c r="P200" i="32"/>
  <c r="R175" i="32"/>
  <c r="R190" i="32" l="1"/>
  <c r="R195" i="32"/>
  <c r="R198" i="32"/>
  <c r="R191" i="32"/>
  <c r="R192" i="32"/>
  <c r="R194" i="32"/>
  <c r="R197" i="32"/>
  <c r="R196" i="32"/>
  <c r="R199" i="32"/>
  <c r="R193" i="32"/>
  <c r="Q200" i="32"/>
  <c r="S175" i="32"/>
  <c r="S190" i="32" l="1"/>
  <c r="S195" i="32"/>
  <c r="S191" i="32"/>
  <c r="S194" i="32"/>
  <c r="S197" i="32"/>
  <c r="S198" i="32"/>
  <c r="S193" i="32"/>
  <c r="S196" i="32"/>
  <c r="S199" i="32"/>
  <c r="S192" i="32"/>
  <c r="R200" i="32"/>
  <c r="T175" i="32"/>
  <c r="T193" i="32" l="1"/>
  <c r="T198" i="32"/>
  <c r="T195" i="32"/>
  <c r="T190" i="32"/>
  <c r="T191" i="32"/>
  <c r="T192" i="32"/>
  <c r="T197" i="32"/>
  <c r="T196" i="32"/>
  <c r="T199" i="32"/>
  <c r="T194" i="32"/>
  <c r="S200" i="32"/>
  <c r="U175" i="32"/>
  <c r="U193" i="32" l="1"/>
  <c r="U190" i="32"/>
  <c r="U195" i="32"/>
  <c r="U198" i="32"/>
  <c r="U196" i="32"/>
  <c r="U199" i="32"/>
  <c r="U191" i="32"/>
  <c r="U194" i="32"/>
  <c r="U192" i="32"/>
  <c r="U197" i="32"/>
  <c r="T200" i="32"/>
  <c r="V175" i="32"/>
  <c r="V191" i="32" l="1"/>
  <c r="V196" i="32"/>
  <c r="V194" i="32"/>
  <c r="V197" i="32"/>
  <c r="V190" i="32"/>
  <c r="V192" i="32"/>
  <c r="V193" i="32"/>
  <c r="V199" i="32"/>
  <c r="V195" i="32"/>
  <c r="V198" i="32"/>
  <c r="U200" i="32"/>
  <c r="W175" i="32"/>
  <c r="W191" i="32" l="1"/>
  <c r="W194" i="32"/>
  <c r="W190" i="32"/>
  <c r="W192" i="32"/>
  <c r="W193" i="32"/>
  <c r="W196" i="32"/>
  <c r="W197" i="32"/>
  <c r="W195" i="32"/>
  <c r="W198" i="32"/>
  <c r="W199" i="32"/>
  <c r="V200" i="32"/>
  <c r="X175" i="32"/>
  <c r="X194" i="32" l="1"/>
  <c r="X199" i="32"/>
  <c r="X197" i="32"/>
  <c r="X190" i="32"/>
  <c r="X191" i="32"/>
  <c r="X195" i="32"/>
  <c r="X198" i="32"/>
  <c r="X196" i="32"/>
  <c r="X192" i="32"/>
  <c r="X193" i="32"/>
  <c r="W200" i="32"/>
  <c r="Y175" i="32"/>
  <c r="Y194" i="32" l="1"/>
  <c r="Y195" i="32"/>
  <c r="Y198" i="32"/>
  <c r="Y190" i="32"/>
  <c r="Y191" i="32"/>
  <c r="Y192" i="32"/>
  <c r="Y193" i="32"/>
  <c r="Y197" i="32"/>
  <c r="Y196" i="32"/>
  <c r="Y199" i="32"/>
  <c r="X200" i="32"/>
  <c r="Z175" i="32"/>
  <c r="Z192" i="32" l="1"/>
  <c r="Z197" i="32"/>
  <c r="Z193" i="32"/>
  <c r="Z196" i="32"/>
  <c r="Z199" i="32"/>
  <c r="Z195" i="32"/>
  <c r="Z198" i="32"/>
  <c r="Z191" i="32"/>
  <c r="Z194" i="32"/>
  <c r="Z190" i="32"/>
  <c r="Y200" i="32"/>
  <c r="AA175" i="32"/>
  <c r="AA192" i="32" l="1"/>
  <c r="AA193" i="32"/>
  <c r="AA199" i="32"/>
  <c r="AA191" i="32"/>
  <c r="AA194" i="32"/>
  <c r="AA197" i="32"/>
  <c r="AA196" i="32"/>
  <c r="AA195" i="32"/>
  <c r="AA190" i="32"/>
  <c r="AA198" i="32"/>
  <c r="Z200" i="32"/>
  <c r="AB175" i="32"/>
  <c r="AB190" i="32" l="1"/>
  <c r="AB195" i="32"/>
  <c r="AB191" i="32"/>
  <c r="AB192" i="32"/>
  <c r="AB193" i="32"/>
  <c r="AB196" i="32"/>
  <c r="AB199" i="32"/>
  <c r="AB194" i="32"/>
  <c r="AB197" i="32"/>
  <c r="AB198" i="32"/>
  <c r="AA200" i="32"/>
  <c r="AC175" i="32"/>
  <c r="AC190" i="32" l="1"/>
  <c r="AC198" i="32"/>
  <c r="AC191" i="32"/>
  <c r="AC192" i="32"/>
  <c r="AC194" i="32"/>
  <c r="AC197" i="32"/>
  <c r="AC193" i="32"/>
  <c r="AC199" i="32"/>
  <c r="AC195" i="32"/>
  <c r="AC196" i="32"/>
  <c r="AB200" i="32"/>
  <c r="AD175" i="32"/>
  <c r="AD193" i="32" l="1"/>
  <c r="AD198" i="32"/>
  <c r="AD190" i="32"/>
  <c r="AD195" i="32"/>
  <c r="AD191" i="32"/>
  <c r="AD192" i="32"/>
  <c r="AD194" i="32"/>
  <c r="AD197" i="32"/>
  <c r="AD196" i="32"/>
  <c r="AD199" i="32"/>
  <c r="AC200" i="32"/>
  <c r="AD200" i="32" l="1"/>
  <c r="E244" i="32" l="1"/>
  <c r="E408" i="32"/>
  <c r="E409" i="32"/>
  <c r="E410" i="32"/>
  <c r="E411" i="32"/>
  <c r="E412" i="32"/>
  <c r="E413" i="32"/>
  <c r="E414" i="32"/>
  <c r="E415" i="32"/>
  <c r="E416" i="32"/>
  <c r="E417" i="32"/>
  <c r="E418" i="32"/>
  <c r="E419" i="32"/>
  <c r="E420" i="32"/>
  <c r="E421" i="32"/>
  <c r="E422" i="32"/>
  <c r="E423" i="32"/>
  <c r="E424" i="32"/>
  <c r="E425" i="32"/>
  <c r="E426" i="32"/>
  <c r="E427" i="32"/>
  <c r="E428" i="32"/>
  <c r="E429" i="32"/>
  <c r="E430" i="32"/>
  <c r="E431" i="32"/>
  <c r="E432" i="32"/>
  <c r="E433" i="32"/>
  <c r="E434" i="32"/>
  <c r="E435" i="32"/>
  <c r="F407" i="32"/>
  <c r="E374" i="32"/>
  <c r="E365" i="32"/>
  <c r="E351" i="32"/>
  <c r="E352" i="32"/>
  <c r="E353" i="32"/>
  <c r="E354" i="32"/>
  <c r="E355" i="32"/>
  <c r="E341" i="32"/>
  <c r="E378" i="32" s="1"/>
  <c r="E342" i="32"/>
  <c r="E379" i="32" s="1"/>
  <c r="E343" i="32"/>
  <c r="E380" i="32" s="1"/>
  <c r="E344" i="32"/>
  <c r="E381" i="32" s="1"/>
  <c r="E345" i="32"/>
  <c r="E382" i="32" s="1"/>
  <c r="E245" i="32"/>
  <c r="E170" i="32" a="1"/>
  <c r="E170" i="32" s="1"/>
  <c r="E169" i="32" a="1"/>
  <c r="E169" i="32" s="1"/>
  <c r="E147" i="32" a="1"/>
  <c r="E147" i="32" s="1"/>
  <c r="E148" i="32" a="1"/>
  <c r="E148" i="32" s="1"/>
  <c r="E149" i="32" a="1"/>
  <c r="E149" i="32" s="1"/>
  <c r="E150" i="32" a="1"/>
  <c r="E150" i="32" s="1"/>
  <c r="E151" i="32" a="1"/>
  <c r="E151" i="32" s="1"/>
  <c r="E152" i="32" a="1"/>
  <c r="E152" i="32" s="1"/>
  <c r="E153" i="32" a="1"/>
  <c r="E153" i="32" s="1"/>
  <c r="E154" i="32" a="1"/>
  <c r="E154" i="32" s="1"/>
  <c r="E155" i="32" a="1"/>
  <c r="E155" i="32" s="1"/>
  <c r="E156" i="32" a="1"/>
  <c r="E156" i="32" s="1"/>
  <c r="E157" i="32" a="1"/>
  <c r="E157" i="32" s="1"/>
  <c r="E158" i="32" a="1"/>
  <c r="E158" i="32" s="1"/>
  <c r="E159" i="32" a="1"/>
  <c r="E159" i="32" s="1"/>
  <c r="E160" i="32" a="1"/>
  <c r="E160" i="32" s="1"/>
  <c r="E163" i="32" a="1"/>
  <c r="E163" i="32" s="1"/>
  <c r="E162" i="32" a="1"/>
  <c r="E162" i="32" s="1"/>
  <c r="E130" i="32" a="1"/>
  <c r="E130" i="32" s="1"/>
  <c r="E129" i="32" a="1"/>
  <c r="E129" i="32" s="1"/>
  <c r="E128" i="32" a="1"/>
  <c r="E128" i="32" s="1"/>
  <c r="E127" i="32" a="1"/>
  <c r="E127" i="32" s="1"/>
  <c r="E122" i="32" a="1"/>
  <c r="E122" i="32" s="1"/>
  <c r="E121" i="32" a="1"/>
  <c r="E121" i="32" s="1"/>
  <c r="E120" i="32" a="1"/>
  <c r="E120" i="32" s="1"/>
  <c r="E119" i="32" a="1"/>
  <c r="E119" i="32" s="1"/>
  <c r="E93" i="32" a="1"/>
  <c r="E93" i="32" s="1"/>
  <c r="E92" i="32" a="1"/>
  <c r="E92" i="32" s="1"/>
  <c r="E91" i="32" a="1"/>
  <c r="E91" i="32" s="1"/>
  <c r="E90" i="32" a="1"/>
  <c r="E90" i="32" s="1"/>
  <c r="E89" i="32" a="1"/>
  <c r="E89" i="32" s="1"/>
  <c r="E88" i="32" a="1"/>
  <c r="E88" i="32" s="1"/>
  <c r="E87" i="32" a="1"/>
  <c r="E87" i="32" s="1"/>
  <c r="E86" i="32" a="1"/>
  <c r="E86" i="32" s="1"/>
  <c r="E85" i="32" a="1"/>
  <c r="E85" i="32" s="1"/>
  <c r="E84" i="32" a="1"/>
  <c r="E84" i="32" s="1"/>
  <c r="E83" i="32" a="1"/>
  <c r="E83" i="32" s="1"/>
  <c r="E82" i="32" a="1"/>
  <c r="E82" i="32" s="1"/>
  <c r="E81" i="32" a="1"/>
  <c r="E81" i="32" s="1"/>
  <c r="E80" i="32" a="1"/>
  <c r="E80" i="32" s="1"/>
  <c r="E79" i="32" a="1"/>
  <c r="E79" i="32" s="1"/>
  <c r="E74" i="32" a="1"/>
  <c r="E74" i="32" s="1"/>
  <c r="E73" i="32" a="1"/>
  <c r="E73" i="32" s="1"/>
  <c r="E72" i="32" a="1"/>
  <c r="E72" i="32" s="1"/>
  <c r="E71" i="32" a="1"/>
  <c r="E71" i="32" s="1"/>
  <c r="E70" i="32" a="1"/>
  <c r="E70" i="32" s="1"/>
  <c r="E69" i="32" a="1"/>
  <c r="E69" i="32" s="1"/>
  <c r="E68" i="32" a="1"/>
  <c r="E68" i="32" s="1"/>
  <c r="E67" i="32" a="1"/>
  <c r="E67" i="32" s="1"/>
  <c r="E66" i="32" a="1"/>
  <c r="E66" i="32" s="1"/>
  <c r="E65" i="32" a="1"/>
  <c r="E65" i="32" s="1"/>
  <c r="E64" i="32" a="1"/>
  <c r="E64" i="32" s="1"/>
  <c r="E63" i="32" a="1"/>
  <c r="E63" i="32" s="1"/>
  <c r="E62" i="32" a="1"/>
  <c r="E62" i="32" s="1"/>
  <c r="E61" i="32" a="1"/>
  <c r="E61" i="32" s="1"/>
  <c r="E50" i="32" a="1"/>
  <c r="E50" i="32" s="1"/>
  <c r="E49" i="32" a="1"/>
  <c r="E49" i="32" s="1"/>
  <c r="E48" i="32" a="1"/>
  <c r="E48" i="32" s="1"/>
  <c r="E324" i="32"/>
  <c r="E265" i="32"/>
  <c r="E333" i="32"/>
  <c r="E266" i="32"/>
  <c r="E238" i="32"/>
  <c r="E52" i="32" l="1"/>
  <c r="F474" i="32"/>
  <c r="F472" i="32"/>
  <c r="F476" i="32"/>
  <c r="F481" i="32"/>
  <c r="F486" i="32"/>
  <c r="F491" i="32"/>
  <c r="F496" i="32"/>
  <c r="F473" i="32"/>
  <c r="F478" i="32"/>
  <c r="F483" i="32"/>
  <c r="F493" i="32"/>
  <c r="F490" i="32"/>
  <c r="F499" i="32"/>
  <c r="F482" i="32"/>
  <c r="F492" i="32"/>
  <c r="F494" i="32"/>
  <c r="F477" i="32"/>
  <c r="F489" i="32"/>
  <c r="F488" i="32"/>
  <c r="F498" i="32"/>
  <c r="F475" i="32"/>
  <c r="F479" i="32"/>
  <c r="F485" i="32"/>
  <c r="F480" i="32"/>
  <c r="F487" i="32"/>
  <c r="F497" i="32"/>
  <c r="F484" i="32"/>
  <c r="F495" i="32"/>
  <c r="E597" i="32"/>
  <c r="E629" i="32" s="1"/>
  <c r="E533" i="32" s="1"/>
  <c r="E467" i="32"/>
  <c r="E587" i="32"/>
  <c r="E619" i="32" s="1"/>
  <c r="E523" i="32" s="1"/>
  <c r="E457" i="32"/>
  <c r="E577" i="32"/>
  <c r="E609" i="32" s="1"/>
  <c r="E513" i="32" s="1"/>
  <c r="E447" i="32"/>
  <c r="E596" i="32"/>
  <c r="E628" i="32" s="1"/>
  <c r="E532" i="32" s="1"/>
  <c r="E466" i="32"/>
  <c r="E586" i="32"/>
  <c r="E618" i="32" s="1"/>
  <c r="E522" i="32" s="1"/>
  <c r="E456" i="32"/>
  <c r="E576" i="32"/>
  <c r="E608" i="32" s="1"/>
  <c r="E512" i="32" s="1"/>
  <c r="E446" i="32"/>
  <c r="E595" i="32"/>
  <c r="E627" i="32" s="1"/>
  <c r="E531" i="32" s="1"/>
  <c r="E465" i="32"/>
  <c r="E585" i="32"/>
  <c r="E617" i="32" s="1"/>
  <c r="E521" i="32" s="1"/>
  <c r="E455" i="32"/>
  <c r="E575" i="32"/>
  <c r="E607" i="32" s="1"/>
  <c r="E511" i="32" s="1"/>
  <c r="E445" i="32"/>
  <c r="E588" i="32"/>
  <c r="E620" i="32" s="1"/>
  <c r="E524" i="32" s="1"/>
  <c r="E458" i="32"/>
  <c r="E578" i="32"/>
  <c r="E610" i="32" s="1"/>
  <c r="E514" i="32" s="1"/>
  <c r="E448" i="32"/>
  <c r="E594" i="32"/>
  <c r="E626" i="32" s="1"/>
  <c r="E530" i="32" s="1"/>
  <c r="E464" i="32"/>
  <c r="E584" i="32"/>
  <c r="E616" i="32" s="1"/>
  <c r="E520" i="32" s="1"/>
  <c r="E454" i="32"/>
  <c r="E574" i="32"/>
  <c r="E606" i="32" s="1"/>
  <c r="E510" i="32" s="1"/>
  <c r="E444" i="32"/>
  <c r="E593" i="32"/>
  <c r="E463" i="32"/>
  <c r="E583" i="32"/>
  <c r="E615" i="32" s="1"/>
  <c r="E519" i="32" s="1"/>
  <c r="E453" i="32"/>
  <c r="E573" i="32"/>
  <c r="E605" i="32" s="1"/>
  <c r="E509" i="32" s="1"/>
  <c r="E443" i="32"/>
  <c r="E592" i="32"/>
  <c r="E624" i="32" s="1"/>
  <c r="E528" i="32" s="1"/>
  <c r="E462" i="32"/>
  <c r="E582" i="32"/>
  <c r="E614" i="32" s="1"/>
  <c r="E518" i="32" s="1"/>
  <c r="E452" i="32"/>
  <c r="E572" i="32"/>
  <c r="E604" i="32" s="1"/>
  <c r="E508" i="32" s="1"/>
  <c r="E442" i="32"/>
  <c r="E591" i="32"/>
  <c r="E623" i="32" s="1"/>
  <c r="E527" i="32" s="1"/>
  <c r="E461" i="32"/>
  <c r="E581" i="32"/>
  <c r="E613" i="32" s="1"/>
  <c r="E517" i="32" s="1"/>
  <c r="E451" i="32"/>
  <c r="E571" i="32"/>
  <c r="E603" i="32" s="1"/>
  <c r="E507" i="32" s="1"/>
  <c r="E441" i="32"/>
  <c r="E590" i="32"/>
  <c r="E622" i="32" s="1"/>
  <c r="E526" i="32" s="1"/>
  <c r="E460" i="32"/>
  <c r="E580" i="32"/>
  <c r="E612" i="32" s="1"/>
  <c r="E516" i="32" s="1"/>
  <c r="E450" i="32"/>
  <c r="E570" i="32"/>
  <c r="E602" i="32" s="1"/>
  <c r="E506" i="32" s="1"/>
  <c r="E440" i="32"/>
  <c r="E589" i="32"/>
  <c r="E621" i="32" s="1"/>
  <c r="E525" i="32" s="1"/>
  <c r="E459" i="32"/>
  <c r="E579" i="32"/>
  <c r="E611" i="32" s="1"/>
  <c r="E515" i="32" s="1"/>
  <c r="E449" i="32"/>
  <c r="E848" i="32"/>
  <c r="E718" i="32"/>
  <c r="E838" i="32"/>
  <c r="E708" i="32"/>
  <c r="E857" i="32"/>
  <c r="E727" i="32"/>
  <c r="E847" i="32"/>
  <c r="E717" i="32"/>
  <c r="E837" i="32"/>
  <c r="E707" i="32"/>
  <c r="E856" i="32"/>
  <c r="E726" i="32"/>
  <c r="E846" i="32"/>
  <c r="E716" i="32"/>
  <c r="E836" i="32"/>
  <c r="E706" i="32"/>
  <c r="E855" i="32"/>
  <c r="E725" i="32"/>
  <c r="E845" i="32"/>
  <c r="E715" i="32"/>
  <c r="E835" i="32"/>
  <c r="E705" i="32"/>
  <c r="E854" i="32"/>
  <c r="E724" i="32"/>
  <c r="E844" i="32"/>
  <c r="E714" i="32"/>
  <c r="E834" i="32"/>
  <c r="E704" i="32"/>
  <c r="E853" i="32"/>
  <c r="E723" i="32"/>
  <c r="E843" i="32"/>
  <c r="E713" i="32"/>
  <c r="E833" i="32"/>
  <c r="E703" i="32"/>
  <c r="E852" i="32"/>
  <c r="E722" i="32"/>
  <c r="E842" i="32"/>
  <c r="E712" i="32"/>
  <c r="E832" i="32"/>
  <c r="E702" i="32"/>
  <c r="E851" i="32"/>
  <c r="E721" i="32"/>
  <c r="E841" i="32"/>
  <c r="E711" i="32"/>
  <c r="E831" i="32"/>
  <c r="E701" i="32"/>
  <c r="E850" i="32"/>
  <c r="E720" i="32"/>
  <c r="E840" i="32"/>
  <c r="E710" i="32"/>
  <c r="E830" i="32"/>
  <c r="E862" i="32" s="1"/>
  <c r="E700" i="32"/>
  <c r="E732" i="32" s="1"/>
  <c r="E849" i="32"/>
  <c r="E719" i="32"/>
  <c r="E839" i="32"/>
  <c r="E709" i="32"/>
  <c r="F408" i="32"/>
  <c r="E436" i="32"/>
  <c r="F431" i="32"/>
  <c r="F426" i="32"/>
  <c r="F421" i="32"/>
  <c r="F416" i="32"/>
  <c r="F411" i="32"/>
  <c r="G407" i="32"/>
  <c r="F434" i="32"/>
  <c r="F429" i="32"/>
  <c r="F424" i="32"/>
  <c r="F419" i="32"/>
  <c r="F414" i="32"/>
  <c r="F409" i="32"/>
  <c r="F432" i="32"/>
  <c r="F427" i="32"/>
  <c r="F422" i="32"/>
  <c r="F417" i="32"/>
  <c r="F412" i="32"/>
  <c r="F435" i="32"/>
  <c r="F430" i="32"/>
  <c r="F425" i="32"/>
  <c r="F420" i="32"/>
  <c r="F415" i="32"/>
  <c r="F410" i="32"/>
  <c r="F433" i="32"/>
  <c r="F428" i="32"/>
  <c r="F423" i="32"/>
  <c r="F418" i="32"/>
  <c r="F413" i="32"/>
  <c r="E356" i="32"/>
  <c r="E346" i="32"/>
  <c r="F168" i="32"/>
  <c r="G168" i="32" s="1"/>
  <c r="H168" i="32" s="1"/>
  <c r="I168" i="32" s="1"/>
  <c r="J168" i="32" s="1"/>
  <c r="K168" i="32" s="1"/>
  <c r="L168" i="32" s="1"/>
  <c r="M168" i="32" s="1"/>
  <c r="N168" i="32" s="1"/>
  <c r="O168" i="32" s="1"/>
  <c r="P168" i="32" s="1"/>
  <c r="Q168" i="32" s="1"/>
  <c r="R168" i="32" s="1"/>
  <c r="S168" i="32" s="1"/>
  <c r="T168" i="32" s="1"/>
  <c r="U168" i="32" s="1"/>
  <c r="V168" i="32" s="1"/>
  <c r="W168" i="32" s="1"/>
  <c r="X168" i="32" s="1"/>
  <c r="Y168" i="32" s="1"/>
  <c r="Z168" i="32" s="1"/>
  <c r="AA168" i="32" s="1"/>
  <c r="AB168" i="32" s="1"/>
  <c r="AC168" i="32" s="1"/>
  <c r="AD168" i="32" s="1"/>
  <c r="F146" i="32"/>
  <c r="E271" i="32"/>
  <c r="E283" i="32"/>
  <c r="E332" i="32"/>
  <c r="F377" i="32"/>
  <c r="G377" i="32" s="1"/>
  <c r="H377" i="32" s="1"/>
  <c r="I377" i="32" s="1"/>
  <c r="J377" i="32" s="1"/>
  <c r="K377" i="32" s="1"/>
  <c r="L377" i="32" s="1"/>
  <c r="M377" i="32" s="1"/>
  <c r="N377" i="32" s="1"/>
  <c r="O377" i="32" s="1"/>
  <c r="P377" i="32" s="1"/>
  <c r="Q377" i="32" s="1"/>
  <c r="R377" i="32" s="1"/>
  <c r="S377" i="32" s="1"/>
  <c r="T377" i="32" s="1"/>
  <c r="U377" i="32" s="1"/>
  <c r="V377" i="32" s="1"/>
  <c r="W377" i="32" s="1"/>
  <c r="X377" i="32" s="1"/>
  <c r="Y377" i="32" s="1"/>
  <c r="Z377" i="32" s="1"/>
  <c r="AA377" i="32" s="1"/>
  <c r="AB377" i="32" s="1"/>
  <c r="AC377" i="32" s="1"/>
  <c r="AD377" i="32" s="1"/>
  <c r="F368" i="32"/>
  <c r="G368" i="32" s="1"/>
  <c r="H368" i="32" s="1"/>
  <c r="I368" i="32" s="1"/>
  <c r="J368" i="32" s="1"/>
  <c r="K368" i="32" s="1"/>
  <c r="L368" i="32" s="1"/>
  <c r="M368" i="32" s="1"/>
  <c r="N368" i="32" s="1"/>
  <c r="O368" i="32" s="1"/>
  <c r="P368" i="32" s="1"/>
  <c r="Q368" i="32" s="1"/>
  <c r="R368" i="32" s="1"/>
  <c r="S368" i="32" s="1"/>
  <c r="T368" i="32" s="1"/>
  <c r="U368" i="32" s="1"/>
  <c r="V368" i="32" s="1"/>
  <c r="W368" i="32" s="1"/>
  <c r="X368" i="32" s="1"/>
  <c r="Y368" i="32" s="1"/>
  <c r="Z368" i="32" s="1"/>
  <c r="AA368" i="32" s="1"/>
  <c r="AB368" i="32" s="1"/>
  <c r="AC368" i="32" s="1"/>
  <c r="AD368" i="32" s="1"/>
  <c r="F359" i="32"/>
  <c r="F350" i="32"/>
  <c r="G350" i="32" s="1"/>
  <c r="H350" i="32" s="1"/>
  <c r="I350" i="32" s="1"/>
  <c r="J350" i="32" s="1"/>
  <c r="K350" i="32" s="1"/>
  <c r="L350" i="32" s="1"/>
  <c r="M350" i="32" s="1"/>
  <c r="N350" i="32" s="1"/>
  <c r="O350" i="32" s="1"/>
  <c r="P350" i="32" s="1"/>
  <c r="Q350" i="32" s="1"/>
  <c r="R350" i="32" s="1"/>
  <c r="S350" i="32" s="1"/>
  <c r="T350" i="32" s="1"/>
  <c r="U350" i="32" s="1"/>
  <c r="V350" i="32" s="1"/>
  <c r="W350" i="32" s="1"/>
  <c r="X350" i="32" s="1"/>
  <c r="Y350" i="32" s="1"/>
  <c r="Z350" i="32" s="1"/>
  <c r="AA350" i="32" s="1"/>
  <c r="AB350" i="32" s="1"/>
  <c r="AC350" i="32" s="1"/>
  <c r="AD350" i="32" s="1"/>
  <c r="F340" i="32"/>
  <c r="F161" i="32" l="1" a="1"/>
  <c r="F161" i="32" s="1"/>
  <c r="F331" i="32" s="1"/>
  <c r="F165" i="32" a="1"/>
  <c r="F165" i="32" s="1"/>
  <c r="G476" i="32"/>
  <c r="G481" i="32"/>
  <c r="G486" i="32"/>
  <c r="G491" i="32"/>
  <c r="G496" i="32"/>
  <c r="G473" i="32"/>
  <c r="G478" i="32"/>
  <c r="G483" i="32"/>
  <c r="G488" i="32"/>
  <c r="G493" i="32"/>
  <c r="G498" i="32"/>
  <c r="G475" i="32"/>
  <c r="G480" i="32"/>
  <c r="G485" i="32"/>
  <c r="G490" i="32"/>
  <c r="G495" i="32"/>
  <c r="G472" i="32"/>
  <c r="G477" i="32"/>
  <c r="G482" i="32"/>
  <c r="G487" i="32"/>
  <c r="G492" i="32"/>
  <c r="G497" i="32"/>
  <c r="G474" i="32"/>
  <c r="G479" i="32"/>
  <c r="G484" i="32"/>
  <c r="G489" i="32"/>
  <c r="G494" i="32"/>
  <c r="G499" i="32"/>
  <c r="F591" i="32"/>
  <c r="F623" i="32" s="1"/>
  <c r="F527" i="32" s="1"/>
  <c r="F461" i="32"/>
  <c r="E625" i="32"/>
  <c r="E529" i="32" s="1"/>
  <c r="F590" i="32"/>
  <c r="F622" i="32" s="1"/>
  <c r="F460" i="32"/>
  <c r="F584" i="32"/>
  <c r="F616" i="32" s="1"/>
  <c r="F454" i="32"/>
  <c r="F573" i="32"/>
  <c r="F443" i="32"/>
  <c r="E598" i="32"/>
  <c r="F580" i="32"/>
  <c r="F612" i="32" s="1"/>
  <c r="F516" i="32" s="1"/>
  <c r="F450" i="32"/>
  <c r="F596" i="32"/>
  <c r="F628" i="32" s="1"/>
  <c r="F466" i="32"/>
  <c r="F585" i="32"/>
  <c r="F455" i="32"/>
  <c r="F595" i="32"/>
  <c r="F627" i="32" s="1"/>
  <c r="F531" i="32" s="1"/>
  <c r="F465" i="32"/>
  <c r="F597" i="32"/>
  <c r="F629" i="32" s="1"/>
  <c r="F533" i="32" s="1"/>
  <c r="F467" i="32"/>
  <c r="F589" i="32"/>
  <c r="F621" i="32" s="1"/>
  <c r="F525" i="32" s="1"/>
  <c r="F459" i="32"/>
  <c r="F572" i="32"/>
  <c r="F442" i="32"/>
  <c r="F594" i="32"/>
  <c r="F464" i="32"/>
  <c r="F583" i="32"/>
  <c r="F615" i="32" s="1"/>
  <c r="F519" i="32" s="1"/>
  <c r="F453" i="32"/>
  <c r="F578" i="32"/>
  <c r="F610" i="32" s="1"/>
  <c r="F514" i="32" s="1"/>
  <c r="F448" i="32"/>
  <c r="F571" i="32"/>
  <c r="F441" i="32"/>
  <c r="F582" i="32"/>
  <c r="F614" i="32" s="1"/>
  <c r="F518" i="32" s="1"/>
  <c r="F452" i="32"/>
  <c r="F576" i="32"/>
  <c r="F608" i="32" s="1"/>
  <c r="F512" i="32" s="1"/>
  <c r="F446" i="32"/>
  <c r="F593" i="32"/>
  <c r="F463" i="32"/>
  <c r="F570" i="32"/>
  <c r="F440" i="32"/>
  <c r="E468" i="32"/>
  <c r="F574" i="32"/>
  <c r="F444" i="32"/>
  <c r="F579" i="32"/>
  <c r="F611" i="32" s="1"/>
  <c r="F449" i="32"/>
  <c r="F577" i="32"/>
  <c r="F609" i="32" s="1"/>
  <c r="F447" i="32"/>
  <c r="F588" i="32"/>
  <c r="F458" i="32"/>
  <c r="F587" i="32"/>
  <c r="F619" i="32" s="1"/>
  <c r="F523" i="32" s="1"/>
  <c r="F457" i="32"/>
  <c r="F575" i="32"/>
  <c r="F607" i="32" s="1"/>
  <c r="F511" i="32" s="1"/>
  <c r="F445" i="32"/>
  <c r="F581" i="32"/>
  <c r="F451" i="32"/>
  <c r="F592" i="32"/>
  <c r="F624" i="32" s="1"/>
  <c r="F528" i="32" s="1"/>
  <c r="F462" i="32"/>
  <c r="F586" i="32"/>
  <c r="F618" i="32" s="1"/>
  <c r="F522" i="32" s="1"/>
  <c r="F456" i="32"/>
  <c r="E786" i="32"/>
  <c r="E882" i="32"/>
  <c r="E781" i="32"/>
  <c r="E877" i="32"/>
  <c r="E769" i="32"/>
  <c r="E865" i="32"/>
  <c r="E793" i="32"/>
  <c r="E889" i="32"/>
  <c r="E777" i="32"/>
  <c r="E873" i="32"/>
  <c r="E785" i="32"/>
  <c r="E881" i="32"/>
  <c r="E768" i="32"/>
  <c r="E864" i="32"/>
  <c r="E780" i="32"/>
  <c r="E876" i="32"/>
  <c r="E792" i="32"/>
  <c r="E888" i="32"/>
  <c r="E767" i="32"/>
  <c r="E863" i="32"/>
  <c r="E791" i="32"/>
  <c r="E887" i="32"/>
  <c r="E779" i="32"/>
  <c r="E875" i="32"/>
  <c r="E774" i="32"/>
  <c r="E870" i="32"/>
  <c r="E778" i="32"/>
  <c r="E874" i="32"/>
  <c r="E790" i="32"/>
  <c r="E886" i="32"/>
  <c r="E773" i="32"/>
  <c r="E869" i="32"/>
  <c r="E772" i="32"/>
  <c r="E868" i="32"/>
  <c r="E789" i="32"/>
  <c r="E885" i="32"/>
  <c r="E771" i="32"/>
  <c r="E867" i="32"/>
  <c r="E784" i="32"/>
  <c r="E880" i="32"/>
  <c r="E776" i="32"/>
  <c r="E872" i="32"/>
  <c r="E775" i="32"/>
  <c r="E871" i="32"/>
  <c r="E788" i="32"/>
  <c r="E884" i="32"/>
  <c r="E783" i="32"/>
  <c r="E879" i="32"/>
  <c r="E787" i="32"/>
  <c r="E883" i="32"/>
  <c r="E770" i="32"/>
  <c r="E866" i="32"/>
  <c r="E782" i="32"/>
  <c r="E878" i="32"/>
  <c r="E649" i="32"/>
  <c r="E745" i="32"/>
  <c r="E644" i="32"/>
  <c r="E740" i="32"/>
  <c r="E648" i="32"/>
  <c r="E744" i="32"/>
  <c r="E660" i="32"/>
  <c r="E756" i="32"/>
  <c r="E643" i="32"/>
  <c r="E739" i="32"/>
  <c r="E642" i="32"/>
  <c r="E738" i="32"/>
  <c r="E641" i="32"/>
  <c r="E737" i="32"/>
  <c r="E654" i="32"/>
  <c r="E750" i="32"/>
  <c r="E645" i="32"/>
  <c r="E741" i="32"/>
  <c r="E658" i="32"/>
  <c r="E754" i="32"/>
  <c r="E653" i="32"/>
  <c r="E749" i="32"/>
  <c r="E647" i="32"/>
  <c r="E743" i="32"/>
  <c r="E657" i="32"/>
  <c r="E753" i="32"/>
  <c r="E640" i="32"/>
  <c r="E736" i="32"/>
  <c r="E652" i="32"/>
  <c r="E748" i="32"/>
  <c r="E637" i="32"/>
  <c r="E733" i="32"/>
  <c r="E661" i="32"/>
  <c r="E757" i="32"/>
  <c r="E656" i="32"/>
  <c r="E752" i="32"/>
  <c r="E651" i="32"/>
  <c r="E747" i="32"/>
  <c r="E655" i="32"/>
  <c r="E751" i="32"/>
  <c r="E639" i="32"/>
  <c r="E735" i="32"/>
  <c r="E663" i="32"/>
  <c r="E759" i="32"/>
  <c r="E646" i="32"/>
  <c r="E742" i="32"/>
  <c r="E659" i="32"/>
  <c r="E755" i="32"/>
  <c r="E638" i="32"/>
  <c r="E734" i="32"/>
  <c r="E650" i="32"/>
  <c r="E746" i="32"/>
  <c r="E662" i="32"/>
  <c r="E758" i="32"/>
  <c r="F369" i="32"/>
  <c r="F371" i="32"/>
  <c r="F373" i="32"/>
  <c r="F370" i="32"/>
  <c r="F372" i="32"/>
  <c r="F360" i="32"/>
  <c r="F362" i="32"/>
  <c r="F364" i="32"/>
  <c r="F361" i="32"/>
  <c r="F363" i="32"/>
  <c r="E534" i="32"/>
  <c r="F855" i="32"/>
  <c r="F725" i="32"/>
  <c r="F854" i="32"/>
  <c r="F724" i="32"/>
  <c r="F842" i="32"/>
  <c r="F712" i="32"/>
  <c r="F836" i="32"/>
  <c r="F706" i="32"/>
  <c r="F853" i="32"/>
  <c r="F723" i="32"/>
  <c r="F830" i="32"/>
  <c r="F862" i="32" s="1"/>
  <c r="F700" i="32"/>
  <c r="F732" i="32" s="1"/>
  <c r="E858" i="32"/>
  <c r="E766" i="32"/>
  <c r="F513" i="32"/>
  <c r="F837" i="32"/>
  <c r="F707" i="32"/>
  <c r="F848" i="32"/>
  <c r="F718" i="32"/>
  <c r="F847" i="32"/>
  <c r="F717" i="32"/>
  <c r="E630" i="32"/>
  <c r="F846" i="32"/>
  <c r="F716" i="32"/>
  <c r="F838" i="32"/>
  <c r="F708" i="32"/>
  <c r="F852" i="32"/>
  <c r="F722" i="32"/>
  <c r="F835" i="32"/>
  <c r="F705" i="32"/>
  <c r="F857" i="32"/>
  <c r="F727" i="32"/>
  <c r="F851" i="32"/>
  <c r="F721" i="32"/>
  <c r="F832" i="32"/>
  <c r="F702" i="32"/>
  <c r="F843" i="32"/>
  <c r="F713" i="32"/>
  <c r="F831" i="32"/>
  <c r="F701" i="32"/>
  <c r="E636" i="32"/>
  <c r="E728" i="32"/>
  <c r="F841" i="32"/>
  <c r="F711" i="32"/>
  <c r="F834" i="32"/>
  <c r="F704" i="32"/>
  <c r="F532" i="32"/>
  <c r="F856" i="32"/>
  <c r="F726" i="32"/>
  <c r="F840" i="32"/>
  <c r="F710" i="32"/>
  <c r="F845" i="32"/>
  <c r="F715" i="32"/>
  <c r="F515" i="32"/>
  <c r="F839" i="32"/>
  <c r="F709" i="32"/>
  <c r="F849" i="32"/>
  <c r="F719" i="32"/>
  <c r="F526" i="32"/>
  <c r="F850" i="32"/>
  <c r="F720" i="32"/>
  <c r="F520" i="32"/>
  <c r="F844" i="32"/>
  <c r="F714" i="32"/>
  <c r="F833" i="32"/>
  <c r="F703" i="32"/>
  <c r="E383" i="32"/>
  <c r="F896" i="32"/>
  <c r="F901" i="32"/>
  <c r="F906" i="32"/>
  <c r="F911" i="32"/>
  <c r="F916" i="32"/>
  <c r="F921" i="32"/>
  <c r="F926" i="32"/>
  <c r="F898" i="32"/>
  <c r="F900" i="32"/>
  <c r="F897" i="32"/>
  <c r="F902" i="32"/>
  <c r="F907" i="32"/>
  <c r="F912" i="32"/>
  <c r="F917" i="32"/>
  <c r="F922" i="32"/>
  <c r="F927" i="32"/>
  <c r="F914" i="32"/>
  <c r="F899" i="32"/>
  <c r="F903" i="32"/>
  <c r="F915" i="32"/>
  <c r="F904" i="32"/>
  <c r="F905" i="32"/>
  <c r="F918" i="32"/>
  <c r="F919" i="32"/>
  <c r="F908" i="32"/>
  <c r="F920" i="32"/>
  <c r="F909" i="32"/>
  <c r="F910" i="32"/>
  <c r="F923" i="32"/>
  <c r="F931" i="32"/>
  <c r="F913" i="32"/>
  <c r="F928" i="32"/>
  <c r="F934" i="32"/>
  <c r="F937" i="32"/>
  <c r="F924" i="32"/>
  <c r="F932" i="32"/>
  <c r="F935" i="32"/>
  <c r="F929" i="32"/>
  <c r="F930" i="32"/>
  <c r="F925" i="32"/>
  <c r="F933" i="32"/>
  <c r="F936" i="32"/>
  <c r="F500" i="32"/>
  <c r="F42" i="32" s="1"/>
  <c r="F176" i="32"/>
  <c r="F181" i="32"/>
  <c r="F178" i="32"/>
  <c r="F183" i="32"/>
  <c r="F180" i="32"/>
  <c r="F185" i="32"/>
  <c r="F177" i="32"/>
  <c r="F182" i="32"/>
  <c r="F184" i="32"/>
  <c r="F179" i="32"/>
  <c r="F436" i="32"/>
  <c r="G411" i="32"/>
  <c r="G416" i="32"/>
  <c r="G421" i="32"/>
  <c r="G426" i="32"/>
  <c r="G431" i="32"/>
  <c r="G408" i="32"/>
  <c r="G413" i="32"/>
  <c r="G418" i="32"/>
  <c r="G423" i="32"/>
  <c r="G428" i="32"/>
  <c r="G433" i="32"/>
  <c r="G410" i="32"/>
  <c r="G415" i="32"/>
  <c r="G420" i="32"/>
  <c r="G425" i="32"/>
  <c r="G430" i="32"/>
  <c r="G435" i="32"/>
  <c r="G412" i="32"/>
  <c r="G417" i="32"/>
  <c r="G422" i="32"/>
  <c r="G427" i="32"/>
  <c r="G432" i="32"/>
  <c r="H407" i="32"/>
  <c r="G409" i="32"/>
  <c r="G414" i="32"/>
  <c r="G419" i="32"/>
  <c r="G424" i="32"/>
  <c r="G429" i="32"/>
  <c r="G434" i="32"/>
  <c r="F351" i="32"/>
  <c r="F353" i="32"/>
  <c r="F355" i="32"/>
  <c r="F352" i="32"/>
  <c r="F354" i="32"/>
  <c r="G359" i="32"/>
  <c r="G340" i="32"/>
  <c r="F344" i="32"/>
  <c r="F381" i="32" s="1"/>
  <c r="F341" i="32"/>
  <c r="F378" i="32" s="1"/>
  <c r="F343" i="32"/>
  <c r="F380" i="32" s="1"/>
  <c r="F345" i="32"/>
  <c r="F382" i="32" s="1"/>
  <c r="F342" i="32"/>
  <c r="F379" i="32" s="1"/>
  <c r="G146" i="32"/>
  <c r="F151" i="32" a="1"/>
  <c r="F151" i="32" s="1"/>
  <c r="F156" i="32" a="1"/>
  <c r="F156" i="32" s="1"/>
  <c r="F148" i="32" a="1"/>
  <c r="F148" i="32" s="1"/>
  <c r="F153" i="32" a="1"/>
  <c r="F153" i="32" s="1"/>
  <c r="F170" i="32" a="1"/>
  <c r="F170" i="32" s="1"/>
  <c r="F150" i="32" a="1"/>
  <c r="F150" i="32" s="1"/>
  <c r="F155" i="32" a="1"/>
  <c r="F155" i="32" s="1"/>
  <c r="F157" i="32" a="1"/>
  <c r="F157" i="32" s="1"/>
  <c r="F169" i="32" a="1"/>
  <c r="F169" i="32" s="1"/>
  <c r="F147" i="32" a="1"/>
  <c r="F147" i="32" s="1"/>
  <c r="F149" i="32" a="1"/>
  <c r="F149" i="32" s="1"/>
  <c r="F154" i="32" a="1"/>
  <c r="F154" i="32" s="1"/>
  <c r="F163" i="32" a="1"/>
  <c r="F163" i="32" s="1"/>
  <c r="F152" i="32" a="1"/>
  <c r="F152" i="32" s="1"/>
  <c r="F160" i="32" a="1"/>
  <c r="F160" i="32" s="1"/>
  <c r="F162" i="32" a="1"/>
  <c r="F162" i="32" s="1"/>
  <c r="F158" i="32" a="1"/>
  <c r="F158" i="32" s="1"/>
  <c r="F159" i="32" a="1"/>
  <c r="F159" i="32" s="1"/>
  <c r="F37" i="32"/>
  <c r="F46" i="32"/>
  <c r="G46" i="32" s="1"/>
  <c r="H46" i="32" s="1"/>
  <c r="I46" i="32" s="1"/>
  <c r="J46" i="32" s="1"/>
  <c r="K46" i="32" s="1"/>
  <c r="L46" i="32" s="1"/>
  <c r="M46" i="32" s="1"/>
  <c r="N46" i="32" s="1"/>
  <c r="O46" i="32" s="1"/>
  <c r="P46" i="32" s="1"/>
  <c r="Q46" i="32" s="1"/>
  <c r="R46" i="32" s="1"/>
  <c r="S46" i="32" s="1"/>
  <c r="T46" i="32" s="1"/>
  <c r="U46" i="32" s="1"/>
  <c r="V46" i="32" s="1"/>
  <c r="W46" i="32" s="1"/>
  <c r="X46" i="32" s="1"/>
  <c r="Y46" i="32" s="1"/>
  <c r="Z46" i="32" s="1"/>
  <c r="AA46" i="32" s="1"/>
  <c r="AB46" i="32" s="1"/>
  <c r="AC46" i="32" s="1"/>
  <c r="AD46" i="32" s="1"/>
  <c r="E51" i="32" l="1"/>
  <c r="F31" i="32"/>
  <c r="G161" i="32" a="1"/>
  <c r="G161" i="32" s="1"/>
  <c r="G331" i="32" s="1"/>
  <c r="G165" i="32" a="1"/>
  <c r="G165" i="32" s="1"/>
  <c r="F40" i="32" a="1"/>
  <c r="F40" i="32" s="1"/>
  <c r="F38" i="32" a="1"/>
  <c r="F38" i="32" s="1"/>
  <c r="F41" i="32" a="1"/>
  <c r="F41" i="32" s="1"/>
  <c r="F39" i="32" a="1"/>
  <c r="F39" i="32" s="1"/>
  <c r="H472" i="32"/>
  <c r="H477" i="32"/>
  <c r="H482" i="32"/>
  <c r="H487" i="32"/>
  <c r="H492" i="32"/>
  <c r="H497" i="32"/>
  <c r="H475" i="32"/>
  <c r="H480" i="32"/>
  <c r="H485" i="32"/>
  <c r="H490" i="32"/>
  <c r="H495" i="32"/>
  <c r="H478" i="32"/>
  <c r="H483" i="32"/>
  <c r="H488" i="32"/>
  <c r="H493" i="32"/>
  <c r="H498" i="32"/>
  <c r="H476" i="32"/>
  <c r="H481" i="32"/>
  <c r="H491" i="32"/>
  <c r="H473" i="32"/>
  <c r="H494" i="32"/>
  <c r="H489" i="32"/>
  <c r="H499" i="32"/>
  <c r="H496" i="32"/>
  <c r="H479" i="32"/>
  <c r="H486" i="32"/>
  <c r="H484" i="32"/>
  <c r="H474" i="32"/>
  <c r="F468" i="32"/>
  <c r="G579" i="32"/>
  <c r="G611" i="32" s="1"/>
  <c r="G515" i="32" s="1"/>
  <c r="G449" i="32"/>
  <c r="E890" i="32"/>
  <c r="G586" i="32"/>
  <c r="G618" i="32" s="1"/>
  <c r="G522" i="32" s="1"/>
  <c r="G456" i="32"/>
  <c r="G597" i="32"/>
  <c r="G629" i="32" s="1"/>
  <c r="G533" i="32" s="1"/>
  <c r="G467" i="32"/>
  <c r="G575" i="32"/>
  <c r="G607" i="32" s="1"/>
  <c r="G511" i="32" s="1"/>
  <c r="G445" i="32"/>
  <c r="G592" i="32"/>
  <c r="G624" i="32" s="1"/>
  <c r="G528" i="32" s="1"/>
  <c r="G462" i="32"/>
  <c r="G596" i="32"/>
  <c r="G628" i="32" s="1"/>
  <c r="G466" i="32"/>
  <c r="G581" i="32"/>
  <c r="G451" i="32"/>
  <c r="G570" i="32"/>
  <c r="G440" i="32"/>
  <c r="G576" i="32"/>
  <c r="G608" i="32" s="1"/>
  <c r="G512" i="32" s="1"/>
  <c r="G446" i="32"/>
  <c r="G587" i="32"/>
  <c r="G619" i="32" s="1"/>
  <c r="G523" i="32" s="1"/>
  <c r="G457" i="32"/>
  <c r="G593" i="32"/>
  <c r="G625" i="32" s="1"/>
  <c r="G529" i="32" s="1"/>
  <c r="G463" i="32"/>
  <c r="G571" i="32"/>
  <c r="G441" i="32"/>
  <c r="G582" i="32"/>
  <c r="G614" i="32" s="1"/>
  <c r="G518" i="32" s="1"/>
  <c r="G452" i="32"/>
  <c r="G588" i="32"/>
  <c r="G458" i="32"/>
  <c r="G585" i="32"/>
  <c r="G455" i="32"/>
  <c r="G577" i="32"/>
  <c r="G609" i="32" s="1"/>
  <c r="G513" i="32" s="1"/>
  <c r="G447" i="32"/>
  <c r="G583" i="32"/>
  <c r="G615" i="32" s="1"/>
  <c r="G453" i="32"/>
  <c r="G594" i="32"/>
  <c r="G464" i="32"/>
  <c r="G572" i="32"/>
  <c r="G442" i="32"/>
  <c r="G578" i="32"/>
  <c r="G610" i="32" s="1"/>
  <c r="G514" i="32" s="1"/>
  <c r="G448" i="32"/>
  <c r="G591" i="32"/>
  <c r="G623" i="32" s="1"/>
  <c r="G461" i="32"/>
  <c r="G574" i="32"/>
  <c r="G444" i="32"/>
  <c r="G580" i="32"/>
  <c r="G612" i="32" s="1"/>
  <c r="G516" i="32" s="1"/>
  <c r="G450" i="32"/>
  <c r="G589" i="32"/>
  <c r="G621" i="32" s="1"/>
  <c r="G525" i="32" s="1"/>
  <c r="G459" i="32"/>
  <c r="G595" i="32"/>
  <c r="G627" i="32" s="1"/>
  <c r="G531" i="32" s="1"/>
  <c r="G465" i="32"/>
  <c r="G573" i="32"/>
  <c r="G443" i="32"/>
  <c r="G584" i="32"/>
  <c r="G616" i="32" s="1"/>
  <c r="G520" i="32" s="1"/>
  <c r="G454" i="32"/>
  <c r="G590" i="32"/>
  <c r="G622" i="32" s="1"/>
  <c r="G526" i="32" s="1"/>
  <c r="G460" i="32"/>
  <c r="F774" i="32"/>
  <c r="F870" i="32"/>
  <c r="F784" i="32"/>
  <c r="F880" i="32"/>
  <c r="F785" i="32"/>
  <c r="F881" i="32"/>
  <c r="F793" i="32"/>
  <c r="F889" i="32"/>
  <c r="F772" i="32"/>
  <c r="F868" i="32"/>
  <c r="F773" i="32"/>
  <c r="F869" i="32"/>
  <c r="F769" i="32"/>
  <c r="F865" i="32"/>
  <c r="F779" i="32"/>
  <c r="F875" i="32"/>
  <c r="F782" i="32"/>
  <c r="F878" i="32"/>
  <c r="F767" i="32"/>
  <c r="F863" i="32"/>
  <c r="F775" i="32"/>
  <c r="F871" i="32"/>
  <c r="F771" i="32"/>
  <c r="F867" i="32"/>
  <c r="E794" i="32"/>
  <c r="F778" i="32"/>
  <c r="F874" i="32"/>
  <c r="E760" i="32"/>
  <c r="F780" i="32"/>
  <c r="F876" i="32"/>
  <c r="F770" i="32"/>
  <c r="F866" i="32"/>
  <c r="F768" i="32"/>
  <c r="F864" i="32"/>
  <c r="F781" i="32"/>
  <c r="F877" i="32"/>
  <c r="F777" i="32"/>
  <c r="F873" i="32"/>
  <c r="F788" i="32"/>
  <c r="F884" i="32"/>
  <c r="F783" i="32"/>
  <c r="F879" i="32"/>
  <c r="F790" i="32"/>
  <c r="F886" i="32"/>
  <c r="F792" i="32"/>
  <c r="F888" i="32"/>
  <c r="F786" i="32"/>
  <c r="F882" i="32"/>
  <c r="F787" i="32"/>
  <c r="F883" i="32"/>
  <c r="F776" i="32"/>
  <c r="F872" i="32"/>
  <c r="F789" i="32"/>
  <c r="F885" i="32"/>
  <c r="F791" i="32"/>
  <c r="F887" i="32"/>
  <c r="E664" i="32"/>
  <c r="F644" i="32"/>
  <c r="F740" i="32"/>
  <c r="F654" i="32"/>
  <c r="F750" i="32"/>
  <c r="F655" i="32"/>
  <c r="F751" i="32"/>
  <c r="F637" i="32"/>
  <c r="F733" i="32"/>
  <c r="F663" i="32"/>
  <c r="F759" i="32"/>
  <c r="F642" i="32"/>
  <c r="F738" i="32"/>
  <c r="F662" i="32"/>
  <c r="F758" i="32"/>
  <c r="F643" i="32"/>
  <c r="F739" i="32"/>
  <c r="F639" i="32"/>
  <c r="F735" i="32"/>
  <c r="F649" i="32"/>
  <c r="F745" i="32"/>
  <c r="F652" i="32"/>
  <c r="F748" i="32"/>
  <c r="F646" i="32"/>
  <c r="F742" i="32"/>
  <c r="F659" i="32"/>
  <c r="F755" i="32"/>
  <c r="F645" i="32"/>
  <c r="F741" i="32"/>
  <c r="F641" i="32"/>
  <c r="F737" i="32"/>
  <c r="F648" i="32"/>
  <c r="F744" i="32"/>
  <c r="F656" i="32"/>
  <c r="F752" i="32"/>
  <c r="F657" i="32"/>
  <c r="F753" i="32"/>
  <c r="F661" i="32"/>
  <c r="F757" i="32"/>
  <c r="F650" i="32"/>
  <c r="F746" i="32"/>
  <c r="F640" i="32"/>
  <c r="F736" i="32"/>
  <c r="F638" i="32"/>
  <c r="F734" i="32"/>
  <c r="F651" i="32"/>
  <c r="F747" i="32"/>
  <c r="F647" i="32"/>
  <c r="F743" i="32"/>
  <c r="F658" i="32"/>
  <c r="F754" i="32"/>
  <c r="F653" i="32"/>
  <c r="F749" i="32"/>
  <c r="F660" i="32"/>
  <c r="F756" i="32"/>
  <c r="F365" i="32"/>
  <c r="G372" i="32"/>
  <c r="G369" i="32"/>
  <c r="G371" i="32"/>
  <c r="G373" i="32"/>
  <c r="G370" i="32"/>
  <c r="G363" i="32"/>
  <c r="G362" i="32"/>
  <c r="G364" i="32"/>
  <c r="G361" i="32"/>
  <c r="G360" i="32"/>
  <c r="F374" i="32"/>
  <c r="F205" i="32"/>
  <c r="F213" i="32"/>
  <c r="F206" i="32"/>
  <c r="F208" i="32"/>
  <c r="F209" i="32"/>
  <c r="F204" i="32"/>
  <c r="F211" i="32"/>
  <c r="F207" i="32"/>
  <c r="F210" i="32"/>
  <c r="F212" i="32"/>
  <c r="F602" i="32"/>
  <c r="G831" i="32"/>
  <c r="G701" i="32"/>
  <c r="G842" i="32"/>
  <c r="G712" i="32"/>
  <c r="G848" i="32"/>
  <c r="G718" i="32"/>
  <c r="F728" i="32"/>
  <c r="F636" i="32"/>
  <c r="G719" i="32"/>
  <c r="G849" i="32"/>
  <c r="G855" i="32"/>
  <c r="G725" i="32"/>
  <c r="G833" i="32"/>
  <c r="G703" i="32"/>
  <c r="G837" i="32"/>
  <c r="G707" i="32"/>
  <c r="G519" i="32"/>
  <c r="G843" i="32"/>
  <c r="G713" i="32"/>
  <c r="F858" i="32"/>
  <c r="F766" i="32"/>
  <c r="G854" i="32"/>
  <c r="G724" i="32"/>
  <c r="G832" i="32"/>
  <c r="G702" i="32"/>
  <c r="G838" i="32"/>
  <c r="G708" i="32"/>
  <c r="G844" i="32"/>
  <c r="G714" i="32"/>
  <c r="G850" i="32"/>
  <c r="G720" i="32"/>
  <c r="G841" i="32"/>
  <c r="G711" i="32"/>
  <c r="G852" i="32"/>
  <c r="G722" i="32"/>
  <c r="G830" i="32"/>
  <c r="G862" i="32" s="1"/>
  <c r="G700" i="32"/>
  <c r="G732" i="32" s="1"/>
  <c r="G836" i="32"/>
  <c r="G706" i="32"/>
  <c r="G532" i="32"/>
  <c r="G856" i="32"/>
  <c r="G726" i="32"/>
  <c r="G839" i="32"/>
  <c r="G709" i="32"/>
  <c r="G845" i="32"/>
  <c r="G715" i="32"/>
  <c r="G847" i="32"/>
  <c r="G717" i="32"/>
  <c r="G853" i="32"/>
  <c r="G723" i="32"/>
  <c r="G527" i="32"/>
  <c r="G851" i="32"/>
  <c r="G721" i="32"/>
  <c r="G834" i="32"/>
  <c r="G704" i="32"/>
  <c r="G840" i="32"/>
  <c r="G710" i="32"/>
  <c r="G846" i="32"/>
  <c r="G716" i="32"/>
  <c r="G857" i="32"/>
  <c r="G727" i="32"/>
  <c r="G835" i="32"/>
  <c r="G705" i="32"/>
  <c r="G896" i="32"/>
  <c r="G898" i="32"/>
  <c r="G897" i="32"/>
  <c r="G913" i="32"/>
  <c r="G901" i="32"/>
  <c r="G902" i="32"/>
  <c r="G914" i="32"/>
  <c r="G899" i="32"/>
  <c r="G903" i="32"/>
  <c r="G915" i="32"/>
  <c r="G916" i="32"/>
  <c r="G904" i="32"/>
  <c r="G917" i="32"/>
  <c r="G905" i="32"/>
  <c r="G906" i="32"/>
  <c r="G918" i="32"/>
  <c r="G900" i="32"/>
  <c r="G907" i="32"/>
  <c r="G919" i="32"/>
  <c r="G929" i="32"/>
  <c r="G908" i="32"/>
  <c r="G909" i="32"/>
  <c r="G922" i="32"/>
  <c r="G931" i="32"/>
  <c r="G936" i="32"/>
  <c r="G930" i="32"/>
  <c r="G910" i="32"/>
  <c r="G926" i="32"/>
  <c r="G928" i="32"/>
  <c r="G934" i="32"/>
  <c r="G937" i="32"/>
  <c r="G920" i="32"/>
  <c r="G924" i="32"/>
  <c r="G932" i="32"/>
  <c r="G912" i="32"/>
  <c r="G935" i="32"/>
  <c r="G911" i="32"/>
  <c r="G921" i="32"/>
  <c r="G925" i="32"/>
  <c r="G923" i="32"/>
  <c r="G927" i="32"/>
  <c r="G933" i="32"/>
  <c r="F938" i="32"/>
  <c r="G500" i="32"/>
  <c r="G42" i="32" s="1"/>
  <c r="G31" i="32" s="1"/>
  <c r="F606" i="32"/>
  <c r="F510" i="32" s="1"/>
  <c r="G179" i="32"/>
  <c r="G184" i="32"/>
  <c r="G176" i="32"/>
  <c r="G181" i="32"/>
  <c r="G178" i="32"/>
  <c r="G183" i="32"/>
  <c r="G180" i="32"/>
  <c r="G185" i="32"/>
  <c r="G182" i="32"/>
  <c r="G177" i="32"/>
  <c r="F186" i="32"/>
  <c r="F214" i="32" s="1"/>
  <c r="G436" i="32"/>
  <c r="H411" i="32"/>
  <c r="H416" i="32"/>
  <c r="H421" i="32"/>
  <c r="H426" i="32"/>
  <c r="H431" i="32"/>
  <c r="H408" i="32"/>
  <c r="H413" i="32"/>
  <c r="H418" i="32"/>
  <c r="H423" i="32"/>
  <c r="H428" i="32"/>
  <c r="H433" i="32"/>
  <c r="H410" i="32"/>
  <c r="H415" i="32"/>
  <c r="H420" i="32"/>
  <c r="H425" i="32"/>
  <c r="H430" i="32"/>
  <c r="H435" i="32"/>
  <c r="I407" i="32"/>
  <c r="H412" i="32"/>
  <c r="H417" i="32"/>
  <c r="H422" i="32"/>
  <c r="H427" i="32"/>
  <c r="H432" i="32"/>
  <c r="H409" i="32"/>
  <c r="H414" i="32"/>
  <c r="H419" i="32"/>
  <c r="H424" i="32"/>
  <c r="H429" i="32"/>
  <c r="H434" i="32"/>
  <c r="F346" i="32"/>
  <c r="G354" i="32"/>
  <c r="G351" i="32"/>
  <c r="G353" i="32"/>
  <c r="G355" i="32"/>
  <c r="G352" i="32"/>
  <c r="F356" i="32"/>
  <c r="F49" i="32" a="1"/>
  <c r="F49" i="32" s="1"/>
  <c r="F47" i="32" a="1"/>
  <c r="F47" i="32" s="1"/>
  <c r="F50" i="32" a="1"/>
  <c r="F50" i="32" s="1"/>
  <c r="F48" i="32" a="1"/>
  <c r="F48" i="32" s="1"/>
  <c r="H146" i="32"/>
  <c r="G149" i="32" a="1"/>
  <c r="G149" i="32" s="1"/>
  <c r="G154" i="32" a="1"/>
  <c r="G154" i="32" s="1"/>
  <c r="G151" i="32" a="1"/>
  <c r="G151" i="32" s="1"/>
  <c r="G158" i="32" a="1"/>
  <c r="G158" i="32" s="1"/>
  <c r="G170" i="32" a="1"/>
  <c r="G170" i="32" s="1"/>
  <c r="G148" i="32" a="1"/>
  <c r="G148" i="32" s="1"/>
  <c r="G153" i="32" a="1"/>
  <c r="G153" i="32" s="1"/>
  <c r="G169" i="32" a="1"/>
  <c r="G169" i="32" s="1"/>
  <c r="G160" i="32" a="1"/>
  <c r="G160" i="32" s="1"/>
  <c r="G150" i="32" a="1"/>
  <c r="G150" i="32" s="1"/>
  <c r="G155" i="32" a="1"/>
  <c r="G155" i="32" s="1"/>
  <c r="G147" i="32" a="1"/>
  <c r="G147" i="32" s="1"/>
  <c r="G152" i="32" a="1"/>
  <c r="G152" i="32" s="1"/>
  <c r="G159" i="32" a="1"/>
  <c r="G159" i="32" s="1"/>
  <c r="G163" i="32" a="1"/>
  <c r="G163" i="32" s="1"/>
  <c r="G162" i="32" a="1"/>
  <c r="G162" i="32" s="1"/>
  <c r="G156" i="32" a="1"/>
  <c r="G156" i="32" s="1"/>
  <c r="G157" i="32" a="1"/>
  <c r="G157" i="32" s="1"/>
  <c r="H340" i="32"/>
  <c r="G342" i="32"/>
  <c r="G379" i="32" s="1"/>
  <c r="G344" i="32"/>
  <c r="G381" i="32" s="1"/>
  <c r="G341" i="32"/>
  <c r="G378" i="32" s="1"/>
  <c r="G343" i="32"/>
  <c r="G380" i="32" s="1"/>
  <c r="G345" i="32"/>
  <c r="G382" i="32" s="1"/>
  <c r="H359" i="32"/>
  <c r="G37" i="32"/>
  <c r="F327" i="32"/>
  <c r="F329" i="32" s="1"/>
  <c r="F320" i="32"/>
  <c r="E264" i="32"/>
  <c r="F269" i="32"/>
  <c r="G269" i="32" s="1"/>
  <c r="H269" i="32" s="1"/>
  <c r="I269" i="32" s="1"/>
  <c r="J269" i="32" s="1"/>
  <c r="K269" i="32" s="1"/>
  <c r="L269" i="32" s="1"/>
  <c r="M269" i="32" s="1"/>
  <c r="N269" i="32" s="1"/>
  <c r="O269" i="32" s="1"/>
  <c r="P269" i="32" s="1"/>
  <c r="Q269" i="32" s="1"/>
  <c r="R269" i="32" s="1"/>
  <c r="S269" i="32" s="1"/>
  <c r="T269" i="32" s="1"/>
  <c r="U269" i="32" s="1"/>
  <c r="V269" i="32" s="1"/>
  <c r="W269" i="32" s="1"/>
  <c r="X269" i="32" s="1"/>
  <c r="Y269" i="32" s="1"/>
  <c r="Z269" i="32" s="1"/>
  <c r="AA269" i="32" s="1"/>
  <c r="AB269" i="32" s="1"/>
  <c r="AC269" i="32" s="1"/>
  <c r="AD269" i="32" s="1"/>
  <c r="F276" i="32"/>
  <c r="G276" i="32" s="1"/>
  <c r="H276" i="32" s="1"/>
  <c r="I276" i="32" s="1"/>
  <c r="J276" i="32" s="1"/>
  <c r="K276" i="32" s="1"/>
  <c r="L276" i="32" s="1"/>
  <c r="M276" i="32" s="1"/>
  <c r="N276" i="32" s="1"/>
  <c r="O276" i="32" s="1"/>
  <c r="P276" i="32" s="1"/>
  <c r="Q276" i="32" s="1"/>
  <c r="R276" i="32" s="1"/>
  <c r="S276" i="32" s="1"/>
  <c r="T276" i="32" s="1"/>
  <c r="U276" i="32" s="1"/>
  <c r="V276" i="32" s="1"/>
  <c r="W276" i="32" s="1"/>
  <c r="X276" i="32" s="1"/>
  <c r="Y276" i="32" s="1"/>
  <c r="Z276" i="32" s="1"/>
  <c r="AA276" i="32" s="1"/>
  <c r="AB276" i="32" s="1"/>
  <c r="AC276" i="32" s="1"/>
  <c r="AD276" i="32" s="1"/>
  <c r="F260" i="32"/>
  <c r="F248" i="32"/>
  <c r="G248" i="32" s="1"/>
  <c r="H248" i="32" s="1"/>
  <c r="I248" i="32" s="1"/>
  <c r="J248" i="32" s="1"/>
  <c r="K248" i="32" s="1"/>
  <c r="L248" i="32" s="1"/>
  <c r="M248" i="32" s="1"/>
  <c r="N248" i="32" s="1"/>
  <c r="O248" i="32" s="1"/>
  <c r="P248" i="32" s="1"/>
  <c r="Q248" i="32" s="1"/>
  <c r="R248" i="32" s="1"/>
  <c r="S248" i="32" s="1"/>
  <c r="T248" i="32" s="1"/>
  <c r="U248" i="32" s="1"/>
  <c r="V248" i="32" s="1"/>
  <c r="W248" i="32" s="1"/>
  <c r="X248" i="32" s="1"/>
  <c r="Y248" i="32" s="1"/>
  <c r="Z248" i="32" s="1"/>
  <c r="AA248" i="32" s="1"/>
  <c r="AB248" i="32" s="1"/>
  <c r="AC248" i="32" s="1"/>
  <c r="AD248" i="32" s="1"/>
  <c r="F241" i="32"/>
  <c r="G241" i="32" s="1"/>
  <c r="H241" i="32" s="1"/>
  <c r="I241" i="32" s="1"/>
  <c r="J241" i="32" s="1"/>
  <c r="K241" i="32" s="1"/>
  <c r="L241" i="32" s="1"/>
  <c r="M241" i="32" s="1"/>
  <c r="N241" i="32" s="1"/>
  <c r="O241" i="32" s="1"/>
  <c r="P241" i="32" s="1"/>
  <c r="Q241" i="32" s="1"/>
  <c r="R241" i="32" s="1"/>
  <c r="S241" i="32" s="1"/>
  <c r="T241" i="32" s="1"/>
  <c r="U241" i="32" s="1"/>
  <c r="V241" i="32" s="1"/>
  <c r="W241" i="32" s="1"/>
  <c r="X241" i="32" s="1"/>
  <c r="Y241" i="32" s="1"/>
  <c r="Z241" i="32" s="1"/>
  <c r="AA241" i="32" s="1"/>
  <c r="AB241" i="32" s="1"/>
  <c r="AC241" i="32" s="1"/>
  <c r="AD241" i="32" s="1"/>
  <c r="F222" i="32"/>
  <c r="F97" i="32"/>
  <c r="G97" i="32" s="1"/>
  <c r="H97" i="32" s="1"/>
  <c r="I97" i="32" s="1"/>
  <c r="J97" i="32" s="1"/>
  <c r="K97" i="32" s="1"/>
  <c r="L97" i="32" s="1"/>
  <c r="M97" i="32" s="1"/>
  <c r="N97" i="32" s="1"/>
  <c r="O97" i="32" s="1"/>
  <c r="P97" i="32" s="1"/>
  <c r="Q97" i="32" s="1"/>
  <c r="R97" i="32" s="1"/>
  <c r="S97" i="32" s="1"/>
  <c r="T97" i="32" s="1"/>
  <c r="U97" i="32" s="1"/>
  <c r="V97" i="32" s="1"/>
  <c r="W97" i="32" s="1"/>
  <c r="X97" i="32" s="1"/>
  <c r="Y97" i="32" s="1"/>
  <c r="Z97" i="32" s="1"/>
  <c r="AA97" i="32" s="1"/>
  <c r="AB97" i="32" s="1"/>
  <c r="AC97" i="32" s="1"/>
  <c r="AD97" i="32" s="1"/>
  <c r="F52" i="32" l="1"/>
  <c r="E32" i="32"/>
  <c r="H161" i="32" a="1"/>
  <c r="H161" i="32" s="1"/>
  <c r="H331" i="32" s="1"/>
  <c r="H165" i="32" a="1"/>
  <c r="H165" i="32" s="1"/>
  <c r="G468" i="32"/>
  <c r="G41" i="32" a="1"/>
  <c r="G41" i="32" s="1"/>
  <c r="G38" i="32" a="1"/>
  <c r="G38" i="32" s="1"/>
  <c r="G39" i="32" a="1"/>
  <c r="G39" i="32" s="1"/>
  <c r="G40" i="32" a="1"/>
  <c r="G40" i="32" s="1"/>
  <c r="I474" i="32"/>
  <c r="I479" i="32"/>
  <c r="I484" i="32"/>
  <c r="I489" i="32"/>
  <c r="I494" i="32"/>
  <c r="I499" i="32"/>
  <c r="I476" i="32"/>
  <c r="I481" i="32"/>
  <c r="I486" i="32"/>
  <c r="I491" i="32"/>
  <c r="I496" i="32"/>
  <c r="I473" i="32"/>
  <c r="I478" i="32"/>
  <c r="I483" i="32"/>
  <c r="I488" i="32"/>
  <c r="I493" i="32"/>
  <c r="I498" i="32"/>
  <c r="I475" i="32"/>
  <c r="I480" i="32"/>
  <c r="I485" i="32"/>
  <c r="I490" i="32"/>
  <c r="I495" i="32"/>
  <c r="I472" i="32"/>
  <c r="I477" i="32"/>
  <c r="I482" i="32"/>
  <c r="I487" i="32"/>
  <c r="I492" i="32"/>
  <c r="I497" i="32"/>
  <c r="H571" i="32"/>
  <c r="H441" i="32"/>
  <c r="H582" i="32"/>
  <c r="H614" i="32" s="1"/>
  <c r="H518" i="32" s="1"/>
  <c r="H452" i="32"/>
  <c r="H588" i="32"/>
  <c r="H458" i="32"/>
  <c r="H594" i="32"/>
  <c r="H464" i="32"/>
  <c r="H577" i="32"/>
  <c r="H609" i="32" s="1"/>
  <c r="H513" i="32" s="1"/>
  <c r="H447" i="32"/>
  <c r="H583" i="32"/>
  <c r="H615" i="32" s="1"/>
  <c r="H519" i="32" s="1"/>
  <c r="H453" i="32"/>
  <c r="H589" i="32"/>
  <c r="H621" i="32" s="1"/>
  <c r="H459" i="32"/>
  <c r="H572" i="32"/>
  <c r="H442" i="32"/>
  <c r="H578" i="32"/>
  <c r="H610" i="32" s="1"/>
  <c r="H514" i="32" s="1"/>
  <c r="H448" i="32"/>
  <c r="F794" i="32"/>
  <c r="H584" i="32"/>
  <c r="H616" i="32" s="1"/>
  <c r="H520" i="32" s="1"/>
  <c r="H454" i="32"/>
  <c r="H595" i="32"/>
  <c r="H627" i="32" s="1"/>
  <c r="H531" i="32" s="1"/>
  <c r="H465" i="32"/>
  <c r="H573" i="32"/>
  <c r="H443" i="32"/>
  <c r="H579" i="32"/>
  <c r="H611" i="32" s="1"/>
  <c r="H515" i="32" s="1"/>
  <c r="H449" i="32"/>
  <c r="H590" i="32"/>
  <c r="H622" i="32" s="1"/>
  <c r="H460" i="32"/>
  <c r="H596" i="32"/>
  <c r="H628" i="32" s="1"/>
  <c r="H532" i="32" s="1"/>
  <c r="H466" i="32"/>
  <c r="H574" i="32"/>
  <c r="H444" i="32"/>
  <c r="H585" i="32"/>
  <c r="H455" i="32"/>
  <c r="H591" i="32"/>
  <c r="H623" i="32" s="1"/>
  <c r="H527" i="32" s="1"/>
  <c r="H461" i="32"/>
  <c r="H580" i="32"/>
  <c r="H612" i="32" s="1"/>
  <c r="H450" i="32"/>
  <c r="H586" i="32"/>
  <c r="H618" i="32" s="1"/>
  <c r="H522" i="32" s="1"/>
  <c r="H456" i="32"/>
  <c r="H597" i="32"/>
  <c r="H629" i="32" s="1"/>
  <c r="H533" i="32" s="1"/>
  <c r="H467" i="32"/>
  <c r="H575" i="32"/>
  <c r="H607" i="32" s="1"/>
  <c r="H511" i="32" s="1"/>
  <c r="H445" i="32"/>
  <c r="H581" i="32"/>
  <c r="H451" i="32"/>
  <c r="H592" i="32"/>
  <c r="H624" i="32" s="1"/>
  <c r="H462" i="32"/>
  <c r="H570" i="32"/>
  <c r="H440" i="32"/>
  <c r="F890" i="32"/>
  <c r="H576" i="32"/>
  <c r="H608" i="32" s="1"/>
  <c r="H512" i="32" s="1"/>
  <c r="H446" i="32"/>
  <c r="H587" i="32"/>
  <c r="H619" i="32" s="1"/>
  <c r="H523" i="32" s="1"/>
  <c r="H457" i="32"/>
  <c r="H593" i="32"/>
  <c r="H625" i="32" s="1"/>
  <c r="H529" i="32" s="1"/>
  <c r="H463" i="32"/>
  <c r="G787" i="32"/>
  <c r="G883" i="32"/>
  <c r="G775" i="32"/>
  <c r="G871" i="32"/>
  <c r="G788" i="32"/>
  <c r="G884" i="32"/>
  <c r="G779" i="32"/>
  <c r="G875" i="32"/>
  <c r="G785" i="32"/>
  <c r="G881" i="32"/>
  <c r="G782" i="32"/>
  <c r="G878" i="32"/>
  <c r="G774" i="32"/>
  <c r="G870" i="32"/>
  <c r="G767" i="32"/>
  <c r="G863" i="32"/>
  <c r="G793" i="32"/>
  <c r="G889" i="32"/>
  <c r="G780" i="32"/>
  <c r="G876" i="32"/>
  <c r="G791" i="32"/>
  <c r="G887" i="32"/>
  <c r="G778" i="32"/>
  <c r="G874" i="32"/>
  <c r="G770" i="32"/>
  <c r="G866" i="32"/>
  <c r="G781" i="32"/>
  <c r="G877" i="32"/>
  <c r="G789" i="32"/>
  <c r="G885" i="32"/>
  <c r="G792" i="32"/>
  <c r="G888" i="32"/>
  <c r="G777" i="32"/>
  <c r="G873" i="32"/>
  <c r="G773" i="32"/>
  <c r="G869" i="32"/>
  <c r="F760" i="32"/>
  <c r="G776" i="32"/>
  <c r="G872" i="32"/>
  <c r="G783" i="32"/>
  <c r="G879" i="32"/>
  <c r="G768" i="32"/>
  <c r="G864" i="32"/>
  <c r="G771" i="32"/>
  <c r="G867" i="32"/>
  <c r="G772" i="32"/>
  <c r="G868" i="32"/>
  <c r="G786" i="32"/>
  <c r="G882" i="32"/>
  <c r="G790" i="32"/>
  <c r="G886" i="32"/>
  <c r="G769" i="32"/>
  <c r="G865" i="32"/>
  <c r="G784" i="32"/>
  <c r="G880" i="32"/>
  <c r="G647" i="32"/>
  <c r="G743" i="32"/>
  <c r="G643" i="32"/>
  <c r="G739" i="32"/>
  <c r="G646" i="32"/>
  <c r="G742" i="32"/>
  <c r="G653" i="32"/>
  <c r="G749" i="32"/>
  <c r="G638" i="32"/>
  <c r="G734" i="32"/>
  <c r="F664" i="32"/>
  <c r="G641" i="32"/>
  <c r="G737" i="32"/>
  <c r="G642" i="32"/>
  <c r="G738" i="32"/>
  <c r="G656" i="32"/>
  <c r="G752" i="32"/>
  <c r="G660" i="32"/>
  <c r="G756" i="32"/>
  <c r="G639" i="32"/>
  <c r="G735" i="32"/>
  <c r="G654" i="32"/>
  <c r="G750" i="32"/>
  <c r="G640" i="32"/>
  <c r="G736" i="32"/>
  <c r="G651" i="32"/>
  <c r="G747" i="32"/>
  <c r="G663" i="32"/>
  <c r="G759" i="32"/>
  <c r="G650" i="32"/>
  <c r="G746" i="32"/>
  <c r="G661" i="32"/>
  <c r="G757" i="32"/>
  <c r="G648" i="32"/>
  <c r="G744" i="32"/>
  <c r="G657" i="32"/>
  <c r="G753" i="32"/>
  <c r="G645" i="32"/>
  <c r="G741" i="32"/>
  <c r="G658" i="32"/>
  <c r="G754" i="32"/>
  <c r="G649" i="32"/>
  <c r="G745" i="32"/>
  <c r="G652" i="32"/>
  <c r="G748" i="32"/>
  <c r="G644" i="32"/>
  <c r="G740" i="32"/>
  <c r="G637" i="32"/>
  <c r="G733" i="32"/>
  <c r="G659" i="32"/>
  <c r="G755" i="32"/>
  <c r="G662" i="32"/>
  <c r="G758" i="32"/>
  <c r="G655" i="32"/>
  <c r="G751" i="32"/>
  <c r="G374" i="32"/>
  <c r="G52" i="32" s="1"/>
  <c r="F231" i="32" a="1"/>
  <c r="F231" i="32" s="1"/>
  <c r="F223" i="32" a="1"/>
  <c r="F223" i="32" s="1"/>
  <c r="F228" i="32" a="1"/>
  <c r="F228" i="32" s="1"/>
  <c r="F229" i="32" a="1"/>
  <c r="F229" i="32" s="1"/>
  <c r="F232" i="32" a="1"/>
  <c r="F232" i="32" s="1"/>
  <c r="F225" i="32" a="1"/>
  <c r="F225" i="32" s="1"/>
  <c r="F226" i="32" a="1"/>
  <c r="F226" i="32" s="1"/>
  <c r="F230" i="32" a="1"/>
  <c r="F230" i="32" s="1"/>
  <c r="F227" i="32" a="1"/>
  <c r="F227" i="32" s="1"/>
  <c r="F233" i="32" a="1"/>
  <c r="F233" i="32" s="1"/>
  <c r="F224" i="32" a="1"/>
  <c r="F224" i="32" s="1"/>
  <c r="H372" i="32"/>
  <c r="H369" i="32"/>
  <c r="H373" i="32"/>
  <c r="H371" i="32"/>
  <c r="H370" i="32"/>
  <c r="H361" i="32"/>
  <c r="H363" i="32"/>
  <c r="H360" i="32"/>
  <c r="H362" i="32"/>
  <c r="H364" i="32"/>
  <c r="G365" i="32"/>
  <c r="F244" i="32"/>
  <c r="F220" i="32"/>
  <c r="G208" i="32"/>
  <c r="G211" i="32"/>
  <c r="G206" i="32"/>
  <c r="G209" i="32"/>
  <c r="G204" i="32"/>
  <c r="G212" i="32"/>
  <c r="G207" i="32"/>
  <c r="F291" i="32"/>
  <c r="F305" i="32" s="1"/>
  <c r="F296" i="32"/>
  <c r="F310" i="32" s="1"/>
  <c r="F603" i="32" s="1"/>
  <c r="F507" i="32" s="1"/>
  <c r="F289" i="32"/>
  <c r="F292" i="32"/>
  <c r="F306" i="32" s="1"/>
  <c r="F295" i="32"/>
  <c r="F309" i="32" s="1"/>
  <c r="F298" i="32"/>
  <c r="F312" i="32" s="1"/>
  <c r="F605" i="32" s="1"/>
  <c r="F509" i="32" s="1"/>
  <c r="F294" i="32"/>
  <c r="F308" i="32" s="1"/>
  <c r="F293" i="32"/>
  <c r="F307" i="32" s="1"/>
  <c r="F290" i="32"/>
  <c r="F304" i="32" s="1"/>
  <c r="F297" i="32"/>
  <c r="F311" i="32" s="1"/>
  <c r="F604" i="32" s="1"/>
  <c r="F508" i="32" s="1"/>
  <c r="G205" i="32"/>
  <c r="G210" i="32"/>
  <c r="G213" i="32"/>
  <c r="F279" i="32" a="1"/>
  <c r="F279" i="32" s="1"/>
  <c r="F281" i="32" a="1"/>
  <c r="F281" i="32" s="1"/>
  <c r="F280" i="32" a="1"/>
  <c r="F280" i="32" s="1"/>
  <c r="F277" i="32" a="1"/>
  <c r="F277" i="32" s="1"/>
  <c r="F282" i="32" a="1"/>
  <c r="F282" i="32" s="1"/>
  <c r="F261" i="32" a="1"/>
  <c r="F261" i="32" s="1"/>
  <c r="F262" i="32" a="1"/>
  <c r="F262" i="32" s="1"/>
  <c r="F620" i="32"/>
  <c r="F524" i="32" s="1"/>
  <c r="F330" i="32"/>
  <c r="F332" i="32" s="1"/>
  <c r="F625" i="32" s="1"/>
  <c r="F529" i="32" s="1"/>
  <c r="F263" i="32"/>
  <c r="G602" i="32"/>
  <c r="F506" i="32"/>
  <c r="G320" i="32"/>
  <c r="F613" i="32"/>
  <c r="F517" i="32" s="1"/>
  <c r="H836" i="32"/>
  <c r="H706" i="32"/>
  <c r="H847" i="32"/>
  <c r="H717" i="32"/>
  <c r="H853" i="32"/>
  <c r="H723" i="32"/>
  <c r="H831" i="32"/>
  <c r="H701" i="32"/>
  <c r="H842" i="32"/>
  <c r="H712" i="32"/>
  <c r="H848" i="32"/>
  <c r="H718" i="32"/>
  <c r="H854" i="32"/>
  <c r="H724" i="32"/>
  <c r="H837" i="32"/>
  <c r="H707" i="32"/>
  <c r="H843" i="32"/>
  <c r="H713" i="32"/>
  <c r="H525" i="32"/>
  <c r="H849" i="32"/>
  <c r="H719" i="32"/>
  <c r="H832" i="32"/>
  <c r="H702" i="32"/>
  <c r="H838" i="32"/>
  <c r="H708" i="32"/>
  <c r="H844" i="32"/>
  <c r="H714" i="32"/>
  <c r="H855" i="32"/>
  <c r="H725" i="32"/>
  <c r="H833" i="32"/>
  <c r="H703" i="32"/>
  <c r="H839" i="32"/>
  <c r="H709" i="32"/>
  <c r="H526" i="32"/>
  <c r="H850" i="32"/>
  <c r="H720" i="32"/>
  <c r="H856" i="32"/>
  <c r="H726" i="32"/>
  <c r="H834" i="32"/>
  <c r="H704" i="32"/>
  <c r="H845" i="32"/>
  <c r="H715" i="32"/>
  <c r="H851" i="32"/>
  <c r="H721" i="32"/>
  <c r="H516" i="32"/>
  <c r="H840" i="32"/>
  <c r="H710" i="32"/>
  <c r="H846" i="32"/>
  <c r="H716" i="32"/>
  <c r="H857" i="32"/>
  <c r="H727" i="32"/>
  <c r="H835" i="32"/>
  <c r="H705" i="32"/>
  <c r="G636" i="32"/>
  <c r="G728" i="32"/>
  <c r="H841" i="32"/>
  <c r="H711" i="32"/>
  <c r="H528" i="32"/>
  <c r="H852" i="32"/>
  <c r="H722" i="32"/>
  <c r="H830" i="32"/>
  <c r="H862" i="32" s="1"/>
  <c r="H700" i="32"/>
  <c r="H732" i="32" s="1"/>
  <c r="G858" i="32"/>
  <c r="G766" i="32"/>
  <c r="H899" i="32"/>
  <c r="H904" i="32"/>
  <c r="H909" i="32"/>
  <c r="H914" i="32"/>
  <c r="H919" i="32"/>
  <c r="H924" i="32"/>
  <c r="H896" i="32"/>
  <c r="H898" i="32"/>
  <c r="H900" i="32"/>
  <c r="H905" i="32"/>
  <c r="H910" i="32"/>
  <c r="H915" i="32"/>
  <c r="H920" i="32"/>
  <c r="H925" i="32"/>
  <c r="H897" i="32"/>
  <c r="H912" i="32"/>
  <c r="H913" i="32"/>
  <c r="H901" i="32"/>
  <c r="H902" i="32"/>
  <c r="H903" i="32"/>
  <c r="H916" i="32"/>
  <c r="H928" i="32"/>
  <c r="H917" i="32"/>
  <c r="H906" i="32"/>
  <c r="H918" i="32"/>
  <c r="H907" i="32"/>
  <c r="H908" i="32"/>
  <c r="H921" i="32"/>
  <c r="H911" i="32"/>
  <c r="H929" i="32"/>
  <c r="H933" i="32"/>
  <c r="H936" i="32"/>
  <c r="H930" i="32"/>
  <c r="H931" i="32"/>
  <c r="H922" i="32"/>
  <c r="H926" i="32"/>
  <c r="H934" i="32"/>
  <c r="H937" i="32"/>
  <c r="H932" i="32"/>
  <c r="H923" i="32"/>
  <c r="H927" i="32"/>
  <c r="H935" i="32"/>
  <c r="G938" i="32"/>
  <c r="H500" i="32"/>
  <c r="H42" i="32" s="1"/>
  <c r="H31" i="32" s="1"/>
  <c r="G606" i="32"/>
  <c r="G510" i="32" s="1"/>
  <c r="H179" i="32"/>
  <c r="H184" i="32"/>
  <c r="H176" i="32"/>
  <c r="H181" i="32"/>
  <c r="H178" i="32"/>
  <c r="H183" i="32"/>
  <c r="H180" i="32"/>
  <c r="H185" i="32"/>
  <c r="H177" i="32"/>
  <c r="H182" i="32"/>
  <c r="G186" i="32"/>
  <c r="G214" i="32" s="1"/>
  <c r="I409" i="32"/>
  <c r="I414" i="32"/>
  <c r="I419" i="32"/>
  <c r="I424" i="32"/>
  <c r="I429" i="32"/>
  <c r="I434" i="32"/>
  <c r="I411" i="32"/>
  <c r="I416" i="32"/>
  <c r="I421" i="32"/>
  <c r="I426" i="32"/>
  <c r="I431" i="32"/>
  <c r="I408" i="32"/>
  <c r="I413" i="32"/>
  <c r="I418" i="32"/>
  <c r="I423" i="32"/>
  <c r="I428" i="32"/>
  <c r="I433" i="32"/>
  <c r="J407" i="32"/>
  <c r="I410" i="32"/>
  <c r="I415" i="32"/>
  <c r="I420" i="32"/>
  <c r="I425" i="32"/>
  <c r="I430" i="32"/>
  <c r="I435" i="32"/>
  <c r="I412" i="32"/>
  <c r="I417" i="32"/>
  <c r="I422" i="32"/>
  <c r="I427" i="32"/>
  <c r="I432" i="32"/>
  <c r="H436" i="32"/>
  <c r="G346" i="32"/>
  <c r="H354" i="32"/>
  <c r="H351" i="32"/>
  <c r="H353" i="32"/>
  <c r="H355" i="32"/>
  <c r="H352" i="32"/>
  <c r="G356" i="32"/>
  <c r="I146" i="32"/>
  <c r="H149" i="32" a="1"/>
  <c r="H149" i="32" s="1"/>
  <c r="H154" i="32" a="1"/>
  <c r="H154" i="32" s="1"/>
  <c r="H170" i="32" a="1"/>
  <c r="H170" i="32" s="1"/>
  <c r="H151" i="32" a="1"/>
  <c r="H151" i="32" s="1"/>
  <c r="H156" i="32" a="1"/>
  <c r="H156" i="32" s="1"/>
  <c r="H169" i="32" a="1"/>
  <c r="H169" i="32" s="1"/>
  <c r="H158" i="32" a="1"/>
  <c r="H158" i="32" s="1"/>
  <c r="H148" i="32" a="1"/>
  <c r="H148" i="32" s="1"/>
  <c r="H153" i="32" a="1"/>
  <c r="H153" i="32" s="1"/>
  <c r="H160" i="32" a="1"/>
  <c r="H160" i="32" s="1"/>
  <c r="H150" i="32" a="1"/>
  <c r="H150" i="32" s="1"/>
  <c r="H147" i="32" a="1"/>
  <c r="H147" i="32" s="1"/>
  <c r="H152" i="32" a="1"/>
  <c r="H152" i="32" s="1"/>
  <c r="H159" i="32" a="1"/>
  <c r="H159" i="32" s="1"/>
  <c r="H163" i="32" a="1"/>
  <c r="H163" i="32" s="1"/>
  <c r="H155" i="32" a="1"/>
  <c r="H155" i="32" s="1"/>
  <c r="H162" i="32" a="1"/>
  <c r="H162" i="32" s="1"/>
  <c r="H157" i="32" a="1"/>
  <c r="H157" i="32" s="1"/>
  <c r="G222" i="32"/>
  <c r="F245" i="32"/>
  <c r="F238" i="32"/>
  <c r="I340" i="32"/>
  <c r="H342" i="32"/>
  <c r="H379" i="32" s="1"/>
  <c r="H344" i="32"/>
  <c r="H381" i="32" s="1"/>
  <c r="H341" i="32"/>
  <c r="H378" i="32" s="1"/>
  <c r="H343" i="32"/>
  <c r="H380" i="32" s="1"/>
  <c r="H345" i="32"/>
  <c r="H382" i="32" s="1"/>
  <c r="G327" i="32"/>
  <c r="G329" i="32" s="1"/>
  <c r="F324" i="32"/>
  <c r="F617" i="32" s="1"/>
  <c r="F521" i="32" s="1"/>
  <c r="F333" i="32"/>
  <c r="F626" i="32" s="1"/>
  <c r="F530" i="32" s="1"/>
  <c r="G49" i="32" a="1"/>
  <c r="G49" i="32" s="1"/>
  <c r="G47" i="32" a="1"/>
  <c r="G47" i="32" s="1"/>
  <c r="G50" i="32" a="1"/>
  <c r="G50" i="32" s="1"/>
  <c r="G48" i="32" a="1"/>
  <c r="G48" i="32" s="1"/>
  <c r="I359" i="32"/>
  <c r="G260" i="32"/>
  <c r="F265" i="32"/>
  <c r="F266" i="32"/>
  <c r="H37" i="32"/>
  <c r="E29" i="32"/>
  <c r="F134" i="32"/>
  <c r="G134" i="32" s="1"/>
  <c r="H134" i="32" s="1"/>
  <c r="I134" i="32" s="1"/>
  <c r="J134" i="32" s="1"/>
  <c r="K134" i="32" s="1"/>
  <c r="L134" i="32" s="1"/>
  <c r="M134" i="32" s="1"/>
  <c r="N134" i="32" s="1"/>
  <c r="O134" i="32" s="1"/>
  <c r="P134" i="32" s="1"/>
  <c r="Q134" i="32" s="1"/>
  <c r="R134" i="32" s="1"/>
  <c r="S134" i="32" s="1"/>
  <c r="T134" i="32" s="1"/>
  <c r="U134" i="32" s="1"/>
  <c r="V134" i="32" s="1"/>
  <c r="W134" i="32" s="1"/>
  <c r="X134" i="32" s="1"/>
  <c r="Y134" i="32" s="1"/>
  <c r="Z134" i="32" s="1"/>
  <c r="AA134" i="32" s="1"/>
  <c r="AB134" i="32" s="1"/>
  <c r="AC134" i="32" s="1"/>
  <c r="AD134" i="32" s="1"/>
  <c r="F126" i="32"/>
  <c r="G126" i="32" s="1"/>
  <c r="H126" i="32" s="1"/>
  <c r="I126" i="32" s="1"/>
  <c r="J126" i="32" s="1"/>
  <c r="K126" i="32" s="1"/>
  <c r="L126" i="32" s="1"/>
  <c r="M126" i="32" s="1"/>
  <c r="N126" i="32" s="1"/>
  <c r="O126" i="32" s="1"/>
  <c r="P126" i="32" s="1"/>
  <c r="Q126" i="32" s="1"/>
  <c r="R126" i="32" s="1"/>
  <c r="S126" i="32" s="1"/>
  <c r="T126" i="32" s="1"/>
  <c r="U126" i="32" s="1"/>
  <c r="V126" i="32" s="1"/>
  <c r="W126" i="32" s="1"/>
  <c r="X126" i="32" s="1"/>
  <c r="Y126" i="32" s="1"/>
  <c r="Z126" i="32" s="1"/>
  <c r="AA126" i="32" s="1"/>
  <c r="AB126" i="32" s="1"/>
  <c r="AC126" i="32" s="1"/>
  <c r="AD126" i="32" s="1"/>
  <c r="F118" i="32"/>
  <c r="G118" i="32" s="1"/>
  <c r="H118" i="32" s="1"/>
  <c r="I118" i="32" s="1"/>
  <c r="J118" i="32" s="1"/>
  <c r="K118" i="32" s="1"/>
  <c r="L118" i="32" s="1"/>
  <c r="M118" i="32" s="1"/>
  <c r="N118" i="32" s="1"/>
  <c r="O118" i="32" s="1"/>
  <c r="P118" i="32" s="1"/>
  <c r="Q118" i="32" s="1"/>
  <c r="R118" i="32" s="1"/>
  <c r="S118" i="32" s="1"/>
  <c r="T118" i="32" s="1"/>
  <c r="U118" i="32" s="1"/>
  <c r="V118" i="32" s="1"/>
  <c r="W118" i="32" s="1"/>
  <c r="X118" i="32" s="1"/>
  <c r="Y118" i="32" s="1"/>
  <c r="Z118" i="32" s="1"/>
  <c r="AA118" i="32" s="1"/>
  <c r="AB118" i="32" s="1"/>
  <c r="AC118" i="32" s="1"/>
  <c r="AD118" i="32" s="1"/>
  <c r="E110" i="32"/>
  <c r="E108" i="32"/>
  <c r="E103" i="32"/>
  <c r="E100" i="32"/>
  <c r="E98" i="32"/>
  <c r="F21" i="32"/>
  <c r="F60" i="32"/>
  <c r="F78" i="32"/>
  <c r="G78" i="32" s="1"/>
  <c r="H78" i="32" s="1"/>
  <c r="I78" i="32" s="1"/>
  <c r="J78" i="32" s="1"/>
  <c r="K78" i="32" s="1"/>
  <c r="L78" i="32" s="1"/>
  <c r="M78" i="32" s="1"/>
  <c r="N78" i="32" s="1"/>
  <c r="O78" i="32" s="1"/>
  <c r="P78" i="32" s="1"/>
  <c r="Q78" i="32" s="1"/>
  <c r="R78" i="32" s="1"/>
  <c r="S78" i="32" s="1"/>
  <c r="T78" i="32" s="1"/>
  <c r="U78" i="32" s="1"/>
  <c r="V78" i="32" s="1"/>
  <c r="W78" i="32" s="1"/>
  <c r="X78" i="32" s="1"/>
  <c r="Y78" i="32" s="1"/>
  <c r="Z78" i="32" s="1"/>
  <c r="AA78" i="32" s="1"/>
  <c r="AB78" i="32" s="1"/>
  <c r="AC78" i="32" s="1"/>
  <c r="AD78" i="32" s="1"/>
  <c r="I161" i="32" l="1" a="1"/>
  <c r="I161" i="32" s="1"/>
  <c r="I331" i="32" s="1"/>
  <c r="I165" i="32" a="1"/>
  <c r="I165" i="32" s="1"/>
  <c r="G21" i="32"/>
  <c r="F22" i="32"/>
  <c r="F26" i="32"/>
  <c r="F25" i="32"/>
  <c r="F23" i="32"/>
  <c r="F24" i="32"/>
  <c r="H38" i="32" a="1"/>
  <c r="H38" i="32" s="1"/>
  <c r="H41" i="32" a="1"/>
  <c r="H41" i="32" s="1"/>
  <c r="H39" i="32" a="1"/>
  <c r="H39" i="32" s="1"/>
  <c r="H40" i="32" a="1"/>
  <c r="H40" i="32" s="1"/>
  <c r="J478" i="32"/>
  <c r="J483" i="32"/>
  <c r="J488" i="32"/>
  <c r="J493" i="32"/>
  <c r="J498" i="32"/>
  <c r="J472" i="32"/>
  <c r="J474" i="32"/>
  <c r="J484" i="32"/>
  <c r="J494" i="32"/>
  <c r="J499" i="32"/>
  <c r="J487" i="32"/>
  <c r="J495" i="32"/>
  <c r="J482" i="32"/>
  <c r="J492" i="32"/>
  <c r="J477" i="32"/>
  <c r="J491" i="32"/>
  <c r="J473" i="32"/>
  <c r="J481" i="32"/>
  <c r="J490" i="32"/>
  <c r="J489" i="32"/>
  <c r="J480" i="32"/>
  <c r="J486" i="32"/>
  <c r="J476" i="32"/>
  <c r="J496" i="32"/>
  <c r="J485" i="32"/>
  <c r="J497" i="32"/>
  <c r="J475" i="32"/>
  <c r="J479" i="32"/>
  <c r="H468" i="32"/>
  <c r="I589" i="32"/>
  <c r="I621" i="32" s="1"/>
  <c r="I525" i="32" s="1"/>
  <c r="I459" i="32"/>
  <c r="I578" i="32"/>
  <c r="I610" i="32" s="1"/>
  <c r="I448" i="32"/>
  <c r="I584" i="32"/>
  <c r="I616" i="32" s="1"/>
  <c r="I520" i="32" s="1"/>
  <c r="I454" i="32"/>
  <c r="I595" i="32"/>
  <c r="I627" i="32" s="1"/>
  <c r="I531" i="32" s="1"/>
  <c r="I465" i="32"/>
  <c r="I573" i="32"/>
  <c r="I443" i="32"/>
  <c r="I579" i="32"/>
  <c r="I611" i="32" s="1"/>
  <c r="I515" i="32" s="1"/>
  <c r="I449" i="32"/>
  <c r="I590" i="32"/>
  <c r="I622" i="32" s="1"/>
  <c r="I460" i="32"/>
  <c r="I596" i="32"/>
  <c r="I628" i="32" s="1"/>
  <c r="I532" i="32" s="1"/>
  <c r="I466" i="32"/>
  <c r="I574" i="32"/>
  <c r="I444" i="32"/>
  <c r="I585" i="32"/>
  <c r="I455" i="32"/>
  <c r="I591" i="32"/>
  <c r="I623" i="32" s="1"/>
  <c r="I527" i="32" s="1"/>
  <c r="I461" i="32"/>
  <c r="I597" i="32"/>
  <c r="I629" i="32" s="1"/>
  <c r="I533" i="32" s="1"/>
  <c r="I467" i="32"/>
  <c r="I580" i="32"/>
  <c r="I612" i="32" s="1"/>
  <c r="I516" i="32" s="1"/>
  <c r="I450" i="32"/>
  <c r="I586" i="32"/>
  <c r="I618" i="32" s="1"/>
  <c r="I522" i="32" s="1"/>
  <c r="I456" i="32"/>
  <c r="G890" i="32"/>
  <c r="I572" i="32"/>
  <c r="I442" i="32"/>
  <c r="I592" i="32"/>
  <c r="I624" i="32" s="1"/>
  <c r="I462" i="32"/>
  <c r="I575" i="32"/>
  <c r="I607" i="32" s="1"/>
  <c r="I511" i="32" s="1"/>
  <c r="I445" i="32"/>
  <c r="I581" i="32"/>
  <c r="I451" i="32"/>
  <c r="I594" i="32"/>
  <c r="I464" i="32"/>
  <c r="I583" i="32"/>
  <c r="I615" i="32" s="1"/>
  <c r="I519" i="32" s="1"/>
  <c r="I453" i="32"/>
  <c r="I587" i="32"/>
  <c r="I619" i="32" s="1"/>
  <c r="I523" i="32" s="1"/>
  <c r="I457" i="32"/>
  <c r="I570" i="32"/>
  <c r="I440" i="32"/>
  <c r="I576" i="32"/>
  <c r="I608" i="32" s="1"/>
  <c r="I512" i="32" s="1"/>
  <c r="I446" i="32"/>
  <c r="I582" i="32"/>
  <c r="I614" i="32" s="1"/>
  <c r="I518" i="32" s="1"/>
  <c r="I452" i="32"/>
  <c r="I593" i="32"/>
  <c r="I625" i="32" s="1"/>
  <c r="I529" i="32" s="1"/>
  <c r="I463" i="32"/>
  <c r="I571" i="32"/>
  <c r="I441" i="32"/>
  <c r="I577" i="32"/>
  <c r="I609" i="32" s="1"/>
  <c r="I513" i="32" s="1"/>
  <c r="I447" i="32"/>
  <c r="I588" i="32"/>
  <c r="I458" i="32"/>
  <c r="H769" i="32"/>
  <c r="H865" i="32"/>
  <c r="H770" i="32"/>
  <c r="H866" i="32"/>
  <c r="H773" i="32"/>
  <c r="H869" i="32"/>
  <c r="H767" i="32"/>
  <c r="H863" i="32"/>
  <c r="H776" i="32"/>
  <c r="H872" i="32"/>
  <c r="H792" i="32"/>
  <c r="H888" i="32"/>
  <c r="H768" i="32"/>
  <c r="H864" i="32"/>
  <c r="H789" i="32"/>
  <c r="H885" i="32"/>
  <c r="H791" i="32"/>
  <c r="H887" i="32"/>
  <c r="H790" i="32"/>
  <c r="H886" i="32"/>
  <c r="H771" i="32"/>
  <c r="H867" i="32"/>
  <c r="H785" i="32"/>
  <c r="H881" i="32"/>
  <c r="H787" i="32"/>
  <c r="H883" i="32"/>
  <c r="H786" i="32"/>
  <c r="H882" i="32"/>
  <c r="H784" i="32"/>
  <c r="H880" i="32"/>
  <c r="H783" i="32"/>
  <c r="H879" i="32"/>
  <c r="G760" i="32"/>
  <c r="H788" i="32"/>
  <c r="H884" i="32"/>
  <c r="H793" i="32"/>
  <c r="H889" i="32"/>
  <c r="H780" i="32"/>
  <c r="H876" i="32"/>
  <c r="H779" i="32"/>
  <c r="H875" i="32"/>
  <c r="H778" i="32"/>
  <c r="H874" i="32"/>
  <c r="H777" i="32"/>
  <c r="H873" i="32"/>
  <c r="H782" i="32"/>
  <c r="H878" i="32"/>
  <c r="H774" i="32"/>
  <c r="H870" i="32"/>
  <c r="G794" i="32"/>
  <c r="H781" i="32"/>
  <c r="H877" i="32"/>
  <c r="H775" i="32"/>
  <c r="H871" i="32"/>
  <c r="H772" i="32"/>
  <c r="H868" i="32"/>
  <c r="H649" i="32"/>
  <c r="H745" i="32"/>
  <c r="H648" i="32"/>
  <c r="H744" i="32"/>
  <c r="H651" i="32"/>
  <c r="H747" i="32"/>
  <c r="H645" i="32"/>
  <c r="H741" i="32"/>
  <c r="H642" i="32"/>
  <c r="H738" i="32"/>
  <c r="H647" i="32"/>
  <c r="H743" i="32"/>
  <c r="H652" i="32"/>
  <c r="H748" i="32"/>
  <c r="H644" i="32"/>
  <c r="H740" i="32"/>
  <c r="H640" i="32"/>
  <c r="H736" i="32"/>
  <c r="H643" i="32"/>
  <c r="H739" i="32"/>
  <c r="H637" i="32"/>
  <c r="H733" i="32"/>
  <c r="H365" i="32"/>
  <c r="H658" i="32"/>
  <c r="H754" i="32"/>
  <c r="H663" i="32"/>
  <c r="H759" i="32"/>
  <c r="H650" i="32"/>
  <c r="H746" i="32"/>
  <c r="H639" i="32"/>
  <c r="H735" i="32"/>
  <c r="G664" i="32"/>
  <c r="H646" i="32"/>
  <c r="H742" i="32"/>
  <c r="H662" i="32"/>
  <c r="H758" i="32"/>
  <c r="H638" i="32"/>
  <c r="H734" i="32"/>
  <c r="H659" i="32"/>
  <c r="H755" i="32"/>
  <c r="H641" i="32"/>
  <c r="H737" i="32"/>
  <c r="H661" i="32"/>
  <c r="H757" i="32"/>
  <c r="H660" i="32"/>
  <c r="H756" i="32"/>
  <c r="H655" i="32"/>
  <c r="H751" i="32"/>
  <c r="H657" i="32"/>
  <c r="H753" i="32"/>
  <c r="H656" i="32"/>
  <c r="H752" i="32"/>
  <c r="H654" i="32"/>
  <c r="H750" i="32"/>
  <c r="H653" i="32"/>
  <c r="H749" i="32"/>
  <c r="F234" i="32" a="1"/>
  <c r="F234" i="32" s="1"/>
  <c r="F235" i="32" a="1"/>
  <c r="F235" i="32" s="1"/>
  <c r="H374" i="32"/>
  <c r="H52" i="32" s="1"/>
  <c r="I370" i="32"/>
  <c r="I372" i="32"/>
  <c r="I369" i="32"/>
  <c r="I373" i="32"/>
  <c r="I371" i="32"/>
  <c r="I361" i="32"/>
  <c r="I363" i="32"/>
  <c r="I360" i="32"/>
  <c r="I362" i="32"/>
  <c r="I364" i="32"/>
  <c r="G226" i="32" a="1"/>
  <c r="G226" i="32" s="1"/>
  <c r="G229" i="32" a="1"/>
  <c r="G229" i="32" s="1"/>
  <c r="G231" i="32" a="1"/>
  <c r="G231" i="32" s="1"/>
  <c r="G233" i="32" a="1"/>
  <c r="G233" i="32" s="1"/>
  <c r="G223" i="32" a="1"/>
  <c r="G223" i="32" s="1"/>
  <c r="G228" i="32" a="1"/>
  <c r="G228" i="32" s="1"/>
  <c r="G232" i="32" a="1"/>
  <c r="G232" i="32" s="1"/>
  <c r="G225" i="32" a="1"/>
  <c r="G225" i="32" s="1"/>
  <c r="G230" i="32" a="1"/>
  <c r="G230" i="32" s="1"/>
  <c r="G227" i="32" a="1"/>
  <c r="G227" i="32" s="1"/>
  <c r="G224" i="32" a="1"/>
  <c r="G224" i="32" s="1"/>
  <c r="G244" i="32"/>
  <c r="G220" i="32"/>
  <c r="H209" i="32"/>
  <c r="H204" i="32"/>
  <c r="H212" i="32"/>
  <c r="H207" i="32"/>
  <c r="F299" i="32"/>
  <c r="F313" i="32" s="1"/>
  <c r="F303" i="32"/>
  <c r="H210" i="32"/>
  <c r="G290" i="32"/>
  <c r="G304" i="32" s="1"/>
  <c r="G293" i="32"/>
  <c r="G307" i="32" s="1"/>
  <c r="G296" i="32"/>
  <c r="G310" i="32" s="1"/>
  <c r="G603" i="32" s="1"/>
  <c r="G507" i="32" s="1"/>
  <c r="G289" i="32"/>
  <c r="G292" i="32"/>
  <c r="G306" i="32" s="1"/>
  <c r="G297" i="32"/>
  <c r="G311" i="32" s="1"/>
  <c r="G604" i="32" s="1"/>
  <c r="G508" i="32" s="1"/>
  <c r="G291" i="32"/>
  <c r="G305" i="32" s="1"/>
  <c r="G295" i="32"/>
  <c r="G309" i="32" s="1"/>
  <c r="G294" i="32"/>
  <c r="G308" i="32" s="1"/>
  <c r="G298" i="32"/>
  <c r="G312" i="32" s="1"/>
  <c r="G605" i="32" s="1"/>
  <c r="G509" i="32" s="1"/>
  <c r="H205" i="32"/>
  <c r="H213" i="32"/>
  <c r="H208" i="32"/>
  <c r="H211" i="32"/>
  <c r="H206" i="32"/>
  <c r="G277" i="32" a="1"/>
  <c r="G277" i="32" s="1"/>
  <c r="G280" i="32" a="1"/>
  <c r="G280" i="32" s="1"/>
  <c r="G279" i="32" a="1"/>
  <c r="G279" i="32" s="1"/>
  <c r="G282" i="32" a="1"/>
  <c r="G282" i="32" s="1"/>
  <c r="G281" i="32" a="1"/>
  <c r="G281" i="32" s="1"/>
  <c r="F278" i="32"/>
  <c r="F283" i="32" s="1"/>
  <c r="F264" i="32"/>
  <c r="G262" i="32" a="1"/>
  <c r="G262" i="32" s="1"/>
  <c r="G261" i="32" a="1"/>
  <c r="G261" i="32" s="1"/>
  <c r="G620" i="32"/>
  <c r="G524" i="32" s="1"/>
  <c r="G330" i="32"/>
  <c r="G332" i="32" s="1"/>
  <c r="G263" i="32"/>
  <c r="H602" i="32"/>
  <c r="H506" i="32" s="1"/>
  <c r="F598" i="32"/>
  <c r="H320" i="32"/>
  <c r="G613" i="32"/>
  <c r="G517" i="32" s="1"/>
  <c r="F534" i="32"/>
  <c r="F630" i="32"/>
  <c r="G506" i="32"/>
  <c r="I839" i="32"/>
  <c r="I709" i="32"/>
  <c r="I526" i="32"/>
  <c r="I850" i="32"/>
  <c r="I720" i="32"/>
  <c r="I856" i="32"/>
  <c r="I726" i="32"/>
  <c r="I834" i="32"/>
  <c r="I704" i="32"/>
  <c r="I845" i="32"/>
  <c r="I715" i="32"/>
  <c r="I851" i="32"/>
  <c r="I721" i="32"/>
  <c r="I857" i="32"/>
  <c r="I727" i="32"/>
  <c r="I840" i="32"/>
  <c r="I710" i="32"/>
  <c r="I846" i="32"/>
  <c r="I716" i="32"/>
  <c r="I528" i="32"/>
  <c r="I852" i="32"/>
  <c r="I722" i="32"/>
  <c r="I835" i="32"/>
  <c r="I705" i="32"/>
  <c r="I841" i="32"/>
  <c r="I711" i="32"/>
  <c r="I847" i="32"/>
  <c r="I717" i="32"/>
  <c r="I830" i="32"/>
  <c r="I862" i="32" s="1"/>
  <c r="I700" i="32"/>
  <c r="I732" i="32" s="1"/>
  <c r="I836" i="32"/>
  <c r="I706" i="32"/>
  <c r="H728" i="32"/>
  <c r="H636" i="32"/>
  <c r="I842" i="32"/>
  <c r="I712" i="32"/>
  <c r="I853" i="32"/>
  <c r="I723" i="32"/>
  <c r="I831" i="32"/>
  <c r="I701" i="32"/>
  <c r="H858" i="32"/>
  <c r="H766" i="32"/>
  <c r="I837" i="32"/>
  <c r="I707" i="32"/>
  <c r="I848" i="32"/>
  <c r="I718" i="32"/>
  <c r="I854" i="32"/>
  <c r="I724" i="32"/>
  <c r="I832" i="32"/>
  <c r="I702" i="32"/>
  <c r="I843" i="32"/>
  <c r="I713" i="32"/>
  <c r="I849" i="32"/>
  <c r="I719" i="32"/>
  <c r="I514" i="32"/>
  <c r="I838" i="32"/>
  <c r="I708" i="32"/>
  <c r="I844" i="32"/>
  <c r="I714" i="32"/>
  <c r="I855" i="32"/>
  <c r="I725" i="32"/>
  <c r="I833" i="32"/>
  <c r="I703" i="32"/>
  <c r="H938" i="32"/>
  <c r="I896" i="32"/>
  <c r="I911" i="32"/>
  <c r="I897" i="32"/>
  <c r="I898" i="32"/>
  <c r="I912" i="32"/>
  <c r="I913" i="32"/>
  <c r="I914" i="32"/>
  <c r="I899" i="32"/>
  <c r="I901" i="32"/>
  <c r="I902" i="32"/>
  <c r="I915" i="32"/>
  <c r="I927" i="32"/>
  <c r="I903" i="32"/>
  <c r="I904" i="32"/>
  <c r="I916" i="32"/>
  <c r="I905" i="32"/>
  <c r="I917" i="32"/>
  <c r="I900" i="32"/>
  <c r="I906" i="32"/>
  <c r="I907" i="32"/>
  <c r="I920" i="32"/>
  <c r="I929" i="32"/>
  <c r="I934" i="32"/>
  <c r="I921" i="32"/>
  <c r="I923" i="32"/>
  <c r="I925" i="32"/>
  <c r="I919" i="32"/>
  <c r="I933" i="32"/>
  <c r="I936" i="32"/>
  <c r="I908" i="32"/>
  <c r="I930" i="32"/>
  <c r="I910" i="32"/>
  <c r="I931" i="32"/>
  <c r="I928" i="32"/>
  <c r="I922" i="32"/>
  <c r="I924" i="32"/>
  <c r="I926" i="32"/>
  <c r="I937" i="32"/>
  <c r="I909" i="32"/>
  <c r="I932" i="32"/>
  <c r="I918" i="32"/>
  <c r="I935" i="32"/>
  <c r="I500" i="32"/>
  <c r="I42" i="32" s="1"/>
  <c r="I31" i="32" s="1"/>
  <c r="H606" i="32"/>
  <c r="H510" i="32" s="1"/>
  <c r="I177" i="32"/>
  <c r="I182" i="32"/>
  <c r="I179" i="32"/>
  <c r="I184" i="32"/>
  <c r="I176" i="32"/>
  <c r="I181" i="32"/>
  <c r="I178" i="32"/>
  <c r="I185" i="32"/>
  <c r="I180" i="32"/>
  <c r="I183" i="32"/>
  <c r="H186" i="32"/>
  <c r="H214" i="32" s="1"/>
  <c r="J409" i="32"/>
  <c r="J414" i="32"/>
  <c r="J419" i="32"/>
  <c r="J424" i="32"/>
  <c r="J429" i="32"/>
  <c r="J434" i="32"/>
  <c r="J411" i="32"/>
  <c r="J416" i="32"/>
  <c r="J421" i="32"/>
  <c r="J426" i="32"/>
  <c r="J431" i="32"/>
  <c r="K407" i="32"/>
  <c r="J408" i="32"/>
  <c r="J413" i="32"/>
  <c r="J418" i="32"/>
  <c r="J423" i="32"/>
  <c r="J428" i="32"/>
  <c r="J433" i="32"/>
  <c r="J410" i="32"/>
  <c r="J415" i="32"/>
  <c r="J420" i="32"/>
  <c r="J425" i="32"/>
  <c r="J430" i="32"/>
  <c r="J435" i="32"/>
  <c r="J412" i="32"/>
  <c r="J417" i="32"/>
  <c r="J422" i="32"/>
  <c r="J427" i="32"/>
  <c r="J432" i="32"/>
  <c r="I436" i="32"/>
  <c r="F271" i="32"/>
  <c r="H346" i="32"/>
  <c r="H356" i="32"/>
  <c r="I352" i="32"/>
  <c r="I354" i="32"/>
  <c r="I351" i="32"/>
  <c r="I353" i="32"/>
  <c r="I355" i="32"/>
  <c r="G60" i="32"/>
  <c r="H60" i="32" s="1"/>
  <c r="F130" i="32" a="1"/>
  <c r="F130" i="32" s="1"/>
  <c r="F128" i="32" a="1"/>
  <c r="F128" i="32" s="1"/>
  <c r="F92" i="32" a="1"/>
  <c r="F92" i="32" s="1"/>
  <c r="F83" i="32" a="1"/>
  <c r="F83" i="32" s="1"/>
  <c r="F127" i="32" a="1"/>
  <c r="F127" i="32" s="1"/>
  <c r="F120" i="32" a="1"/>
  <c r="F120" i="32" s="1"/>
  <c r="F91" i="32" a="1"/>
  <c r="F91" i="32" s="1"/>
  <c r="F90" i="32" a="1"/>
  <c r="F90" i="32" s="1"/>
  <c r="F122" i="32" a="1"/>
  <c r="F122" i="32" s="1"/>
  <c r="F79" i="32" a="1"/>
  <c r="F79" i="32" s="1"/>
  <c r="F71" i="32" a="1"/>
  <c r="F71" i="32" s="1"/>
  <c r="F85" i="32" a="1"/>
  <c r="F85" i="32" s="1"/>
  <c r="F84" i="32" a="1"/>
  <c r="F84" i="32" s="1"/>
  <c r="F129" i="32" a="1"/>
  <c r="F129" i="32" s="1"/>
  <c r="F88" i="32" a="1"/>
  <c r="F88" i="32" s="1"/>
  <c r="F86" i="32" a="1"/>
  <c r="F86" i="32" s="1"/>
  <c r="F121" i="32" a="1"/>
  <c r="F121" i="32" s="1"/>
  <c r="F93" i="32" a="1"/>
  <c r="F93" i="32" s="1"/>
  <c r="F89" i="32" a="1"/>
  <c r="F89" i="32" s="1"/>
  <c r="F119" i="32" a="1"/>
  <c r="F119" i="32" s="1"/>
  <c r="F73" i="32" a="1"/>
  <c r="F73" i="32" s="1"/>
  <c r="F70" i="32" a="1"/>
  <c r="F70" i="32" s="1"/>
  <c r="F81" i="32" a="1"/>
  <c r="F81" i="32" s="1"/>
  <c r="F82" i="32" a="1"/>
  <c r="F82" i="32" s="1"/>
  <c r="F61" i="32" a="1"/>
  <c r="F61" i="32" s="1"/>
  <c r="F80" i="32" a="1"/>
  <c r="F80" i="32" s="1"/>
  <c r="F65" i="32" a="1"/>
  <c r="F65" i="32" s="1"/>
  <c r="F67" i="32" a="1"/>
  <c r="F67" i="32" s="1"/>
  <c r="F74" i="32" a="1"/>
  <c r="F74" i="32" s="1"/>
  <c r="F69" i="32" a="1"/>
  <c r="F69" i="32" s="1"/>
  <c r="F63" i="32" a="1"/>
  <c r="F63" i="32" s="1"/>
  <c r="F62" i="32" a="1"/>
  <c r="F62" i="32" s="1"/>
  <c r="F72" i="32" a="1"/>
  <c r="F72" i="32" s="1"/>
  <c r="F87" i="32" a="1"/>
  <c r="F87" i="32" s="1"/>
  <c r="F64" i="32" a="1"/>
  <c r="F64" i="32" s="1"/>
  <c r="F66" i="32" a="1"/>
  <c r="F66" i="32" s="1"/>
  <c r="F68" i="32" a="1"/>
  <c r="F68" i="32" s="1"/>
  <c r="H49" i="32" a="1"/>
  <c r="H49" i="32" s="1"/>
  <c r="H47" i="32" a="1"/>
  <c r="H47" i="32" s="1"/>
  <c r="H50" i="32" a="1"/>
  <c r="H50" i="32" s="1"/>
  <c r="H48" i="32" a="1"/>
  <c r="H48" i="32" s="1"/>
  <c r="H260" i="32"/>
  <c r="G265" i="32"/>
  <c r="G266" i="32"/>
  <c r="J340" i="32"/>
  <c r="I345" i="32"/>
  <c r="I382" i="32" s="1"/>
  <c r="I342" i="32"/>
  <c r="I379" i="32" s="1"/>
  <c r="I344" i="32"/>
  <c r="I381" i="32" s="1"/>
  <c r="I341" i="32"/>
  <c r="I378" i="32" s="1"/>
  <c r="I343" i="32"/>
  <c r="I380" i="32" s="1"/>
  <c r="J359" i="32"/>
  <c r="H222" i="32"/>
  <c r="G245" i="32"/>
  <c r="G238" i="32"/>
  <c r="H327" i="32"/>
  <c r="H329" i="32" s="1"/>
  <c r="G324" i="32"/>
  <c r="G617" i="32" s="1"/>
  <c r="G521" i="32" s="1"/>
  <c r="G333" i="32"/>
  <c r="G626" i="32" s="1"/>
  <c r="G530" i="32" s="1"/>
  <c r="J146" i="32"/>
  <c r="I147" i="32" a="1"/>
  <c r="I147" i="32" s="1"/>
  <c r="I152" i="32" a="1"/>
  <c r="I152" i="32" s="1"/>
  <c r="I159" i="32" a="1"/>
  <c r="I159" i="32" s="1"/>
  <c r="I162" i="32" a="1"/>
  <c r="I162" i="32" s="1"/>
  <c r="I170" i="32" a="1"/>
  <c r="I170" i="32" s="1"/>
  <c r="I149" i="32" a="1"/>
  <c r="I149" i="32" s="1"/>
  <c r="I154" i="32" a="1"/>
  <c r="I154" i="32" s="1"/>
  <c r="I169" i="32" a="1"/>
  <c r="I169" i="32" s="1"/>
  <c r="I151" i="32" a="1"/>
  <c r="I151" i="32" s="1"/>
  <c r="I156" i="32" a="1"/>
  <c r="I156" i="32" s="1"/>
  <c r="I158" i="32" a="1"/>
  <c r="I158" i="32" s="1"/>
  <c r="I148" i="32" a="1"/>
  <c r="I148" i="32" s="1"/>
  <c r="I153" i="32" a="1"/>
  <c r="I153" i="32" s="1"/>
  <c r="I150" i="32" a="1"/>
  <c r="I150" i="32" s="1"/>
  <c r="I157" i="32" a="1"/>
  <c r="I157" i="32" s="1"/>
  <c r="I163" i="32" a="1"/>
  <c r="I163" i="32" s="1"/>
  <c r="I160" i="32" a="1"/>
  <c r="I160" i="32" s="1"/>
  <c r="I155" i="32" a="1"/>
  <c r="I155" i="32" s="1"/>
  <c r="E106" i="32"/>
  <c r="E107" i="32"/>
  <c r="E102" i="32"/>
  <c r="I37" i="32"/>
  <c r="E105" i="32"/>
  <c r="E99" i="32"/>
  <c r="E109" i="32"/>
  <c r="E101" i="32"/>
  <c r="E111" i="32"/>
  <c r="E104" i="32"/>
  <c r="E30" i="32"/>
  <c r="E27" i="32"/>
  <c r="E28" i="32"/>
  <c r="F27" i="32"/>
  <c r="E53" i="32"/>
  <c r="E43" i="32"/>
  <c r="E164" i="32"/>
  <c r="E135" i="32"/>
  <c r="E136" i="32"/>
  <c r="E138" i="32"/>
  <c r="E137" i="32"/>
  <c r="E94" i="32"/>
  <c r="E131" i="32"/>
  <c r="E123" i="32"/>
  <c r="E75" i="32"/>
  <c r="J161" i="32" l="1" a="1"/>
  <c r="J161" i="32" s="1"/>
  <c r="J331" i="32" s="1"/>
  <c r="J165" i="32" a="1"/>
  <c r="J165" i="32" s="1"/>
  <c r="H21" i="32"/>
  <c r="G24" i="32"/>
  <c r="G22" i="32"/>
  <c r="G26" i="32"/>
  <c r="G23" i="32"/>
  <c r="G25" i="32"/>
  <c r="I41" i="32" a="1"/>
  <c r="I41" i="32" s="1"/>
  <c r="I39" i="32" a="1"/>
  <c r="I39" i="32" s="1"/>
  <c r="I40" i="32" a="1"/>
  <c r="I40" i="32" s="1"/>
  <c r="I38" i="32" a="1"/>
  <c r="I38" i="32" s="1"/>
  <c r="K472" i="32"/>
  <c r="K477" i="32"/>
  <c r="K482" i="32"/>
  <c r="K487" i="32"/>
  <c r="K492" i="32"/>
  <c r="K497" i="32"/>
  <c r="K474" i="32"/>
  <c r="K479" i="32"/>
  <c r="K484" i="32"/>
  <c r="K489" i="32"/>
  <c r="K494" i="32"/>
  <c r="K499" i="32"/>
  <c r="K476" i="32"/>
  <c r="K481" i="32"/>
  <c r="K486" i="32"/>
  <c r="K491" i="32"/>
  <c r="K496" i="32"/>
  <c r="K473" i="32"/>
  <c r="K478" i="32"/>
  <c r="K483" i="32"/>
  <c r="K488" i="32"/>
  <c r="K493" i="32"/>
  <c r="K498" i="32"/>
  <c r="K475" i="32"/>
  <c r="K480" i="32"/>
  <c r="K485" i="32"/>
  <c r="K490" i="32"/>
  <c r="K495" i="32"/>
  <c r="I468" i="32"/>
  <c r="J594" i="32"/>
  <c r="J464" i="32"/>
  <c r="J572" i="32"/>
  <c r="J442" i="32"/>
  <c r="J583" i="32"/>
  <c r="J615" i="32" s="1"/>
  <c r="J519" i="32" s="1"/>
  <c r="J453" i="32"/>
  <c r="J589" i="32"/>
  <c r="J621" i="32" s="1"/>
  <c r="J525" i="32" s="1"/>
  <c r="J459" i="32"/>
  <c r="J595" i="32"/>
  <c r="J627" i="32" s="1"/>
  <c r="J531" i="32" s="1"/>
  <c r="J465" i="32"/>
  <c r="J578" i="32"/>
  <c r="J610" i="32" s="1"/>
  <c r="J514" i="32" s="1"/>
  <c r="J448" i="32"/>
  <c r="J584" i="32"/>
  <c r="J616" i="32" s="1"/>
  <c r="J454" i="32"/>
  <c r="J590" i="32"/>
  <c r="J622" i="32" s="1"/>
  <c r="J526" i="32" s="1"/>
  <c r="J460" i="32"/>
  <c r="J573" i="32"/>
  <c r="J443" i="32"/>
  <c r="J579" i="32"/>
  <c r="J611" i="32" s="1"/>
  <c r="J515" i="32" s="1"/>
  <c r="J449" i="32"/>
  <c r="J585" i="32"/>
  <c r="J455" i="32"/>
  <c r="J596" i="32"/>
  <c r="J628" i="32" s="1"/>
  <c r="J532" i="32" s="1"/>
  <c r="J466" i="32"/>
  <c r="J574" i="32"/>
  <c r="J444" i="32"/>
  <c r="J580" i="32"/>
  <c r="J612" i="32" s="1"/>
  <c r="J516" i="32" s="1"/>
  <c r="J450" i="32"/>
  <c r="J591" i="32"/>
  <c r="J623" i="32" s="1"/>
  <c r="J527" i="32" s="1"/>
  <c r="J461" i="32"/>
  <c r="H890" i="32"/>
  <c r="J577" i="32"/>
  <c r="J609" i="32" s="1"/>
  <c r="J447" i="32"/>
  <c r="J588" i="32"/>
  <c r="J458" i="32"/>
  <c r="J597" i="32"/>
  <c r="J629" i="32" s="1"/>
  <c r="J533" i="32" s="1"/>
  <c r="J467" i="32"/>
  <c r="J575" i="32"/>
  <c r="J607" i="32" s="1"/>
  <c r="J511" i="32" s="1"/>
  <c r="J445" i="32"/>
  <c r="J586" i="32"/>
  <c r="J618" i="32" s="1"/>
  <c r="J522" i="32" s="1"/>
  <c r="J456" i="32"/>
  <c r="J592" i="32"/>
  <c r="J624" i="32" s="1"/>
  <c r="J462" i="32"/>
  <c r="J570" i="32"/>
  <c r="J440" i="32"/>
  <c r="J581" i="32"/>
  <c r="J451" i="32"/>
  <c r="J587" i="32"/>
  <c r="J619" i="32" s="1"/>
  <c r="J523" i="32" s="1"/>
  <c r="J457" i="32"/>
  <c r="J576" i="32"/>
  <c r="J608" i="32" s="1"/>
  <c r="J512" i="32" s="1"/>
  <c r="J446" i="32"/>
  <c r="J582" i="32"/>
  <c r="J614" i="32" s="1"/>
  <c r="J452" i="32"/>
  <c r="J593" i="32"/>
  <c r="J625" i="32" s="1"/>
  <c r="J529" i="32" s="1"/>
  <c r="J463" i="32"/>
  <c r="J571" i="32"/>
  <c r="J441" i="32"/>
  <c r="I768" i="32"/>
  <c r="I864" i="32"/>
  <c r="I776" i="32"/>
  <c r="I872" i="32"/>
  <c r="I774" i="32"/>
  <c r="I870" i="32"/>
  <c r="I767" i="32"/>
  <c r="I863" i="32"/>
  <c r="I772" i="32"/>
  <c r="I868" i="32"/>
  <c r="I771" i="32"/>
  <c r="I867" i="32"/>
  <c r="I770" i="32"/>
  <c r="I866" i="32"/>
  <c r="I790" i="32"/>
  <c r="I886" i="32"/>
  <c r="I769" i="32"/>
  <c r="I865" i="32"/>
  <c r="I789" i="32"/>
  <c r="I885" i="32"/>
  <c r="I793" i="32"/>
  <c r="I889" i="32"/>
  <c r="I792" i="32"/>
  <c r="I888" i="32"/>
  <c r="I785" i="32"/>
  <c r="I881" i="32"/>
  <c r="I784" i="32"/>
  <c r="I880" i="32"/>
  <c r="I788" i="32"/>
  <c r="I884" i="32"/>
  <c r="H760" i="32"/>
  <c r="I791" i="32"/>
  <c r="I887" i="32"/>
  <c r="I773" i="32"/>
  <c r="I869" i="32"/>
  <c r="I778" i="32"/>
  <c r="I874" i="32"/>
  <c r="I783" i="32"/>
  <c r="I879" i="32"/>
  <c r="I787" i="32"/>
  <c r="I883" i="32"/>
  <c r="I786" i="32"/>
  <c r="I882" i="32"/>
  <c r="I779" i="32"/>
  <c r="I875" i="32"/>
  <c r="I782" i="32"/>
  <c r="I878" i="32"/>
  <c r="I780" i="32"/>
  <c r="I876" i="32"/>
  <c r="H794" i="32"/>
  <c r="I777" i="32"/>
  <c r="I873" i="32"/>
  <c r="I781" i="32"/>
  <c r="I877" i="32"/>
  <c r="I775" i="32"/>
  <c r="I871" i="32"/>
  <c r="I643" i="32"/>
  <c r="I739" i="32"/>
  <c r="I648" i="32"/>
  <c r="I744" i="32"/>
  <c r="I653" i="32"/>
  <c r="I749" i="32"/>
  <c r="I657" i="32"/>
  <c r="I753" i="32"/>
  <c r="I656" i="32"/>
  <c r="I752" i="32"/>
  <c r="I649" i="32"/>
  <c r="I745" i="32"/>
  <c r="I652" i="32"/>
  <c r="I748" i="32"/>
  <c r="I650" i="32"/>
  <c r="I746" i="32"/>
  <c r="H664" i="32"/>
  <c r="I647" i="32"/>
  <c r="I743" i="32"/>
  <c r="I651" i="32"/>
  <c r="I747" i="32"/>
  <c r="I645" i="32"/>
  <c r="I741" i="32"/>
  <c r="I644" i="32"/>
  <c r="I740" i="32"/>
  <c r="I637" i="32"/>
  <c r="I733" i="32"/>
  <c r="I642" i="32"/>
  <c r="I738" i="32"/>
  <c r="I641" i="32"/>
  <c r="I737" i="32"/>
  <c r="I640" i="32"/>
  <c r="I736" i="32"/>
  <c r="I660" i="32"/>
  <c r="I756" i="32"/>
  <c r="I638" i="32"/>
  <c r="I734" i="32"/>
  <c r="I646" i="32"/>
  <c r="I742" i="32"/>
  <c r="I639" i="32"/>
  <c r="I735" i="32"/>
  <c r="I659" i="32"/>
  <c r="I755" i="32"/>
  <c r="I663" i="32"/>
  <c r="I759" i="32"/>
  <c r="I662" i="32"/>
  <c r="I758" i="32"/>
  <c r="I655" i="32"/>
  <c r="I751" i="32"/>
  <c r="I654" i="32"/>
  <c r="I750" i="32"/>
  <c r="I658" i="32"/>
  <c r="I754" i="32"/>
  <c r="I661" i="32"/>
  <c r="I757" i="32"/>
  <c r="F236" i="32"/>
  <c r="F237" i="32" s="1"/>
  <c r="G235" i="32" a="1"/>
  <c r="G235" i="32" s="1"/>
  <c r="G234" i="32" a="1"/>
  <c r="G234" i="32" s="1"/>
  <c r="H229" i="32" a="1"/>
  <c r="H229" i="32" s="1"/>
  <c r="H226" i="32" a="1"/>
  <c r="H226" i="32" s="1"/>
  <c r="H231" i="32" a="1"/>
  <c r="H231" i="32" s="1"/>
  <c r="H223" i="32" a="1"/>
  <c r="H223" i="32" s="1"/>
  <c r="H228" i="32" a="1"/>
  <c r="H228" i="32" s="1"/>
  <c r="H232" i="32" a="1"/>
  <c r="H232" i="32" s="1"/>
  <c r="H230" i="32" a="1"/>
  <c r="H230" i="32" s="1"/>
  <c r="H225" i="32" a="1"/>
  <c r="H225" i="32" s="1"/>
  <c r="H233" i="32" a="1"/>
  <c r="H233" i="32" s="1"/>
  <c r="H227" i="32" a="1"/>
  <c r="H227" i="32" s="1"/>
  <c r="H224" i="32" a="1"/>
  <c r="H224" i="32" s="1"/>
  <c r="I374" i="32"/>
  <c r="I52" i="32" s="1"/>
  <c r="J370" i="32"/>
  <c r="J372" i="32"/>
  <c r="J371" i="32"/>
  <c r="J369" i="32"/>
  <c r="J373" i="32"/>
  <c r="J364" i="32"/>
  <c r="J361" i="32"/>
  <c r="J363" i="32"/>
  <c r="J360" i="32"/>
  <c r="J362" i="32"/>
  <c r="I365" i="32"/>
  <c r="H244" i="32"/>
  <c r="H220" i="32"/>
  <c r="I206" i="32"/>
  <c r="H289" i="32"/>
  <c r="H294" i="32"/>
  <c r="H308" i="32" s="1"/>
  <c r="H295" i="32"/>
  <c r="H309" i="32" s="1"/>
  <c r="H291" i="32"/>
  <c r="H305" i="32" s="1"/>
  <c r="H296" i="32"/>
  <c r="H310" i="32" s="1"/>
  <c r="H603" i="32" s="1"/>
  <c r="H507" i="32" s="1"/>
  <c r="H297" i="32"/>
  <c r="H311" i="32" s="1"/>
  <c r="H604" i="32" s="1"/>
  <c r="H508" i="32" s="1"/>
  <c r="H293" i="32"/>
  <c r="H307" i="32" s="1"/>
  <c r="H290" i="32"/>
  <c r="H304" i="32" s="1"/>
  <c r="H292" i="32"/>
  <c r="H306" i="32" s="1"/>
  <c r="H298" i="32"/>
  <c r="H312" i="32" s="1"/>
  <c r="H605" i="32" s="1"/>
  <c r="H509" i="32" s="1"/>
  <c r="I209" i="32"/>
  <c r="I204" i="32"/>
  <c r="I212" i="32"/>
  <c r="I207" i="32"/>
  <c r="G299" i="32"/>
  <c r="G313" i="32" s="1"/>
  <c r="G303" i="32"/>
  <c r="I210" i="32"/>
  <c r="I205" i="32"/>
  <c r="I211" i="32"/>
  <c r="I208" i="32"/>
  <c r="I213" i="32"/>
  <c r="H277" i="32" a="1"/>
  <c r="H277" i="32" s="1"/>
  <c r="H279" i="32" a="1"/>
  <c r="H279" i="32" s="1"/>
  <c r="H282" i="32" a="1"/>
  <c r="H282" i="32" s="1"/>
  <c r="H281" i="32" a="1"/>
  <c r="H281" i="32" s="1"/>
  <c r="H280" i="32" a="1"/>
  <c r="H280" i="32" s="1"/>
  <c r="G278" i="32"/>
  <c r="G283" i="32" s="1"/>
  <c r="G264" i="32"/>
  <c r="H620" i="32"/>
  <c r="H524" i="32" s="1"/>
  <c r="H330" i="32"/>
  <c r="H332" i="32" s="1"/>
  <c r="H262" i="32" a="1"/>
  <c r="H262" i="32" s="1"/>
  <c r="H261" i="32" a="1"/>
  <c r="H261" i="32" s="1"/>
  <c r="H263" i="32"/>
  <c r="G598" i="32"/>
  <c r="G630" i="32"/>
  <c r="G534" i="32"/>
  <c r="I602" i="32"/>
  <c r="I320" i="32"/>
  <c r="H613" i="32"/>
  <c r="H517" i="32" s="1"/>
  <c r="J834" i="32"/>
  <c r="J704" i="32"/>
  <c r="J840" i="32"/>
  <c r="J710" i="32"/>
  <c r="J851" i="32"/>
  <c r="J721" i="32"/>
  <c r="J857" i="32"/>
  <c r="J727" i="32"/>
  <c r="J835" i="32"/>
  <c r="J705" i="32"/>
  <c r="J846" i="32"/>
  <c r="J716" i="32"/>
  <c r="J528" i="32"/>
  <c r="J852" i="32"/>
  <c r="J722" i="32"/>
  <c r="J830" i="32"/>
  <c r="J862" i="32" s="1"/>
  <c r="J700" i="32"/>
  <c r="J732" i="32" s="1"/>
  <c r="J841" i="32"/>
  <c r="J711" i="32"/>
  <c r="J847" i="32"/>
  <c r="J717" i="32"/>
  <c r="J836" i="32"/>
  <c r="J706" i="32"/>
  <c r="J518" i="32"/>
  <c r="J842" i="32"/>
  <c r="J712" i="32"/>
  <c r="J853" i="32"/>
  <c r="J723" i="32"/>
  <c r="J831" i="32"/>
  <c r="J701" i="32"/>
  <c r="J513" i="32"/>
  <c r="J837" i="32"/>
  <c r="J707" i="32"/>
  <c r="J848" i="32"/>
  <c r="J718" i="32"/>
  <c r="J854" i="32"/>
  <c r="J724" i="32"/>
  <c r="J832" i="32"/>
  <c r="J702" i="32"/>
  <c r="J843" i="32"/>
  <c r="J713" i="32"/>
  <c r="J849" i="32"/>
  <c r="J719" i="32"/>
  <c r="J855" i="32"/>
  <c r="J725" i="32"/>
  <c r="J838" i="32"/>
  <c r="J708" i="32"/>
  <c r="I636" i="32"/>
  <c r="I728" i="32"/>
  <c r="J520" i="32"/>
  <c r="J844" i="32"/>
  <c r="J714" i="32"/>
  <c r="J850" i="32"/>
  <c r="J720" i="32"/>
  <c r="J833" i="32"/>
  <c r="J703" i="32"/>
  <c r="I858" i="32"/>
  <c r="I766" i="32"/>
  <c r="J839" i="32"/>
  <c r="J709" i="32"/>
  <c r="J845" i="32"/>
  <c r="J715" i="32"/>
  <c r="J856" i="32"/>
  <c r="J726" i="32"/>
  <c r="J897" i="32"/>
  <c r="J902" i="32"/>
  <c r="J907" i="32"/>
  <c r="J912" i="32"/>
  <c r="J917" i="32"/>
  <c r="J922" i="32"/>
  <c r="J927" i="32"/>
  <c r="J899" i="32"/>
  <c r="J896" i="32"/>
  <c r="J901" i="32"/>
  <c r="J898" i="32"/>
  <c r="J903" i="32"/>
  <c r="J908" i="32"/>
  <c r="J913" i="32"/>
  <c r="J918" i="32"/>
  <c r="J923" i="32"/>
  <c r="J928" i="32"/>
  <c r="J910" i="32"/>
  <c r="J911" i="32"/>
  <c r="J914" i="32"/>
  <c r="J926" i="32"/>
  <c r="J915" i="32"/>
  <c r="J904" i="32"/>
  <c r="J916" i="32"/>
  <c r="J905" i="32"/>
  <c r="J900" i="32"/>
  <c r="J906" i="32"/>
  <c r="J919" i="32"/>
  <c r="J921" i="32"/>
  <c r="J925" i="32"/>
  <c r="J929" i="32"/>
  <c r="J933" i="32"/>
  <c r="J936" i="32"/>
  <c r="J930" i="32"/>
  <c r="J931" i="32"/>
  <c r="J920" i="32"/>
  <c r="J934" i="32"/>
  <c r="J924" i="32"/>
  <c r="J937" i="32"/>
  <c r="J909" i="32"/>
  <c r="J932" i="32"/>
  <c r="J935" i="32"/>
  <c r="F103" i="32"/>
  <c r="I938" i="32"/>
  <c r="J500" i="32"/>
  <c r="J42" i="32" s="1"/>
  <c r="J31" i="32" s="1"/>
  <c r="I606" i="32"/>
  <c r="I510" i="32" s="1"/>
  <c r="I186" i="32"/>
  <c r="I214" i="32" s="1"/>
  <c r="J177" i="32"/>
  <c r="J182" i="32"/>
  <c r="J179" i="32"/>
  <c r="J184" i="32"/>
  <c r="J176" i="32"/>
  <c r="J181" i="32"/>
  <c r="J178" i="32"/>
  <c r="J183" i="32"/>
  <c r="J185" i="32"/>
  <c r="J180" i="32"/>
  <c r="J436" i="32"/>
  <c r="K412" i="32"/>
  <c r="K417" i="32"/>
  <c r="K422" i="32"/>
  <c r="K427" i="32"/>
  <c r="K432" i="32"/>
  <c r="K409" i="32"/>
  <c r="K414" i="32"/>
  <c r="K419" i="32"/>
  <c r="K424" i="32"/>
  <c r="K429" i="32"/>
  <c r="K434" i="32"/>
  <c r="L407" i="32"/>
  <c r="K411" i="32"/>
  <c r="K416" i="32"/>
  <c r="K421" i="32"/>
  <c r="K426" i="32"/>
  <c r="K431" i="32"/>
  <c r="K408" i="32"/>
  <c r="K413" i="32"/>
  <c r="K418" i="32"/>
  <c r="K423" i="32"/>
  <c r="K428" i="32"/>
  <c r="K433" i="32"/>
  <c r="K410" i="32"/>
  <c r="K415" i="32"/>
  <c r="K420" i="32"/>
  <c r="K425" i="32"/>
  <c r="K430" i="32"/>
  <c r="K435" i="32"/>
  <c r="G271" i="32"/>
  <c r="F383" i="32"/>
  <c r="F100" i="32"/>
  <c r="J352" i="32"/>
  <c r="J354" i="32"/>
  <c r="J351" i="32"/>
  <c r="J353" i="32"/>
  <c r="J355" i="32"/>
  <c r="I356" i="32"/>
  <c r="I346" i="32"/>
  <c r="I49" i="32" a="1"/>
  <c r="I49" i="32" s="1"/>
  <c r="I50" i="32" a="1"/>
  <c r="I50" i="32" s="1"/>
  <c r="I47" i="32" a="1"/>
  <c r="I47" i="32" s="1"/>
  <c r="I48" i="32" a="1"/>
  <c r="I48" i="32" s="1"/>
  <c r="I222" i="32"/>
  <c r="H245" i="32"/>
  <c r="H238" i="32"/>
  <c r="I260" i="32"/>
  <c r="H266" i="32"/>
  <c r="H265" i="32"/>
  <c r="K359" i="32"/>
  <c r="I327" i="32"/>
  <c r="I329" i="32" s="1"/>
  <c r="H324" i="32"/>
  <c r="H617" i="32" s="1"/>
  <c r="H521" i="32" s="1"/>
  <c r="H333" i="32"/>
  <c r="H626" i="32" s="1"/>
  <c r="H530" i="32" s="1"/>
  <c r="H130" i="32" a="1"/>
  <c r="H130" i="32" s="1"/>
  <c r="H128" i="32" a="1"/>
  <c r="H128" i="32" s="1"/>
  <c r="H127" i="32" a="1"/>
  <c r="H127" i="32" s="1"/>
  <c r="H120" i="32" a="1"/>
  <c r="H120" i="32" s="1"/>
  <c r="H91" i="32" a="1"/>
  <c r="H91" i="32" s="1"/>
  <c r="H90" i="32" a="1"/>
  <c r="H90" i="32" s="1"/>
  <c r="H122" i="32" a="1"/>
  <c r="H122" i="32" s="1"/>
  <c r="H84" i="32" a="1"/>
  <c r="H84" i="32" s="1"/>
  <c r="H79" i="32" a="1"/>
  <c r="H79" i="32" s="1"/>
  <c r="H88" i="32" a="1"/>
  <c r="H88" i="32" s="1"/>
  <c r="H74" i="32" a="1"/>
  <c r="H74" i="32" s="1"/>
  <c r="H129" i="32" a="1"/>
  <c r="H129" i="32" s="1"/>
  <c r="H93" i="32" a="1"/>
  <c r="H93" i="32" s="1"/>
  <c r="H86" i="32" a="1"/>
  <c r="H86" i="32" s="1"/>
  <c r="H121" i="32" a="1"/>
  <c r="H121" i="32" s="1"/>
  <c r="H89" i="32" a="1"/>
  <c r="H89" i="32" s="1"/>
  <c r="H119" i="32" a="1"/>
  <c r="H119" i="32" s="1"/>
  <c r="H87" i="32" a="1"/>
  <c r="H87" i="32" s="1"/>
  <c r="H82" i="32" a="1"/>
  <c r="H82" i="32" s="1"/>
  <c r="H65" i="32" a="1"/>
  <c r="H65" i="32" s="1"/>
  <c r="H80" i="32" a="1"/>
  <c r="H80" i="32" s="1"/>
  <c r="H62" i="32" a="1"/>
  <c r="H62" i="32" s="1"/>
  <c r="H92" i="32" a="1"/>
  <c r="H92" i="32" s="1"/>
  <c r="H69" i="32" a="1"/>
  <c r="H69" i="32" s="1"/>
  <c r="H72" i="32" a="1"/>
  <c r="H72" i="32" s="1"/>
  <c r="H71" i="32" a="1"/>
  <c r="H71" i="32" s="1"/>
  <c r="H66" i="32" a="1"/>
  <c r="H66" i="32" s="1"/>
  <c r="H83" i="32" a="1"/>
  <c r="H83" i="32" s="1"/>
  <c r="H85" i="32" a="1"/>
  <c r="H85" i="32" s="1"/>
  <c r="H73" i="32" a="1"/>
  <c r="H73" i="32" s="1"/>
  <c r="H70" i="32" a="1"/>
  <c r="H70" i="32" s="1"/>
  <c r="H68" i="32" a="1"/>
  <c r="H68" i="32" s="1"/>
  <c r="H81" i="32" a="1"/>
  <c r="H81" i="32" s="1"/>
  <c r="H63" i="32" a="1"/>
  <c r="H63" i="32" s="1"/>
  <c r="H64" i="32" a="1"/>
  <c r="H64" i="32" s="1"/>
  <c r="H67" i="32" a="1"/>
  <c r="H67" i="32" s="1"/>
  <c r="H61" i="32" a="1"/>
  <c r="H61" i="32" s="1"/>
  <c r="K340" i="32"/>
  <c r="J345" i="32"/>
  <c r="J382" i="32" s="1"/>
  <c r="J342" i="32"/>
  <c r="J379" i="32" s="1"/>
  <c r="J344" i="32"/>
  <c r="J381" i="32" s="1"/>
  <c r="J341" i="32"/>
  <c r="J378" i="32" s="1"/>
  <c r="J343" i="32"/>
  <c r="J380" i="32" s="1"/>
  <c r="K146" i="32"/>
  <c r="J170" i="32" a="1"/>
  <c r="J170" i="32" s="1"/>
  <c r="J147" i="32" a="1"/>
  <c r="J147" i="32" s="1"/>
  <c r="J152" i="32" a="1"/>
  <c r="J152" i="32" s="1"/>
  <c r="J169" i="32" a="1"/>
  <c r="J169" i="32" s="1"/>
  <c r="J149" i="32" a="1"/>
  <c r="J149" i="32" s="1"/>
  <c r="J154" i="32" a="1"/>
  <c r="J154" i="32" s="1"/>
  <c r="J163" i="32" a="1"/>
  <c r="J163" i="32" s="1"/>
  <c r="J151" i="32" a="1"/>
  <c r="J151" i="32" s="1"/>
  <c r="J156" i="32" a="1"/>
  <c r="J156" i="32" s="1"/>
  <c r="J158" i="32" a="1"/>
  <c r="J158" i="32" s="1"/>
  <c r="J148" i="32" a="1"/>
  <c r="J148" i="32" s="1"/>
  <c r="J150" i="32" a="1"/>
  <c r="J150" i="32" s="1"/>
  <c r="J155" i="32" a="1"/>
  <c r="J155" i="32" s="1"/>
  <c r="J159" i="32" a="1"/>
  <c r="J159" i="32" s="1"/>
  <c r="J160" i="32" a="1"/>
  <c r="J160" i="32" s="1"/>
  <c r="J153" i="32" a="1"/>
  <c r="J153" i="32" s="1"/>
  <c r="J162" i="32" a="1"/>
  <c r="J162" i="32" s="1"/>
  <c r="J157" i="32" a="1"/>
  <c r="J157" i="32" s="1"/>
  <c r="G129" i="32" a="1"/>
  <c r="G129" i="32" s="1"/>
  <c r="G128" i="32" a="1"/>
  <c r="G128" i="32" s="1"/>
  <c r="G130" i="32" a="1"/>
  <c r="G130" i="32" s="1"/>
  <c r="G83" i="32" a="1"/>
  <c r="G83" i="32" s="1"/>
  <c r="G127" i="32" a="1"/>
  <c r="G127" i="32" s="1"/>
  <c r="G120" i="32" a="1"/>
  <c r="G120" i="32" s="1"/>
  <c r="G91" i="32" a="1"/>
  <c r="G91" i="32" s="1"/>
  <c r="G90" i="32" a="1"/>
  <c r="G90" i="32" s="1"/>
  <c r="G122" i="32" a="1"/>
  <c r="G122" i="32" s="1"/>
  <c r="G85" i="32" a="1"/>
  <c r="G85" i="32" s="1"/>
  <c r="G88" i="32" a="1"/>
  <c r="G88" i="32" s="1"/>
  <c r="G86" i="32" a="1"/>
  <c r="G86" i="32" s="1"/>
  <c r="G121" i="32" a="1"/>
  <c r="G121" i="32" s="1"/>
  <c r="G93" i="32" a="1"/>
  <c r="G93" i="32" s="1"/>
  <c r="G89" i="32" a="1"/>
  <c r="G89" i="32" s="1"/>
  <c r="G119" i="32" a="1"/>
  <c r="G119" i="32" s="1"/>
  <c r="G92" i="32" a="1"/>
  <c r="G92" i="32" s="1"/>
  <c r="G81" i="32" a="1"/>
  <c r="G81" i="32" s="1"/>
  <c r="G61" i="32" a="1"/>
  <c r="G61" i="32" s="1"/>
  <c r="G82" i="32" a="1"/>
  <c r="G82" i="32" s="1"/>
  <c r="G84" i="32" a="1"/>
  <c r="G84" i="32" s="1"/>
  <c r="G80" i="32" a="1"/>
  <c r="G80" i="32" s="1"/>
  <c r="G65" i="32" a="1"/>
  <c r="G65" i="32" s="1"/>
  <c r="G74" i="32" a="1"/>
  <c r="G74" i="32" s="1"/>
  <c r="G67" i="32" a="1"/>
  <c r="G67" i="32" s="1"/>
  <c r="G63" i="32" a="1"/>
  <c r="G63" i="32" s="1"/>
  <c r="G69" i="32" a="1"/>
  <c r="G69" i="32" s="1"/>
  <c r="G72" i="32" a="1"/>
  <c r="G72" i="32" s="1"/>
  <c r="G87" i="32" a="1"/>
  <c r="G87" i="32" s="1"/>
  <c r="G71" i="32" a="1"/>
  <c r="G71" i="32" s="1"/>
  <c r="G64" i="32" a="1"/>
  <c r="G64" i="32" s="1"/>
  <c r="G66" i="32" a="1"/>
  <c r="G66" i="32" s="1"/>
  <c r="G79" i="32" a="1"/>
  <c r="G79" i="32" s="1"/>
  <c r="G73" i="32" a="1"/>
  <c r="G73" i="32" s="1"/>
  <c r="G68" i="32" a="1"/>
  <c r="G68" i="32" s="1"/>
  <c r="G70" i="32" a="1"/>
  <c r="G70" i="32" s="1"/>
  <c r="G62" i="32" a="1"/>
  <c r="G62" i="32" s="1"/>
  <c r="F109" i="32"/>
  <c r="F108" i="32"/>
  <c r="F104" i="32"/>
  <c r="J37" i="32"/>
  <c r="F101" i="32"/>
  <c r="F110" i="32"/>
  <c r="F99" i="32"/>
  <c r="F29" i="32"/>
  <c r="F105" i="32"/>
  <c r="E112" i="32"/>
  <c r="F98" i="32"/>
  <c r="E33" i="32"/>
  <c r="F102" i="32"/>
  <c r="F111" i="32"/>
  <c r="F28" i="32"/>
  <c r="F107" i="32"/>
  <c r="F106" i="32"/>
  <c r="F30" i="32"/>
  <c r="G29" i="32"/>
  <c r="F43" i="32"/>
  <c r="F164" i="32"/>
  <c r="F136" i="32"/>
  <c r="E139" i="32"/>
  <c r="F135" i="32"/>
  <c r="F131" i="32"/>
  <c r="I60" i="32"/>
  <c r="F137" i="32"/>
  <c r="F138" i="32"/>
  <c r="F75" i="32"/>
  <c r="F123" i="32"/>
  <c r="F94" i="32"/>
  <c r="F51" i="32" l="1"/>
  <c r="K161" i="32" a="1"/>
  <c r="K161" i="32" s="1"/>
  <c r="K331" i="32" s="1"/>
  <c r="K165" i="32" a="1"/>
  <c r="K165" i="32" s="1"/>
  <c r="E34" i="32"/>
  <c r="I21" i="32"/>
  <c r="H24" i="32"/>
  <c r="H23" i="32"/>
  <c r="H22" i="32"/>
  <c r="H25" i="32"/>
  <c r="H26" i="32"/>
  <c r="J41" i="32" a="1"/>
  <c r="J41" i="32" s="1"/>
  <c r="J39" i="32" a="1"/>
  <c r="J39" i="32" s="1"/>
  <c r="J40" i="32" a="1"/>
  <c r="J40" i="32" s="1"/>
  <c r="J38" i="32" a="1"/>
  <c r="J38" i="32" s="1"/>
  <c r="L473" i="32"/>
  <c r="L474" i="32"/>
  <c r="L479" i="32"/>
  <c r="L484" i="32"/>
  <c r="L489" i="32"/>
  <c r="L494" i="32"/>
  <c r="L499" i="32"/>
  <c r="L477" i="32"/>
  <c r="L482" i="32"/>
  <c r="L487" i="32"/>
  <c r="L492" i="32"/>
  <c r="L497" i="32"/>
  <c r="L475" i="32"/>
  <c r="L480" i="32"/>
  <c r="L485" i="32"/>
  <c r="L490" i="32"/>
  <c r="L495" i="32"/>
  <c r="L478" i="32"/>
  <c r="L483" i="32"/>
  <c r="L493" i="32"/>
  <c r="L491" i="32"/>
  <c r="L481" i="32"/>
  <c r="L488" i="32"/>
  <c r="L498" i="32"/>
  <c r="L472" i="32"/>
  <c r="L476" i="32"/>
  <c r="L486" i="32"/>
  <c r="L496" i="32"/>
  <c r="J468" i="32"/>
  <c r="K592" i="32"/>
  <c r="K624" i="32" s="1"/>
  <c r="K528" i="32" s="1"/>
  <c r="K462" i="32"/>
  <c r="K570" i="32"/>
  <c r="K440" i="32"/>
  <c r="K581" i="32"/>
  <c r="K451" i="32"/>
  <c r="K582" i="32"/>
  <c r="K614" i="32" s="1"/>
  <c r="K518" i="32" s="1"/>
  <c r="K452" i="32"/>
  <c r="K588" i="32"/>
  <c r="K458" i="32"/>
  <c r="K571" i="32"/>
  <c r="K441" i="32"/>
  <c r="I794" i="32"/>
  <c r="K587" i="32"/>
  <c r="K619" i="32" s="1"/>
  <c r="K523" i="32" s="1"/>
  <c r="K457" i="32"/>
  <c r="K593" i="32"/>
  <c r="K625" i="32" s="1"/>
  <c r="K529" i="32" s="1"/>
  <c r="K463" i="32"/>
  <c r="K576" i="32"/>
  <c r="K608" i="32" s="1"/>
  <c r="K512" i="32" s="1"/>
  <c r="K446" i="32"/>
  <c r="K577" i="32"/>
  <c r="K609" i="32" s="1"/>
  <c r="K513" i="32" s="1"/>
  <c r="K447" i="32"/>
  <c r="K583" i="32"/>
  <c r="K615" i="32" s="1"/>
  <c r="K453" i="32"/>
  <c r="K594" i="32"/>
  <c r="K464" i="32"/>
  <c r="I890" i="32"/>
  <c r="K572" i="32"/>
  <c r="K442" i="32"/>
  <c r="K578" i="32"/>
  <c r="K610" i="32" s="1"/>
  <c r="K514" i="32" s="1"/>
  <c r="K448" i="32"/>
  <c r="K589" i="32"/>
  <c r="K621" i="32" s="1"/>
  <c r="K525" i="32" s="1"/>
  <c r="K459" i="32"/>
  <c r="K595" i="32"/>
  <c r="K627" i="32" s="1"/>
  <c r="K465" i="32"/>
  <c r="K573" i="32"/>
  <c r="K443" i="32"/>
  <c r="K584" i="32"/>
  <c r="K616" i="32" s="1"/>
  <c r="K520" i="32" s="1"/>
  <c r="K454" i="32"/>
  <c r="K590" i="32"/>
  <c r="K622" i="32" s="1"/>
  <c r="K526" i="32" s="1"/>
  <c r="K460" i="32"/>
  <c r="K579" i="32"/>
  <c r="K611" i="32" s="1"/>
  <c r="K515" i="32" s="1"/>
  <c r="K449" i="32"/>
  <c r="K585" i="32"/>
  <c r="K455" i="32"/>
  <c r="K596" i="32"/>
  <c r="K628" i="32" s="1"/>
  <c r="K532" i="32" s="1"/>
  <c r="K466" i="32"/>
  <c r="K574" i="32"/>
  <c r="K444" i="32"/>
  <c r="K580" i="32"/>
  <c r="K612" i="32" s="1"/>
  <c r="K516" i="32" s="1"/>
  <c r="K450" i="32"/>
  <c r="K591" i="32"/>
  <c r="K623" i="32" s="1"/>
  <c r="K527" i="32" s="1"/>
  <c r="K461" i="32"/>
  <c r="K597" i="32"/>
  <c r="K629" i="32" s="1"/>
  <c r="K533" i="32" s="1"/>
  <c r="K467" i="32"/>
  <c r="K575" i="32"/>
  <c r="K607" i="32" s="1"/>
  <c r="K511" i="32" s="1"/>
  <c r="K445" i="32"/>
  <c r="K586" i="32"/>
  <c r="K618" i="32" s="1"/>
  <c r="K522" i="32" s="1"/>
  <c r="K456" i="32"/>
  <c r="J779" i="32"/>
  <c r="J875" i="32"/>
  <c r="J772" i="32"/>
  <c r="J868" i="32"/>
  <c r="J788" i="32"/>
  <c r="J884" i="32"/>
  <c r="J792" i="32"/>
  <c r="J888" i="32"/>
  <c r="J769" i="32"/>
  <c r="J865" i="32"/>
  <c r="J774" i="32"/>
  <c r="J870" i="32"/>
  <c r="J767" i="32"/>
  <c r="J863" i="32"/>
  <c r="J787" i="32"/>
  <c r="J883" i="32"/>
  <c r="J786" i="32"/>
  <c r="J882" i="32"/>
  <c r="J768" i="32"/>
  <c r="J864" i="32"/>
  <c r="J783" i="32"/>
  <c r="J879" i="32"/>
  <c r="J782" i="32"/>
  <c r="J878" i="32"/>
  <c r="J781" i="32"/>
  <c r="J877" i="32"/>
  <c r="J791" i="32"/>
  <c r="J887" i="32"/>
  <c r="J789" i="32"/>
  <c r="J885" i="32"/>
  <c r="J790" i="32"/>
  <c r="J886" i="32"/>
  <c r="J776" i="32"/>
  <c r="J872" i="32"/>
  <c r="I760" i="32"/>
  <c r="J773" i="32"/>
  <c r="J869" i="32"/>
  <c r="J793" i="32"/>
  <c r="J889" i="32"/>
  <c r="J775" i="32"/>
  <c r="J871" i="32"/>
  <c r="J780" i="32"/>
  <c r="J876" i="32"/>
  <c r="J777" i="32"/>
  <c r="J873" i="32"/>
  <c r="J771" i="32"/>
  <c r="J867" i="32"/>
  <c r="J770" i="32"/>
  <c r="J866" i="32"/>
  <c r="J785" i="32"/>
  <c r="J881" i="32"/>
  <c r="J784" i="32"/>
  <c r="J880" i="32"/>
  <c r="J778" i="32"/>
  <c r="J874" i="32"/>
  <c r="J651" i="32"/>
  <c r="J747" i="32"/>
  <c r="J661" i="32"/>
  <c r="J757" i="32"/>
  <c r="J659" i="32"/>
  <c r="J755" i="32"/>
  <c r="J660" i="32"/>
  <c r="J756" i="32"/>
  <c r="J646" i="32"/>
  <c r="J742" i="32"/>
  <c r="J645" i="32"/>
  <c r="J741" i="32"/>
  <c r="J650" i="32"/>
  <c r="J746" i="32"/>
  <c r="J647" i="32"/>
  <c r="J743" i="32"/>
  <c r="J641" i="32"/>
  <c r="J737" i="32"/>
  <c r="J655" i="32"/>
  <c r="J751" i="32"/>
  <c r="J654" i="32"/>
  <c r="J750" i="32"/>
  <c r="J648" i="32"/>
  <c r="J744" i="32"/>
  <c r="J640" i="32"/>
  <c r="J736" i="32"/>
  <c r="J643" i="32"/>
  <c r="J739" i="32"/>
  <c r="J663" i="32"/>
  <c r="J759" i="32"/>
  <c r="I664" i="32"/>
  <c r="J649" i="32"/>
  <c r="J745" i="32"/>
  <c r="J642" i="32"/>
  <c r="J738" i="32"/>
  <c r="J658" i="32"/>
  <c r="J754" i="32"/>
  <c r="J662" i="32"/>
  <c r="J758" i="32"/>
  <c r="J639" i="32"/>
  <c r="J735" i="32"/>
  <c r="J644" i="32"/>
  <c r="J740" i="32"/>
  <c r="J637" i="32"/>
  <c r="J733" i="32"/>
  <c r="J657" i="32"/>
  <c r="J753" i="32"/>
  <c r="J656" i="32"/>
  <c r="J752" i="32"/>
  <c r="J638" i="32"/>
  <c r="J734" i="32"/>
  <c r="J653" i="32"/>
  <c r="J749" i="32"/>
  <c r="J652" i="32"/>
  <c r="J748" i="32"/>
  <c r="G236" i="32"/>
  <c r="G237" i="32" s="1"/>
  <c r="J374" i="32"/>
  <c r="J52" i="32" s="1"/>
  <c r="H235" i="32" a="1"/>
  <c r="H235" i="32" s="1"/>
  <c r="H234" i="32" a="1"/>
  <c r="H234" i="32" s="1"/>
  <c r="K373" i="32"/>
  <c r="K370" i="32"/>
  <c r="K372" i="32"/>
  <c r="K369" i="32"/>
  <c r="K371" i="32"/>
  <c r="K364" i="32"/>
  <c r="K363" i="32"/>
  <c r="K361" i="32"/>
  <c r="K360" i="32"/>
  <c r="K362" i="32"/>
  <c r="I224" i="32" a="1"/>
  <c r="I224" i="32" s="1"/>
  <c r="I232" i="32" a="1"/>
  <c r="I232" i="32" s="1"/>
  <c r="I229" i="32" a="1"/>
  <c r="I229" i="32" s="1"/>
  <c r="I226" i="32" a="1"/>
  <c r="I226" i="32" s="1"/>
  <c r="I230" i="32" a="1"/>
  <c r="I230" i="32" s="1"/>
  <c r="I227" i="32" a="1"/>
  <c r="I227" i="32" s="1"/>
  <c r="I231" i="32" a="1"/>
  <c r="I231" i="32" s="1"/>
  <c r="I233" i="32" a="1"/>
  <c r="I233" i="32" s="1"/>
  <c r="I223" i="32" a="1"/>
  <c r="I223" i="32" s="1"/>
  <c r="I228" i="32" a="1"/>
  <c r="I228" i="32" s="1"/>
  <c r="I225" i="32" a="1"/>
  <c r="I225" i="32" s="1"/>
  <c r="J365" i="32"/>
  <c r="F53" i="32"/>
  <c r="I244" i="32"/>
  <c r="I220" i="32"/>
  <c r="J209" i="32"/>
  <c r="J204" i="32"/>
  <c r="J212" i="32"/>
  <c r="J207" i="32"/>
  <c r="I290" i="32"/>
  <c r="I304" i="32" s="1"/>
  <c r="I297" i="32"/>
  <c r="I311" i="32" s="1"/>
  <c r="I604" i="32" s="1"/>
  <c r="I508" i="32" s="1"/>
  <c r="I292" i="32"/>
  <c r="I306" i="32" s="1"/>
  <c r="I298" i="32"/>
  <c r="I312" i="32" s="1"/>
  <c r="I605" i="32" s="1"/>
  <c r="I509" i="32" s="1"/>
  <c r="I296" i="32"/>
  <c r="I310" i="32" s="1"/>
  <c r="I603" i="32" s="1"/>
  <c r="I507" i="32" s="1"/>
  <c r="I289" i="32"/>
  <c r="I291" i="32"/>
  <c r="I305" i="32" s="1"/>
  <c r="I295" i="32"/>
  <c r="I309" i="32" s="1"/>
  <c r="I294" i="32"/>
  <c r="I308" i="32" s="1"/>
  <c r="I293" i="32"/>
  <c r="I307" i="32" s="1"/>
  <c r="J210" i="32"/>
  <c r="J205" i="32"/>
  <c r="J208" i="32"/>
  <c r="J213" i="32"/>
  <c r="H299" i="32"/>
  <c r="H313" i="32" s="1"/>
  <c r="H303" i="32"/>
  <c r="J211" i="32"/>
  <c r="J206" i="32"/>
  <c r="I282" i="32" a="1"/>
  <c r="I282" i="32" s="1"/>
  <c r="I277" i="32" a="1"/>
  <c r="I277" i="32" s="1"/>
  <c r="I281" i="32" a="1"/>
  <c r="I281" i="32" s="1"/>
  <c r="I280" i="32" a="1"/>
  <c r="I280" i="32" s="1"/>
  <c r="I279" i="32" a="1"/>
  <c r="I279" i="32" s="1"/>
  <c r="H278" i="32"/>
  <c r="H283" i="32" s="1"/>
  <c r="H264" i="32"/>
  <c r="I261" i="32" a="1"/>
  <c r="I261" i="32" s="1"/>
  <c r="I262" i="32" a="1"/>
  <c r="I262" i="32" s="1"/>
  <c r="I620" i="32"/>
  <c r="I524" i="32" s="1"/>
  <c r="I330" i="32"/>
  <c r="I332" i="32" s="1"/>
  <c r="I263" i="32"/>
  <c r="G103" i="32"/>
  <c r="H534" i="32"/>
  <c r="H598" i="32"/>
  <c r="J320" i="32"/>
  <c r="I613" i="32"/>
  <c r="I517" i="32" s="1"/>
  <c r="J602" i="32"/>
  <c r="J506" i="32" s="1"/>
  <c r="I506" i="32"/>
  <c r="H630" i="32"/>
  <c r="K845" i="32"/>
  <c r="K715" i="32"/>
  <c r="K856" i="32"/>
  <c r="K726" i="32"/>
  <c r="K834" i="32"/>
  <c r="K704" i="32"/>
  <c r="K840" i="32"/>
  <c r="K710" i="32"/>
  <c r="K851" i="32"/>
  <c r="K721" i="32"/>
  <c r="K857" i="32"/>
  <c r="K727" i="32"/>
  <c r="K835" i="32"/>
  <c r="K705" i="32"/>
  <c r="K846" i="32"/>
  <c r="K716" i="32"/>
  <c r="K852" i="32"/>
  <c r="K722" i="32"/>
  <c r="K830" i="32"/>
  <c r="K862" i="32" s="1"/>
  <c r="K700" i="32"/>
  <c r="K732" i="32" s="1"/>
  <c r="K841" i="32"/>
  <c r="K711" i="32"/>
  <c r="K847" i="32"/>
  <c r="K717" i="32"/>
  <c r="K853" i="32"/>
  <c r="K723" i="32"/>
  <c r="K836" i="32"/>
  <c r="K706" i="32"/>
  <c r="K842" i="32"/>
  <c r="K712" i="32"/>
  <c r="K848" i="32"/>
  <c r="K718" i="32"/>
  <c r="K831" i="32"/>
  <c r="K701" i="32"/>
  <c r="K837" i="32"/>
  <c r="K707" i="32"/>
  <c r="K519" i="32"/>
  <c r="K843" i="32"/>
  <c r="K713" i="32"/>
  <c r="K854" i="32"/>
  <c r="K724" i="32"/>
  <c r="J636" i="32"/>
  <c r="J728" i="32"/>
  <c r="K832" i="32"/>
  <c r="K702" i="32"/>
  <c r="K838" i="32"/>
  <c r="K708" i="32"/>
  <c r="K849" i="32"/>
  <c r="K719" i="32"/>
  <c r="J858" i="32"/>
  <c r="J766" i="32"/>
  <c r="K531" i="32"/>
  <c r="K855" i="32"/>
  <c r="K725" i="32"/>
  <c r="K833" i="32"/>
  <c r="K703" i="32"/>
  <c r="K844" i="32"/>
  <c r="K714" i="32"/>
  <c r="K850" i="32"/>
  <c r="K720" i="32"/>
  <c r="K839" i="32"/>
  <c r="K709" i="32"/>
  <c r="G109" i="32"/>
  <c r="G102" i="32"/>
  <c r="J938" i="32"/>
  <c r="K899" i="32"/>
  <c r="K898" i="32"/>
  <c r="K909" i="32"/>
  <c r="K896" i="32"/>
  <c r="K910" i="32"/>
  <c r="K897" i="32"/>
  <c r="K911" i="32"/>
  <c r="K912" i="32"/>
  <c r="K913" i="32"/>
  <c r="K925" i="32"/>
  <c r="K901" i="32"/>
  <c r="K902" i="32"/>
  <c r="K914" i="32"/>
  <c r="K903" i="32"/>
  <c r="K915" i="32"/>
  <c r="K928" i="32"/>
  <c r="K930" i="32"/>
  <c r="K904" i="32"/>
  <c r="K905" i="32"/>
  <c r="K918" i="32"/>
  <c r="K932" i="32"/>
  <c r="K937" i="32"/>
  <c r="K927" i="32"/>
  <c r="K935" i="32"/>
  <c r="K923" i="32"/>
  <c r="K900" i="32"/>
  <c r="K906" i="32"/>
  <c r="K919" i="32"/>
  <c r="K921" i="32"/>
  <c r="K929" i="32"/>
  <c r="K908" i="32"/>
  <c r="K933" i="32"/>
  <c r="K936" i="32"/>
  <c r="K916" i="32"/>
  <c r="K931" i="32"/>
  <c r="K917" i="32"/>
  <c r="K920" i="32"/>
  <c r="K922" i="32"/>
  <c r="K926" i="32"/>
  <c r="K934" i="32"/>
  <c r="K907" i="32"/>
  <c r="K924" i="32"/>
  <c r="K500" i="32"/>
  <c r="K42" i="32" s="1"/>
  <c r="K31" i="32" s="1"/>
  <c r="G383" i="32"/>
  <c r="G51" i="32" s="1"/>
  <c r="G32" i="32" s="1"/>
  <c r="J606" i="32"/>
  <c r="J510" i="32" s="1"/>
  <c r="K180" i="32"/>
  <c r="K185" i="32"/>
  <c r="K177" i="32"/>
  <c r="K182" i="32"/>
  <c r="K179" i="32"/>
  <c r="K184" i="32"/>
  <c r="K176" i="32"/>
  <c r="K181" i="32"/>
  <c r="K178" i="32"/>
  <c r="K183" i="32"/>
  <c r="J186" i="32"/>
  <c r="J214" i="32" s="1"/>
  <c r="G108" i="32"/>
  <c r="K436" i="32"/>
  <c r="G101" i="32"/>
  <c r="G106" i="32"/>
  <c r="L412" i="32"/>
  <c r="L417" i="32"/>
  <c r="L422" i="32"/>
  <c r="L427" i="32"/>
  <c r="L432" i="32"/>
  <c r="M407" i="32"/>
  <c r="L409" i="32"/>
  <c r="L414" i="32"/>
  <c r="L419" i="32"/>
  <c r="L424" i="32"/>
  <c r="L429" i="32"/>
  <c r="L434" i="32"/>
  <c r="L411" i="32"/>
  <c r="L416" i="32"/>
  <c r="L421" i="32"/>
  <c r="L426" i="32"/>
  <c r="L431" i="32"/>
  <c r="L408" i="32"/>
  <c r="L413" i="32"/>
  <c r="L418" i="32"/>
  <c r="L423" i="32"/>
  <c r="L428" i="32"/>
  <c r="L433" i="32"/>
  <c r="L410" i="32"/>
  <c r="L415" i="32"/>
  <c r="L420" i="32"/>
  <c r="L425" i="32"/>
  <c r="L430" i="32"/>
  <c r="L435" i="32"/>
  <c r="G138" i="32"/>
  <c r="G135" i="32"/>
  <c r="G123" i="32"/>
  <c r="H271" i="32"/>
  <c r="G137" i="32"/>
  <c r="G98" i="32"/>
  <c r="G104" i="32"/>
  <c r="G131" i="32"/>
  <c r="G136" i="32"/>
  <c r="G94" i="32"/>
  <c r="J346" i="32"/>
  <c r="G111" i="32"/>
  <c r="G110" i="32"/>
  <c r="G99" i="32"/>
  <c r="G107" i="32"/>
  <c r="H102" i="32"/>
  <c r="G105" i="32"/>
  <c r="K355" i="32"/>
  <c r="K352" i="32"/>
  <c r="K354" i="32"/>
  <c r="K351" i="32"/>
  <c r="K353" i="32"/>
  <c r="J356" i="32"/>
  <c r="J222" i="32"/>
  <c r="I245" i="32"/>
  <c r="I238" i="32"/>
  <c r="L340" i="32"/>
  <c r="K343" i="32"/>
  <c r="K380" i="32" s="1"/>
  <c r="K345" i="32"/>
  <c r="K382" i="32" s="1"/>
  <c r="K342" i="32"/>
  <c r="K379" i="32" s="1"/>
  <c r="K344" i="32"/>
  <c r="K381" i="32" s="1"/>
  <c r="K341" i="32"/>
  <c r="K378" i="32" s="1"/>
  <c r="J327" i="32"/>
  <c r="J329" i="32" s="1"/>
  <c r="I333" i="32"/>
  <c r="I626" i="32" s="1"/>
  <c r="I530" i="32" s="1"/>
  <c r="I324" i="32"/>
  <c r="I617" i="32" s="1"/>
  <c r="I521" i="32" s="1"/>
  <c r="G100" i="32"/>
  <c r="G75" i="32"/>
  <c r="J47" i="32" a="1"/>
  <c r="J47" i="32" s="1"/>
  <c r="J50" i="32" a="1"/>
  <c r="J50" i="32" s="1"/>
  <c r="J48" i="32" a="1"/>
  <c r="J48" i="32" s="1"/>
  <c r="J49" i="32" a="1"/>
  <c r="J49" i="32" s="1"/>
  <c r="L359" i="32"/>
  <c r="L146" i="32"/>
  <c r="K150" i="32" a="1"/>
  <c r="K150" i="32" s="1"/>
  <c r="K155" i="32" a="1"/>
  <c r="K155" i="32" s="1"/>
  <c r="K169" i="32" a="1"/>
  <c r="K169" i="32" s="1"/>
  <c r="K157" i="32" a="1"/>
  <c r="K157" i="32" s="1"/>
  <c r="K147" i="32" a="1"/>
  <c r="K147" i="32" s="1"/>
  <c r="K152" i="32" a="1"/>
  <c r="K152" i="32" s="1"/>
  <c r="K159" i="32" a="1"/>
  <c r="K159" i="32" s="1"/>
  <c r="K162" i="32" a="1"/>
  <c r="K162" i="32" s="1"/>
  <c r="K149" i="32" a="1"/>
  <c r="K149" i="32" s="1"/>
  <c r="K154" i="32" a="1"/>
  <c r="K154" i="32" s="1"/>
  <c r="K151" i="32" a="1"/>
  <c r="K151" i="32" s="1"/>
  <c r="K156" i="32" a="1"/>
  <c r="K156" i="32" s="1"/>
  <c r="K148" i="32" a="1"/>
  <c r="K148" i="32" s="1"/>
  <c r="K153" i="32" a="1"/>
  <c r="K153" i="32" s="1"/>
  <c r="K170" i="32" a="1"/>
  <c r="K170" i="32" s="1"/>
  <c r="K160" i="32" a="1"/>
  <c r="K160" i="32" s="1"/>
  <c r="K158" i="32" a="1"/>
  <c r="K158" i="32" s="1"/>
  <c r="K163" i="32" a="1"/>
  <c r="K163" i="32" s="1"/>
  <c r="I129" i="32" a="1"/>
  <c r="I129" i="32" s="1"/>
  <c r="I127" i="32" a="1"/>
  <c r="I127" i="32" s="1"/>
  <c r="I130" i="32" a="1"/>
  <c r="I130" i="32" s="1"/>
  <c r="I122" i="32" a="1"/>
  <c r="I122" i="32" s="1"/>
  <c r="I84" i="32" a="1"/>
  <c r="I84" i="32" s="1"/>
  <c r="I88" i="32" a="1"/>
  <c r="I88" i="32" s="1"/>
  <c r="I85" i="32" a="1"/>
  <c r="I85" i="32" s="1"/>
  <c r="I93" i="32" a="1"/>
  <c r="I93" i="32" s="1"/>
  <c r="I86" i="32" a="1"/>
  <c r="I86" i="32" s="1"/>
  <c r="I73" i="32" a="1"/>
  <c r="I73" i="32" s="1"/>
  <c r="I121" i="32" a="1"/>
  <c r="I121" i="32" s="1"/>
  <c r="I89" i="32" a="1"/>
  <c r="I89" i="32" s="1"/>
  <c r="I119" i="32" a="1"/>
  <c r="I119" i="32" s="1"/>
  <c r="I81" i="32" a="1"/>
  <c r="I81" i="32" s="1"/>
  <c r="I92" i="32" a="1"/>
  <c r="I92" i="32" s="1"/>
  <c r="I87" i="32" a="1"/>
  <c r="I87" i="32" s="1"/>
  <c r="I128" i="32" a="1"/>
  <c r="I128" i="32" s="1"/>
  <c r="I120" i="32" a="1"/>
  <c r="I120" i="32" s="1"/>
  <c r="I91" i="32" a="1"/>
  <c r="I91" i="32" s="1"/>
  <c r="I80" i="32" a="1"/>
  <c r="I80" i="32" s="1"/>
  <c r="I67" i="32" a="1"/>
  <c r="I67" i="32" s="1"/>
  <c r="I63" i="32" a="1"/>
  <c r="I63" i="32" s="1"/>
  <c r="I62" i="32" a="1"/>
  <c r="I62" i="32" s="1"/>
  <c r="I74" i="32" a="1"/>
  <c r="I74" i="32" s="1"/>
  <c r="I69" i="32" a="1"/>
  <c r="I69" i="32" s="1"/>
  <c r="I90" i="32" a="1"/>
  <c r="I90" i="32" s="1"/>
  <c r="I72" i="32" a="1"/>
  <c r="I72" i="32" s="1"/>
  <c r="I71" i="32" a="1"/>
  <c r="I71" i="32" s="1"/>
  <c r="I64" i="32" a="1"/>
  <c r="I64" i="32" s="1"/>
  <c r="I66" i="32" a="1"/>
  <c r="I66" i="32" s="1"/>
  <c r="I83" i="32" a="1"/>
  <c r="I83" i="32" s="1"/>
  <c r="I70" i="32" a="1"/>
  <c r="I70" i="32" s="1"/>
  <c r="I68" i="32" a="1"/>
  <c r="I68" i="32" s="1"/>
  <c r="I79" i="32" a="1"/>
  <c r="I79" i="32" s="1"/>
  <c r="I61" i="32" a="1"/>
  <c r="I61" i="32" s="1"/>
  <c r="I82" i="32" a="1"/>
  <c r="I82" i="32" s="1"/>
  <c r="I65" i="32" a="1"/>
  <c r="I65" i="32" s="1"/>
  <c r="J260" i="32"/>
  <c r="I265" i="32"/>
  <c r="I266" i="32"/>
  <c r="H103" i="32"/>
  <c r="H111" i="32"/>
  <c r="H105" i="32"/>
  <c r="K37" i="32"/>
  <c r="H99" i="32"/>
  <c r="H104" i="32"/>
  <c r="H109" i="32"/>
  <c r="F112" i="32"/>
  <c r="H98" i="32"/>
  <c r="H110" i="32"/>
  <c r="H106" i="32"/>
  <c r="H101" i="32"/>
  <c r="H107" i="32"/>
  <c r="H108" i="32"/>
  <c r="H100" i="32"/>
  <c r="G30" i="32"/>
  <c r="H94" i="32"/>
  <c r="G43" i="32"/>
  <c r="H29" i="32"/>
  <c r="G28" i="32"/>
  <c r="G27" i="32"/>
  <c r="G164" i="32"/>
  <c r="H123" i="32"/>
  <c r="H75" i="32"/>
  <c r="H138" i="32"/>
  <c r="J60" i="32"/>
  <c r="H136" i="32"/>
  <c r="H131" i="32"/>
  <c r="H135" i="32"/>
  <c r="F139" i="32"/>
  <c r="H137" i="32"/>
  <c r="F32" i="32" l="1"/>
  <c r="F33" i="32" s="1"/>
  <c r="F34" i="32" s="1"/>
  <c r="L161" i="32" a="1"/>
  <c r="L161" i="32" s="1"/>
  <c r="L331" i="32" s="1"/>
  <c r="L165" i="32" a="1"/>
  <c r="L165" i="32" s="1"/>
  <c r="G53" i="32"/>
  <c r="J21" i="32"/>
  <c r="I26" i="32"/>
  <c r="I22" i="32"/>
  <c r="I24" i="32"/>
  <c r="I23" i="32"/>
  <c r="I25" i="32"/>
  <c r="M475" i="32"/>
  <c r="M480" i="32"/>
  <c r="M485" i="32"/>
  <c r="M490" i="32"/>
  <c r="M495" i="32"/>
  <c r="M472" i="32"/>
  <c r="M477" i="32"/>
  <c r="M482" i="32"/>
  <c r="M487" i="32"/>
  <c r="M492" i="32"/>
  <c r="M497" i="32"/>
  <c r="M474" i="32"/>
  <c r="M479" i="32"/>
  <c r="M484" i="32"/>
  <c r="M489" i="32"/>
  <c r="M494" i="32"/>
  <c r="M499" i="32"/>
  <c r="M476" i="32"/>
  <c r="M481" i="32"/>
  <c r="M486" i="32"/>
  <c r="M491" i="32"/>
  <c r="M496" i="32"/>
  <c r="M473" i="32"/>
  <c r="M478" i="32"/>
  <c r="M483" i="32"/>
  <c r="M488" i="32"/>
  <c r="M493" i="32"/>
  <c r="M498" i="32"/>
  <c r="K39" i="32" a="1"/>
  <c r="K39" i="32" s="1"/>
  <c r="K38" i="32" a="1"/>
  <c r="K38" i="32" s="1"/>
  <c r="K41" i="32" a="1"/>
  <c r="K41" i="32" s="1"/>
  <c r="K40" i="32" a="1"/>
  <c r="K40" i="32" s="1"/>
  <c r="K468" i="32"/>
  <c r="L580" i="32"/>
  <c r="L612" i="32" s="1"/>
  <c r="L450" i="32"/>
  <c r="L586" i="32"/>
  <c r="L618" i="32" s="1"/>
  <c r="L456" i="32"/>
  <c r="L597" i="32"/>
  <c r="L629" i="32" s="1"/>
  <c r="L533" i="32" s="1"/>
  <c r="L467" i="32"/>
  <c r="L575" i="32"/>
  <c r="L607" i="32" s="1"/>
  <c r="L511" i="32" s="1"/>
  <c r="L445" i="32"/>
  <c r="L581" i="32"/>
  <c r="L451" i="32"/>
  <c r="L592" i="32"/>
  <c r="L624" i="32" s="1"/>
  <c r="L462" i="32"/>
  <c r="L570" i="32"/>
  <c r="L440" i="32"/>
  <c r="L576" i="32"/>
  <c r="L608" i="32" s="1"/>
  <c r="L512" i="32" s="1"/>
  <c r="L446" i="32"/>
  <c r="J890" i="32"/>
  <c r="L587" i="32"/>
  <c r="L619" i="32" s="1"/>
  <c r="L457" i="32"/>
  <c r="L593" i="32"/>
  <c r="L625" i="32" s="1"/>
  <c r="L529" i="32" s="1"/>
  <c r="L463" i="32"/>
  <c r="L571" i="32"/>
  <c r="L441" i="32"/>
  <c r="L582" i="32"/>
  <c r="L614" i="32" s="1"/>
  <c r="L452" i="32"/>
  <c r="L588" i="32"/>
  <c r="L458" i="32"/>
  <c r="L577" i="32"/>
  <c r="L609" i="32" s="1"/>
  <c r="L513" i="32" s="1"/>
  <c r="L447" i="32"/>
  <c r="L583" i="32"/>
  <c r="L615" i="32" s="1"/>
  <c r="L453" i="32"/>
  <c r="L594" i="32"/>
  <c r="L464" i="32"/>
  <c r="L572" i="32"/>
  <c r="L442" i="32"/>
  <c r="L578" i="32"/>
  <c r="L610" i="32" s="1"/>
  <c r="L514" i="32" s="1"/>
  <c r="L448" i="32"/>
  <c r="L589" i="32"/>
  <c r="L621" i="32" s="1"/>
  <c r="L525" i="32" s="1"/>
  <c r="L459" i="32"/>
  <c r="L595" i="32"/>
  <c r="L627" i="32" s="1"/>
  <c r="L531" i="32" s="1"/>
  <c r="L465" i="32"/>
  <c r="L573" i="32"/>
  <c r="L443" i="32"/>
  <c r="L584" i="32"/>
  <c r="L616" i="32" s="1"/>
  <c r="L520" i="32" s="1"/>
  <c r="L454" i="32"/>
  <c r="L590" i="32"/>
  <c r="L622" i="32" s="1"/>
  <c r="L526" i="32" s="1"/>
  <c r="L460" i="32"/>
  <c r="L596" i="32"/>
  <c r="L628" i="32" s="1"/>
  <c r="L532" i="32" s="1"/>
  <c r="L466" i="32"/>
  <c r="L579" i="32"/>
  <c r="L611" i="32" s="1"/>
  <c r="L515" i="32" s="1"/>
  <c r="L449" i="32"/>
  <c r="L585" i="32"/>
  <c r="L455" i="32"/>
  <c r="L591" i="32"/>
  <c r="L623" i="32" s="1"/>
  <c r="L527" i="32" s="1"/>
  <c r="L461" i="32"/>
  <c r="L574" i="32"/>
  <c r="L444" i="32"/>
  <c r="K791" i="32"/>
  <c r="K887" i="32"/>
  <c r="K773" i="32"/>
  <c r="K869" i="32"/>
  <c r="K772" i="32"/>
  <c r="K868" i="32"/>
  <c r="K775" i="32"/>
  <c r="K871" i="32"/>
  <c r="K777" i="32"/>
  <c r="K873" i="32"/>
  <c r="K771" i="32"/>
  <c r="K867" i="32"/>
  <c r="K768" i="32"/>
  <c r="K864" i="32"/>
  <c r="K770" i="32"/>
  <c r="K866" i="32"/>
  <c r="K786" i="32"/>
  <c r="K882" i="32"/>
  <c r="J794" i="32"/>
  <c r="K793" i="32"/>
  <c r="K889" i="32"/>
  <c r="K769" i="32"/>
  <c r="K865" i="32"/>
  <c r="K774" i="32"/>
  <c r="K870" i="32"/>
  <c r="K776" i="32"/>
  <c r="K872" i="32"/>
  <c r="J760" i="32"/>
  <c r="K767" i="32"/>
  <c r="K863" i="32"/>
  <c r="K789" i="32"/>
  <c r="K885" i="32"/>
  <c r="K788" i="32"/>
  <c r="K884" i="32"/>
  <c r="K792" i="32"/>
  <c r="K888" i="32"/>
  <c r="K780" i="32"/>
  <c r="K876" i="32"/>
  <c r="K785" i="32"/>
  <c r="K881" i="32"/>
  <c r="K790" i="32"/>
  <c r="K886" i="32"/>
  <c r="K784" i="32"/>
  <c r="K880" i="32"/>
  <c r="K787" i="32"/>
  <c r="K883" i="32"/>
  <c r="K783" i="32"/>
  <c r="K879" i="32"/>
  <c r="K782" i="32"/>
  <c r="K878" i="32"/>
  <c r="K781" i="32"/>
  <c r="K877" i="32"/>
  <c r="K779" i="32"/>
  <c r="K875" i="32"/>
  <c r="K778" i="32"/>
  <c r="K874" i="32"/>
  <c r="K639" i="32"/>
  <c r="K735" i="32"/>
  <c r="K644" i="32"/>
  <c r="K740" i="32"/>
  <c r="K646" i="32"/>
  <c r="K742" i="32"/>
  <c r="K645" i="32"/>
  <c r="K741" i="32"/>
  <c r="K647" i="32"/>
  <c r="K743" i="32"/>
  <c r="K641" i="32"/>
  <c r="K737" i="32"/>
  <c r="K661" i="32"/>
  <c r="K757" i="32"/>
  <c r="K643" i="32"/>
  <c r="K739" i="32"/>
  <c r="K642" i="32"/>
  <c r="K738" i="32"/>
  <c r="K638" i="32"/>
  <c r="K734" i="32"/>
  <c r="K640" i="32"/>
  <c r="K736" i="32"/>
  <c r="K650" i="32"/>
  <c r="K746" i="32"/>
  <c r="K655" i="32"/>
  <c r="K751" i="32"/>
  <c r="K660" i="32"/>
  <c r="K756" i="32"/>
  <c r="K654" i="32"/>
  <c r="K750" i="32"/>
  <c r="K657" i="32"/>
  <c r="K753" i="32"/>
  <c r="K653" i="32"/>
  <c r="K749" i="32"/>
  <c r="K652" i="32"/>
  <c r="K748" i="32"/>
  <c r="K651" i="32"/>
  <c r="K747" i="32"/>
  <c r="K656" i="32"/>
  <c r="K752" i="32"/>
  <c r="K663" i="32"/>
  <c r="K759" i="32"/>
  <c r="K649" i="32"/>
  <c r="K745" i="32"/>
  <c r="K648" i="32"/>
  <c r="K744" i="32"/>
  <c r="K637" i="32"/>
  <c r="K733" i="32"/>
  <c r="K659" i="32"/>
  <c r="K755" i="32"/>
  <c r="K658" i="32"/>
  <c r="K754" i="32"/>
  <c r="K662" i="32"/>
  <c r="K758" i="32"/>
  <c r="J664" i="32"/>
  <c r="H236" i="32"/>
  <c r="H237" i="32" s="1"/>
  <c r="I235" i="32" a="1"/>
  <c r="I235" i="32" s="1"/>
  <c r="I234" i="32" a="1"/>
  <c r="I234" i="32" s="1"/>
  <c r="K374" i="32"/>
  <c r="K52" i="32" s="1"/>
  <c r="L373" i="32"/>
  <c r="L370" i="32"/>
  <c r="L369" i="32"/>
  <c r="L372" i="32"/>
  <c r="L371" i="32"/>
  <c r="L360" i="32"/>
  <c r="L364" i="32"/>
  <c r="L361" i="32"/>
  <c r="L363" i="32"/>
  <c r="L362" i="32"/>
  <c r="J224" i="32" a="1"/>
  <c r="J224" i="32" s="1"/>
  <c r="J232" i="32" a="1"/>
  <c r="J232" i="32" s="1"/>
  <c r="J229" i="32" a="1"/>
  <c r="J229" i="32" s="1"/>
  <c r="J227" i="32" a="1"/>
  <c r="J227" i="32" s="1"/>
  <c r="J226" i="32" a="1"/>
  <c r="J226" i="32" s="1"/>
  <c r="J231" i="32" a="1"/>
  <c r="J231" i="32" s="1"/>
  <c r="J223" i="32" a="1"/>
  <c r="J223" i="32" s="1"/>
  <c r="J228" i="32" a="1"/>
  <c r="J228" i="32" s="1"/>
  <c r="J230" i="32" a="1"/>
  <c r="J230" i="32" s="1"/>
  <c r="J233" i="32" a="1"/>
  <c r="J233" i="32" s="1"/>
  <c r="J225" i="32" a="1"/>
  <c r="J225" i="32" s="1"/>
  <c r="G139" i="32"/>
  <c r="K365" i="32"/>
  <c r="G112" i="32"/>
  <c r="J244" i="32"/>
  <c r="J220" i="32"/>
  <c r="K205" i="32"/>
  <c r="K213" i="32"/>
  <c r="K208" i="32"/>
  <c r="K211" i="32"/>
  <c r="K206" i="32"/>
  <c r="J292" i="32"/>
  <c r="J306" i="32" s="1"/>
  <c r="J297" i="32"/>
  <c r="J311" i="32" s="1"/>
  <c r="J604" i="32" s="1"/>
  <c r="J508" i="32" s="1"/>
  <c r="J295" i="32"/>
  <c r="J309" i="32" s="1"/>
  <c r="J298" i="32"/>
  <c r="J312" i="32" s="1"/>
  <c r="J605" i="32" s="1"/>
  <c r="J509" i="32" s="1"/>
  <c r="J291" i="32"/>
  <c r="J305" i="32" s="1"/>
  <c r="J294" i="32"/>
  <c r="J308" i="32" s="1"/>
  <c r="J296" i="32"/>
  <c r="J310" i="32" s="1"/>
  <c r="J603" i="32" s="1"/>
  <c r="J507" i="32" s="1"/>
  <c r="J289" i="32"/>
  <c r="J293" i="32"/>
  <c r="J307" i="32" s="1"/>
  <c r="J290" i="32"/>
  <c r="J304" i="32" s="1"/>
  <c r="K209" i="32"/>
  <c r="K204" i="32"/>
  <c r="I299" i="32"/>
  <c r="I313" i="32" s="1"/>
  <c r="I303" i="32"/>
  <c r="K212" i="32"/>
  <c r="K207" i="32"/>
  <c r="K210" i="32"/>
  <c r="J282" i="32" a="1"/>
  <c r="J282" i="32" s="1"/>
  <c r="J281" i="32" a="1"/>
  <c r="J281" i="32" s="1"/>
  <c r="J280" i="32" a="1"/>
  <c r="J280" i="32" s="1"/>
  <c r="J277" i="32" a="1"/>
  <c r="J277" i="32" s="1"/>
  <c r="J279" i="32" a="1"/>
  <c r="J279" i="32" s="1"/>
  <c r="I278" i="32"/>
  <c r="I283" i="32" s="1"/>
  <c r="I264" i="32"/>
  <c r="J262" i="32" a="1"/>
  <c r="J262" i="32" s="1"/>
  <c r="J261" i="32" a="1"/>
  <c r="J261" i="32" s="1"/>
  <c r="J620" i="32"/>
  <c r="J524" i="32" s="1"/>
  <c r="J330" i="32"/>
  <c r="J332" i="32" s="1"/>
  <c r="J263" i="32"/>
  <c r="K602" i="32"/>
  <c r="K506" i="32" s="1"/>
  <c r="I598" i="32"/>
  <c r="I534" i="32"/>
  <c r="I630" i="32"/>
  <c r="K320" i="32"/>
  <c r="J613" i="32"/>
  <c r="J517" i="32" s="1"/>
  <c r="L523" i="32"/>
  <c r="L847" i="32"/>
  <c r="L717" i="32"/>
  <c r="L853" i="32"/>
  <c r="L723" i="32"/>
  <c r="L831" i="32"/>
  <c r="L701" i="32"/>
  <c r="K728" i="32"/>
  <c r="K636" i="32"/>
  <c r="L518" i="32"/>
  <c r="L842" i="32"/>
  <c r="L712" i="32"/>
  <c r="L848" i="32"/>
  <c r="L718" i="32"/>
  <c r="K858" i="32"/>
  <c r="K766" i="32"/>
  <c r="L837" i="32"/>
  <c r="L707" i="32"/>
  <c r="L519" i="32"/>
  <c r="L843" i="32"/>
  <c r="L713" i="32"/>
  <c r="L854" i="32"/>
  <c r="L724" i="32"/>
  <c r="L832" i="32"/>
  <c r="L702" i="32"/>
  <c r="L838" i="32"/>
  <c r="L708" i="32"/>
  <c r="L849" i="32"/>
  <c r="L719" i="32"/>
  <c r="L855" i="32"/>
  <c r="L725" i="32"/>
  <c r="L833" i="32"/>
  <c r="L703" i="32"/>
  <c r="L844" i="32"/>
  <c r="L714" i="32"/>
  <c r="L850" i="32"/>
  <c r="L720" i="32"/>
  <c r="L856" i="32"/>
  <c r="L726" i="32"/>
  <c r="L839" i="32"/>
  <c r="L709" i="32"/>
  <c r="L845" i="32"/>
  <c r="L715" i="32"/>
  <c r="L851" i="32"/>
  <c r="L721" i="32"/>
  <c r="L834" i="32"/>
  <c r="L704" i="32"/>
  <c r="L516" i="32"/>
  <c r="L840" i="32"/>
  <c r="L710" i="32"/>
  <c r="L522" i="32"/>
  <c r="L846" i="32"/>
  <c r="L716" i="32"/>
  <c r="L857" i="32"/>
  <c r="L727" i="32"/>
  <c r="L835" i="32"/>
  <c r="L705" i="32"/>
  <c r="L841" i="32"/>
  <c r="L711" i="32"/>
  <c r="L528" i="32"/>
  <c r="L852" i="32"/>
  <c r="L722" i="32"/>
  <c r="L830" i="32"/>
  <c r="L862" i="32" s="1"/>
  <c r="L700" i="32"/>
  <c r="L732" i="32" s="1"/>
  <c r="L836" i="32"/>
  <c r="L706" i="32"/>
  <c r="L900" i="32"/>
  <c r="L905" i="32"/>
  <c r="L910" i="32"/>
  <c r="L915" i="32"/>
  <c r="L920" i="32"/>
  <c r="L925" i="32"/>
  <c r="L897" i="32"/>
  <c r="L899" i="32"/>
  <c r="L896" i="32"/>
  <c r="L901" i="32"/>
  <c r="L906" i="32"/>
  <c r="L911" i="32"/>
  <c r="L916" i="32"/>
  <c r="L921" i="32"/>
  <c r="L926" i="32"/>
  <c r="L908" i="32"/>
  <c r="L909" i="32"/>
  <c r="L898" i="32"/>
  <c r="L912" i="32"/>
  <c r="L924" i="32"/>
  <c r="L913" i="32"/>
  <c r="L902" i="32"/>
  <c r="L914" i="32"/>
  <c r="L927" i="32"/>
  <c r="L903" i="32"/>
  <c r="L904" i="32"/>
  <c r="L917" i="32"/>
  <c r="L935" i="32"/>
  <c r="L923" i="32"/>
  <c r="L919" i="32"/>
  <c r="L929" i="32"/>
  <c r="L930" i="32"/>
  <c r="L933" i="32"/>
  <c r="L936" i="32"/>
  <c r="L928" i="32"/>
  <c r="L931" i="32"/>
  <c r="L918" i="32"/>
  <c r="L932" i="32"/>
  <c r="L922" i="32"/>
  <c r="L934" i="32"/>
  <c r="L937" i="32"/>
  <c r="L907" i="32"/>
  <c r="K938" i="32"/>
  <c r="L500" i="32"/>
  <c r="L42" i="32" s="1"/>
  <c r="L31" i="32" s="1"/>
  <c r="K606" i="32"/>
  <c r="K510" i="32" s="1"/>
  <c r="K186" i="32"/>
  <c r="K214" i="32" s="1"/>
  <c r="L180" i="32"/>
  <c r="L185" i="32"/>
  <c r="L177" i="32"/>
  <c r="L182" i="32"/>
  <c r="L179" i="32"/>
  <c r="L184" i="32"/>
  <c r="L176" i="32"/>
  <c r="L204" i="32" s="1"/>
  <c r="L181" i="32"/>
  <c r="L178" i="32"/>
  <c r="L183" i="32"/>
  <c r="M410" i="32"/>
  <c r="M415" i="32"/>
  <c r="M420" i="32"/>
  <c r="M425" i="32"/>
  <c r="M430" i="32"/>
  <c r="M435" i="32"/>
  <c r="N407" i="32"/>
  <c r="M412" i="32"/>
  <c r="M417" i="32"/>
  <c r="M422" i="32"/>
  <c r="M427" i="32"/>
  <c r="M432" i="32"/>
  <c r="M409" i="32"/>
  <c r="M414" i="32"/>
  <c r="M419" i="32"/>
  <c r="M424" i="32"/>
  <c r="M429" i="32"/>
  <c r="M434" i="32"/>
  <c r="M411" i="32"/>
  <c r="M416" i="32"/>
  <c r="M421" i="32"/>
  <c r="M426" i="32"/>
  <c r="M431" i="32"/>
  <c r="M408" i="32"/>
  <c r="M413" i="32"/>
  <c r="M418" i="32"/>
  <c r="M423" i="32"/>
  <c r="M428" i="32"/>
  <c r="M433" i="32"/>
  <c r="L436" i="32"/>
  <c r="H383" i="32"/>
  <c r="H51" i="32" s="1"/>
  <c r="H32" i="32" s="1"/>
  <c r="I271" i="32"/>
  <c r="I108" i="32"/>
  <c r="L355" i="32"/>
  <c r="L352" i="32"/>
  <c r="L354" i="32"/>
  <c r="L351" i="32"/>
  <c r="L353" i="32"/>
  <c r="K346" i="32"/>
  <c r="K356" i="32"/>
  <c r="K327" i="32"/>
  <c r="K329" i="32" s="1"/>
  <c r="J333" i="32"/>
  <c r="J626" i="32" s="1"/>
  <c r="J530" i="32" s="1"/>
  <c r="J324" i="32"/>
  <c r="J617" i="32" s="1"/>
  <c r="J521" i="32" s="1"/>
  <c r="K49" i="32" a="1"/>
  <c r="K49" i="32" s="1"/>
  <c r="K47" i="32" a="1"/>
  <c r="K47" i="32" s="1"/>
  <c r="K48" i="32" a="1"/>
  <c r="K48" i="32" s="1"/>
  <c r="K50" i="32" a="1"/>
  <c r="K50" i="32" s="1"/>
  <c r="M146" i="32"/>
  <c r="L150" i="32" a="1"/>
  <c r="L150" i="32" s="1"/>
  <c r="L155" i="32" a="1"/>
  <c r="L155" i="32" s="1"/>
  <c r="L147" i="32" a="1"/>
  <c r="L147" i="32" s="1"/>
  <c r="L152" i="32" a="1"/>
  <c r="L152" i="32" s="1"/>
  <c r="L149" i="32" a="1"/>
  <c r="L149" i="32" s="1"/>
  <c r="L154" i="32" a="1"/>
  <c r="L154" i="32" s="1"/>
  <c r="L163" i="32" a="1"/>
  <c r="L163" i="32" s="1"/>
  <c r="L151" i="32" a="1"/>
  <c r="L151" i="32" s="1"/>
  <c r="L170" i="32" a="1"/>
  <c r="L170" i="32" s="1"/>
  <c r="L169" i="32" a="1"/>
  <c r="L169" i="32" s="1"/>
  <c r="L148" i="32" a="1"/>
  <c r="L148" i="32" s="1"/>
  <c r="L153" i="32" a="1"/>
  <c r="L153" i="32" s="1"/>
  <c r="L157" i="32" a="1"/>
  <c r="L157" i="32" s="1"/>
  <c r="L158" i="32" a="1"/>
  <c r="L158" i="32" s="1"/>
  <c r="L159" i="32" a="1"/>
  <c r="L159" i="32" s="1"/>
  <c r="L160" i="32" a="1"/>
  <c r="L160" i="32" s="1"/>
  <c r="L156" i="32" a="1"/>
  <c r="L156" i="32" s="1"/>
  <c r="L162" i="32" a="1"/>
  <c r="L162" i="32" s="1"/>
  <c r="J128" i="32" a="1"/>
  <c r="J128" i="32" s="1"/>
  <c r="J122" i="32" a="1"/>
  <c r="J122" i="32" s="1"/>
  <c r="J88" i="32" a="1"/>
  <c r="J88" i="32" s="1"/>
  <c r="J85" i="32" a="1"/>
  <c r="J85" i="32" s="1"/>
  <c r="J74" i="32" a="1"/>
  <c r="J74" i="32" s="1"/>
  <c r="J93" i="32" a="1"/>
  <c r="J93" i="32" s="1"/>
  <c r="J89" i="32" a="1"/>
  <c r="J89" i="32" s="1"/>
  <c r="J129" i="32" a="1"/>
  <c r="J129" i="32" s="1"/>
  <c r="J121" i="32" a="1"/>
  <c r="J121" i="32" s="1"/>
  <c r="J119" i="32" a="1"/>
  <c r="J119" i="32" s="1"/>
  <c r="J92" i="32" a="1"/>
  <c r="J92" i="32" s="1"/>
  <c r="J87" i="32" a="1"/>
  <c r="J87" i="32" s="1"/>
  <c r="J82" i="32" a="1"/>
  <c r="J82" i="32" s="1"/>
  <c r="J80" i="32" a="1"/>
  <c r="J80" i="32" s="1"/>
  <c r="J90" i="32" a="1"/>
  <c r="J90" i="32" s="1"/>
  <c r="J120" i="32" a="1"/>
  <c r="J120" i="32" s="1"/>
  <c r="J130" i="32" a="1"/>
  <c r="J130" i="32" s="1"/>
  <c r="J127" i="32" a="1"/>
  <c r="J127" i="32" s="1"/>
  <c r="J69" i="32" a="1"/>
  <c r="J69" i="32" s="1"/>
  <c r="J84" i="32" a="1"/>
  <c r="J84" i="32" s="1"/>
  <c r="J72" i="32" a="1"/>
  <c r="J72" i="32" s="1"/>
  <c r="J71" i="32" a="1"/>
  <c r="J71" i="32" s="1"/>
  <c r="J66" i="32" a="1"/>
  <c r="J66" i="32" s="1"/>
  <c r="J68" i="32" a="1"/>
  <c r="J68" i="32" s="1"/>
  <c r="J83" i="32" a="1"/>
  <c r="J83" i="32" s="1"/>
  <c r="J86" i="32" a="1"/>
  <c r="J86" i="32" s="1"/>
  <c r="J70" i="32" a="1"/>
  <c r="J70" i="32" s="1"/>
  <c r="J79" i="32" a="1"/>
  <c r="J79" i="32" s="1"/>
  <c r="J73" i="32" a="1"/>
  <c r="J73" i="32" s="1"/>
  <c r="J61" i="32" a="1"/>
  <c r="J61" i="32" s="1"/>
  <c r="J91" i="32" a="1"/>
  <c r="J91" i="32" s="1"/>
  <c r="J65" i="32" a="1"/>
  <c r="J65" i="32" s="1"/>
  <c r="J81" i="32" a="1"/>
  <c r="J81" i="32" s="1"/>
  <c r="J67" i="32" a="1"/>
  <c r="J67" i="32" s="1"/>
  <c r="J63" i="32" a="1"/>
  <c r="J63" i="32" s="1"/>
  <c r="J64" i="32" a="1"/>
  <c r="J64" i="32" s="1"/>
  <c r="J62" i="32" a="1"/>
  <c r="J62" i="32" s="1"/>
  <c r="M340" i="32"/>
  <c r="L343" i="32"/>
  <c r="L380" i="32" s="1"/>
  <c r="L345" i="32"/>
  <c r="L382" i="32" s="1"/>
  <c r="L342" i="32"/>
  <c r="L379" i="32" s="1"/>
  <c r="L344" i="32"/>
  <c r="L381" i="32" s="1"/>
  <c r="L341" i="32"/>
  <c r="L378" i="32" s="1"/>
  <c r="K260" i="32"/>
  <c r="J266" i="32"/>
  <c r="J265" i="32"/>
  <c r="M359" i="32"/>
  <c r="K222" i="32"/>
  <c r="J245" i="32"/>
  <c r="J238" i="32"/>
  <c r="I106" i="32"/>
  <c r="I111" i="32"/>
  <c r="L37" i="32"/>
  <c r="I100" i="32"/>
  <c r="H30" i="32"/>
  <c r="I107" i="32"/>
  <c r="I98" i="32"/>
  <c r="I103" i="32"/>
  <c r="I102" i="32"/>
  <c r="I104" i="32"/>
  <c r="H112" i="32"/>
  <c r="I110" i="32"/>
  <c r="H27" i="32"/>
  <c r="I109" i="32"/>
  <c r="I99" i="32"/>
  <c r="I105" i="32"/>
  <c r="I101" i="32"/>
  <c r="H28" i="32"/>
  <c r="H43" i="32"/>
  <c r="I29" i="32"/>
  <c r="I30" i="32"/>
  <c r="G33" i="32"/>
  <c r="G34" i="32" s="1"/>
  <c r="H164" i="32"/>
  <c r="H139" i="32"/>
  <c r="I137" i="32"/>
  <c r="I123" i="32"/>
  <c r="K60" i="32"/>
  <c r="I94" i="32"/>
  <c r="I138" i="32"/>
  <c r="I75" i="32"/>
  <c r="I136" i="32"/>
  <c r="I131" i="32"/>
  <c r="I135" i="32"/>
  <c r="K21" i="32" l="1"/>
  <c r="J26" i="32"/>
  <c r="J23" i="32"/>
  <c r="J24" i="32"/>
  <c r="J25" i="32"/>
  <c r="J22" i="32"/>
  <c r="M161" i="32" a="1"/>
  <c r="M161" i="32" s="1"/>
  <c r="M331" i="32" s="1"/>
  <c r="M165" i="32" a="1"/>
  <c r="M165" i="32" s="1"/>
  <c r="N475" i="32"/>
  <c r="N480" i="32"/>
  <c r="N485" i="32"/>
  <c r="N490" i="32"/>
  <c r="N495" i="32"/>
  <c r="N479" i="32"/>
  <c r="N486" i="32"/>
  <c r="N496" i="32"/>
  <c r="N492" i="32"/>
  <c r="N474" i="32"/>
  <c r="N478" i="32"/>
  <c r="N484" i="32"/>
  <c r="N494" i="32"/>
  <c r="N481" i="32"/>
  <c r="N483" i="32"/>
  <c r="N493" i="32"/>
  <c r="N482" i="32"/>
  <c r="N477" i="32"/>
  <c r="N491" i="32"/>
  <c r="N497" i="32"/>
  <c r="N473" i="32"/>
  <c r="N489" i="32"/>
  <c r="N499" i="32"/>
  <c r="N488" i="32"/>
  <c r="N498" i="32"/>
  <c r="N472" i="32"/>
  <c r="N476" i="32"/>
  <c r="N487" i="32"/>
  <c r="L39" i="32" a="1"/>
  <c r="L39" i="32" s="1"/>
  <c r="L40" i="32" a="1"/>
  <c r="L40" i="32" s="1"/>
  <c r="L38" i="32" a="1"/>
  <c r="L38" i="32" s="1"/>
  <c r="L41" i="32" a="1"/>
  <c r="L41" i="32" s="1"/>
  <c r="L468" i="32"/>
  <c r="M590" i="32"/>
  <c r="M622" i="32" s="1"/>
  <c r="M460" i="32"/>
  <c r="M596" i="32"/>
  <c r="M628" i="32" s="1"/>
  <c r="M466" i="32"/>
  <c r="M574" i="32"/>
  <c r="M444" i="32"/>
  <c r="M585" i="32"/>
  <c r="M455" i="32"/>
  <c r="M591" i="32"/>
  <c r="M623" i="32" s="1"/>
  <c r="M527" i="32" s="1"/>
  <c r="M461" i="32"/>
  <c r="M580" i="32"/>
  <c r="M612" i="32" s="1"/>
  <c r="M450" i="32"/>
  <c r="M586" i="32"/>
  <c r="M618" i="32" s="1"/>
  <c r="M456" i="32"/>
  <c r="M597" i="32"/>
  <c r="M629" i="32" s="1"/>
  <c r="M533" i="32" s="1"/>
  <c r="M467" i="32"/>
  <c r="K890" i="32"/>
  <c r="M575" i="32"/>
  <c r="M607" i="32" s="1"/>
  <c r="M445" i="32"/>
  <c r="M581" i="32"/>
  <c r="M451" i="32"/>
  <c r="M592" i="32"/>
  <c r="M624" i="32" s="1"/>
  <c r="M528" i="32" s="1"/>
  <c r="M462" i="32"/>
  <c r="M570" i="32"/>
  <c r="M440" i="32"/>
  <c r="M576" i="32"/>
  <c r="M608" i="32" s="1"/>
  <c r="M446" i="32"/>
  <c r="M587" i="32"/>
  <c r="M619" i="32" s="1"/>
  <c r="M523" i="32" s="1"/>
  <c r="M457" i="32"/>
  <c r="M593" i="32"/>
  <c r="M625" i="32" s="1"/>
  <c r="M529" i="32" s="1"/>
  <c r="M463" i="32"/>
  <c r="M571" i="32"/>
  <c r="M441" i="32"/>
  <c r="M582" i="32"/>
  <c r="M614" i="32" s="1"/>
  <c r="M518" i="32" s="1"/>
  <c r="M452" i="32"/>
  <c r="M588" i="32"/>
  <c r="M458" i="32"/>
  <c r="M594" i="32"/>
  <c r="M464" i="32"/>
  <c r="M577" i="32"/>
  <c r="M609" i="32" s="1"/>
  <c r="M513" i="32" s="1"/>
  <c r="M447" i="32"/>
  <c r="M583" i="32"/>
  <c r="M615" i="32" s="1"/>
  <c r="M453" i="32"/>
  <c r="M589" i="32"/>
  <c r="M621" i="32" s="1"/>
  <c r="M525" i="32" s="1"/>
  <c r="M459" i="32"/>
  <c r="M572" i="32"/>
  <c r="M442" i="32"/>
  <c r="M578" i="32"/>
  <c r="M610" i="32" s="1"/>
  <c r="M514" i="32" s="1"/>
  <c r="M448" i="32"/>
  <c r="M584" i="32"/>
  <c r="M616" i="32" s="1"/>
  <c r="M520" i="32" s="1"/>
  <c r="M454" i="32"/>
  <c r="M595" i="32"/>
  <c r="M627" i="32" s="1"/>
  <c r="M465" i="32"/>
  <c r="M573" i="32"/>
  <c r="M443" i="32"/>
  <c r="M579" i="32"/>
  <c r="M611" i="32" s="1"/>
  <c r="M515" i="32" s="1"/>
  <c r="M449" i="32"/>
  <c r="L772" i="32"/>
  <c r="L868" i="32"/>
  <c r="L771" i="32"/>
  <c r="L867" i="32"/>
  <c r="L769" i="32"/>
  <c r="L865" i="32"/>
  <c r="K794" i="32"/>
  <c r="L767" i="32"/>
  <c r="L863" i="32"/>
  <c r="L770" i="32"/>
  <c r="L866" i="32"/>
  <c r="L792" i="32"/>
  <c r="L888" i="32"/>
  <c r="L768" i="32"/>
  <c r="L864" i="32"/>
  <c r="L793" i="32"/>
  <c r="L889" i="32"/>
  <c r="L791" i="32"/>
  <c r="L887" i="32"/>
  <c r="L789" i="32"/>
  <c r="L885" i="32"/>
  <c r="L787" i="32"/>
  <c r="L883" i="32"/>
  <c r="L790" i="32"/>
  <c r="L886" i="32"/>
  <c r="L784" i="32"/>
  <c r="L880" i="32"/>
  <c r="L788" i="32"/>
  <c r="L884" i="32"/>
  <c r="L786" i="32"/>
  <c r="L882" i="32"/>
  <c r="K760" i="32"/>
  <c r="L782" i="32"/>
  <c r="L878" i="32"/>
  <c r="L785" i="32"/>
  <c r="L881" i="32"/>
  <c r="L779" i="32"/>
  <c r="L875" i="32"/>
  <c r="L778" i="32"/>
  <c r="L874" i="32"/>
  <c r="L783" i="32"/>
  <c r="L879" i="32"/>
  <c r="L776" i="32"/>
  <c r="L872" i="32"/>
  <c r="L775" i="32"/>
  <c r="L871" i="32"/>
  <c r="L774" i="32"/>
  <c r="L870" i="32"/>
  <c r="L773" i="32"/>
  <c r="L869" i="32"/>
  <c r="L781" i="32"/>
  <c r="L877" i="32"/>
  <c r="L777" i="32"/>
  <c r="L873" i="32"/>
  <c r="L780" i="32"/>
  <c r="L876" i="32"/>
  <c r="L651" i="32"/>
  <c r="L747" i="32"/>
  <c r="L647" i="32"/>
  <c r="L743" i="32"/>
  <c r="L650" i="32"/>
  <c r="L746" i="32"/>
  <c r="L646" i="32"/>
  <c r="L742" i="32"/>
  <c r="L645" i="32"/>
  <c r="L741" i="32"/>
  <c r="L644" i="32"/>
  <c r="L740" i="32"/>
  <c r="L643" i="32"/>
  <c r="L739" i="32"/>
  <c r="K664" i="32"/>
  <c r="L642" i="32"/>
  <c r="L738" i="32"/>
  <c r="L641" i="32"/>
  <c r="L737" i="32"/>
  <c r="L658" i="32"/>
  <c r="L754" i="32"/>
  <c r="L656" i="32"/>
  <c r="L752" i="32"/>
  <c r="L639" i="32"/>
  <c r="L735" i="32"/>
  <c r="L637" i="32"/>
  <c r="L733" i="32"/>
  <c r="L640" i="32"/>
  <c r="L736" i="32"/>
  <c r="L662" i="32"/>
  <c r="L758" i="32"/>
  <c r="L638" i="32"/>
  <c r="L734" i="32"/>
  <c r="L652" i="32"/>
  <c r="L748" i="32"/>
  <c r="L655" i="32"/>
  <c r="L751" i="32"/>
  <c r="L649" i="32"/>
  <c r="L745" i="32"/>
  <c r="L648" i="32"/>
  <c r="L744" i="32"/>
  <c r="L653" i="32"/>
  <c r="L749" i="32"/>
  <c r="L663" i="32"/>
  <c r="L759" i="32"/>
  <c r="L661" i="32"/>
  <c r="L757" i="32"/>
  <c r="L659" i="32"/>
  <c r="L755" i="32"/>
  <c r="L657" i="32"/>
  <c r="L753" i="32"/>
  <c r="L660" i="32"/>
  <c r="L756" i="32"/>
  <c r="L654" i="32"/>
  <c r="L750" i="32"/>
  <c r="L365" i="32"/>
  <c r="I236" i="32"/>
  <c r="I237" i="32" s="1"/>
  <c r="J235" i="32" a="1"/>
  <c r="J235" i="32" s="1"/>
  <c r="J234" i="32" a="1"/>
  <c r="J234" i="32" s="1"/>
  <c r="K227" i="32" a="1"/>
  <c r="K227" i="32" s="1"/>
  <c r="K233" i="32" a="1"/>
  <c r="K233" i="32" s="1"/>
  <c r="K224" i="32" a="1"/>
  <c r="K224" i="32" s="1"/>
  <c r="K232" i="32" a="1"/>
  <c r="K232" i="32" s="1"/>
  <c r="K229" i="32" a="1"/>
  <c r="K229" i="32" s="1"/>
  <c r="K228" i="32" a="1"/>
  <c r="K228" i="32" s="1"/>
  <c r="K230" i="32" a="1"/>
  <c r="K230" i="32" s="1"/>
  <c r="K226" i="32" a="1"/>
  <c r="K226" i="32" s="1"/>
  <c r="K231" i="32" a="1"/>
  <c r="K231" i="32" s="1"/>
  <c r="K223" i="32" a="1"/>
  <c r="K223" i="32" s="1"/>
  <c r="K225" i="32" a="1"/>
  <c r="K225" i="32" s="1"/>
  <c r="L374" i="32"/>
  <c r="L52" i="32" s="1"/>
  <c r="M371" i="32"/>
  <c r="M373" i="32"/>
  <c r="M370" i="32"/>
  <c r="M372" i="32"/>
  <c r="M369" i="32"/>
  <c r="M362" i="32"/>
  <c r="M364" i="32"/>
  <c r="M361" i="32"/>
  <c r="M363" i="32"/>
  <c r="M360" i="32"/>
  <c r="J100" i="32"/>
  <c r="H53" i="32"/>
  <c r="K244" i="32"/>
  <c r="K220" i="32"/>
  <c r="L212" i="32"/>
  <c r="L207" i="32"/>
  <c r="J299" i="32"/>
  <c r="J313" i="32" s="1"/>
  <c r="J303" i="32"/>
  <c r="K289" i="32"/>
  <c r="K292" i="32"/>
  <c r="K306" i="32" s="1"/>
  <c r="K291" i="32"/>
  <c r="K305" i="32" s="1"/>
  <c r="K290" i="32"/>
  <c r="K304" i="32" s="1"/>
  <c r="K297" i="32"/>
  <c r="K311" i="32" s="1"/>
  <c r="K604" i="32" s="1"/>
  <c r="K508" i="32" s="1"/>
  <c r="K296" i="32"/>
  <c r="K310" i="32" s="1"/>
  <c r="K603" i="32" s="1"/>
  <c r="K507" i="32" s="1"/>
  <c r="K293" i="32"/>
  <c r="K307" i="32" s="1"/>
  <c r="K298" i="32"/>
  <c r="K312" i="32" s="1"/>
  <c r="K605" i="32" s="1"/>
  <c r="K509" i="32" s="1"/>
  <c r="K295" i="32"/>
  <c r="K309" i="32" s="1"/>
  <c r="K294" i="32"/>
  <c r="K308" i="32" s="1"/>
  <c r="L210" i="32"/>
  <c r="L205" i="32"/>
  <c r="L213" i="32"/>
  <c r="L208" i="32"/>
  <c r="L211" i="32"/>
  <c r="L206" i="32"/>
  <c r="L209" i="32"/>
  <c r="J108" i="32"/>
  <c r="K281" i="32" a="1"/>
  <c r="K281" i="32" s="1"/>
  <c r="K280" i="32" a="1"/>
  <c r="K280" i="32" s="1"/>
  <c r="K279" i="32" a="1"/>
  <c r="K279" i="32" s="1"/>
  <c r="K277" i="32" a="1"/>
  <c r="K277" i="32" s="1"/>
  <c r="K282" i="32" a="1"/>
  <c r="K282" i="32" s="1"/>
  <c r="J278" i="32"/>
  <c r="J283" i="32" s="1"/>
  <c r="J264" i="32"/>
  <c r="K620" i="32"/>
  <c r="K524" i="32" s="1"/>
  <c r="K330" i="32"/>
  <c r="K332" i="32" s="1"/>
  <c r="K262" i="32" a="1"/>
  <c r="K262" i="32" s="1"/>
  <c r="K261" i="32" a="1"/>
  <c r="K261" i="32" s="1"/>
  <c r="K263" i="32"/>
  <c r="J534" i="32"/>
  <c r="L320" i="32"/>
  <c r="K613" i="32"/>
  <c r="K517" i="32" s="1"/>
  <c r="L602" i="32"/>
  <c r="J630" i="32"/>
  <c r="J598" i="32"/>
  <c r="M511" i="32"/>
  <c r="M835" i="32"/>
  <c r="M705" i="32"/>
  <c r="M841" i="32"/>
  <c r="M711" i="32"/>
  <c r="M852" i="32"/>
  <c r="M722" i="32"/>
  <c r="M830" i="32"/>
  <c r="M862" i="32" s="1"/>
  <c r="M700" i="32"/>
  <c r="M732" i="32" s="1"/>
  <c r="M512" i="32"/>
  <c r="M836" i="32"/>
  <c r="M706" i="32"/>
  <c r="M847" i="32"/>
  <c r="M717" i="32"/>
  <c r="M853" i="32"/>
  <c r="M723" i="32"/>
  <c r="M831" i="32"/>
  <c r="M701" i="32"/>
  <c r="M842" i="32"/>
  <c r="M712" i="32"/>
  <c r="M848" i="32"/>
  <c r="M718" i="32"/>
  <c r="M854" i="32"/>
  <c r="M724" i="32"/>
  <c r="M837" i="32"/>
  <c r="M707" i="32"/>
  <c r="M519" i="32"/>
  <c r="M843" i="32"/>
  <c r="M713" i="32"/>
  <c r="M849" i="32"/>
  <c r="M719" i="32"/>
  <c r="M832" i="32"/>
  <c r="M702" i="32"/>
  <c r="L728" i="32"/>
  <c r="L636" i="32"/>
  <c r="M838" i="32"/>
  <c r="M708" i="32"/>
  <c r="M844" i="32"/>
  <c r="M714" i="32"/>
  <c r="L858" i="32"/>
  <c r="L766" i="32"/>
  <c r="M531" i="32"/>
  <c r="M855" i="32"/>
  <c r="M725" i="32"/>
  <c r="M833" i="32"/>
  <c r="M703" i="32"/>
  <c r="M839" i="32"/>
  <c r="M709" i="32"/>
  <c r="M526" i="32"/>
  <c r="M850" i="32"/>
  <c r="M720" i="32"/>
  <c r="M532" i="32"/>
  <c r="M856" i="32"/>
  <c r="M726" i="32"/>
  <c r="M834" i="32"/>
  <c r="M704" i="32"/>
  <c r="M845" i="32"/>
  <c r="M715" i="32"/>
  <c r="M851" i="32"/>
  <c r="M721" i="32"/>
  <c r="M516" i="32"/>
  <c r="M840" i="32"/>
  <c r="M710" i="32"/>
  <c r="M522" i="32"/>
  <c r="M716" i="32"/>
  <c r="M846" i="32"/>
  <c r="M857" i="32"/>
  <c r="M727" i="32"/>
  <c r="L938" i="32"/>
  <c r="M897" i="32"/>
  <c r="M896" i="32"/>
  <c r="M907" i="32"/>
  <c r="M908" i="32"/>
  <c r="M909" i="32"/>
  <c r="M910" i="32"/>
  <c r="M898" i="32"/>
  <c r="M911" i="32"/>
  <c r="M923" i="32"/>
  <c r="M899" i="32"/>
  <c r="M912" i="32"/>
  <c r="M901" i="32"/>
  <c r="M913" i="32"/>
  <c r="M926" i="32"/>
  <c r="M902" i="32"/>
  <c r="M903" i="32"/>
  <c r="M916" i="32"/>
  <c r="M928" i="32"/>
  <c r="M930" i="32"/>
  <c r="M935" i="32"/>
  <c r="M918" i="32"/>
  <c r="M932" i="32"/>
  <c r="M927" i="32"/>
  <c r="M904" i="32"/>
  <c r="M925" i="32"/>
  <c r="M900" i="32"/>
  <c r="M906" i="32"/>
  <c r="M921" i="32"/>
  <c r="M919" i="32"/>
  <c r="M929" i="32"/>
  <c r="M933" i="32"/>
  <c r="M936" i="32"/>
  <c r="M915" i="32"/>
  <c r="M914" i="32"/>
  <c r="M905" i="32"/>
  <c r="M917" i="32"/>
  <c r="M920" i="32"/>
  <c r="M931" i="32"/>
  <c r="M922" i="32"/>
  <c r="M924" i="32"/>
  <c r="M934" i="32"/>
  <c r="M937" i="32"/>
  <c r="M500" i="32"/>
  <c r="M42" i="32" s="1"/>
  <c r="M31" i="32" s="1"/>
  <c r="L186" i="32"/>
  <c r="L214" i="32" s="1"/>
  <c r="M178" i="32"/>
  <c r="M183" i="32"/>
  <c r="M180" i="32"/>
  <c r="M185" i="32"/>
  <c r="M177" i="32"/>
  <c r="M182" i="32"/>
  <c r="M179" i="32"/>
  <c r="M176" i="32"/>
  <c r="M181" i="32"/>
  <c r="M184" i="32"/>
  <c r="J98" i="32"/>
  <c r="N410" i="32"/>
  <c r="N415" i="32"/>
  <c r="N420" i="32"/>
  <c r="N425" i="32"/>
  <c r="N430" i="32"/>
  <c r="N435" i="32"/>
  <c r="N412" i="32"/>
  <c r="N417" i="32"/>
  <c r="N422" i="32"/>
  <c r="N427" i="32"/>
  <c r="N432" i="32"/>
  <c r="N409" i="32"/>
  <c r="N414" i="32"/>
  <c r="N419" i="32"/>
  <c r="N424" i="32"/>
  <c r="N429" i="32"/>
  <c r="N434" i="32"/>
  <c r="N411" i="32"/>
  <c r="N416" i="32"/>
  <c r="N421" i="32"/>
  <c r="N426" i="32"/>
  <c r="N431" i="32"/>
  <c r="N408" i="32"/>
  <c r="N413" i="32"/>
  <c r="N418" i="32"/>
  <c r="N423" i="32"/>
  <c r="N428" i="32"/>
  <c r="N433" i="32"/>
  <c r="O407" i="32"/>
  <c r="M436" i="32"/>
  <c r="I383" i="32"/>
  <c r="I51" i="32" s="1"/>
  <c r="I32" i="32" s="1"/>
  <c r="J271" i="32"/>
  <c r="M353" i="32"/>
  <c r="M355" i="32"/>
  <c r="M352" i="32"/>
  <c r="M354" i="32"/>
  <c r="M351" i="32"/>
  <c r="L356" i="32"/>
  <c r="L346" i="32"/>
  <c r="I139" i="32"/>
  <c r="N340" i="32"/>
  <c r="M341" i="32"/>
  <c r="M378" i="32" s="1"/>
  <c r="M343" i="32"/>
  <c r="M380" i="32" s="1"/>
  <c r="M345" i="32"/>
  <c r="M382" i="32" s="1"/>
  <c r="M342" i="32"/>
  <c r="M379" i="32" s="1"/>
  <c r="M344" i="32"/>
  <c r="M381" i="32" s="1"/>
  <c r="L222" i="32"/>
  <c r="K245" i="32"/>
  <c r="K238" i="32"/>
  <c r="N359" i="32"/>
  <c r="L50" i="32" a="1"/>
  <c r="L50" i="32" s="1"/>
  <c r="L48" i="32" a="1"/>
  <c r="L48" i="32" s="1"/>
  <c r="L49" i="32" a="1"/>
  <c r="L49" i="32" s="1"/>
  <c r="L47" i="32" a="1"/>
  <c r="L47" i="32" s="1"/>
  <c r="L260" i="32"/>
  <c r="K266" i="32"/>
  <c r="K265" i="32"/>
  <c r="K130" i="32" a="1"/>
  <c r="K130" i="32" s="1"/>
  <c r="K129" i="32" a="1"/>
  <c r="K129" i="32" s="1"/>
  <c r="K93" i="32" a="1"/>
  <c r="K93" i="32" s="1"/>
  <c r="K89" i="32" a="1"/>
  <c r="K89" i="32" s="1"/>
  <c r="K86" i="32" a="1"/>
  <c r="K86" i="32" s="1"/>
  <c r="K121" i="32" a="1"/>
  <c r="K121" i="32" s="1"/>
  <c r="K119" i="32" a="1"/>
  <c r="K119" i="32" s="1"/>
  <c r="K81" i="32" a="1"/>
  <c r="K81" i="32" s="1"/>
  <c r="K80" i="32" a="1"/>
  <c r="K80" i="32" s="1"/>
  <c r="K72" i="32" a="1"/>
  <c r="K72" i="32" s="1"/>
  <c r="K92" i="32" a="1"/>
  <c r="K92" i="32" s="1"/>
  <c r="K87" i="32" a="1"/>
  <c r="K87" i="32" s="1"/>
  <c r="K82" i="32" a="1"/>
  <c r="K82" i="32" s="1"/>
  <c r="K90" i="32" a="1"/>
  <c r="K90" i="32" s="1"/>
  <c r="K83" i="32" a="1"/>
  <c r="K83" i="32" s="1"/>
  <c r="K120" i="32" a="1"/>
  <c r="K120" i="32" s="1"/>
  <c r="K91" i="32" a="1"/>
  <c r="K91" i="32" s="1"/>
  <c r="K128" i="32" a="1"/>
  <c r="K128" i="32" s="1"/>
  <c r="K127" i="32" a="1"/>
  <c r="K127" i="32" s="1"/>
  <c r="K122" i="32" a="1"/>
  <c r="K122" i="32" s="1"/>
  <c r="K64" i="32" a="1"/>
  <c r="K64" i="32" s="1"/>
  <c r="K74" i="32" a="1"/>
  <c r="K74" i="32" s="1"/>
  <c r="K71" i="32" a="1"/>
  <c r="K71" i="32" s="1"/>
  <c r="K66" i="32" a="1"/>
  <c r="K66" i="32" s="1"/>
  <c r="K68" i="32" a="1"/>
  <c r="K68" i="32" s="1"/>
  <c r="K79" i="32" a="1"/>
  <c r="K79" i="32" s="1"/>
  <c r="K70" i="32" a="1"/>
  <c r="K70" i="32" s="1"/>
  <c r="K73" i="32" a="1"/>
  <c r="K73" i="32" s="1"/>
  <c r="K61" i="32" a="1"/>
  <c r="K61" i="32" s="1"/>
  <c r="K85" i="32" a="1"/>
  <c r="K85" i="32" s="1"/>
  <c r="K65" i="32" a="1"/>
  <c r="K65" i="32" s="1"/>
  <c r="K88" i="32" a="1"/>
  <c r="K88" i="32" s="1"/>
  <c r="K67" i="32" a="1"/>
  <c r="K67" i="32" s="1"/>
  <c r="K63" i="32" a="1"/>
  <c r="K63" i="32" s="1"/>
  <c r="K62" i="32" a="1"/>
  <c r="K62" i="32" s="1"/>
  <c r="K69" i="32" a="1"/>
  <c r="K69" i="32" s="1"/>
  <c r="K84" i="32" a="1"/>
  <c r="K84" i="32" s="1"/>
  <c r="N146" i="32"/>
  <c r="M148" i="32" a="1"/>
  <c r="M148" i="32" s="1"/>
  <c r="M153" i="32" a="1"/>
  <c r="M153" i="32" s="1"/>
  <c r="M160" i="32" a="1"/>
  <c r="M160" i="32" s="1"/>
  <c r="M150" i="32" a="1"/>
  <c r="M150" i="32" s="1"/>
  <c r="M157" i="32" a="1"/>
  <c r="M157" i="32" s="1"/>
  <c r="M147" i="32" a="1"/>
  <c r="M147" i="32" s="1"/>
  <c r="M152" i="32" a="1"/>
  <c r="M152" i="32" s="1"/>
  <c r="M159" i="32" a="1"/>
  <c r="M159" i="32" s="1"/>
  <c r="M149" i="32" a="1"/>
  <c r="M149" i="32" s="1"/>
  <c r="M154" i="32" a="1"/>
  <c r="M154" i="32" s="1"/>
  <c r="M163" i="32" a="1"/>
  <c r="M163" i="32" s="1"/>
  <c r="M162" i="32" a="1"/>
  <c r="M162" i="32" s="1"/>
  <c r="M170" i="32" a="1"/>
  <c r="M170" i="32" s="1"/>
  <c r="M169" i="32" a="1"/>
  <c r="M169" i="32" s="1"/>
  <c r="M151" i="32" a="1"/>
  <c r="M151" i="32" s="1"/>
  <c r="M158" i="32" a="1"/>
  <c r="M158" i="32" s="1"/>
  <c r="M155" i="32" a="1"/>
  <c r="M155" i="32" s="1"/>
  <c r="M156" i="32" a="1"/>
  <c r="M156" i="32" s="1"/>
  <c r="L327" i="32"/>
  <c r="L329" i="32" s="1"/>
  <c r="K324" i="32"/>
  <c r="K617" i="32" s="1"/>
  <c r="K521" i="32" s="1"/>
  <c r="K333" i="32"/>
  <c r="K626" i="32" s="1"/>
  <c r="K530" i="32" s="1"/>
  <c r="J111" i="32"/>
  <c r="J106" i="32"/>
  <c r="J101" i="32"/>
  <c r="M37" i="32"/>
  <c r="J103" i="32"/>
  <c r="J99" i="32"/>
  <c r="J107" i="32"/>
  <c r="I28" i="32"/>
  <c r="I112" i="32"/>
  <c r="J109" i="32"/>
  <c r="H33" i="32"/>
  <c r="H34" i="32" s="1"/>
  <c r="J104" i="32"/>
  <c r="J136" i="32"/>
  <c r="J102" i="32"/>
  <c r="J105" i="32"/>
  <c r="I27" i="32"/>
  <c r="J110" i="32"/>
  <c r="I43" i="32"/>
  <c r="J29" i="32"/>
  <c r="I164" i="32"/>
  <c r="J137" i="32"/>
  <c r="J138" i="32"/>
  <c r="J123" i="32"/>
  <c r="J75" i="32"/>
  <c r="J94" i="32"/>
  <c r="J131" i="32"/>
  <c r="J135" i="32"/>
  <c r="L60" i="32"/>
  <c r="N161" i="32" l="1" a="1"/>
  <c r="N161" i="32" s="1"/>
  <c r="N331" i="32" s="1"/>
  <c r="N165" i="32" a="1"/>
  <c r="N165" i="32" s="1"/>
  <c r="L21" i="32"/>
  <c r="K23" i="32"/>
  <c r="K26" i="32"/>
  <c r="K24" i="32"/>
  <c r="K22" i="32"/>
  <c r="K25" i="32"/>
  <c r="O473" i="32"/>
  <c r="O478" i="32"/>
  <c r="O483" i="32"/>
  <c r="O488" i="32"/>
  <c r="O493" i="32"/>
  <c r="O498" i="32"/>
  <c r="O475" i="32"/>
  <c r="O480" i="32"/>
  <c r="O485" i="32"/>
  <c r="O490" i="32"/>
  <c r="O495" i="32"/>
  <c r="O472" i="32"/>
  <c r="O477" i="32"/>
  <c r="O482" i="32"/>
  <c r="O487" i="32"/>
  <c r="O492" i="32"/>
  <c r="O497" i="32"/>
  <c r="O474" i="32"/>
  <c r="O479" i="32"/>
  <c r="O484" i="32"/>
  <c r="O489" i="32"/>
  <c r="O494" i="32"/>
  <c r="O499" i="32"/>
  <c r="O476" i="32"/>
  <c r="O481" i="32"/>
  <c r="O486" i="32"/>
  <c r="O491" i="32"/>
  <c r="O496" i="32"/>
  <c r="M40" i="32" a="1"/>
  <c r="M40" i="32" s="1"/>
  <c r="M41" i="32" a="1"/>
  <c r="M41" i="32" s="1"/>
  <c r="M38" i="32" a="1"/>
  <c r="M38" i="32" s="1"/>
  <c r="M39" i="32" a="1"/>
  <c r="M39" i="32" s="1"/>
  <c r="M468" i="32"/>
  <c r="N595" i="32"/>
  <c r="N627" i="32" s="1"/>
  <c r="N465" i="32"/>
  <c r="N573" i="32"/>
  <c r="N443" i="32"/>
  <c r="N579" i="32"/>
  <c r="N611" i="32" s="1"/>
  <c r="N515" i="32" s="1"/>
  <c r="N449" i="32"/>
  <c r="N590" i="32"/>
  <c r="N622" i="32" s="1"/>
  <c r="N526" i="32" s="1"/>
  <c r="N460" i="32"/>
  <c r="N596" i="32"/>
  <c r="N628" i="32" s="1"/>
  <c r="N532" i="32" s="1"/>
  <c r="N466" i="32"/>
  <c r="N574" i="32"/>
  <c r="N444" i="32"/>
  <c r="N585" i="32"/>
  <c r="N455" i="32"/>
  <c r="N591" i="32"/>
  <c r="N623" i="32" s="1"/>
  <c r="N527" i="32" s="1"/>
  <c r="N461" i="32"/>
  <c r="N597" i="32"/>
  <c r="N629" i="32" s="1"/>
  <c r="N533" i="32" s="1"/>
  <c r="N467" i="32"/>
  <c r="L794" i="32"/>
  <c r="N580" i="32"/>
  <c r="N612" i="32" s="1"/>
  <c r="N450" i="32"/>
  <c r="N586" i="32"/>
  <c r="N618" i="32" s="1"/>
  <c r="N456" i="32"/>
  <c r="N592" i="32"/>
  <c r="N624" i="32" s="1"/>
  <c r="N462" i="32"/>
  <c r="N575" i="32"/>
  <c r="N607" i="32" s="1"/>
  <c r="N511" i="32" s="1"/>
  <c r="N445" i="32"/>
  <c r="N581" i="32"/>
  <c r="N451" i="32"/>
  <c r="N587" i="32"/>
  <c r="N619" i="32" s="1"/>
  <c r="N457" i="32"/>
  <c r="L890" i="32"/>
  <c r="N570" i="32"/>
  <c r="N440" i="32"/>
  <c r="N576" i="32"/>
  <c r="N608" i="32" s="1"/>
  <c r="N512" i="32" s="1"/>
  <c r="N446" i="32"/>
  <c r="N582" i="32"/>
  <c r="N614" i="32" s="1"/>
  <c r="N518" i="32" s="1"/>
  <c r="N452" i="32"/>
  <c r="N593" i="32"/>
  <c r="N625" i="32" s="1"/>
  <c r="N529" i="32" s="1"/>
  <c r="N463" i="32"/>
  <c r="N571" i="32"/>
  <c r="N441" i="32"/>
  <c r="N577" i="32"/>
  <c r="N609" i="32" s="1"/>
  <c r="N447" i="32"/>
  <c r="N588" i="32"/>
  <c r="N458" i="32"/>
  <c r="N594" i="32"/>
  <c r="N464" i="32"/>
  <c r="N572" i="32"/>
  <c r="N442" i="32"/>
  <c r="N583" i="32"/>
  <c r="N615" i="32" s="1"/>
  <c r="N519" i="32" s="1"/>
  <c r="N453" i="32"/>
  <c r="N589" i="32"/>
  <c r="N621" i="32" s="1"/>
  <c r="N459" i="32"/>
  <c r="N578" i="32"/>
  <c r="N610" i="32" s="1"/>
  <c r="N514" i="32" s="1"/>
  <c r="N448" i="32"/>
  <c r="N584" i="32"/>
  <c r="N616" i="32" s="1"/>
  <c r="N520" i="32" s="1"/>
  <c r="N454" i="32"/>
  <c r="M790" i="32"/>
  <c r="M886" i="32"/>
  <c r="M788" i="32"/>
  <c r="M884" i="32"/>
  <c r="M782" i="32"/>
  <c r="M878" i="32"/>
  <c r="M781" i="32"/>
  <c r="M877" i="32"/>
  <c r="M775" i="32"/>
  <c r="M871" i="32"/>
  <c r="M780" i="32"/>
  <c r="M876" i="32"/>
  <c r="M785" i="32"/>
  <c r="M881" i="32"/>
  <c r="M787" i="32"/>
  <c r="M883" i="32"/>
  <c r="M786" i="32"/>
  <c r="M882" i="32"/>
  <c r="M784" i="32"/>
  <c r="M880" i="32"/>
  <c r="M783" i="32"/>
  <c r="M879" i="32"/>
  <c r="M770" i="32"/>
  <c r="M866" i="32"/>
  <c r="M777" i="32"/>
  <c r="M873" i="32"/>
  <c r="M769" i="32"/>
  <c r="M865" i="32"/>
  <c r="M774" i="32"/>
  <c r="M870" i="32"/>
  <c r="M779" i="32"/>
  <c r="M875" i="32"/>
  <c r="M778" i="32"/>
  <c r="M874" i="32"/>
  <c r="M793" i="32"/>
  <c r="M889" i="32"/>
  <c r="M768" i="32"/>
  <c r="M864" i="32"/>
  <c r="M789" i="32"/>
  <c r="M885" i="32"/>
  <c r="M776" i="32"/>
  <c r="M872" i="32"/>
  <c r="M792" i="32"/>
  <c r="M888" i="32"/>
  <c r="M772" i="32"/>
  <c r="M868" i="32"/>
  <c r="M771" i="32"/>
  <c r="M867" i="32"/>
  <c r="L760" i="32"/>
  <c r="M791" i="32"/>
  <c r="M887" i="32"/>
  <c r="M773" i="32"/>
  <c r="M869" i="32"/>
  <c r="M767" i="32"/>
  <c r="M863" i="32"/>
  <c r="M639" i="32"/>
  <c r="M735" i="32"/>
  <c r="M649" i="32"/>
  <c r="M745" i="32"/>
  <c r="L664" i="32"/>
  <c r="M643" i="32"/>
  <c r="M739" i="32"/>
  <c r="M637" i="32"/>
  <c r="M733" i="32"/>
  <c r="M657" i="32"/>
  <c r="M753" i="32"/>
  <c r="M656" i="32"/>
  <c r="M752" i="32"/>
  <c r="M661" i="32"/>
  <c r="M757" i="32"/>
  <c r="K99" i="32"/>
  <c r="M663" i="32"/>
  <c r="M759" i="32"/>
  <c r="M638" i="32"/>
  <c r="M734" i="32"/>
  <c r="M659" i="32"/>
  <c r="M755" i="32"/>
  <c r="M644" i="32"/>
  <c r="M740" i="32"/>
  <c r="M648" i="32"/>
  <c r="M744" i="32"/>
  <c r="M646" i="32"/>
  <c r="M742" i="32"/>
  <c r="M641" i="32"/>
  <c r="M737" i="32"/>
  <c r="M660" i="32"/>
  <c r="M756" i="32"/>
  <c r="M658" i="32"/>
  <c r="M754" i="32"/>
  <c r="M651" i="32"/>
  <c r="M747" i="32"/>
  <c r="M645" i="32"/>
  <c r="M741" i="32"/>
  <c r="M650" i="32"/>
  <c r="M746" i="32"/>
  <c r="M655" i="32"/>
  <c r="M751" i="32"/>
  <c r="M654" i="32"/>
  <c r="M750" i="32"/>
  <c r="M653" i="32"/>
  <c r="M749" i="32"/>
  <c r="M662" i="32"/>
  <c r="M758" i="32"/>
  <c r="M642" i="32"/>
  <c r="M738" i="32"/>
  <c r="M652" i="32"/>
  <c r="M748" i="32"/>
  <c r="M640" i="32"/>
  <c r="M736" i="32"/>
  <c r="M647" i="32"/>
  <c r="M743" i="32"/>
  <c r="M374" i="32"/>
  <c r="M52" i="32" s="1"/>
  <c r="J236" i="32"/>
  <c r="J237" i="32" s="1"/>
  <c r="K235" i="32" a="1"/>
  <c r="K235" i="32" s="1"/>
  <c r="K234" i="32" a="1"/>
  <c r="K234" i="32" s="1"/>
  <c r="M365" i="32"/>
  <c r="N371" i="32"/>
  <c r="N373" i="32"/>
  <c r="N370" i="32"/>
  <c r="N372" i="32"/>
  <c r="N369" i="32"/>
  <c r="N363" i="32"/>
  <c r="N362" i="32"/>
  <c r="N364" i="32"/>
  <c r="N361" i="32"/>
  <c r="N360" i="32"/>
  <c r="L230" i="32" a="1"/>
  <c r="L230" i="32" s="1"/>
  <c r="L227" i="32" a="1"/>
  <c r="L227" i="32" s="1"/>
  <c r="L233" i="32" a="1"/>
  <c r="L233" i="32" s="1"/>
  <c r="L231" i="32" a="1"/>
  <c r="L231" i="32" s="1"/>
  <c r="L228" i="32" a="1"/>
  <c r="L228" i="32" s="1"/>
  <c r="L225" i="32" a="1"/>
  <c r="L225" i="32" s="1"/>
  <c r="L224" i="32" a="1"/>
  <c r="L224" i="32" s="1"/>
  <c r="L232" i="32" a="1"/>
  <c r="L232" i="32" s="1"/>
  <c r="L229" i="32" a="1"/>
  <c r="L229" i="32" s="1"/>
  <c r="L226" i="32" a="1"/>
  <c r="L226" i="32" s="1"/>
  <c r="L223" i="32" a="1"/>
  <c r="L223" i="32" s="1"/>
  <c r="I53" i="32"/>
  <c r="L244" i="32"/>
  <c r="L220" i="32"/>
  <c r="M204" i="32"/>
  <c r="M207" i="32"/>
  <c r="M210" i="32"/>
  <c r="M205" i="32"/>
  <c r="K299" i="32"/>
  <c r="K313" i="32" s="1"/>
  <c r="K303" i="32"/>
  <c r="M213" i="32"/>
  <c r="M208" i="32"/>
  <c r="M211" i="32"/>
  <c r="M206" i="32"/>
  <c r="L290" i="32"/>
  <c r="L304" i="32" s="1"/>
  <c r="L295" i="32"/>
  <c r="L309" i="32" s="1"/>
  <c r="L292" i="32"/>
  <c r="L306" i="32" s="1"/>
  <c r="L298" i="32"/>
  <c r="L312" i="32" s="1"/>
  <c r="L605" i="32" s="1"/>
  <c r="L509" i="32" s="1"/>
  <c r="L297" i="32"/>
  <c r="L311" i="32" s="1"/>
  <c r="L604" i="32" s="1"/>
  <c r="L508" i="32" s="1"/>
  <c r="L291" i="32"/>
  <c r="L305" i="32" s="1"/>
  <c r="L296" i="32"/>
  <c r="L310" i="32" s="1"/>
  <c r="L603" i="32" s="1"/>
  <c r="L507" i="32" s="1"/>
  <c r="L289" i="32"/>
  <c r="L294" i="32"/>
  <c r="L308" i="32" s="1"/>
  <c r="L293" i="32"/>
  <c r="L307" i="32" s="1"/>
  <c r="M212" i="32"/>
  <c r="M209" i="32"/>
  <c r="L277" i="32" a="1"/>
  <c r="L277" i="32" s="1"/>
  <c r="L282" i="32" a="1"/>
  <c r="L282" i="32" s="1"/>
  <c r="L281" i="32" a="1"/>
  <c r="L281" i="32" s="1"/>
  <c r="L280" i="32" a="1"/>
  <c r="L280" i="32" s="1"/>
  <c r="L279" i="32" a="1"/>
  <c r="L279" i="32" s="1"/>
  <c r="K278" i="32"/>
  <c r="K283" i="32" s="1"/>
  <c r="K264" i="32"/>
  <c r="L620" i="32"/>
  <c r="L524" i="32" s="1"/>
  <c r="L330" i="32"/>
  <c r="L332" i="32" s="1"/>
  <c r="L262" i="32" a="1"/>
  <c r="L262" i="32" s="1"/>
  <c r="L261" i="32" a="1"/>
  <c r="L261" i="32" s="1"/>
  <c r="L263" i="32"/>
  <c r="K534" i="32"/>
  <c r="K598" i="32"/>
  <c r="M602" i="32"/>
  <c r="M506" i="32" s="1"/>
  <c r="K630" i="32"/>
  <c r="L506" i="32"/>
  <c r="M320" i="32"/>
  <c r="L613" i="32"/>
  <c r="L517" i="32" s="1"/>
  <c r="N835" i="32"/>
  <c r="N705" i="32"/>
  <c r="N841" i="32"/>
  <c r="N711" i="32"/>
  <c r="N523" i="32"/>
  <c r="N847" i="32"/>
  <c r="N717" i="32"/>
  <c r="N830" i="32"/>
  <c r="N862" i="32" s="1"/>
  <c r="N700" i="32"/>
  <c r="N732" i="32" s="1"/>
  <c r="N836" i="32"/>
  <c r="N706" i="32"/>
  <c r="N842" i="32"/>
  <c r="N712" i="32"/>
  <c r="N853" i="32"/>
  <c r="N723" i="32"/>
  <c r="N831" i="32"/>
  <c r="N701" i="32"/>
  <c r="N513" i="32"/>
  <c r="N837" i="32"/>
  <c r="N707" i="32"/>
  <c r="N848" i="32"/>
  <c r="N718" i="32"/>
  <c r="N854" i="32"/>
  <c r="N724" i="32"/>
  <c r="N832" i="32"/>
  <c r="N702" i="32"/>
  <c r="N843" i="32"/>
  <c r="N713" i="32"/>
  <c r="N525" i="32"/>
  <c r="N849" i="32"/>
  <c r="N719" i="32"/>
  <c r="N838" i="32"/>
  <c r="N708" i="32"/>
  <c r="N844" i="32"/>
  <c r="N714" i="32"/>
  <c r="N531" i="32"/>
  <c r="N855" i="32"/>
  <c r="N725" i="32"/>
  <c r="N833" i="32"/>
  <c r="N703" i="32"/>
  <c r="N839" i="32"/>
  <c r="N709" i="32"/>
  <c r="N850" i="32"/>
  <c r="N720" i="32"/>
  <c r="N856" i="32"/>
  <c r="N726" i="32"/>
  <c r="N834" i="32"/>
  <c r="N704" i="32"/>
  <c r="N845" i="32"/>
  <c r="N715" i="32"/>
  <c r="N851" i="32"/>
  <c r="N721" i="32"/>
  <c r="N857" i="32"/>
  <c r="N727" i="32"/>
  <c r="M636" i="32"/>
  <c r="M728" i="32"/>
  <c r="N516" i="32"/>
  <c r="N840" i="32"/>
  <c r="N710" i="32"/>
  <c r="N522" i="32"/>
  <c r="N846" i="32"/>
  <c r="N716" i="32"/>
  <c r="N528" i="32"/>
  <c r="N852" i="32"/>
  <c r="N722" i="32"/>
  <c r="M858" i="32"/>
  <c r="M766" i="32"/>
  <c r="I33" i="32"/>
  <c r="I34" i="32" s="1"/>
  <c r="N898" i="32"/>
  <c r="N903" i="32"/>
  <c r="N908" i="32"/>
  <c r="N913" i="32"/>
  <c r="N918" i="32"/>
  <c r="N923" i="32"/>
  <c r="N928" i="32"/>
  <c r="N900" i="32"/>
  <c r="N897" i="32"/>
  <c r="N899" i="32"/>
  <c r="N904" i="32"/>
  <c r="N909" i="32"/>
  <c r="N914" i="32"/>
  <c r="N919" i="32"/>
  <c r="N924" i="32"/>
  <c r="N906" i="32"/>
  <c r="N907" i="32"/>
  <c r="N896" i="32"/>
  <c r="N910" i="32"/>
  <c r="N922" i="32"/>
  <c r="N911" i="32"/>
  <c r="N912" i="32"/>
  <c r="N925" i="32"/>
  <c r="N901" i="32"/>
  <c r="N902" i="32"/>
  <c r="N915" i="32"/>
  <c r="N927" i="32"/>
  <c r="N932" i="32"/>
  <c r="N935" i="32"/>
  <c r="N921" i="32"/>
  <c r="N929" i="32"/>
  <c r="N930" i="32"/>
  <c r="N916" i="32"/>
  <c r="N933" i="32"/>
  <c r="N936" i="32"/>
  <c r="N926" i="32"/>
  <c r="N905" i="32"/>
  <c r="N917" i="32"/>
  <c r="N920" i="32"/>
  <c r="N931" i="32"/>
  <c r="N934" i="32"/>
  <c r="N937" i="32"/>
  <c r="M938" i="32"/>
  <c r="K103" i="32"/>
  <c r="M606" i="32"/>
  <c r="M510" i="32" s="1"/>
  <c r="N500" i="32"/>
  <c r="N42" i="32" s="1"/>
  <c r="N31" i="32" s="1"/>
  <c r="M186" i="32"/>
  <c r="M214" i="32" s="1"/>
  <c r="N178" i="32"/>
  <c r="N183" i="32"/>
  <c r="N180" i="32"/>
  <c r="N185" i="32"/>
  <c r="N177" i="32"/>
  <c r="N182" i="32"/>
  <c r="N179" i="32"/>
  <c r="N184" i="32"/>
  <c r="N176" i="32"/>
  <c r="N204" i="32" s="1"/>
  <c r="N181" i="32"/>
  <c r="O408" i="32"/>
  <c r="O413" i="32"/>
  <c r="O418" i="32"/>
  <c r="O423" i="32"/>
  <c r="O428" i="32"/>
  <c r="O433" i="32"/>
  <c r="O410" i="32"/>
  <c r="O415" i="32"/>
  <c r="O420" i="32"/>
  <c r="O425" i="32"/>
  <c r="O430" i="32"/>
  <c r="O435" i="32"/>
  <c r="O412" i="32"/>
  <c r="O417" i="32"/>
  <c r="O422" i="32"/>
  <c r="O427" i="32"/>
  <c r="O432" i="32"/>
  <c r="O409" i="32"/>
  <c r="O414" i="32"/>
  <c r="O419" i="32"/>
  <c r="O424" i="32"/>
  <c r="O429" i="32"/>
  <c r="O434" i="32"/>
  <c r="O411" i="32"/>
  <c r="O416" i="32"/>
  <c r="O421" i="32"/>
  <c r="O426" i="32"/>
  <c r="O431" i="32"/>
  <c r="P407" i="32"/>
  <c r="N436" i="32"/>
  <c r="M356" i="32"/>
  <c r="J383" i="32"/>
  <c r="J51" i="32" s="1"/>
  <c r="J32" i="32" s="1"/>
  <c r="K271" i="32"/>
  <c r="M346" i="32"/>
  <c r="N353" i="32"/>
  <c r="N355" i="32"/>
  <c r="N352" i="32"/>
  <c r="N354" i="32"/>
  <c r="N351" i="32"/>
  <c r="O146" i="32"/>
  <c r="N148" i="32" a="1"/>
  <c r="N148" i="32" s="1"/>
  <c r="N153" i="32" a="1"/>
  <c r="N153" i="32" s="1"/>
  <c r="N150" i="32" a="1"/>
  <c r="N150" i="32" s="1"/>
  <c r="N155" i="32" a="1"/>
  <c r="N155" i="32" s="1"/>
  <c r="N157" i="32" a="1"/>
  <c r="N157" i="32" s="1"/>
  <c r="N147" i="32" a="1"/>
  <c r="N147" i="32" s="1"/>
  <c r="N152" i="32" a="1"/>
  <c r="N152" i="32" s="1"/>
  <c r="N170" i="32" a="1"/>
  <c r="N170" i="32" s="1"/>
  <c r="N159" i="32" a="1"/>
  <c r="N159" i="32" s="1"/>
  <c r="N169" i="32" a="1"/>
  <c r="N169" i="32" s="1"/>
  <c r="N149" i="32" a="1"/>
  <c r="N149" i="32" s="1"/>
  <c r="N151" i="32" a="1"/>
  <c r="N151" i="32" s="1"/>
  <c r="N156" i="32" a="1"/>
  <c r="N156" i="32" s="1"/>
  <c r="N154" i="32" a="1"/>
  <c r="N154" i="32" s="1"/>
  <c r="N162" i="32" a="1"/>
  <c r="N162" i="32" s="1"/>
  <c r="N158" i="32" a="1"/>
  <c r="N158" i="32" s="1"/>
  <c r="N163" i="32" a="1"/>
  <c r="N163" i="32" s="1"/>
  <c r="N160" i="32" a="1"/>
  <c r="N160" i="32" s="1"/>
  <c r="M260" i="32"/>
  <c r="L265" i="32"/>
  <c r="L266" i="32"/>
  <c r="O359" i="32"/>
  <c r="M222" i="32"/>
  <c r="L245" i="32"/>
  <c r="L238" i="32"/>
  <c r="L93" i="32" a="1"/>
  <c r="L93" i="32" s="1"/>
  <c r="L89" i="32" a="1"/>
  <c r="L89" i="32" s="1"/>
  <c r="L86" i="32" a="1"/>
  <c r="L86" i="32" s="1"/>
  <c r="L121" i="32" a="1"/>
  <c r="L121" i="32" s="1"/>
  <c r="L129" i="32" a="1"/>
  <c r="L129" i="32" s="1"/>
  <c r="L119" i="32" a="1"/>
  <c r="L119" i="32" s="1"/>
  <c r="L92" i="32" a="1"/>
  <c r="L92" i="32" s="1"/>
  <c r="L82" i="32" a="1"/>
  <c r="L82" i="32" s="1"/>
  <c r="L90" i="32" a="1"/>
  <c r="L90" i="32" s="1"/>
  <c r="L83" i="32" a="1"/>
  <c r="L83" i="32" s="1"/>
  <c r="L120" i="32" a="1"/>
  <c r="L120" i="32" s="1"/>
  <c r="L91" i="32" a="1"/>
  <c r="L91" i="32" s="1"/>
  <c r="L128" i="32" a="1"/>
  <c r="L128" i="32" s="1"/>
  <c r="L127" i="32" a="1"/>
  <c r="L127" i="32" s="1"/>
  <c r="L130" i="32" a="1"/>
  <c r="L130" i="32" s="1"/>
  <c r="L122" i="32" a="1"/>
  <c r="L122" i="32" s="1"/>
  <c r="L72" i="32" a="1"/>
  <c r="L72" i="32" s="1"/>
  <c r="L71" i="32" a="1"/>
  <c r="L71" i="32" s="1"/>
  <c r="L66" i="32" a="1"/>
  <c r="L66" i="32" s="1"/>
  <c r="L79" i="32" a="1"/>
  <c r="L79" i="32" s="1"/>
  <c r="L68" i="32" a="1"/>
  <c r="L68" i="32" s="1"/>
  <c r="L70" i="32" a="1"/>
  <c r="L70" i="32" s="1"/>
  <c r="L61" i="32" a="1"/>
  <c r="L61" i="32" s="1"/>
  <c r="L73" i="32" a="1"/>
  <c r="L73" i="32" s="1"/>
  <c r="L87" i="32" a="1"/>
  <c r="L87" i="32" s="1"/>
  <c r="L85" i="32" a="1"/>
  <c r="L85" i="32" s="1"/>
  <c r="L63" i="32" a="1"/>
  <c r="L63" i="32" s="1"/>
  <c r="L88" i="32" a="1"/>
  <c r="L88" i="32" s="1"/>
  <c r="L67" i="32" a="1"/>
  <c r="L67" i="32" s="1"/>
  <c r="L62" i="32" a="1"/>
  <c r="L62" i="32" s="1"/>
  <c r="L81" i="32" a="1"/>
  <c r="L81" i="32" s="1"/>
  <c r="L69" i="32" a="1"/>
  <c r="L69" i="32" s="1"/>
  <c r="L84" i="32" a="1"/>
  <c r="L84" i="32" s="1"/>
  <c r="L80" i="32" a="1"/>
  <c r="L80" i="32" s="1"/>
  <c r="L74" i="32" a="1"/>
  <c r="L74" i="32" s="1"/>
  <c r="L65" i="32" a="1"/>
  <c r="L65" i="32" s="1"/>
  <c r="L64" i="32" a="1"/>
  <c r="L64" i="32" s="1"/>
  <c r="M50" i="32" a="1"/>
  <c r="M50" i="32" s="1"/>
  <c r="M47" i="32" a="1"/>
  <c r="M47" i="32" s="1"/>
  <c r="M48" i="32" a="1"/>
  <c r="M48" i="32" s="1"/>
  <c r="M49" i="32" a="1"/>
  <c r="M49" i="32" s="1"/>
  <c r="M327" i="32"/>
  <c r="M329" i="32" s="1"/>
  <c r="L333" i="32"/>
  <c r="L626" i="32" s="1"/>
  <c r="L530" i="32" s="1"/>
  <c r="L324" i="32"/>
  <c r="L617" i="32" s="1"/>
  <c r="L521" i="32" s="1"/>
  <c r="O340" i="32"/>
  <c r="N341" i="32"/>
  <c r="N378" i="32" s="1"/>
  <c r="N343" i="32"/>
  <c r="N380" i="32" s="1"/>
  <c r="N345" i="32"/>
  <c r="N382" i="32" s="1"/>
  <c r="N342" i="32"/>
  <c r="N379" i="32" s="1"/>
  <c r="N344" i="32"/>
  <c r="N381" i="32" s="1"/>
  <c r="K98" i="32"/>
  <c r="K100" i="32"/>
  <c r="N37" i="32"/>
  <c r="K107" i="32"/>
  <c r="K106" i="32"/>
  <c r="K108" i="32"/>
  <c r="K101" i="32"/>
  <c r="K110" i="32"/>
  <c r="K109" i="32"/>
  <c r="K104" i="32"/>
  <c r="J27" i="32"/>
  <c r="K102" i="32"/>
  <c r="K105" i="32"/>
  <c r="J112" i="32"/>
  <c r="K111" i="32"/>
  <c r="J28" i="32"/>
  <c r="J30" i="32"/>
  <c r="K29" i="32"/>
  <c r="J43" i="32"/>
  <c r="J164" i="32"/>
  <c r="J139" i="32"/>
  <c r="K137" i="32"/>
  <c r="K136" i="32"/>
  <c r="K75" i="32"/>
  <c r="K135" i="32"/>
  <c r="K131" i="32"/>
  <c r="K94" i="32"/>
  <c r="K123" i="32"/>
  <c r="M60" i="32"/>
  <c r="K138" i="32"/>
  <c r="O161" i="32" l="1" a="1"/>
  <c r="O161" i="32" s="1"/>
  <c r="O331" i="32" s="1"/>
  <c r="O165" i="32" a="1"/>
  <c r="O165" i="32" s="1"/>
  <c r="M21" i="32"/>
  <c r="L23" i="32"/>
  <c r="L24" i="32"/>
  <c r="L26" i="32"/>
  <c r="L22" i="32"/>
  <c r="L25" i="32"/>
  <c r="P473" i="32"/>
  <c r="P476" i="32"/>
  <c r="P481" i="32"/>
  <c r="P486" i="32"/>
  <c r="P491" i="32"/>
  <c r="P496" i="32"/>
  <c r="P474" i="32"/>
  <c r="P479" i="32"/>
  <c r="P484" i="32"/>
  <c r="P489" i="32"/>
  <c r="P494" i="32"/>
  <c r="P499" i="32"/>
  <c r="P477" i="32"/>
  <c r="P482" i="32"/>
  <c r="P487" i="32"/>
  <c r="P492" i="32"/>
  <c r="P497" i="32"/>
  <c r="P475" i="32"/>
  <c r="P480" i="32"/>
  <c r="P485" i="32"/>
  <c r="P495" i="32"/>
  <c r="P483" i="32"/>
  <c r="P478" i="32"/>
  <c r="P493" i="32"/>
  <c r="P490" i="32"/>
  <c r="P488" i="32"/>
  <c r="P498" i="32"/>
  <c r="P472" i="32"/>
  <c r="N40" i="32" a="1"/>
  <c r="N40" i="32" s="1"/>
  <c r="N38" i="32" a="1"/>
  <c r="N38" i="32" s="1"/>
  <c r="N41" i="32" a="1"/>
  <c r="N41" i="32" s="1"/>
  <c r="N39" i="32" a="1"/>
  <c r="N39" i="32" s="1"/>
  <c r="N468" i="32"/>
  <c r="O578" i="32"/>
  <c r="O610" i="32" s="1"/>
  <c r="O448" i="32"/>
  <c r="O584" i="32"/>
  <c r="O616" i="32" s="1"/>
  <c r="O520" i="32" s="1"/>
  <c r="O454" i="32"/>
  <c r="O590" i="32"/>
  <c r="O622" i="32" s="1"/>
  <c r="O460" i="32"/>
  <c r="O573" i="32"/>
  <c r="O443" i="32"/>
  <c r="O579" i="32"/>
  <c r="O611" i="32" s="1"/>
  <c r="O515" i="32" s="1"/>
  <c r="O449" i="32"/>
  <c r="O585" i="32"/>
  <c r="O455" i="32"/>
  <c r="M794" i="32"/>
  <c r="O591" i="32"/>
  <c r="O623" i="32" s="1"/>
  <c r="O461" i="32"/>
  <c r="O597" i="32"/>
  <c r="O629" i="32" s="1"/>
  <c r="O533" i="32" s="1"/>
  <c r="O467" i="32"/>
  <c r="O575" i="32"/>
  <c r="O607" i="32" s="1"/>
  <c r="O511" i="32" s="1"/>
  <c r="O445" i="32"/>
  <c r="O586" i="32"/>
  <c r="O618" i="32" s="1"/>
  <c r="O522" i="32" s="1"/>
  <c r="O456" i="32"/>
  <c r="O592" i="32"/>
  <c r="O624" i="32" s="1"/>
  <c r="O462" i="32"/>
  <c r="O570" i="32"/>
  <c r="O440" i="32"/>
  <c r="M890" i="32"/>
  <c r="O581" i="32"/>
  <c r="O451" i="32"/>
  <c r="O587" i="32"/>
  <c r="O619" i="32" s="1"/>
  <c r="O523" i="32" s="1"/>
  <c r="O457" i="32"/>
  <c r="O576" i="32"/>
  <c r="O608" i="32" s="1"/>
  <c r="O512" i="32" s="1"/>
  <c r="O446" i="32"/>
  <c r="O582" i="32"/>
  <c r="O614" i="32" s="1"/>
  <c r="O452" i="32"/>
  <c r="O596" i="32"/>
  <c r="O628" i="32" s="1"/>
  <c r="O532" i="32" s="1"/>
  <c r="O466" i="32"/>
  <c r="O574" i="32"/>
  <c r="O444" i="32"/>
  <c r="O580" i="32"/>
  <c r="O612" i="32" s="1"/>
  <c r="O516" i="32" s="1"/>
  <c r="O450" i="32"/>
  <c r="O593" i="32"/>
  <c r="O625" i="32" s="1"/>
  <c r="O463" i="32"/>
  <c r="O571" i="32"/>
  <c r="O441" i="32"/>
  <c r="O577" i="32"/>
  <c r="O609" i="32" s="1"/>
  <c r="O447" i="32"/>
  <c r="O588" i="32"/>
  <c r="O458" i="32"/>
  <c r="O594" i="32"/>
  <c r="O464" i="32"/>
  <c r="O572" i="32"/>
  <c r="O442" i="32"/>
  <c r="O583" i="32"/>
  <c r="O615" i="32" s="1"/>
  <c r="O519" i="32" s="1"/>
  <c r="O453" i="32"/>
  <c r="O589" i="32"/>
  <c r="O621" i="32" s="1"/>
  <c r="O525" i="32" s="1"/>
  <c r="O459" i="32"/>
  <c r="O595" i="32"/>
  <c r="O627" i="32" s="1"/>
  <c r="O531" i="32" s="1"/>
  <c r="O465" i="32"/>
  <c r="N788" i="32"/>
  <c r="N884" i="32"/>
  <c r="N769" i="32"/>
  <c r="N865" i="32"/>
  <c r="N793" i="32"/>
  <c r="N889" i="32"/>
  <c r="N792" i="32"/>
  <c r="N888" i="32"/>
  <c r="N785" i="32"/>
  <c r="N881" i="32"/>
  <c r="N784" i="32"/>
  <c r="N880" i="32"/>
  <c r="N778" i="32"/>
  <c r="N874" i="32"/>
  <c r="N791" i="32"/>
  <c r="N887" i="32"/>
  <c r="N777" i="32"/>
  <c r="N873" i="32"/>
  <c r="N789" i="32"/>
  <c r="N885" i="32"/>
  <c r="N782" i="32"/>
  <c r="N878" i="32"/>
  <c r="N773" i="32"/>
  <c r="N869" i="32"/>
  <c r="M760" i="32"/>
  <c r="N781" i="32"/>
  <c r="N877" i="32"/>
  <c r="N775" i="32"/>
  <c r="N871" i="32"/>
  <c r="N768" i="32"/>
  <c r="N864" i="32"/>
  <c r="N770" i="32"/>
  <c r="N866" i="32"/>
  <c r="N790" i="32"/>
  <c r="N886" i="32"/>
  <c r="N783" i="32"/>
  <c r="N879" i="32"/>
  <c r="N787" i="32"/>
  <c r="N883" i="32"/>
  <c r="N786" i="32"/>
  <c r="N882" i="32"/>
  <c r="N779" i="32"/>
  <c r="N875" i="32"/>
  <c r="N772" i="32"/>
  <c r="N868" i="32"/>
  <c r="N771" i="32"/>
  <c r="N867" i="32"/>
  <c r="N774" i="32"/>
  <c r="N870" i="32"/>
  <c r="N780" i="32"/>
  <c r="N876" i="32"/>
  <c r="N776" i="32"/>
  <c r="N872" i="32"/>
  <c r="N767" i="32"/>
  <c r="N863" i="32"/>
  <c r="N657" i="32"/>
  <c r="N753" i="32"/>
  <c r="N656" i="32"/>
  <c r="N752" i="32"/>
  <c r="N649" i="32"/>
  <c r="N745" i="32"/>
  <c r="N642" i="32"/>
  <c r="N738" i="32"/>
  <c r="N641" i="32"/>
  <c r="N737" i="32"/>
  <c r="N650" i="32"/>
  <c r="N746" i="32"/>
  <c r="N646" i="32"/>
  <c r="N742" i="32"/>
  <c r="N637" i="32"/>
  <c r="N733" i="32"/>
  <c r="N644" i="32"/>
  <c r="N740" i="32"/>
  <c r="N659" i="32"/>
  <c r="N755" i="32"/>
  <c r="N640" i="32"/>
  <c r="N736" i="32"/>
  <c r="N660" i="32"/>
  <c r="N756" i="32"/>
  <c r="N653" i="32"/>
  <c r="N749" i="32"/>
  <c r="N651" i="32"/>
  <c r="N747" i="32"/>
  <c r="N645" i="32"/>
  <c r="N741" i="32"/>
  <c r="N638" i="32"/>
  <c r="N734" i="32"/>
  <c r="N658" i="32"/>
  <c r="N754" i="32"/>
  <c r="M664" i="32"/>
  <c r="N639" i="32"/>
  <c r="N735" i="32"/>
  <c r="N663" i="32"/>
  <c r="N759" i="32"/>
  <c r="N662" i="32"/>
  <c r="N758" i="32"/>
  <c r="N655" i="32"/>
  <c r="N751" i="32"/>
  <c r="N654" i="32"/>
  <c r="N750" i="32"/>
  <c r="N648" i="32"/>
  <c r="N744" i="32"/>
  <c r="N661" i="32"/>
  <c r="N757" i="32"/>
  <c r="N647" i="32"/>
  <c r="N743" i="32"/>
  <c r="N652" i="32"/>
  <c r="N748" i="32"/>
  <c r="N643" i="32"/>
  <c r="N739" i="32"/>
  <c r="K236" i="32"/>
  <c r="K237" i="32" s="1"/>
  <c r="L234" i="32" a="1"/>
  <c r="L234" i="32" s="1"/>
  <c r="L235" i="32" a="1"/>
  <c r="L235" i="32" s="1"/>
  <c r="N374" i="32"/>
  <c r="N52" i="32" s="1"/>
  <c r="M225" i="32" a="1"/>
  <c r="M225" i="32" s="1"/>
  <c r="M231" i="32" a="1"/>
  <c r="M231" i="32" s="1"/>
  <c r="M230" i="32" a="1"/>
  <c r="M230" i="32" s="1"/>
  <c r="M227" i="32" a="1"/>
  <c r="M227" i="32" s="1"/>
  <c r="M233" i="32" a="1"/>
  <c r="M233" i="32" s="1"/>
  <c r="M228" i="32" a="1"/>
  <c r="M228" i="32" s="1"/>
  <c r="M224" i="32" a="1"/>
  <c r="M224" i="32" s="1"/>
  <c r="M232" i="32" a="1"/>
  <c r="M232" i="32" s="1"/>
  <c r="M226" i="32" a="1"/>
  <c r="M226" i="32" s="1"/>
  <c r="M229" i="32" a="1"/>
  <c r="M229" i="32" s="1"/>
  <c r="M223" i="32" a="1"/>
  <c r="M223" i="32" s="1"/>
  <c r="N365" i="32"/>
  <c r="O369" i="32"/>
  <c r="O371" i="32"/>
  <c r="O372" i="32"/>
  <c r="O373" i="32"/>
  <c r="O370" i="32"/>
  <c r="O360" i="32"/>
  <c r="O362" i="32"/>
  <c r="O364" i="32"/>
  <c r="O361" i="32"/>
  <c r="O363" i="32"/>
  <c r="J53" i="32"/>
  <c r="M244" i="32"/>
  <c r="M220" i="32"/>
  <c r="N213" i="32"/>
  <c r="N208" i="32"/>
  <c r="N211" i="32"/>
  <c r="N206" i="32"/>
  <c r="M289" i="32"/>
  <c r="M293" i="32"/>
  <c r="M307" i="32" s="1"/>
  <c r="M296" i="32"/>
  <c r="M310" i="32" s="1"/>
  <c r="M603" i="32" s="1"/>
  <c r="M507" i="32" s="1"/>
  <c r="M290" i="32"/>
  <c r="M304" i="32" s="1"/>
  <c r="M292" i="32"/>
  <c r="M306" i="32" s="1"/>
  <c r="M298" i="32"/>
  <c r="M312" i="32" s="1"/>
  <c r="M605" i="32" s="1"/>
  <c r="M509" i="32" s="1"/>
  <c r="M297" i="32"/>
  <c r="M311" i="32" s="1"/>
  <c r="M604" i="32" s="1"/>
  <c r="M508" i="32" s="1"/>
  <c r="M294" i="32"/>
  <c r="M308" i="32" s="1"/>
  <c r="M291" i="32"/>
  <c r="M305" i="32" s="1"/>
  <c r="M295" i="32"/>
  <c r="M309" i="32" s="1"/>
  <c r="N209" i="32"/>
  <c r="L299" i="32"/>
  <c r="L313" i="32" s="1"/>
  <c r="L303" i="32"/>
  <c r="L606" i="32" s="1"/>
  <c r="L510" i="32" s="1"/>
  <c r="L534" i="32" s="1"/>
  <c r="N212" i="32"/>
  <c r="N207" i="32"/>
  <c r="N210" i="32"/>
  <c r="N205" i="32"/>
  <c r="M277" i="32" a="1"/>
  <c r="M277" i="32" s="1"/>
  <c r="M282" i="32" a="1"/>
  <c r="M282" i="32" s="1"/>
  <c r="M281" i="32" a="1"/>
  <c r="M281" i="32" s="1"/>
  <c r="M280" i="32" a="1"/>
  <c r="M280" i="32" s="1"/>
  <c r="M279" i="32" a="1"/>
  <c r="M279" i="32" s="1"/>
  <c r="L278" i="32"/>
  <c r="L283" i="32" s="1"/>
  <c r="L264" i="32"/>
  <c r="M620" i="32"/>
  <c r="M524" i="32" s="1"/>
  <c r="M330" i="32"/>
  <c r="M332" i="32" s="1"/>
  <c r="M261" i="32" a="1"/>
  <c r="M261" i="32" s="1"/>
  <c r="M262" i="32" a="1"/>
  <c r="M262" i="32" s="1"/>
  <c r="M263" i="32"/>
  <c r="N320" i="32"/>
  <c r="M613" i="32"/>
  <c r="M517" i="32" s="1"/>
  <c r="L598" i="32"/>
  <c r="N602" i="32"/>
  <c r="N506" i="32" s="1"/>
  <c r="O527" i="32"/>
  <c r="O851" i="32"/>
  <c r="O721" i="32"/>
  <c r="O857" i="32"/>
  <c r="O727" i="32"/>
  <c r="O835" i="32"/>
  <c r="O705" i="32"/>
  <c r="O846" i="32"/>
  <c r="O716" i="32"/>
  <c r="O528" i="32"/>
  <c r="O852" i="32"/>
  <c r="O722" i="32"/>
  <c r="O830" i="32"/>
  <c r="O862" i="32" s="1"/>
  <c r="O700" i="32"/>
  <c r="O732" i="32" s="1"/>
  <c r="O841" i="32"/>
  <c r="O711" i="32"/>
  <c r="O847" i="32"/>
  <c r="O717" i="32"/>
  <c r="O836" i="32"/>
  <c r="O706" i="32"/>
  <c r="O518" i="32"/>
  <c r="O842" i="32"/>
  <c r="O712" i="32"/>
  <c r="O529" i="32"/>
  <c r="O853" i="32"/>
  <c r="O723" i="32"/>
  <c r="O831" i="32"/>
  <c r="O701" i="32"/>
  <c r="O513" i="32"/>
  <c r="O837" i="32"/>
  <c r="O707" i="32"/>
  <c r="O848" i="32"/>
  <c r="O718" i="32"/>
  <c r="O854" i="32"/>
  <c r="O724" i="32"/>
  <c r="O832" i="32"/>
  <c r="O702" i="32"/>
  <c r="O843" i="32"/>
  <c r="O713" i="32"/>
  <c r="O849" i="32"/>
  <c r="O719" i="32"/>
  <c r="O855" i="32"/>
  <c r="O725" i="32"/>
  <c r="O514" i="32"/>
  <c r="O838" i="32"/>
  <c r="O708" i="32"/>
  <c r="O844" i="32"/>
  <c r="O714" i="32"/>
  <c r="O526" i="32"/>
  <c r="O850" i="32"/>
  <c r="O720" i="32"/>
  <c r="N636" i="32"/>
  <c r="N728" i="32"/>
  <c r="O833" i="32"/>
  <c r="O703" i="32"/>
  <c r="O839" i="32"/>
  <c r="O709" i="32"/>
  <c r="O845" i="32"/>
  <c r="O715" i="32"/>
  <c r="N858" i="32"/>
  <c r="N766" i="32"/>
  <c r="O856" i="32"/>
  <c r="O726" i="32"/>
  <c r="O834" i="32"/>
  <c r="O704" i="32"/>
  <c r="O840" i="32"/>
  <c r="O710" i="32"/>
  <c r="O900" i="32"/>
  <c r="O905" i="32"/>
  <c r="O906" i="32"/>
  <c r="O907" i="32"/>
  <c r="O908" i="32"/>
  <c r="O896" i="32"/>
  <c r="O897" i="32"/>
  <c r="O909" i="32"/>
  <c r="O921" i="32"/>
  <c r="O898" i="32"/>
  <c r="O910" i="32"/>
  <c r="O899" i="32"/>
  <c r="O911" i="32"/>
  <c r="O924" i="32"/>
  <c r="O901" i="32"/>
  <c r="O914" i="32"/>
  <c r="O926" i="32"/>
  <c r="O933" i="32"/>
  <c r="O934" i="32"/>
  <c r="O937" i="32"/>
  <c r="O918" i="32"/>
  <c r="O902" i="32"/>
  <c r="O927" i="32"/>
  <c r="O932" i="32"/>
  <c r="O904" i="32"/>
  <c r="O913" i="32"/>
  <c r="O923" i="32"/>
  <c r="O925" i="32"/>
  <c r="O935" i="32"/>
  <c r="O919" i="32"/>
  <c r="O928" i="32"/>
  <c r="O929" i="32"/>
  <c r="O930" i="32"/>
  <c r="O917" i="32"/>
  <c r="O920" i="32"/>
  <c r="O922" i="32"/>
  <c r="O931" i="32"/>
  <c r="O903" i="32"/>
  <c r="O912" i="32"/>
  <c r="O915" i="32"/>
  <c r="O916" i="32"/>
  <c r="O936" i="32"/>
  <c r="N938" i="32"/>
  <c r="O500" i="32"/>
  <c r="O42" i="32" s="1"/>
  <c r="O31" i="32" s="1"/>
  <c r="N186" i="32"/>
  <c r="N214" i="32" s="1"/>
  <c r="O176" i="32"/>
  <c r="O181" i="32"/>
  <c r="O178" i="32"/>
  <c r="O183" i="32"/>
  <c r="O180" i="32"/>
  <c r="O177" i="32"/>
  <c r="O185" i="32"/>
  <c r="O184" i="32"/>
  <c r="O182" i="32"/>
  <c r="O179" i="32"/>
  <c r="P408" i="32"/>
  <c r="P413" i="32"/>
  <c r="P418" i="32"/>
  <c r="P423" i="32"/>
  <c r="P428" i="32"/>
  <c r="P433" i="32"/>
  <c r="P410" i="32"/>
  <c r="P415" i="32"/>
  <c r="P420" i="32"/>
  <c r="P425" i="32"/>
  <c r="P430" i="32"/>
  <c r="P435" i="32"/>
  <c r="P412" i="32"/>
  <c r="P417" i="32"/>
  <c r="P422" i="32"/>
  <c r="P427" i="32"/>
  <c r="P432" i="32"/>
  <c r="P409" i="32"/>
  <c r="P414" i="32"/>
  <c r="P419" i="32"/>
  <c r="P424" i="32"/>
  <c r="P429" i="32"/>
  <c r="P434" i="32"/>
  <c r="Q407" i="32"/>
  <c r="P411" i="32"/>
  <c r="P416" i="32"/>
  <c r="P421" i="32"/>
  <c r="P426" i="32"/>
  <c r="P431" i="32"/>
  <c r="O436" i="32"/>
  <c r="N356" i="32"/>
  <c r="L111" i="32"/>
  <c r="L271" i="32"/>
  <c r="K383" i="32"/>
  <c r="K51" i="32" s="1"/>
  <c r="K32" i="32" s="1"/>
  <c r="O351" i="32"/>
  <c r="O353" i="32"/>
  <c r="O355" i="32"/>
  <c r="O352" i="32"/>
  <c r="O354" i="32"/>
  <c r="N346" i="32"/>
  <c r="N222" i="32"/>
  <c r="M245" i="32"/>
  <c r="M238" i="32"/>
  <c r="P340" i="32"/>
  <c r="O344" i="32"/>
  <c r="O381" i="32" s="1"/>
  <c r="O341" i="32"/>
  <c r="O378" i="32" s="1"/>
  <c r="O343" i="32"/>
  <c r="O380" i="32" s="1"/>
  <c r="O345" i="32"/>
  <c r="O382" i="32" s="1"/>
  <c r="O342" i="32"/>
  <c r="O379" i="32" s="1"/>
  <c r="N48" i="32" a="1"/>
  <c r="N48" i="32" s="1"/>
  <c r="N49" i="32" a="1"/>
  <c r="N49" i="32" s="1"/>
  <c r="N47" i="32" a="1"/>
  <c r="N47" i="32" s="1"/>
  <c r="N50" i="32" a="1"/>
  <c r="N50" i="32" s="1"/>
  <c r="N327" i="32"/>
  <c r="N329" i="32" s="1"/>
  <c r="M333" i="32"/>
  <c r="M626" i="32" s="1"/>
  <c r="M530" i="32" s="1"/>
  <c r="M324" i="32"/>
  <c r="M617" i="32" s="1"/>
  <c r="M521" i="32" s="1"/>
  <c r="P359" i="32"/>
  <c r="M130" i="32" a="1"/>
  <c r="M130" i="32" s="1"/>
  <c r="M128" i="32" a="1"/>
  <c r="M128" i="32" s="1"/>
  <c r="M127" i="32" a="1"/>
  <c r="M127" i="32" s="1"/>
  <c r="M121" i="32" a="1"/>
  <c r="M121" i="32" s="1"/>
  <c r="M129" i="32" a="1"/>
  <c r="M129" i="32" s="1"/>
  <c r="M119" i="32" a="1"/>
  <c r="M119" i="32" s="1"/>
  <c r="M87" i="32" a="1"/>
  <c r="M87" i="32" s="1"/>
  <c r="M82" i="32" a="1"/>
  <c r="M82" i="32" s="1"/>
  <c r="M81" i="32" a="1"/>
  <c r="M81" i="32" s="1"/>
  <c r="M80" i="32" a="1"/>
  <c r="M80" i="32" s="1"/>
  <c r="M72" i="32" a="1"/>
  <c r="M72" i="32" s="1"/>
  <c r="M92" i="32" a="1"/>
  <c r="M92" i="32" s="1"/>
  <c r="M90" i="32" a="1"/>
  <c r="M90" i="32" s="1"/>
  <c r="M83" i="32" a="1"/>
  <c r="M83" i="32" s="1"/>
  <c r="M91" i="32" a="1"/>
  <c r="M91" i="32" s="1"/>
  <c r="M120" i="32" a="1"/>
  <c r="M120" i="32" s="1"/>
  <c r="M84" i="32" a="1"/>
  <c r="M84" i="32" s="1"/>
  <c r="M88" i="32" a="1"/>
  <c r="M88" i="32" s="1"/>
  <c r="M122" i="32" a="1"/>
  <c r="M122" i="32" s="1"/>
  <c r="M93" i="32" a="1"/>
  <c r="M93" i="32" s="1"/>
  <c r="M89" i="32" a="1"/>
  <c r="M89" i="32" s="1"/>
  <c r="M79" i="32" a="1"/>
  <c r="M79" i="32" s="1"/>
  <c r="M70" i="32" a="1"/>
  <c r="M70" i="32" s="1"/>
  <c r="M68" i="32" a="1"/>
  <c r="M68" i="32" s="1"/>
  <c r="M61" i="32" a="1"/>
  <c r="M61" i="32" s="1"/>
  <c r="M73" i="32" a="1"/>
  <c r="M73" i="32" s="1"/>
  <c r="M65" i="32" a="1"/>
  <c r="M65" i="32" s="1"/>
  <c r="M86" i="32" a="1"/>
  <c r="M86" i="32" s="1"/>
  <c r="M85" i="32" a="1"/>
  <c r="M85" i="32" s="1"/>
  <c r="M67" i="32" a="1"/>
  <c r="M67" i="32" s="1"/>
  <c r="M69" i="32" a="1"/>
  <c r="M69" i="32" s="1"/>
  <c r="M74" i="32" a="1"/>
  <c r="M74" i="32" s="1"/>
  <c r="M71" i="32" a="1"/>
  <c r="M71" i="32" s="1"/>
  <c r="M64" i="32" a="1"/>
  <c r="M64" i="32" s="1"/>
  <c r="M66" i="32" a="1"/>
  <c r="M66" i="32" s="1"/>
  <c r="M63" i="32" a="1"/>
  <c r="M63" i="32" s="1"/>
  <c r="M62" i="32" a="1"/>
  <c r="M62" i="32" s="1"/>
  <c r="N260" i="32"/>
  <c r="M266" i="32"/>
  <c r="M265" i="32"/>
  <c r="P146" i="32"/>
  <c r="O151" i="32" a="1"/>
  <c r="O151" i="32" s="1"/>
  <c r="O158" i="32" a="1"/>
  <c r="O158" i="32" s="1"/>
  <c r="O148" i="32" a="1"/>
  <c r="O148" i="32" s="1"/>
  <c r="O153" i="32" a="1"/>
  <c r="O153" i="32" s="1"/>
  <c r="O160" i="32" a="1"/>
  <c r="O160" i="32" s="1"/>
  <c r="O150" i="32" a="1"/>
  <c r="O150" i="32" s="1"/>
  <c r="O155" i="32" a="1"/>
  <c r="O155" i="32" s="1"/>
  <c r="O170" i="32" a="1"/>
  <c r="O170" i="32" s="1"/>
  <c r="O157" i="32" a="1"/>
  <c r="O157" i="32" s="1"/>
  <c r="O169" i="32" a="1"/>
  <c r="O169" i="32" s="1"/>
  <c r="O147" i="32" a="1"/>
  <c r="O147" i="32" s="1"/>
  <c r="O152" i="32" a="1"/>
  <c r="O152" i="32" s="1"/>
  <c r="O149" i="32" a="1"/>
  <c r="O149" i="32" s="1"/>
  <c r="O163" i="32" a="1"/>
  <c r="O163" i="32" s="1"/>
  <c r="O156" i="32" a="1"/>
  <c r="O156" i="32" s="1"/>
  <c r="O154" i="32" a="1"/>
  <c r="O154" i="32" s="1"/>
  <c r="O162" i="32" a="1"/>
  <c r="O162" i="32" s="1"/>
  <c r="O159" i="32" a="1"/>
  <c r="O159" i="32" s="1"/>
  <c r="L99" i="32"/>
  <c r="L106" i="32"/>
  <c r="O37" i="32"/>
  <c r="L100" i="32"/>
  <c r="L110" i="32"/>
  <c r="L101" i="32"/>
  <c r="L102" i="32"/>
  <c r="L103" i="32"/>
  <c r="L98" i="32"/>
  <c r="K112" i="32"/>
  <c r="L105" i="32"/>
  <c r="L108" i="32"/>
  <c r="J33" i="32"/>
  <c r="J34" i="32" s="1"/>
  <c r="L109" i="32"/>
  <c r="L104" i="32"/>
  <c r="L107" i="32"/>
  <c r="L29" i="32"/>
  <c r="K43" i="32"/>
  <c r="K28" i="32"/>
  <c r="K30" i="32"/>
  <c r="K27" i="32"/>
  <c r="K164" i="32"/>
  <c r="L137" i="32"/>
  <c r="L75" i="32"/>
  <c r="L136" i="32"/>
  <c r="L94" i="32"/>
  <c r="L131" i="32"/>
  <c r="L135" i="32"/>
  <c r="N60" i="32"/>
  <c r="L123" i="32"/>
  <c r="K139" i="32"/>
  <c r="L138" i="32"/>
  <c r="L630" i="32" l="1"/>
  <c r="P161" i="32" a="1"/>
  <c r="P161" i="32" s="1"/>
  <c r="P331" i="32" s="1"/>
  <c r="P165" i="32" a="1"/>
  <c r="P165" i="32" s="1"/>
  <c r="N21" i="32"/>
  <c r="M25" i="32"/>
  <c r="M23" i="32"/>
  <c r="M24" i="32"/>
  <c r="M26" i="32"/>
  <c r="M22" i="32"/>
  <c r="O40" i="32" a="1"/>
  <c r="O40" i="32" s="1"/>
  <c r="O38" i="32" a="1"/>
  <c r="O38" i="32" s="1"/>
  <c r="O41" i="32" a="1"/>
  <c r="O41" i="32" s="1"/>
  <c r="O39" i="32" a="1"/>
  <c r="O39" i="32" s="1"/>
  <c r="Q476" i="32"/>
  <c r="Q481" i="32"/>
  <c r="Q486" i="32"/>
  <c r="Q491" i="32"/>
  <c r="Q496" i="32"/>
  <c r="Q473" i="32"/>
  <c r="Q478" i="32"/>
  <c r="Q483" i="32"/>
  <c r="Q488" i="32"/>
  <c r="Q493" i="32"/>
  <c r="Q498" i="32"/>
  <c r="Q475" i="32"/>
  <c r="Q480" i="32"/>
  <c r="Q485" i="32"/>
  <c r="Q490" i="32"/>
  <c r="Q495" i="32"/>
  <c r="Q472" i="32"/>
  <c r="Q477" i="32"/>
  <c r="Q482" i="32"/>
  <c r="Q487" i="32"/>
  <c r="Q492" i="32"/>
  <c r="Q497" i="32"/>
  <c r="Q474" i="32"/>
  <c r="Q479" i="32"/>
  <c r="Q484" i="32"/>
  <c r="Q489" i="32"/>
  <c r="Q494" i="32"/>
  <c r="Q499" i="32"/>
  <c r="O468" i="32"/>
  <c r="P586" i="32"/>
  <c r="P618" i="32" s="1"/>
  <c r="P456" i="32"/>
  <c r="P592" i="32"/>
  <c r="P624" i="32" s="1"/>
  <c r="P528" i="32" s="1"/>
  <c r="P462" i="32"/>
  <c r="P570" i="32"/>
  <c r="P440" i="32"/>
  <c r="P591" i="32"/>
  <c r="P623" i="32" s="1"/>
  <c r="P527" i="32" s="1"/>
  <c r="P461" i="32"/>
  <c r="P597" i="32"/>
  <c r="P629" i="32" s="1"/>
  <c r="P533" i="32" s="1"/>
  <c r="P467" i="32"/>
  <c r="P575" i="32"/>
  <c r="P607" i="32" s="1"/>
  <c r="P511" i="32" s="1"/>
  <c r="P445" i="32"/>
  <c r="P581" i="32"/>
  <c r="P451" i="32"/>
  <c r="P587" i="32"/>
  <c r="P619" i="32" s="1"/>
  <c r="P457" i="32"/>
  <c r="P593" i="32"/>
  <c r="P625" i="32" s="1"/>
  <c r="P529" i="32" s="1"/>
  <c r="P463" i="32"/>
  <c r="P576" i="32"/>
  <c r="P608" i="32" s="1"/>
  <c r="P512" i="32" s="1"/>
  <c r="P446" i="32"/>
  <c r="P582" i="32"/>
  <c r="P614" i="32" s="1"/>
  <c r="P518" i="32" s="1"/>
  <c r="P452" i="32"/>
  <c r="P588" i="32"/>
  <c r="P458" i="32"/>
  <c r="P571" i="32"/>
  <c r="P441" i="32"/>
  <c r="P577" i="32"/>
  <c r="P609" i="32" s="1"/>
  <c r="P513" i="32" s="1"/>
  <c r="P447" i="32"/>
  <c r="P583" i="32"/>
  <c r="P615" i="32" s="1"/>
  <c r="P519" i="32" s="1"/>
  <c r="P453" i="32"/>
  <c r="P594" i="32"/>
  <c r="P464" i="32"/>
  <c r="P572" i="32"/>
  <c r="P442" i="32"/>
  <c r="P578" i="32"/>
  <c r="P610" i="32" s="1"/>
  <c r="P514" i="32" s="1"/>
  <c r="P448" i="32"/>
  <c r="P589" i="32"/>
  <c r="P621" i="32" s="1"/>
  <c r="P525" i="32" s="1"/>
  <c r="P459" i="32"/>
  <c r="P595" i="32"/>
  <c r="P627" i="32" s="1"/>
  <c r="P531" i="32" s="1"/>
  <c r="P465" i="32"/>
  <c r="N890" i="32"/>
  <c r="P573" i="32"/>
  <c r="P443" i="32"/>
  <c r="P584" i="32"/>
  <c r="P616" i="32" s="1"/>
  <c r="P520" i="32" s="1"/>
  <c r="P454" i="32"/>
  <c r="P590" i="32"/>
  <c r="P622" i="32" s="1"/>
  <c r="P526" i="32" s="1"/>
  <c r="P460" i="32"/>
  <c r="P579" i="32"/>
  <c r="P611" i="32" s="1"/>
  <c r="P449" i="32"/>
  <c r="P585" i="32"/>
  <c r="P455" i="32"/>
  <c r="P596" i="32"/>
  <c r="P628" i="32" s="1"/>
  <c r="P532" i="32" s="1"/>
  <c r="P466" i="32"/>
  <c r="P574" i="32"/>
  <c r="P444" i="32"/>
  <c r="P580" i="32"/>
  <c r="P612" i="32" s="1"/>
  <c r="P516" i="32" s="1"/>
  <c r="P450" i="32"/>
  <c r="O767" i="32"/>
  <c r="O863" i="32"/>
  <c r="O787" i="32"/>
  <c r="O883" i="32"/>
  <c r="N794" i="32"/>
  <c r="O768" i="32"/>
  <c r="O864" i="32"/>
  <c r="O783" i="32"/>
  <c r="O879" i="32"/>
  <c r="O782" i="32"/>
  <c r="O878" i="32"/>
  <c r="O791" i="32"/>
  <c r="O887" i="32"/>
  <c r="O789" i="32"/>
  <c r="O885" i="32"/>
  <c r="O786" i="32"/>
  <c r="O882" i="32"/>
  <c r="O790" i="32"/>
  <c r="O886" i="32"/>
  <c r="O792" i="32"/>
  <c r="O888" i="32"/>
  <c r="O769" i="32"/>
  <c r="O865" i="32"/>
  <c r="O774" i="32"/>
  <c r="O870" i="32"/>
  <c r="O776" i="32"/>
  <c r="O872" i="32"/>
  <c r="O781" i="32"/>
  <c r="O877" i="32"/>
  <c r="O777" i="32"/>
  <c r="O873" i="32"/>
  <c r="O771" i="32"/>
  <c r="O867" i="32"/>
  <c r="O785" i="32"/>
  <c r="O881" i="32"/>
  <c r="O784" i="32"/>
  <c r="O880" i="32"/>
  <c r="O778" i="32"/>
  <c r="O874" i="32"/>
  <c r="O775" i="32"/>
  <c r="O871" i="32"/>
  <c r="O780" i="32"/>
  <c r="O876" i="32"/>
  <c r="O770" i="32"/>
  <c r="O866" i="32"/>
  <c r="O773" i="32"/>
  <c r="O869" i="32"/>
  <c r="O793" i="32"/>
  <c r="O889" i="32"/>
  <c r="O779" i="32"/>
  <c r="O875" i="32"/>
  <c r="O772" i="32"/>
  <c r="O868" i="32"/>
  <c r="O788" i="32"/>
  <c r="O884" i="32"/>
  <c r="N760" i="32"/>
  <c r="O645" i="32"/>
  <c r="O741" i="32"/>
  <c r="O640" i="32"/>
  <c r="O736" i="32"/>
  <c r="O643" i="32"/>
  <c r="O739" i="32"/>
  <c r="O663" i="32"/>
  <c r="O759" i="32"/>
  <c r="O642" i="32"/>
  <c r="O738" i="32"/>
  <c r="O637" i="32"/>
  <c r="O733" i="32"/>
  <c r="O657" i="32"/>
  <c r="O753" i="32"/>
  <c r="O638" i="32"/>
  <c r="O734" i="32"/>
  <c r="O653" i="32"/>
  <c r="O749" i="32"/>
  <c r="O652" i="32"/>
  <c r="O748" i="32"/>
  <c r="O650" i="32"/>
  <c r="O746" i="32"/>
  <c r="O662" i="32"/>
  <c r="O758" i="32"/>
  <c r="O639" i="32"/>
  <c r="O735" i="32"/>
  <c r="O644" i="32"/>
  <c r="O740" i="32"/>
  <c r="N664" i="32"/>
  <c r="O661" i="32"/>
  <c r="O757" i="32"/>
  <c r="O659" i="32"/>
  <c r="O755" i="32"/>
  <c r="O649" i="32"/>
  <c r="O745" i="32"/>
  <c r="O658" i="32"/>
  <c r="O754" i="32"/>
  <c r="K53" i="32"/>
  <c r="O656" i="32"/>
  <c r="O752" i="32"/>
  <c r="O660" i="32"/>
  <c r="O756" i="32"/>
  <c r="O646" i="32"/>
  <c r="O742" i="32"/>
  <c r="O651" i="32"/>
  <c r="O747" i="32"/>
  <c r="O647" i="32"/>
  <c r="O743" i="32"/>
  <c r="O641" i="32"/>
  <c r="O737" i="32"/>
  <c r="O655" i="32"/>
  <c r="O751" i="32"/>
  <c r="O654" i="32"/>
  <c r="O750" i="32"/>
  <c r="O648" i="32"/>
  <c r="O744" i="32"/>
  <c r="L236" i="32"/>
  <c r="L237" i="32" s="1"/>
  <c r="M234" i="32" a="1"/>
  <c r="M234" i="32" s="1"/>
  <c r="M235" i="32" a="1"/>
  <c r="M235" i="32" s="1"/>
  <c r="O374" i="32"/>
  <c r="O52" i="32" s="1"/>
  <c r="P369" i="32"/>
  <c r="P371" i="32"/>
  <c r="P373" i="32"/>
  <c r="P370" i="32"/>
  <c r="P372" i="32"/>
  <c r="P360" i="32"/>
  <c r="P362" i="32"/>
  <c r="P364" i="32"/>
  <c r="P361" i="32"/>
  <c r="P363" i="32"/>
  <c r="N225" i="32" a="1"/>
  <c r="N225" i="32" s="1"/>
  <c r="N231" i="32" a="1"/>
  <c r="N231" i="32" s="1"/>
  <c r="N230" i="32" a="1"/>
  <c r="N230" i="32" s="1"/>
  <c r="N229" i="32" a="1"/>
  <c r="N229" i="32" s="1"/>
  <c r="N227" i="32" a="1"/>
  <c r="N227" i="32" s="1"/>
  <c r="N233" i="32" a="1"/>
  <c r="N233" i="32" s="1"/>
  <c r="N228" i="32" a="1"/>
  <c r="N228" i="32" s="1"/>
  <c r="N224" i="32" a="1"/>
  <c r="N224" i="32" s="1"/>
  <c r="N232" i="32" a="1"/>
  <c r="N232" i="32" s="1"/>
  <c r="N226" i="32" a="1"/>
  <c r="N226" i="32" s="1"/>
  <c r="N223" i="32" a="1"/>
  <c r="N223" i="32" s="1"/>
  <c r="O365" i="32"/>
  <c r="N244" i="32"/>
  <c r="N220" i="32"/>
  <c r="N293" i="32"/>
  <c r="N307" i="32" s="1"/>
  <c r="N298" i="32"/>
  <c r="N312" i="32" s="1"/>
  <c r="N605" i="32" s="1"/>
  <c r="N509" i="32" s="1"/>
  <c r="N291" i="32"/>
  <c r="N305" i="32" s="1"/>
  <c r="N294" i="32"/>
  <c r="N308" i="32" s="1"/>
  <c r="N297" i="32"/>
  <c r="N311" i="32" s="1"/>
  <c r="N604" i="32" s="1"/>
  <c r="N508" i="32" s="1"/>
  <c r="N290" i="32"/>
  <c r="N304" i="32" s="1"/>
  <c r="N292" i="32"/>
  <c r="N306" i="32" s="1"/>
  <c r="N296" i="32"/>
  <c r="N310" i="32" s="1"/>
  <c r="N603" i="32" s="1"/>
  <c r="N507" i="32" s="1"/>
  <c r="N289" i="32"/>
  <c r="N295" i="32"/>
  <c r="N309" i="32" s="1"/>
  <c r="O210" i="32"/>
  <c r="O212" i="32"/>
  <c r="M299" i="32"/>
  <c r="M313" i="32" s="1"/>
  <c r="M303" i="32"/>
  <c r="O213" i="32"/>
  <c r="O205" i="32"/>
  <c r="O208" i="32"/>
  <c r="O211" i="32"/>
  <c r="O206" i="32"/>
  <c r="O209" i="32"/>
  <c r="O204" i="32"/>
  <c r="O207" i="32"/>
  <c r="N282" i="32" a="1"/>
  <c r="N282" i="32" s="1"/>
  <c r="N277" i="32" a="1"/>
  <c r="N277" i="32" s="1"/>
  <c r="N281" i="32" a="1"/>
  <c r="N281" i="32" s="1"/>
  <c r="N280" i="32" a="1"/>
  <c r="N280" i="32" s="1"/>
  <c r="N279" i="32" a="1"/>
  <c r="N279" i="32" s="1"/>
  <c r="M278" i="32"/>
  <c r="M283" i="32" s="1"/>
  <c r="M264" i="32"/>
  <c r="N261" i="32" a="1"/>
  <c r="N261" i="32" s="1"/>
  <c r="N262" i="32" a="1"/>
  <c r="N262" i="32" s="1"/>
  <c r="N620" i="32"/>
  <c r="N524" i="32" s="1"/>
  <c r="N330" i="32"/>
  <c r="N332" i="32" s="1"/>
  <c r="N263" i="32"/>
  <c r="M534" i="32"/>
  <c r="M598" i="32"/>
  <c r="O602" i="32"/>
  <c r="O320" i="32"/>
  <c r="N613" i="32"/>
  <c r="N517" i="32" s="1"/>
  <c r="M630" i="32"/>
  <c r="P515" i="32"/>
  <c r="P839" i="32"/>
  <c r="P709" i="32"/>
  <c r="P845" i="32"/>
  <c r="P715" i="32"/>
  <c r="P856" i="32"/>
  <c r="P726" i="32"/>
  <c r="P834" i="32"/>
  <c r="P704" i="32"/>
  <c r="P840" i="32"/>
  <c r="P710" i="32"/>
  <c r="P851" i="32"/>
  <c r="P721" i="32"/>
  <c r="P857" i="32"/>
  <c r="P727" i="32"/>
  <c r="P835" i="32"/>
  <c r="P705" i="32"/>
  <c r="O636" i="32"/>
  <c r="O728" i="32"/>
  <c r="P522" i="32"/>
  <c r="P846" i="32"/>
  <c r="P716" i="32"/>
  <c r="P852" i="32"/>
  <c r="P722" i="32"/>
  <c r="P830" i="32"/>
  <c r="P862" i="32" s="1"/>
  <c r="P700" i="32"/>
  <c r="P732" i="32" s="1"/>
  <c r="O858" i="32"/>
  <c r="O766" i="32"/>
  <c r="P841" i="32"/>
  <c r="P711" i="32"/>
  <c r="P523" i="32"/>
  <c r="P847" i="32"/>
  <c r="P717" i="32"/>
  <c r="P853" i="32"/>
  <c r="P723" i="32"/>
  <c r="P836" i="32"/>
  <c r="P706" i="32"/>
  <c r="P842" i="32"/>
  <c r="P712" i="32"/>
  <c r="P848" i="32"/>
  <c r="P718" i="32"/>
  <c r="P831" i="32"/>
  <c r="P701" i="32"/>
  <c r="P837" i="32"/>
  <c r="P707" i="32"/>
  <c r="P843" i="32"/>
  <c r="P713" i="32"/>
  <c r="P854" i="32"/>
  <c r="P724" i="32"/>
  <c r="P832" i="32"/>
  <c r="P702" i="32"/>
  <c r="P838" i="32"/>
  <c r="P708" i="32"/>
  <c r="P849" i="32"/>
  <c r="P719" i="32"/>
  <c r="P855" i="32"/>
  <c r="P725" i="32"/>
  <c r="P833" i="32"/>
  <c r="P703" i="32"/>
  <c r="P844" i="32"/>
  <c r="P714" i="32"/>
  <c r="P850" i="32"/>
  <c r="P720" i="32"/>
  <c r="M99" i="32"/>
  <c r="M111" i="32"/>
  <c r="O938" i="32"/>
  <c r="P896" i="32"/>
  <c r="P901" i="32"/>
  <c r="P906" i="32"/>
  <c r="P911" i="32"/>
  <c r="P916" i="32"/>
  <c r="P921" i="32"/>
  <c r="P926" i="32"/>
  <c r="P898" i="32"/>
  <c r="P900" i="32"/>
  <c r="P897" i="32"/>
  <c r="P902" i="32"/>
  <c r="P907" i="32"/>
  <c r="P912" i="32"/>
  <c r="P917" i="32"/>
  <c r="P922" i="32"/>
  <c r="P927" i="32"/>
  <c r="P904" i="32"/>
  <c r="P905" i="32"/>
  <c r="P908" i="32"/>
  <c r="P920" i="32"/>
  <c r="P909" i="32"/>
  <c r="P910" i="32"/>
  <c r="P923" i="32"/>
  <c r="P899" i="32"/>
  <c r="P913" i="32"/>
  <c r="P925" i="32"/>
  <c r="P914" i="32"/>
  <c r="P931" i="32"/>
  <c r="P934" i="32"/>
  <c r="P937" i="32"/>
  <c r="P918" i="32"/>
  <c r="P932" i="32"/>
  <c r="P935" i="32"/>
  <c r="P919" i="32"/>
  <c r="P924" i="32"/>
  <c r="P928" i="32"/>
  <c r="P929" i="32"/>
  <c r="P930" i="32"/>
  <c r="P933" i="32"/>
  <c r="P903" i="32"/>
  <c r="P915" i="32"/>
  <c r="P936" i="32"/>
  <c r="P500" i="32"/>
  <c r="P42" i="32" s="1"/>
  <c r="P31" i="32" s="1"/>
  <c r="O606" i="32"/>
  <c r="O510" i="32" s="1"/>
  <c r="M108" i="32"/>
  <c r="P176" i="32"/>
  <c r="P181" i="32"/>
  <c r="P178" i="32"/>
  <c r="P183" i="32"/>
  <c r="P180" i="32"/>
  <c r="P185" i="32"/>
  <c r="P177" i="32"/>
  <c r="P182" i="32"/>
  <c r="P179" i="32"/>
  <c r="P184" i="32"/>
  <c r="O186" i="32"/>
  <c r="O214" i="32" s="1"/>
  <c r="Q411" i="32"/>
  <c r="Q416" i="32"/>
  <c r="Q421" i="32"/>
  <c r="Q426" i="32"/>
  <c r="Q431" i="32"/>
  <c r="Q408" i="32"/>
  <c r="Q413" i="32"/>
  <c r="Q418" i="32"/>
  <c r="Q423" i="32"/>
  <c r="Q428" i="32"/>
  <c r="Q433" i="32"/>
  <c r="Q410" i="32"/>
  <c r="Q415" i="32"/>
  <c r="Q420" i="32"/>
  <c r="Q425" i="32"/>
  <c r="Q430" i="32"/>
  <c r="Q435" i="32"/>
  <c r="Q412" i="32"/>
  <c r="Q417" i="32"/>
  <c r="Q422" i="32"/>
  <c r="Q427" i="32"/>
  <c r="Q432" i="32"/>
  <c r="R407" i="32"/>
  <c r="Q409" i="32"/>
  <c r="Q414" i="32"/>
  <c r="Q419" i="32"/>
  <c r="Q424" i="32"/>
  <c r="Q429" i="32"/>
  <c r="Q434" i="32"/>
  <c r="P436" i="32"/>
  <c r="M271" i="32"/>
  <c r="L383" i="32"/>
  <c r="L51" i="32" s="1"/>
  <c r="L32" i="32" s="1"/>
  <c r="P351" i="32"/>
  <c r="P353" i="32"/>
  <c r="P355" i="32"/>
  <c r="P352" i="32"/>
  <c r="P354" i="32"/>
  <c r="O346" i="32"/>
  <c r="O356" i="32"/>
  <c r="O327" i="32"/>
  <c r="O329" i="32" s="1"/>
  <c r="N333" i="32"/>
  <c r="N626" i="32" s="1"/>
  <c r="N530" i="32" s="1"/>
  <c r="N324" i="32"/>
  <c r="N617" i="32" s="1"/>
  <c r="N521" i="32" s="1"/>
  <c r="O50" i="32" a="1"/>
  <c r="O50" i="32" s="1"/>
  <c r="O48" i="32" a="1"/>
  <c r="O48" i="32" s="1"/>
  <c r="O49" i="32" a="1"/>
  <c r="O49" i="32" s="1"/>
  <c r="O47" i="32" a="1"/>
  <c r="O47" i="32" s="1"/>
  <c r="Q340" i="32"/>
  <c r="P344" i="32"/>
  <c r="P381" i="32" s="1"/>
  <c r="P341" i="32"/>
  <c r="P378" i="32" s="1"/>
  <c r="P343" i="32"/>
  <c r="P380" i="32" s="1"/>
  <c r="P345" i="32"/>
  <c r="P382" i="32" s="1"/>
  <c r="P342" i="32"/>
  <c r="P379" i="32" s="1"/>
  <c r="Q359" i="32"/>
  <c r="O260" i="32"/>
  <c r="N265" i="32"/>
  <c r="N266" i="32"/>
  <c r="Q146" i="32"/>
  <c r="P151" i="32" a="1"/>
  <c r="P151" i="32" s="1"/>
  <c r="P156" i="32" a="1"/>
  <c r="P156" i="32" s="1"/>
  <c r="P170" i="32" a="1"/>
  <c r="P170" i="32" s="1"/>
  <c r="P148" i="32" a="1"/>
  <c r="P148" i="32" s="1"/>
  <c r="P153" i="32" a="1"/>
  <c r="P153" i="32" s="1"/>
  <c r="P169" i="32" a="1"/>
  <c r="P169" i="32" s="1"/>
  <c r="P150" i="32" a="1"/>
  <c r="P150" i="32" s="1"/>
  <c r="P155" i="32" a="1"/>
  <c r="P155" i="32" s="1"/>
  <c r="P157" i="32" a="1"/>
  <c r="P157" i="32" s="1"/>
  <c r="P147" i="32" a="1"/>
  <c r="P147" i="32" s="1"/>
  <c r="P149" i="32" a="1"/>
  <c r="P149" i="32" s="1"/>
  <c r="P154" i="32" a="1"/>
  <c r="P154" i="32" s="1"/>
  <c r="P162" i="32" a="1"/>
  <c r="P162" i="32" s="1"/>
  <c r="P152" i="32" a="1"/>
  <c r="P152" i="32" s="1"/>
  <c r="P158" i="32" a="1"/>
  <c r="P158" i="32" s="1"/>
  <c r="P159" i="32" a="1"/>
  <c r="P159" i="32" s="1"/>
  <c r="P163" i="32" a="1"/>
  <c r="P163" i="32" s="1"/>
  <c r="P160" i="32" a="1"/>
  <c r="P160" i="32" s="1"/>
  <c r="N129" i="32" a="1"/>
  <c r="N129" i="32" s="1"/>
  <c r="N119" i="32" a="1"/>
  <c r="N119" i="32" s="1"/>
  <c r="N92" i="32" a="1"/>
  <c r="N92" i="32" s="1"/>
  <c r="N87" i="32" a="1"/>
  <c r="N87" i="32" s="1"/>
  <c r="N82" i="32" a="1"/>
  <c r="N82" i="32" s="1"/>
  <c r="N90" i="32" a="1"/>
  <c r="N90" i="32" s="1"/>
  <c r="N91" i="32" a="1"/>
  <c r="N91" i="32" s="1"/>
  <c r="N79" i="32" a="1"/>
  <c r="N79" i="32" s="1"/>
  <c r="N71" i="32" a="1"/>
  <c r="N71" i="32" s="1"/>
  <c r="N120" i="32" a="1"/>
  <c r="N120" i="32" s="1"/>
  <c r="N84" i="32" a="1"/>
  <c r="N84" i="32" s="1"/>
  <c r="N88" i="32" a="1"/>
  <c r="N88" i="32" s="1"/>
  <c r="N128" i="32" a="1"/>
  <c r="N128" i="32" s="1"/>
  <c r="N127" i="32" a="1"/>
  <c r="N127" i="32" s="1"/>
  <c r="N122" i="32" a="1"/>
  <c r="N122" i="32" s="1"/>
  <c r="N85" i="32" a="1"/>
  <c r="N85" i="32" s="1"/>
  <c r="N130" i="32" a="1"/>
  <c r="N130" i="32" s="1"/>
  <c r="N93" i="32" a="1"/>
  <c r="N93" i="32" s="1"/>
  <c r="N121" i="32" a="1"/>
  <c r="N121" i="32" s="1"/>
  <c r="N89" i="32" a="1"/>
  <c r="N89" i="32" s="1"/>
  <c r="N70" i="32" a="1"/>
  <c r="N70" i="32" s="1"/>
  <c r="N68" i="32" a="1"/>
  <c r="N68" i="32" s="1"/>
  <c r="N61" i="32" a="1"/>
  <c r="N61" i="32" s="1"/>
  <c r="N73" i="32" a="1"/>
  <c r="N73" i="32" s="1"/>
  <c r="N65" i="32" a="1"/>
  <c r="N65" i="32" s="1"/>
  <c r="N63" i="32" a="1"/>
  <c r="N63" i="32" s="1"/>
  <c r="N86" i="32" a="1"/>
  <c r="N86" i="32" s="1"/>
  <c r="N83" i="32" a="1"/>
  <c r="N83" i="32" s="1"/>
  <c r="N67" i="32" a="1"/>
  <c r="N67" i="32" s="1"/>
  <c r="N62" i="32" a="1"/>
  <c r="N62" i="32" s="1"/>
  <c r="N81" i="32" a="1"/>
  <c r="N81" i="32" s="1"/>
  <c r="N69" i="32" a="1"/>
  <c r="N69" i="32" s="1"/>
  <c r="N64" i="32" a="1"/>
  <c r="N64" i="32" s="1"/>
  <c r="N80" i="32" a="1"/>
  <c r="N80" i="32" s="1"/>
  <c r="N74" i="32" a="1"/>
  <c r="N74" i="32" s="1"/>
  <c r="N66" i="32" a="1"/>
  <c r="N66" i="32" s="1"/>
  <c r="N72" i="32" a="1"/>
  <c r="N72" i="32" s="1"/>
  <c r="O222" i="32"/>
  <c r="N245" i="32"/>
  <c r="N238" i="32"/>
  <c r="K33" i="32"/>
  <c r="K34" i="32" s="1"/>
  <c r="M103" i="32"/>
  <c r="P37" i="32"/>
  <c r="M110" i="32"/>
  <c r="M100" i="32"/>
  <c r="M106" i="32"/>
  <c r="M98" i="32"/>
  <c r="M101" i="32"/>
  <c r="M102" i="32"/>
  <c r="M105" i="32"/>
  <c r="L112" i="32"/>
  <c r="M109" i="32"/>
  <c r="M104" i="32"/>
  <c r="M107" i="32"/>
  <c r="L27" i="32"/>
  <c r="L43" i="32"/>
  <c r="M29" i="32"/>
  <c r="L30" i="32"/>
  <c r="L28" i="32"/>
  <c r="L164" i="32"/>
  <c r="M136" i="32"/>
  <c r="O60" i="32"/>
  <c r="M75" i="32"/>
  <c r="M135" i="32"/>
  <c r="M131" i="32"/>
  <c r="M137" i="32"/>
  <c r="M94" i="32"/>
  <c r="M123" i="32"/>
  <c r="L139" i="32"/>
  <c r="M138" i="32"/>
  <c r="Q161" i="32" l="1" a="1"/>
  <c r="Q161" i="32" s="1"/>
  <c r="Q331" i="32" s="1"/>
  <c r="Q165" i="32" a="1"/>
  <c r="Q165" i="32" s="1"/>
  <c r="O21" i="32"/>
  <c r="N25" i="32"/>
  <c r="N26" i="32"/>
  <c r="N23" i="32"/>
  <c r="N24" i="32"/>
  <c r="N22" i="32"/>
  <c r="R472" i="32"/>
  <c r="R477" i="32"/>
  <c r="R482" i="32"/>
  <c r="R487" i="32"/>
  <c r="R492" i="32"/>
  <c r="R497" i="32"/>
  <c r="R478" i="32"/>
  <c r="R479" i="32"/>
  <c r="R485" i="32"/>
  <c r="R486" i="32"/>
  <c r="R495" i="32"/>
  <c r="R496" i="32"/>
  <c r="R499" i="32"/>
  <c r="R488" i="32"/>
  <c r="R474" i="32"/>
  <c r="R484" i="32"/>
  <c r="R494" i="32"/>
  <c r="R483" i="32"/>
  <c r="R493" i="32"/>
  <c r="R490" i="32"/>
  <c r="R489" i="32"/>
  <c r="R476" i="32"/>
  <c r="R480" i="32"/>
  <c r="R498" i="32"/>
  <c r="R473" i="32"/>
  <c r="R491" i="32"/>
  <c r="R481" i="32"/>
  <c r="R475" i="32"/>
  <c r="P40" i="32" a="1"/>
  <c r="P40" i="32" s="1"/>
  <c r="P38" i="32" a="1"/>
  <c r="P38" i="32" s="1"/>
  <c r="P41" i="32" a="1"/>
  <c r="P41" i="32" s="1"/>
  <c r="P39" i="32" a="1"/>
  <c r="P39" i="32" s="1"/>
  <c r="P468" i="32"/>
  <c r="Q581" i="32"/>
  <c r="Q451" i="32"/>
  <c r="Q592" i="32"/>
  <c r="Q624" i="32" s="1"/>
  <c r="Q528" i="32" s="1"/>
  <c r="Q462" i="32"/>
  <c r="Q570" i="32"/>
  <c r="Q440" i="32"/>
  <c r="Q576" i="32"/>
  <c r="Q608" i="32" s="1"/>
  <c r="Q512" i="32" s="1"/>
  <c r="Q446" i="32"/>
  <c r="Q587" i="32"/>
  <c r="Q619" i="32" s="1"/>
  <c r="Q523" i="32" s="1"/>
  <c r="Q457" i="32"/>
  <c r="Q593" i="32"/>
  <c r="Q625" i="32" s="1"/>
  <c r="Q463" i="32"/>
  <c r="Q571" i="32"/>
  <c r="Q441" i="32"/>
  <c r="Q582" i="32"/>
  <c r="Q614" i="32" s="1"/>
  <c r="Q518" i="32" s="1"/>
  <c r="Q452" i="32"/>
  <c r="Q588" i="32"/>
  <c r="Q458" i="32"/>
  <c r="Q577" i="32"/>
  <c r="Q609" i="32" s="1"/>
  <c r="Q513" i="32" s="1"/>
  <c r="Q447" i="32"/>
  <c r="Q583" i="32"/>
  <c r="Q615" i="32" s="1"/>
  <c r="Q453" i="32"/>
  <c r="Q594" i="32"/>
  <c r="Q464" i="32"/>
  <c r="Q572" i="32"/>
  <c r="Q442" i="32"/>
  <c r="Q578" i="32"/>
  <c r="Q610" i="32" s="1"/>
  <c r="Q514" i="32" s="1"/>
  <c r="Q448" i="32"/>
  <c r="Q589" i="32"/>
  <c r="Q621" i="32" s="1"/>
  <c r="Q525" i="32" s="1"/>
  <c r="Q459" i="32"/>
  <c r="Q595" i="32"/>
  <c r="Q627" i="32" s="1"/>
  <c r="Q531" i="32" s="1"/>
  <c r="Q465" i="32"/>
  <c r="Q573" i="32"/>
  <c r="Q443" i="32"/>
  <c r="Q584" i="32"/>
  <c r="Q616" i="32" s="1"/>
  <c r="Q520" i="32" s="1"/>
  <c r="Q454" i="32"/>
  <c r="Q590" i="32"/>
  <c r="Q622" i="32" s="1"/>
  <c r="Q526" i="32" s="1"/>
  <c r="Q460" i="32"/>
  <c r="O890" i="32"/>
  <c r="Q596" i="32"/>
  <c r="Q628" i="32" s="1"/>
  <c r="Q466" i="32"/>
  <c r="Q579" i="32"/>
  <c r="Q611" i="32" s="1"/>
  <c r="Q515" i="32" s="1"/>
  <c r="Q449" i="32"/>
  <c r="Q585" i="32"/>
  <c r="Q455" i="32"/>
  <c r="Q591" i="32"/>
  <c r="Q623" i="32" s="1"/>
  <c r="Q527" i="32" s="1"/>
  <c r="Q461" i="32"/>
  <c r="Q574" i="32"/>
  <c r="Q444" i="32"/>
  <c r="Q580" i="32"/>
  <c r="Q612" i="32" s="1"/>
  <c r="Q516" i="32" s="1"/>
  <c r="Q450" i="32"/>
  <c r="Q586" i="32"/>
  <c r="Q618" i="32" s="1"/>
  <c r="Q456" i="32"/>
  <c r="Q597" i="32"/>
  <c r="Q629" i="32" s="1"/>
  <c r="Q533" i="32" s="1"/>
  <c r="Q467" i="32"/>
  <c r="Q575" i="32"/>
  <c r="Q607" i="32" s="1"/>
  <c r="Q511" i="32" s="1"/>
  <c r="Q445" i="32"/>
  <c r="P791" i="32"/>
  <c r="P887" i="32"/>
  <c r="O760" i="32"/>
  <c r="P779" i="32"/>
  <c r="P875" i="32"/>
  <c r="P778" i="32"/>
  <c r="P874" i="32"/>
  <c r="P792" i="32"/>
  <c r="P888" i="32"/>
  <c r="P782" i="32"/>
  <c r="P878" i="32"/>
  <c r="P780" i="32"/>
  <c r="P876" i="32"/>
  <c r="P777" i="32"/>
  <c r="P873" i="32"/>
  <c r="P787" i="32"/>
  <c r="P883" i="32"/>
  <c r="P774" i="32"/>
  <c r="P870" i="32"/>
  <c r="P773" i="32"/>
  <c r="P869" i="32"/>
  <c r="P772" i="32"/>
  <c r="P868" i="32"/>
  <c r="O794" i="32"/>
  <c r="P781" i="32"/>
  <c r="P877" i="32"/>
  <c r="P785" i="32"/>
  <c r="P881" i="32"/>
  <c r="P790" i="32"/>
  <c r="P886" i="32"/>
  <c r="P784" i="32"/>
  <c r="P880" i="32"/>
  <c r="P788" i="32"/>
  <c r="P884" i="32"/>
  <c r="P770" i="32"/>
  <c r="P866" i="32"/>
  <c r="P786" i="32"/>
  <c r="P882" i="32"/>
  <c r="P783" i="32"/>
  <c r="P879" i="32"/>
  <c r="P793" i="32"/>
  <c r="P889" i="32"/>
  <c r="P769" i="32"/>
  <c r="P865" i="32"/>
  <c r="P776" i="32"/>
  <c r="P872" i="32"/>
  <c r="P775" i="32"/>
  <c r="P871" i="32"/>
  <c r="P768" i="32"/>
  <c r="P864" i="32"/>
  <c r="P767" i="32"/>
  <c r="P863" i="32"/>
  <c r="P789" i="32"/>
  <c r="P885" i="32"/>
  <c r="P771" i="32"/>
  <c r="P867" i="32"/>
  <c r="P643" i="32"/>
  <c r="P739" i="32"/>
  <c r="P644" i="32"/>
  <c r="P740" i="32"/>
  <c r="P642" i="32"/>
  <c r="P738" i="32"/>
  <c r="P651" i="32"/>
  <c r="P747" i="32"/>
  <c r="P639" i="32"/>
  <c r="P735" i="32"/>
  <c r="O664" i="32"/>
  <c r="P646" i="32"/>
  <c r="P742" i="32"/>
  <c r="P645" i="32"/>
  <c r="P741" i="32"/>
  <c r="P638" i="32"/>
  <c r="P734" i="32"/>
  <c r="P637" i="32"/>
  <c r="P733" i="32"/>
  <c r="P659" i="32"/>
  <c r="P755" i="32"/>
  <c r="P641" i="32"/>
  <c r="P737" i="32"/>
  <c r="P661" i="32"/>
  <c r="P757" i="32"/>
  <c r="P660" i="32"/>
  <c r="P756" i="32"/>
  <c r="P654" i="32"/>
  <c r="P750" i="32"/>
  <c r="P658" i="32"/>
  <c r="P754" i="32"/>
  <c r="P640" i="32"/>
  <c r="P736" i="32"/>
  <c r="P656" i="32"/>
  <c r="P752" i="32"/>
  <c r="P653" i="32"/>
  <c r="P749" i="32"/>
  <c r="P663" i="32"/>
  <c r="P759" i="32"/>
  <c r="P655" i="32"/>
  <c r="P751" i="32"/>
  <c r="P649" i="32"/>
  <c r="P745" i="32"/>
  <c r="P648" i="32"/>
  <c r="P744" i="32"/>
  <c r="P662" i="32"/>
  <c r="P758" i="32"/>
  <c r="P652" i="32"/>
  <c r="P748" i="32"/>
  <c r="P650" i="32"/>
  <c r="P746" i="32"/>
  <c r="P647" i="32"/>
  <c r="P743" i="32"/>
  <c r="P657" i="32"/>
  <c r="P753" i="32"/>
  <c r="P365" i="32"/>
  <c r="M236" i="32"/>
  <c r="M237" i="32" s="1"/>
  <c r="N234" i="32" a="1"/>
  <c r="N234" i="32" s="1"/>
  <c r="N235" i="32" a="1"/>
  <c r="N235" i="32" s="1"/>
  <c r="Q372" i="32"/>
  <c r="Q369" i="32"/>
  <c r="Q371" i="32"/>
  <c r="Q370" i="32"/>
  <c r="Q373" i="32"/>
  <c r="Q363" i="32"/>
  <c r="Q362" i="32"/>
  <c r="Q364" i="32"/>
  <c r="Q360" i="32"/>
  <c r="Q361" i="32"/>
  <c r="P374" i="32"/>
  <c r="P52" i="32" s="1"/>
  <c r="O223" i="32" a="1"/>
  <c r="O223" i="32" s="1"/>
  <c r="O228" i="32" a="1"/>
  <c r="O228" i="32" s="1"/>
  <c r="O229" i="32" a="1"/>
  <c r="O229" i="32" s="1"/>
  <c r="O226" i="32" a="1"/>
  <c r="O226" i="32" s="1"/>
  <c r="O225" i="32" a="1"/>
  <c r="O225" i="32" s="1"/>
  <c r="O230" i="32" a="1"/>
  <c r="O230" i="32" s="1"/>
  <c r="O232" i="32" a="1"/>
  <c r="O232" i="32" s="1"/>
  <c r="O227" i="32" a="1"/>
  <c r="O227" i="32" s="1"/>
  <c r="O233" i="32" a="1"/>
  <c r="O233" i="32" s="1"/>
  <c r="O231" i="32" a="1"/>
  <c r="O231" i="32" s="1"/>
  <c r="O224" i="32" a="1"/>
  <c r="O224" i="32" s="1"/>
  <c r="L53" i="32"/>
  <c r="O244" i="32"/>
  <c r="O220" i="32"/>
  <c r="P208" i="32"/>
  <c r="P211" i="32"/>
  <c r="N299" i="32"/>
  <c r="N313" i="32" s="1"/>
  <c r="N303" i="32"/>
  <c r="N606" i="32" s="1"/>
  <c r="N510" i="32" s="1"/>
  <c r="N534" i="32" s="1"/>
  <c r="P206" i="32"/>
  <c r="P209" i="32"/>
  <c r="P204" i="32"/>
  <c r="P212" i="32"/>
  <c r="P207" i="32"/>
  <c r="P210" i="32"/>
  <c r="O290" i="32"/>
  <c r="O304" i="32" s="1"/>
  <c r="O293" i="32"/>
  <c r="O307" i="32" s="1"/>
  <c r="O292" i="32"/>
  <c r="O306" i="32" s="1"/>
  <c r="O298" i="32"/>
  <c r="O312" i="32" s="1"/>
  <c r="O605" i="32" s="1"/>
  <c r="O509" i="32" s="1"/>
  <c r="O295" i="32"/>
  <c r="O309" i="32" s="1"/>
  <c r="O297" i="32"/>
  <c r="O311" i="32" s="1"/>
  <c r="O604" i="32" s="1"/>
  <c r="O508" i="32" s="1"/>
  <c r="O289" i="32"/>
  <c r="O291" i="32"/>
  <c r="O305" i="32" s="1"/>
  <c r="O296" i="32"/>
  <c r="O310" i="32" s="1"/>
  <c r="O603" i="32" s="1"/>
  <c r="O507" i="32" s="1"/>
  <c r="O294" i="32"/>
  <c r="O308" i="32" s="1"/>
  <c r="P205" i="32"/>
  <c r="P213" i="32"/>
  <c r="O282" i="32" a="1"/>
  <c r="O282" i="32" s="1"/>
  <c r="O281" i="32" a="1"/>
  <c r="O281" i="32" s="1"/>
  <c r="O280" i="32" a="1"/>
  <c r="O280" i="32" s="1"/>
  <c r="O277" i="32" a="1"/>
  <c r="O277" i="32" s="1"/>
  <c r="O279" i="32" a="1"/>
  <c r="O279" i="32" s="1"/>
  <c r="N278" i="32"/>
  <c r="N283" i="32" s="1"/>
  <c r="N264" i="32"/>
  <c r="O262" i="32" a="1"/>
  <c r="O262" i="32" s="1"/>
  <c r="O261" i="32" a="1"/>
  <c r="O261" i="32" s="1"/>
  <c r="O620" i="32"/>
  <c r="O524" i="32" s="1"/>
  <c r="O330" i="32"/>
  <c r="O332" i="32" s="1"/>
  <c r="N99" i="32"/>
  <c r="O263" i="32"/>
  <c r="P320" i="32"/>
  <c r="O613" i="32"/>
  <c r="O517" i="32" s="1"/>
  <c r="O506" i="32"/>
  <c r="P602" i="32"/>
  <c r="N598" i="32"/>
  <c r="Q854" i="32"/>
  <c r="Q724" i="32"/>
  <c r="Q832" i="32"/>
  <c r="Q702" i="32"/>
  <c r="Q838" i="32"/>
  <c r="Q708" i="32"/>
  <c r="Q849" i="32"/>
  <c r="Q719" i="32"/>
  <c r="Q855" i="32"/>
  <c r="Q725" i="32"/>
  <c r="Q833" i="32"/>
  <c r="Q703" i="32"/>
  <c r="Q844" i="32"/>
  <c r="Q714" i="32"/>
  <c r="Q850" i="32"/>
  <c r="Q720" i="32"/>
  <c r="Q532" i="32"/>
  <c r="Q856" i="32"/>
  <c r="Q726" i="32"/>
  <c r="Q839" i="32"/>
  <c r="Q709" i="32"/>
  <c r="Q845" i="32"/>
  <c r="Q715" i="32"/>
  <c r="Q851" i="32"/>
  <c r="Q721" i="32"/>
  <c r="Q834" i="32"/>
  <c r="Q704" i="32"/>
  <c r="Q840" i="32"/>
  <c r="Q710" i="32"/>
  <c r="Q522" i="32"/>
  <c r="Q846" i="32"/>
  <c r="Q716" i="32"/>
  <c r="Q857" i="32"/>
  <c r="Q727" i="32"/>
  <c r="Q835" i="32"/>
  <c r="Q705" i="32"/>
  <c r="P728" i="32"/>
  <c r="P636" i="32"/>
  <c r="Q841" i="32"/>
  <c r="Q711" i="32"/>
  <c r="Q852" i="32"/>
  <c r="Q722" i="32"/>
  <c r="Q830" i="32"/>
  <c r="Q862" i="32" s="1"/>
  <c r="Q700" i="32"/>
  <c r="Q732" i="32" s="1"/>
  <c r="P858" i="32"/>
  <c r="P766" i="32"/>
  <c r="Q836" i="32"/>
  <c r="Q706" i="32"/>
  <c r="Q847" i="32"/>
  <c r="Q717" i="32"/>
  <c r="Q529" i="32"/>
  <c r="Q853" i="32"/>
  <c r="Q723" i="32"/>
  <c r="Q831" i="32"/>
  <c r="Q701" i="32"/>
  <c r="Q842" i="32"/>
  <c r="Q712" i="32"/>
  <c r="Q848" i="32"/>
  <c r="Q718" i="32"/>
  <c r="Q837" i="32"/>
  <c r="Q707" i="32"/>
  <c r="Q519" i="32"/>
  <c r="Q843" i="32"/>
  <c r="Q713" i="32"/>
  <c r="P938" i="32"/>
  <c r="Q898" i="32"/>
  <c r="Q897" i="32"/>
  <c r="Q903" i="32"/>
  <c r="Q900" i="32"/>
  <c r="Q904" i="32"/>
  <c r="Q905" i="32"/>
  <c r="Q906" i="32"/>
  <c r="Q907" i="32"/>
  <c r="Q919" i="32"/>
  <c r="Q896" i="32"/>
  <c r="Q908" i="32"/>
  <c r="Q909" i="32"/>
  <c r="Q922" i="32"/>
  <c r="Q929" i="32"/>
  <c r="Q899" i="32"/>
  <c r="Q912" i="32"/>
  <c r="Q924" i="32"/>
  <c r="Q931" i="32"/>
  <c r="Q936" i="32"/>
  <c r="Q917" i="32"/>
  <c r="Q920" i="32"/>
  <c r="Q911" i="32"/>
  <c r="Q914" i="32"/>
  <c r="Q934" i="32"/>
  <c r="Q937" i="32"/>
  <c r="Q902" i="32"/>
  <c r="Q918" i="32"/>
  <c r="Q927" i="32"/>
  <c r="Q910" i="32"/>
  <c r="Q913" i="32"/>
  <c r="Q923" i="32"/>
  <c r="Q925" i="32"/>
  <c r="Q932" i="32"/>
  <c r="Q921" i="32"/>
  <c r="Q935" i="32"/>
  <c r="Q915" i="32"/>
  <c r="Q901" i="32"/>
  <c r="Q916" i="32"/>
  <c r="Q926" i="32"/>
  <c r="Q928" i="32"/>
  <c r="Q930" i="32"/>
  <c r="Q933" i="32"/>
  <c r="Q500" i="32"/>
  <c r="Q42" i="32" s="1"/>
  <c r="Q31" i="32" s="1"/>
  <c r="P606" i="32"/>
  <c r="P510" i="32" s="1"/>
  <c r="Q179" i="32"/>
  <c r="Q184" i="32"/>
  <c r="Q176" i="32"/>
  <c r="Q181" i="32"/>
  <c r="Q178" i="32"/>
  <c r="Q183" i="32"/>
  <c r="Q180" i="32"/>
  <c r="Q185" i="32"/>
  <c r="Q177" i="32"/>
  <c r="Q182" i="32"/>
  <c r="P186" i="32"/>
  <c r="P214" i="32" s="1"/>
  <c r="M383" i="32"/>
  <c r="M51" i="32" s="1"/>
  <c r="M32" i="32" s="1"/>
  <c r="Q436" i="32"/>
  <c r="R411" i="32"/>
  <c r="R416" i="32"/>
  <c r="R421" i="32"/>
  <c r="R426" i="32"/>
  <c r="R431" i="32"/>
  <c r="R408" i="32"/>
  <c r="R413" i="32"/>
  <c r="R418" i="32"/>
  <c r="R423" i="32"/>
  <c r="R428" i="32"/>
  <c r="R433" i="32"/>
  <c r="R410" i="32"/>
  <c r="R415" i="32"/>
  <c r="R420" i="32"/>
  <c r="R425" i="32"/>
  <c r="R430" i="32"/>
  <c r="R435" i="32"/>
  <c r="S407" i="32"/>
  <c r="R412" i="32"/>
  <c r="R417" i="32"/>
  <c r="R422" i="32"/>
  <c r="R427" i="32"/>
  <c r="R432" i="32"/>
  <c r="R409" i="32"/>
  <c r="R414" i="32"/>
  <c r="R419" i="32"/>
  <c r="R424" i="32"/>
  <c r="R429" i="32"/>
  <c r="R434" i="32"/>
  <c r="N271" i="32"/>
  <c r="N106" i="32"/>
  <c r="P346" i="32"/>
  <c r="Q354" i="32"/>
  <c r="Q351" i="32"/>
  <c r="Q353" i="32"/>
  <c r="Q355" i="32"/>
  <c r="Q352" i="32"/>
  <c r="P356" i="32"/>
  <c r="P49" i="32" a="1"/>
  <c r="P49" i="32" s="1"/>
  <c r="P47" i="32" a="1"/>
  <c r="P47" i="32" s="1"/>
  <c r="P48" i="32" a="1"/>
  <c r="P48" i="32" s="1"/>
  <c r="P50" i="32" a="1"/>
  <c r="P50" i="32" s="1"/>
  <c r="P260" i="32"/>
  <c r="O265" i="32"/>
  <c r="O266" i="32"/>
  <c r="R359" i="32"/>
  <c r="O128" i="32" a="1"/>
  <c r="O128" i="32" s="1"/>
  <c r="O122" i="32" a="1"/>
  <c r="O122" i="32" s="1"/>
  <c r="O129" i="32" a="1"/>
  <c r="O129" i="32" s="1"/>
  <c r="O130" i="32" a="1"/>
  <c r="O130" i="32" s="1"/>
  <c r="O121" i="32" a="1"/>
  <c r="O121" i="32" s="1"/>
  <c r="O90" i="32" a="1"/>
  <c r="O90" i="32" s="1"/>
  <c r="O83" i="32" a="1"/>
  <c r="O83" i="32" s="1"/>
  <c r="O91" i="32" a="1"/>
  <c r="O91" i="32" s="1"/>
  <c r="O120" i="32" a="1"/>
  <c r="O120" i="32" s="1"/>
  <c r="O84" i="32" a="1"/>
  <c r="O84" i="32" s="1"/>
  <c r="O88" i="32" a="1"/>
  <c r="O88" i="32" s="1"/>
  <c r="O127" i="32" a="1"/>
  <c r="O127" i="32" s="1"/>
  <c r="O85" i="32" a="1"/>
  <c r="O85" i="32" s="1"/>
  <c r="O93" i="32" a="1"/>
  <c r="O93" i="32" s="1"/>
  <c r="O89" i="32" a="1"/>
  <c r="O89" i="32" s="1"/>
  <c r="O86" i="32" a="1"/>
  <c r="O86" i="32" s="1"/>
  <c r="O119" i="32" a="1"/>
  <c r="O119" i="32" s="1"/>
  <c r="O92" i="32" a="1"/>
  <c r="O92" i="32" s="1"/>
  <c r="O79" i="32" a="1"/>
  <c r="O79" i="32" s="1"/>
  <c r="O65" i="32" a="1"/>
  <c r="O65" i="32" s="1"/>
  <c r="O73" i="32" a="1"/>
  <c r="O73" i="32" s="1"/>
  <c r="O67" i="32" a="1"/>
  <c r="O67" i="32" s="1"/>
  <c r="O62" i="32" a="1"/>
  <c r="O62" i="32" s="1"/>
  <c r="O69" i="32" a="1"/>
  <c r="O69" i="32" s="1"/>
  <c r="O87" i="32" a="1"/>
  <c r="O87" i="32" s="1"/>
  <c r="O81" i="32" a="1"/>
  <c r="O81" i="32" s="1"/>
  <c r="O64" i="32" a="1"/>
  <c r="O64" i="32" s="1"/>
  <c r="O80" i="32" a="1"/>
  <c r="O80" i="32" s="1"/>
  <c r="O74" i="32" a="1"/>
  <c r="O74" i="32" s="1"/>
  <c r="O82" i="32" a="1"/>
  <c r="O82" i="32" s="1"/>
  <c r="O72" i="32" a="1"/>
  <c r="O72" i="32" s="1"/>
  <c r="O71" i="32" a="1"/>
  <c r="O71" i="32" s="1"/>
  <c r="O66" i="32" a="1"/>
  <c r="O66" i="32" s="1"/>
  <c r="O68" i="32" a="1"/>
  <c r="O68" i="32" s="1"/>
  <c r="O63" i="32" a="1"/>
  <c r="O63" i="32" s="1"/>
  <c r="O61" i="32" a="1"/>
  <c r="O61" i="32" s="1"/>
  <c r="O70" i="32" a="1"/>
  <c r="O70" i="32" s="1"/>
  <c r="R146" i="32"/>
  <c r="Q149" i="32" a="1"/>
  <c r="Q149" i="32" s="1"/>
  <c r="Q154" i="32" a="1"/>
  <c r="Q154" i="32" s="1"/>
  <c r="Q163" i="32" a="1"/>
  <c r="Q163" i="32" s="1"/>
  <c r="Q170" i="32" a="1"/>
  <c r="Q170" i="32" s="1"/>
  <c r="Q151" i="32" a="1"/>
  <c r="Q151" i="32" s="1"/>
  <c r="Q169" i="32" a="1"/>
  <c r="Q169" i="32" s="1"/>
  <c r="Q158" i="32" a="1"/>
  <c r="Q158" i="32" s="1"/>
  <c r="Q148" i="32" a="1"/>
  <c r="Q148" i="32" s="1"/>
  <c r="Q153" i="32" a="1"/>
  <c r="Q153" i="32" s="1"/>
  <c r="Q160" i="32" a="1"/>
  <c r="Q160" i="32" s="1"/>
  <c r="Q150" i="32" a="1"/>
  <c r="Q150" i="32" s="1"/>
  <c r="Q155" i="32" a="1"/>
  <c r="Q155" i="32" s="1"/>
  <c r="Q147" i="32" a="1"/>
  <c r="Q147" i="32" s="1"/>
  <c r="Q152" i="32" a="1"/>
  <c r="Q152" i="32" s="1"/>
  <c r="Q159" i="32" a="1"/>
  <c r="Q159" i="32" s="1"/>
  <c r="Q156" i="32" a="1"/>
  <c r="Q156" i="32" s="1"/>
  <c r="Q157" i="32" a="1"/>
  <c r="Q157" i="32" s="1"/>
  <c r="Q162" i="32" a="1"/>
  <c r="Q162" i="32" s="1"/>
  <c r="R340" i="32"/>
  <c r="Q342" i="32"/>
  <c r="Q379" i="32" s="1"/>
  <c r="Q344" i="32"/>
  <c r="Q381" i="32" s="1"/>
  <c r="Q341" i="32"/>
  <c r="Q378" i="32" s="1"/>
  <c r="Q343" i="32"/>
  <c r="Q380" i="32" s="1"/>
  <c r="Q345" i="32"/>
  <c r="Q382" i="32" s="1"/>
  <c r="P222" i="32"/>
  <c r="O245" i="32"/>
  <c r="O238" i="32"/>
  <c r="P327" i="32"/>
  <c r="P329" i="32" s="1"/>
  <c r="O324" i="32"/>
  <c r="O617" i="32" s="1"/>
  <c r="O521" i="32" s="1"/>
  <c r="O333" i="32"/>
  <c r="O626" i="32" s="1"/>
  <c r="O530" i="32" s="1"/>
  <c r="N103" i="32"/>
  <c r="N109" i="32"/>
  <c r="N107" i="32"/>
  <c r="Q37" i="32"/>
  <c r="N104" i="32"/>
  <c r="N100" i="32"/>
  <c r="L33" i="32"/>
  <c r="L34" i="32" s="1"/>
  <c r="N105" i="32"/>
  <c r="N101" i="32"/>
  <c r="N98" i="32"/>
  <c r="M112" i="32"/>
  <c r="N102" i="32"/>
  <c r="N110" i="32"/>
  <c r="N108" i="32"/>
  <c r="N111" i="32"/>
  <c r="M43" i="32"/>
  <c r="N29" i="32"/>
  <c r="N30" i="32"/>
  <c r="M28" i="32"/>
  <c r="M30" i="32"/>
  <c r="M27" i="32"/>
  <c r="M164" i="32"/>
  <c r="N137" i="32"/>
  <c r="N136" i="32"/>
  <c r="M139" i="32"/>
  <c r="N94" i="32"/>
  <c r="N138" i="32"/>
  <c r="N135" i="32"/>
  <c r="N131" i="32"/>
  <c r="P60" i="32"/>
  <c r="N75" i="32"/>
  <c r="N123" i="32"/>
  <c r="R161" i="32" l="1" a="1"/>
  <c r="R161" i="32" s="1"/>
  <c r="R331" i="32" s="1"/>
  <c r="R165" i="32" a="1"/>
  <c r="R165" i="32" s="1"/>
  <c r="P21" i="32"/>
  <c r="O22" i="32"/>
  <c r="O24" i="32"/>
  <c r="O25" i="32"/>
  <c r="O26" i="32"/>
  <c r="O23" i="32"/>
  <c r="S474" i="32"/>
  <c r="S479" i="32"/>
  <c r="S484" i="32"/>
  <c r="S489" i="32"/>
  <c r="S494" i="32"/>
  <c r="S499" i="32"/>
  <c r="S476" i="32"/>
  <c r="S481" i="32"/>
  <c r="S486" i="32"/>
  <c r="S491" i="32"/>
  <c r="S496" i="32"/>
  <c r="S473" i="32"/>
  <c r="S478" i="32"/>
  <c r="S483" i="32"/>
  <c r="S488" i="32"/>
  <c r="S493" i="32"/>
  <c r="S498" i="32"/>
  <c r="S475" i="32"/>
  <c r="S480" i="32"/>
  <c r="S485" i="32"/>
  <c r="S490" i="32"/>
  <c r="S495" i="32"/>
  <c r="S472" i="32"/>
  <c r="S477" i="32"/>
  <c r="S482" i="32"/>
  <c r="S487" i="32"/>
  <c r="S492" i="32"/>
  <c r="S497" i="32"/>
  <c r="Q41" i="32" a="1"/>
  <c r="Q41" i="32" s="1"/>
  <c r="Q39" i="32" a="1"/>
  <c r="Q39" i="32" s="1"/>
  <c r="Q40" i="32" a="1"/>
  <c r="Q40" i="32" s="1"/>
  <c r="Q38" i="32" a="1"/>
  <c r="Q38" i="32" s="1"/>
  <c r="Q468" i="32"/>
  <c r="R586" i="32"/>
  <c r="R618" i="32" s="1"/>
  <c r="R456" i="32"/>
  <c r="R581" i="32"/>
  <c r="R451" i="32"/>
  <c r="R592" i="32"/>
  <c r="R624" i="32" s="1"/>
  <c r="R528" i="32" s="1"/>
  <c r="R462" i="32"/>
  <c r="R570" i="32"/>
  <c r="R440" i="32"/>
  <c r="R576" i="32"/>
  <c r="R608" i="32" s="1"/>
  <c r="R512" i="32" s="1"/>
  <c r="R446" i="32"/>
  <c r="R587" i="32"/>
  <c r="R619" i="32" s="1"/>
  <c r="R457" i="32"/>
  <c r="R593" i="32"/>
  <c r="R625" i="32" s="1"/>
  <c r="R529" i="32" s="1"/>
  <c r="R463" i="32"/>
  <c r="P890" i="32"/>
  <c r="R571" i="32"/>
  <c r="R441" i="32"/>
  <c r="R582" i="32"/>
  <c r="R614" i="32" s="1"/>
  <c r="R518" i="32" s="1"/>
  <c r="R452" i="32"/>
  <c r="R588" i="32"/>
  <c r="R458" i="32"/>
  <c r="R597" i="32"/>
  <c r="R629" i="32" s="1"/>
  <c r="R467" i="32"/>
  <c r="R575" i="32"/>
  <c r="R607" i="32" s="1"/>
  <c r="R445" i="32"/>
  <c r="R594" i="32"/>
  <c r="R464" i="32"/>
  <c r="R577" i="32"/>
  <c r="R609" i="32" s="1"/>
  <c r="R513" i="32" s="1"/>
  <c r="R447" i="32"/>
  <c r="R583" i="32"/>
  <c r="R615" i="32" s="1"/>
  <c r="R519" i="32" s="1"/>
  <c r="R453" i="32"/>
  <c r="R589" i="32"/>
  <c r="R621" i="32" s="1"/>
  <c r="R459" i="32"/>
  <c r="R572" i="32"/>
  <c r="R442" i="32"/>
  <c r="R578" i="32"/>
  <c r="R610" i="32" s="1"/>
  <c r="R514" i="32" s="1"/>
  <c r="R448" i="32"/>
  <c r="R584" i="32"/>
  <c r="R616" i="32" s="1"/>
  <c r="R520" i="32" s="1"/>
  <c r="R454" i="32"/>
  <c r="R595" i="32"/>
  <c r="R627" i="32" s="1"/>
  <c r="R531" i="32" s="1"/>
  <c r="R465" i="32"/>
  <c r="R573" i="32"/>
  <c r="R443" i="32"/>
  <c r="R579" i="32"/>
  <c r="R611" i="32" s="1"/>
  <c r="R449" i="32"/>
  <c r="R590" i="32"/>
  <c r="R622" i="32" s="1"/>
  <c r="R526" i="32" s="1"/>
  <c r="R460" i="32"/>
  <c r="R596" i="32"/>
  <c r="R628" i="32" s="1"/>
  <c r="R532" i="32" s="1"/>
  <c r="R466" i="32"/>
  <c r="R574" i="32"/>
  <c r="R444" i="32"/>
  <c r="R585" i="32"/>
  <c r="R455" i="32"/>
  <c r="R591" i="32"/>
  <c r="R623" i="32" s="1"/>
  <c r="R461" i="32"/>
  <c r="R580" i="32"/>
  <c r="R612" i="32" s="1"/>
  <c r="R516" i="32" s="1"/>
  <c r="R450" i="32"/>
  <c r="Q778" i="32"/>
  <c r="Q874" i="32"/>
  <c r="Q786" i="32"/>
  <c r="Q882" i="32"/>
  <c r="Q772" i="32"/>
  <c r="Q868" i="32"/>
  <c r="Q777" i="32"/>
  <c r="Q873" i="32"/>
  <c r="Q782" i="32"/>
  <c r="Q878" i="32"/>
  <c r="Q785" i="32"/>
  <c r="Q881" i="32"/>
  <c r="Q779" i="32"/>
  <c r="Q875" i="32"/>
  <c r="Q781" i="32"/>
  <c r="Q877" i="32"/>
  <c r="Q767" i="32"/>
  <c r="Q863" i="32"/>
  <c r="P794" i="32"/>
  <c r="Q780" i="32"/>
  <c r="Q876" i="32"/>
  <c r="Q776" i="32"/>
  <c r="Q872" i="32"/>
  <c r="Q775" i="32"/>
  <c r="Q871" i="32"/>
  <c r="Q774" i="32"/>
  <c r="Q870" i="32"/>
  <c r="Q773" i="32"/>
  <c r="Q869" i="32"/>
  <c r="Q789" i="32"/>
  <c r="Q885" i="32"/>
  <c r="Q771" i="32"/>
  <c r="Q867" i="32"/>
  <c r="P760" i="32"/>
  <c r="Q769" i="32"/>
  <c r="Q865" i="32"/>
  <c r="Q770" i="32"/>
  <c r="Q866" i="32"/>
  <c r="Q792" i="32"/>
  <c r="Q888" i="32"/>
  <c r="Q768" i="32"/>
  <c r="Q864" i="32"/>
  <c r="Q784" i="32"/>
  <c r="Q880" i="32"/>
  <c r="Q783" i="32"/>
  <c r="Q879" i="32"/>
  <c r="Q788" i="32"/>
  <c r="Q884" i="32"/>
  <c r="Q793" i="32"/>
  <c r="Q889" i="32"/>
  <c r="Q791" i="32"/>
  <c r="Q887" i="32"/>
  <c r="Q787" i="32"/>
  <c r="Q883" i="32"/>
  <c r="Q790" i="32"/>
  <c r="Q886" i="32"/>
  <c r="Q640" i="32"/>
  <c r="Q736" i="32"/>
  <c r="Q662" i="32"/>
  <c r="Q758" i="32"/>
  <c r="Q638" i="32"/>
  <c r="Q734" i="32"/>
  <c r="Q654" i="32"/>
  <c r="Q750" i="32"/>
  <c r="Q653" i="32"/>
  <c r="Q749" i="32"/>
  <c r="Q658" i="32"/>
  <c r="Q754" i="32"/>
  <c r="Q663" i="32"/>
  <c r="Q759" i="32"/>
  <c r="Q661" i="32"/>
  <c r="Q757" i="32"/>
  <c r="Q657" i="32"/>
  <c r="Q753" i="32"/>
  <c r="Q660" i="32"/>
  <c r="Q756" i="32"/>
  <c r="Q639" i="32"/>
  <c r="Q735" i="32"/>
  <c r="Q648" i="32"/>
  <c r="Q744" i="32"/>
  <c r="Q656" i="32"/>
  <c r="Q752" i="32"/>
  <c r="Q642" i="32"/>
  <c r="Q738" i="32"/>
  <c r="Q647" i="32"/>
  <c r="Q743" i="32"/>
  <c r="Q652" i="32"/>
  <c r="Q748" i="32"/>
  <c r="Q655" i="32"/>
  <c r="Q751" i="32"/>
  <c r="Q649" i="32"/>
  <c r="Q745" i="32"/>
  <c r="Q651" i="32"/>
  <c r="Q747" i="32"/>
  <c r="Q637" i="32"/>
  <c r="Q733" i="32"/>
  <c r="P664" i="32"/>
  <c r="Q650" i="32"/>
  <c r="Q746" i="32"/>
  <c r="Q646" i="32"/>
  <c r="Q742" i="32"/>
  <c r="Q645" i="32"/>
  <c r="Q741" i="32"/>
  <c r="Q644" i="32"/>
  <c r="Q740" i="32"/>
  <c r="Q643" i="32"/>
  <c r="Q739" i="32"/>
  <c r="Q659" i="32"/>
  <c r="Q755" i="32"/>
  <c r="Q641" i="32"/>
  <c r="Q737" i="32"/>
  <c r="N236" i="32"/>
  <c r="N237" i="32" s="1"/>
  <c r="O234" i="32" a="1"/>
  <c r="O234" i="32" s="1"/>
  <c r="O235" i="32" a="1"/>
  <c r="O235" i="32" s="1"/>
  <c r="P231" i="32" a="1"/>
  <c r="P231" i="32" s="1"/>
  <c r="P226" i="32" a="1"/>
  <c r="P226" i="32" s="1"/>
  <c r="P223" i="32" a="1"/>
  <c r="P223" i="32" s="1"/>
  <c r="P228" i="32" a="1"/>
  <c r="P228" i="32" s="1"/>
  <c r="P229" i="32" a="1"/>
  <c r="P229" i="32" s="1"/>
  <c r="P225" i="32" a="1"/>
  <c r="P225" i="32" s="1"/>
  <c r="P230" i="32" a="1"/>
  <c r="P230" i="32" s="1"/>
  <c r="P232" i="32" a="1"/>
  <c r="P232" i="32" s="1"/>
  <c r="P227" i="32" a="1"/>
  <c r="P227" i="32" s="1"/>
  <c r="P233" i="32" a="1"/>
  <c r="P233" i="32" s="1"/>
  <c r="P224" i="32" a="1"/>
  <c r="P224" i="32" s="1"/>
  <c r="Q374" i="32"/>
  <c r="Q52" i="32" s="1"/>
  <c r="R372" i="32"/>
  <c r="R369" i="32"/>
  <c r="R371" i="32"/>
  <c r="R373" i="32"/>
  <c r="R370" i="32"/>
  <c r="R363" i="32"/>
  <c r="R360" i="32"/>
  <c r="R362" i="32"/>
  <c r="R364" i="32"/>
  <c r="R361" i="32"/>
  <c r="Q365" i="32"/>
  <c r="M53" i="32"/>
  <c r="P244" i="32"/>
  <c r="P220" i="32"/>
  <c r="N630" i="32"/>
  <c r="Q211" i="32"/>
  <c r="Q206" i="32"/>
  <c r="Q209" i="32"/>
  <c r="Q204" i="32"/>
  <c r="Q212" i="32"/>
  <c r="Q207" i="32"/>
  <c r="O299" i="32"/>
  <c r="O313" i="32" s="1"/>
  <c r="O303" i="32"/>
  <c r="P291" i="32"/>
  <c r="P305" i="32" s="1"/>
  <c r="P296" i="32"/>
  <c r="P310" i="32" s="1"/>
  <c r="P603" i="32" s="1"/>
  <c r="P507" i="32" s="1"/>
  <c r="P294" i="32"/>
  <c r="P308" i="32" s="1"/>
  <c r="P293" i="32"/>
  <c r="P307" i="32" s="1"/>
  <c r="P290" i="32"/>
  <c r="P304" i="32" s="1"/>
  <c r="P292" i="32"/>
  <c r="P306" i="32" s="1"/>
  <c r="P298" i="32"/>
  <c r="P312" i="32" s="1"/>
  <c r="P605" i="32" s="1"/>
  <c r="P509" i="32" s="1"/>
  <c r="P297" i="32"/>
  <c r="P311" i="32" s="1"/>
  <c r="P604" i="32" s="1"/>
  <c r="P508" i="32" s="1"/>
  <c r="P289" i="32"/>
  <c r="P295" i="32"/>
  <c r="P309" i="32" s="1"/>
  <c r="Q210" i="32"/>
  <c r="Q205" i="32"/>
  <c r="Q213" i="32"/>
  <c r="Q208" i="32"/>
  <c r="P281" i="32" a="1"/>
  <c r="P281" i="32" s="1"/>
  <c r="P279" i="32" a="1"/>
  <c r="P279" i="32" s="1"/>
  <c r="P277" i="32" a="1"/>
  <c r="P277" i="32" s="1"/>
  <c r="P282" i="32" a="1"/>
  <c r="P282" i="32" s="1"/>
  <c r="P280" i="32" a="1"/>
  <c r="P280" i="32" s="1"/>
  <c r="O278" i="32"/>
  <c r="O283" i="32" s="1"/>
  <c r="O264" i="32"/>
  <c r="P261" i="32" a="1"/>
  <c r="P261" i="32" s="1"/>
  <c r="P262" i="32" a="1"/>
  <c r="P262" i="32" s="1"/>
  <c r="P620" i="32"/>
  <c r="P524" i="32" s="1"/>
  <c r="P330" i="32"/>
  <c r="P332" i="32" s="1"/>
  <c r="P263" i="32"/>
  <c r="P506" i="32"/>
  <c r="O598" i="32"/>
  <c r="O630" i="32"/>
  <c r="O534" i="32"/>
  <c r="Q602" i="32"/>
  <c r="Q506" i="32" s="1"/>
  <c r="Q320" i="32"/>
  <c r="P613" i="32"/>
  <c r="P517" i="32" s="1"/>
  <c r="R856" i="32"/>
  <c r="R726" i="32"/>
  <c r="R834" i="32"/>
  <c r="R704" i="32"/>
  <c r="R845" i="32"/>
  <c r="R715" i="32"/>
  <c r="R527" i="32"/>
  <c r="R851" i="32"/>
  <c r="R721" i="32"/>
  <c r="R840" i="32"/>
  <c r="R710" i="32"/>
  <c r="R522" i="32"/>
  <c r="R846" i="32"/>
  <c r="R716" i="32"/>
  <c r="R533" i="32"/>
  <c r="R857" i="32"/>
  <c r="R727" i="32"/>
  <c r="R511" i="32"/>
  <c r="R835" i="32"/>
  <c r="R705" i="32"/>
  <c r="R841" i="32"/>
  <c r="R711" i="32"/>
  <c r="R852" i="32"/>
  <c r="R722" i="32"/>
  <c r="R830" i="32"/>
  <c r="R862" i="32" s="1"/>
  <c r="R700" i="32"/>
  <c r="R732" i="32" s="1"/>
  <c r="R836" i="32"/>
  <c r="R706" i="32"/>
  <c r="R523" i="32"/>
  <c r="R847" i="32"/>
  <c r="R717" i="32"/>
  <c r="R853" i="32"/>
  <c r="R723" i="32"/>
  <c r="R831" i="32"/>
  <c r="R701" i="32"/>
  <c r="R842" i="32"/>
  <c r="R712" i="32"/>
  <c r="R848" i="32"/>
  <c r="R718" i="32"/>
  <c r="R854" i="32"/>
  <c r="R724" i="32"/>
  <c r="R837" i="32"/>
  <c r="R707" i="32"/>
  <c r="R843" i="32"/>
  <c r="R713" i="32"/>
  <c r="R525" i="32"/>
  <c r="R849" i="32"/>
  <c r="R719" i="32"/>
  <c r="R832" i="32"/>
  <c r="R702" i="32"/>
  <c r="R838" i="32"/>
  <c r="R708" i="32"/>
  <c r="R844" i="32"/>
  <c r="R714" i="32"/>
  <c r="R855" i="32"/>
  <c r="R725" i="32"/>
  <c r="R833" i="32"/>
  <c r="R703" i="32"/>
  <c r="Q636" i="32"/>
  <c r="Q728" i="32"/>
  <c r="R515" i="32"/>
  <c r="R839" i="32"/>
  <c r="R709" i="32"/>
  <c r="R850" i="32"/>
  <c r="R720" i="32"/>
  <c r="Q858" i="32"/>
  <c r="Q766" i="32"/>
  <c r="O110" i="32"/>
  <c r="R899" i="32"/>
  <c r="R904" i="32"/>
  <c r="R909" i="32"/>
  <c r="R914" i="32"/>
  <c r="R919" i="32"/>
  <c r="R924" i="32"/>
  <c r="R896" i="32"/>
  <c r="R898" i="32"/>
  <c r="R900" i="32"/>
  <c r="R905" i="32"/>
  <c r="R910" i="32"/>
  <c r="R915" i="32"/>
  <c r="R920" i="32"/>
  <c r="R925" i="32"/>
  <c r="R902" i="32"/>
  <c r="R903" i="32"/>
  <c r="R906" i="32"/>
  <c r="R918" i="32"/>
  <c r="R897" i="32"/>
  <c r="R907" i="32"/>
  <c r="R908" i="32"/>
  <c r="R921" i="32"/>
  <c r="R911" i="32"/>
  <c r="R923" i="32"/>
  <c r="R922" i="32"/>
  <c r="R917" i="32"/>
  <c r="R931" i="32"/>
  <c r="R934" i="32"/>
  <c r="R937" i="32"/>
  <c r="R927" i="32"/>
  <c r="R913" i="32"/>
  <c r="R932" i="32"/>
  <c r="R935" i="32"/>
  <c r="R916" i="32"/>
  <c r="R926" i="32"/>
  <c r="R928" i="32"/>
  <c r="R930" i="32"/>
  <c r="R901" i="32"/>
  <c r="R912" i="32"/>
  <c r="R929" i="32"/>
  <c r="R933" i="32"/>
  <c r="R936" i="32"/>
  <c r="Q938" i="32"/>
  <c r="R500" i="32"/>
  <c r="R42" i="32" s="1"/>
  <c r="R31" i="32" s="1"/>
  <c r="Q606" i="32"/>
  <c r="Q510" i="32" s="1"/>
  <c r="R179" i="32"/>
  <c r="R184" i="32"/>
  <c r="R176" i="32"/>
  <c r="R181" i="32"/>
  <c r="R178" i="32"/>
  <c r="R183" i="32"/>
  <c r="R180" i="32"/>
  <c r="R185" i="32"/>
  <c r="R182" i="32"/>
  <c r="R177" i="32"/>
  <c r="Q186" i="32"/>
  <c r="Q214" i="32" s="1"/>
  <c r="S409" i="32"/>
  <c r="S414" i="32"/>
  <c r="S419" i="32"/>
  <c r="S424" i="32"/>
  <c r="S429" i="32"/>
  <c r="S434" i="32"/>
  <c r="S411" i="32"/>
  <c r="S416" i="32"/>
  <c r="S421" i="32"/>
  <c r="S426" i="32"/>
  <c r="S431" i="32"/>
  <c r="S408" i="32"/>
  <c r="S413" i="32"/>
  <c r="S418" i="32"/>
  <c r="S423" i="32"/>
  <c r="S428" i="32"/>
  <c r="S433" i="32"/>
  <c r="T407" i="32"/>
  <c r="S410" i="32"/>
  <c r="S415" i="32"/>
  <c r="S420" i="32"/>
  <c r="S425" i="32"/>
  <c r="S430" i="32"/>
  <c r="S435" i="32"/>
  <c r="S412" i="32"/>
  <c r="S417" i="32"/>
  <c r="S422" i="32"/>
  <c r="S427" i="32"/>
  <c r="S432" i="32"/>
  <c r="R436" i="32"/>
  <c r="O271" i="32"/>
  <c r="N383" i="32"/>
  <c r="N51" i="32" s="1"/>
  <c r="N32" i="32" s="1"/>
  <c r="R354" i="32"/>
  <c r="R351" i="32"/>
  <c r="R353" i="32"/>
  <c r="R355" i="32"/>
  <c r="R352" i="32"/>
  <c r="O101" i="32"/>
  <c r="Q346" i="32"/>
  <c r="Q356" i="32"/>
  <c r="Q260" i="32"/>
  <c r="P265" i="32"/>
  <c r="P266" i="32"/>
  <c r="S146" i="32"/>
  <c r="R170" i="32" a="1"/>
  <c r="R170" i="32" s="1"/>
  <c r="R149" i="32" a="1"/>
  <c r="R149" i="32" s="1"/>
  <c r="R154" i="32" a="1"/>
  <c r="R154" i="32" s="1"/>
  <c r="R162" i="32" a="1"/>
  <c r="R162" i="32" s="1"/>
  <c r="R169" i="32" a="1"/>
  <c r="R169" i="32" s="1"/>
  <c r="R151" i="32" a="1"/>
  <c r="R151" i="32" s="1"/>
  <c r="R156" i="32" a="1"/>
  <c r="R156" i="32" s="1"/>
  <c r="R158" i="32" a="1"/>
  <c r="R158" i="32" s="1"/>
  <c r="R148" i="32" a="1"/>
  <c r="R148" i="32" s="1"/>
  <c r="R153" i="32" a="1"/>
  <c r="R153" i="32" s="1"/>
  <c r="R160" i="32" a="1"/>
  <c r="R160" i="32" s="1"/>
  <c r="R150" i="32" a="1"/>
  <c r="R150" i="32" s="1"/>
  <c r="R147" i="32" a="1"/>
  <c r="R147" i="32" s="1"/>
  <c r="R152" i="32" a="1"/>
  <c r="R152" i="32" s="1"/>
  <c r="R155" i="32" a="1"/>
  <c r="R155" i="32" s="1"/>
  <c r="R157" i="32" a="1"/>
  <c r="R157" i="32" s="1"/>
  <c r="R159" i="32" a="1"/>
  <c r="R159" i="32" s="1"/>
  <c r="R163" i="32" a="1"/>
  <c r="R163" i="32" s="1"/>
  <c r="Q222" i="32"/>
  <c r="P245" i="32"/>
  <c r="P238" i="32"/>
  <c r="Q50" i="32" a="1"/>
  <c r="Q50" i="32" s="1"/>
  <c r="Q47" i="32" a="1"/>
  <c r="Q47" i="32" s="1"/>
  <c r="Q48" i="32" a="1"/>
  <c r="Q48" i="32" s="1"/>
  <c r="Q49" i="32" a="1"/>
  <c r="Q49" i="32" s="1"/>
  <c r="Q327" i="32"/>
  <c r="Q329" i="32" s="1"/>
  <c r="P333" i="32"/>
  <c r="P626" i="32" s="1"/>
  <c r="P530" i="32" s="1"/>
  <c r="P324" i="32"/>
  <c r="P617" i="32" s="1"/>
  <c r="P521" i="32" s="1"/>
  <c r="P129" i="32" a="1"/>
  <c r="P129" i="32" s="1"/>
  <c r="P83" i="32" a="1"/>
  <c r="P83" i="32" s="1"/>
  <c r="P91" i="32" a="1"/>
  <c r="P91" i="32" s="1"/>
  <c r="P79" i="32" a="1"/>
  <c r="P79" i="32" s="1"/>
  <c r="P120" i="32" a="1"/>
  <c r="P120" i="32" s="1"/>
  <c r="P88" i="32" a="1"/>
  <c r="P88" i="32" s="1"/>
  <c r="P127" i="32" a="1"/>
  <c r="P127" i="32" s="1"/>
  <c r="P85" i="32" a="1"/>
  <c r="P85" i="32" s="1"/>
  <c r="P128" i="32" a="1"/>
  <c r="P128" i="32" s="1"/>
  <c r="P122" i="32" a="1"/>
  <c r="P122" i="32" s="1"/>
  <c r="P93" i="32" a="1"/>
  <c r="P93" i="32" s="1"/>
  <c r="P89" i="32" a="1"/>
  <c r="P89" i="32" s="1"/>
  <c r="P130" i="32" a="1"/>
  <c r="P130" i="32" s="1"/>
  <c r="P86" i="32" a="1"/>
  <c r="P86" i="32" s="1"/>
  <c r="P121" i="32" a="1"/>
  <c r="P121" i="32" s="1"/>
  <c r="P119" i="32" a="1"/>
  <c r="P119" i="32" s="1"/>
  <c r="P73" i="32" a="1"/>
  <c r="P73" i="32" s="1"/>
  <c r="P63" i="32" a="1"/>
  <c r="P63" i="32" s="1"/>
  <c r="P62" i="32" a="1"/>
  <c r="P62" i="32" s="1"/>
  <c r="P92" i="32" a="1"/>
  <c r="P92" i="32" s="1"/>
  <c r="P90" i="32" a="1"/>
  <c r="P90" i="32" s="1"/>
  <c r="P69" i="32" a="1"/>
  <c r="P69" i="32" s="1"/>
  <c r="P87" i="32" a="1"/>
  <c r="P87" i="32" s="1"/>
  <c r="P81" i="32" a="1"/>
  <c r="P81" i="32" s="1"/>
  <c r="P80" i="32" a="1"/>
  <c r="P80" i="32" s="1"/>
  <c r="P74" i="32" a="1"/>
  <c r="P74" i="32" s="1"/>
  <c r="P82" i="32" a="1"/>
  <c r="P82" i="32" s="1"/>
  <c r="P72" i="32" a="1"/>
  <c r="P72" i="32" s="1"/>
  <c r="P71" i="32" a="1"/>
  <c r="P71" i="32" s="1"/>
  <c r="P66" i="32" a="1"/>
  <c r="P66" i="32" s="1"/>
  <c r="P84" i="32" a="1"/>
  <c r="P84" i="32" s="1"/>
  <c r="P68" i="32" a="1"/>
  <c r="P68" i="32" s="1"/>
  <c r="P70" i="32" a="1"/>
  <c r="P70" i="32" s="1"/>
  <c r="P61" i="32" a="1"/>
  <c r="P61" i="32" s="1"/>
  <c r="P64" i="32" a="1"/>
  <c r="P64" i="32" s="1"/>
  <c r="P67" i="32" a="1"/>
  <c r="P67" i="32" s="1"/>
  <c r="P65" i="32" a="1"/>
  <c r="P65" i="32" s="1"/>
  <c r="S340" i="32"/>
  <c r="R342" i="32"/>
  <c r="R379" i="32" s="1"/>
  <c r="R344" i="32"/>
  <c r="R381" i="32" s="1"/>
  <c r="R341" i="32"/>
  <c r="R378" i="32" s="1"/>
  <c r="R343" i="32"/>
  <c r="R380" i="32" s="1"/>
  <c r="R345" i="32"/>
  <c r="R382" i="32" s="1"/>
  <c r="S359" i="32"/>
  <c r="O108" i="32"/>
  <c r="O111" i="32"/>
  <c r="O106" i="32"/>
  <c r="O103" i="32"/>
  <c r="R37" i="32"/>
  <c r="O99" i="32"/>
  <c r="O104" i="32"/>
  <c r="O107" i="32"/>
  <c r="O100" i="32"/>
  <c r="O98" i="32"/>
  <c r="M33" i="32"/>
  <c r="M34" i="32" s="1"/>
  <c r="O102" i="32"/>
  <c r="O105" i="32"/>
  <c r="N112" i="32"/>
  <c r="O109" i="32"/>
  <c r="O136" i="32"/>
  <c r="O137" i="32"/>
  <c r="O138" i="32"/>
  <c r="N27" i="32"/>
  <c r="N43" i="32"/>
  <c r="N28" i="32"/>
  <c r="O29" i="32"/>
  <c r="O30" i="32"/>
  <c r="N164" i="32"/>
  <c r="O123" i="32"/>
  <c r="O135" i="32"/>
  <c r="O131" i="32"/>
  <c r="O75" i="32"/>
  <c r="Q60" i="32"/>
  <c r="N139" i="32"/>
  <c r="O94" i="32"/>
  <c r="S161" i="32" l="1" a="1"/>
  <c r="S161" i="32" s="1"/>
  <c r="S331" i="32" s="1"/>
  <c r="S165" i="32" a="1"/>
  <c r="S165" i="32" s="1"/>
  <c r="Q21" i="32"/>
  <c r="P22" i="32"/>
  <c r="P25" i="32"/>
  <c r="P23" i="32"/>
  <c r="P24" i="32"/>
  <c r="P26" i="32"/>
  <c r="R38" i="32" a="1"/>
  <c r="R38" i="32" s="1"/>
  <c r="R41" i="32" a="1"/>
  <c r="R41" i="32" s="1"/>
  <c r="R39" i="32" a="1"/>
  <c r="R39" i="32" s="1"/>
  <c r="R40" i="32" a="1"/>
  <c r="R40" i="32" s="1"/>
  <c r="T472" i="32"/>
  <c r="T478" i="32"/>
  <c r="T483" i="32"/>
  <c r="T488" i="32"/>
  <c r="T493" i="32"/>
  <c r="T498" i="32"/>
  <c r="T473" i="32"/>
  <c r="T476" i="32"/>
  <c r="T481" i="32"/>
  <c r="T486" i="32"/>
  <c r="T491" i="32"/>
  <c r="T496" i="32"/>
  <c r="T474" i="32"/>
  <c r="T479" i="32"/>
  <c r="T484" i="32"/>
  <c r="T489" i="32"/>
  <c r="T494" i="32"/>
  <c r="T499" i="32"/>
  <c r="T477" i="32"/>
  <c r="T475" i="32"/>
  <c r="T495" i="32"/>
  <c r="T485" i="32"/>
  <c r="T482" i="32"/>
  <c r="T492" i="32"/>
  <c r="T487" i="32"/>
  <c r="T490" i="32"/>
  <c r="T497" i="32"/>
  <c r="T480" i="32"/>
  <c r="R468" i="32"/>
  <c r="S579" i="32"/>
  <c r="S611" i="32" s="1"/>
  <c r="S515" i="32" s="1"/>
  <c r="S449" i="32"/>
  <c r="S590" i="32"/>
  <c r="S622" i="32" s="1"/>
  <c r="S460" i="32"/>
  <c r="S596" i="32"/>
  <c r="S628" i="32" s="1"/>
  <c r="S532" i="32" s="1"/>
  <c r="S466" i="32"/>
  <c r="S574" i="32"/>
  <c r="S444" i="32"/>
  <c r="S585" i="32"/>
  <c r="S455" i="32"/>
  <c r="S591" i="32"/>
  <c r="S623" i="32" s="1"/>
  <c r="S527" i="32" s="1"/>
  <c r="S461" i="32"/>
  <c r="S597" i="32"/>
  <c r="S629" i="32" s="1"/>
  <c r="S467" i="32"/>
  <c r="S580" i="32"/>
  <c r="S612" i="32" s="1"/>
  <c r="S516" i="32" s="1"/>
  <c r="S450" i="32"/>
  <c r="S586" i="32"/>
  <c r="S618" i="32" s="1"/>
  <c r="S522" i="32" s="1"/>
  <c r="S456" i="32"/>
  <c r="S592" i="32"/>
  <c r="S624" i="32" s="1"/>
  <c r="S528" i="32" s="1"/>
  <c r="S462" i="32"/>
  <c r="S575" i="32"/>
  <c r="S607" i="32" s="1"/>
  <c r="S511" i="32" s="1"/>
  <c r="S445" i="32"/>
  <c r="S581" i="32"/>
  <c r="S451" i="32"/>
  <c r="S587" i="32"/>
  <c r="S619" i="32" s="1"/>
  <c r="S523" i="32" s="1"/>
  <c r="S457" i="32"/>
  <c r="S570" i="32"/>
  <c r="S440" i="32"/>
  <c r="S576" i="32"/>
  <c r="S608" i="32" s="1"/>
  <c r="S512" i="32" s="1"/>
  <c r="S446" i="32"/>
  <c r="S582" i="32"/>
  <c r="S614" i="32" s="1"/>
  <c r="S518" i="32" s="1"/>
  <c r="S452" i="32"/>
  <c r="S593" i="32"/>
  <c r="S625" i="32" s="1"/>
  <c r="S463" i="32"/>
  <c r="S571" i="32"/>
  <c r="S441" i="32"/>
  <c r="S577" i="32"/>
  <c r="S609" i="32" s="1"/>
  <c r="S513" i="32" s="1"/>
  <c r="S447" i="32"/>
  <c r="S588" i="32"/>
  <c r="S458" i="32"/>
  <c r="Q890" i="32"/>
  <c r="S594" i="32"/>
  <c r="S464" i="32"/>
  <c r="S572" i="32"/>
  <c r="S442" i="32"/>
  <c r="S583" i="32"/>
  <c r="S615" i="32" s="1"/>
  <c r="S519" i="32" s="1"/>
  <c r="S453" i="32"/>
  <c r="S589" i="32"/>
  <c r="S621" i="32" s="1"/>
  <c r="S459" i="32"/>
  <c r="S578" i="32"/>
  <c r="S610" i="32" s="1"/>
  <c r="S514" i="32" s="1"/>
  <c r="S448" i="32"/>
  <c r="S584" i="32"/>
  <c r="S616" i="32" s="1"/>
  <c r="S454" i="32"/>
  <c r="S595" i="32"/>
  <c r="S627" i="32" s="1"/>
  <c r="S531" i="32" s="1"/>
  <c r="S465" i="32"/>
  <c r="S573" i="32"/>
  <c r="S443" i="32"/>
  <c r="R769" i="32"/>
  <c r="R865" i="32"/>
  <c r="R793" i="32"/>
  <c r="R889" i="32"/>
  <c r="R768" i="32"/>
  <c r="R864" i="32"/>
  <c r="R789" i="32"/>
  <c r="R885" i="32"/>
  <c r="R786" i="32"/>
  <c r="R882" i="32"/>
  <c r="R791" i="32"/>
  <c r="R887" i="32"/>
  <c r="R790" i="32"/>
  <c r="R886" i="32"/>
  <c r="R788" i="32"/>
  <c r="R884" i="32"/>
  <c r="R781" i="32"/>
  <c r="R877" i="32"/>
  <c r="R784" i="32"/>
  <c r="R880" i="32"/>
  <c r="R783" i="32"/>
  <c r="R879" i="32"/>
  <c r="R770" i="32"/>
  <c r="R866" i="32"/>
  <c r="Q760" i="32"/>
  <c r="R779" i="32"/>
  <c r="R875" i="32"/>
  <c r="R778" i="32"/>
  <c r="R874" i="32"/>
  <c r="R776" i="32"/>
  <c r="R872" i="32"/>
  <c r="R792" i="32"/>
  <c r="R888" i="32"/>
  <c r="R785" i="32"/>
  <c r="R881" i="32"/>
  <c r="R782" i="32"/>
  <c r="R878" i="32"/>
  <c r="R772" i="32"/>
  <c r="R868" i="32"/>
  <c r="R771" i="32"/>
  <c r="R867" i="32"/>
  <c r="R775" i="32"/>
  <c r="R871" i="32"/>
  <c r="R780" i="32"/>
  <c r="R876" i="32"/>
  <c r="R777" i="32"/>
  <c r="R873" i="32"/>
  <c r="R774" i="32"/>
  <c r="R870" i="32"/>
  <c r="Q794" i="32"/>
  <c r="R773" i="32"/>
  <c r="R869" i="32"/>
  <c r="R767" i="32"/>
  <c r="R863" i="32"/>
  <c r="R787" i="32"/>
  <c r="R883" i="32"/>
  <c r="R642" i="32"/>
  <c r="R738" i="32"/>
  <c r="R641" i="32"/>
  <c r="R737" i="32"/>
  <c r="R648" i="32"/>
  <c r="R744" i="32"/>
  <c r="R646" i="32"/>
  <c r="R742" i="32"/>
  <c r="R662" i="32"/>
  <c r="R758" i="32"/>
  <c r="R644" i="32"/>
  <c r="R740" i="32"/>
  <c r="Q664" i="32"/>
  <c r="R643" i="32"/>
  <c r="R739" i="32"/>
  <c r="R637" i="32"/>
  <c r="R733" i="32"/>
  <c r="R657" i="32"/>
  <c r="R753" i="32"/>
  <c r="R639" i="32"/>
  <c r="R735" i="32"/>
  <c r="R663" i="32"/>
  <c r="R759" i="32"/>
  <c r="R638" i="32"/>
  <c r="R734" i="32"/>
  <c r="R659" i="32"/>
  <c r="R755" i="32"/>
  <c r="R656" i="32"/>
  <c r="R752" i="32"/>
  <c r="R661" i="32"/>
  <c r="R757" i="32"/>
  <c r="R660" i="32"/>
  <c r="R756" i="32"/>
  <c r="R658" i="32"/>
  <c r="R754" i="32"/>
  <c r="R651" i="32"/>
  <c r="R747" i="32"/>
  <c r="R649" i="32"/>
  <c r="R745" i="32"/>
  <c r="R655" i="32"/>
  <c r="R751" i="32"/>
  <c r="R652" i="32"/>
  <c r="R748" i="32"/>
  <c r="R654" i="32"/>
  <c r="R750" i="32"/>
  <c r="R653" i="32"/>
  <c r="R749" i="32"/>
  <c r="R640" i="32"/>
  <c r="R736" i="32"/>
  <c r="R645" i="32"/>
  <c r="R741" i="32"/>
  <c r="R650" i="32"/>
  <c r="R746" i="32"/>
  <c r="R647" i="32"/>
  <c r="R743" i="32"/>
  <c r="N53" i="32"/>
  <c r="R365" i="32"/>
  <c r="O236" i="32"/>
  <c r="O237" i="32" s="1"/>
  <c r="S370" i="32"/>
  <c r="S372" i="32"/>
  <c r="S369" i="32"/>
  <c r="S373" i="32"/>
  <c r="S371" i="32"/>
  <c r="S361" i="32"/>
  <c r="S363" i="32"/>
  <c r="S360" i="32"/>
  <c r="S362" i="32"/>
  <c r="S364" i="32"/>
  <c r="P234" i="32" a="1"/>
  <c r="P234" i="32" s="1"/>
  <c r="P235" i="32" a="1"/>
  <c r="P235" i="32" s="1"/>
  <c r="R374" i="32"/>
  <c r="R52" i="32" s="1"/>
  <c r="Q226" i="32" a="1"/>
  <c r="Q226" i="32" s="1"/>
  <c r="Q223" i="32" a="1"/>
  <c r="Q223" i="32" s="1"/>
  <c r="Q228" i="32" a="1"/>
  <c r="Q228" i="32" s="1"/>
  <c r="Q231" i="32" a="1"/>
  <c r="Q231" i="32" s="1"/>
  <c r="Q233" i="32" a="1"/>
  <c r="Q233" i="32" s="1"/>
  <c r="Q229" i="32" a="1"/>
  <c r="Q229" i="32" s="1"/>
  <c r="Q225" i="32" a="1"/>
  <c r="Q225" i="32" s="1"/>
  <c r="Q230" i="32" a="1"/>
  <c r="Q230" i="32" s="1"/>
  <c r="Q227" i="32" a="1"/>
  <c r="Q227" i="32" s="1"/>
  <c r="Q224" i="32" a="1"/>
  <c r="Q224" i="32" s="1"/>
  <c r="Q232" i="32" a="1"/>
  <c r="Q232" i="32" s="1"/>
  <c r="Q244" i="32"/>
  <c r="Q220" i="32"/>
  <c r="R211" i="32"/>
  <c r="R206" i="32"/>
  <c r="R209" i="32"/>
  <c r="R204" i="32"/>
  <c r="Q289" i="32"/>
  <c r="Q292" i="32"/>
  <c r="Q306" i="32" s="1"/>
  <c r="Q295" i="32"/>
  <c r="Q309" i="32" s="1"/>
  <c r="Q298" i="32"/>
  <c r="Q312" i="32" s="1"/>
  <c r="Q605" i="32" s="1"/>
  <c r="Q509" i="32" s="1"/>
  <c r="Q294" i="32"/>
  <c r="Q308" i="32" s="1"/>
  <c r="Q293" i="32"/>
  <c r="Q307" i="32" s="1"/>
  <c r="Q290" i="32"/>
  <c r="Q304" i="32" s="1"/>
  <c r="Q296" i="32"/>
  <c r="Q310" i="32" s="1"/>
  <c r="Q603" i="32" s="1"/>
  <c r="Q507" i="32" s="1"/>
  <c r="Q291" i="32"/>
  <c r="Q305" i="32" s="1"/>
  <c r="Q297" i="32"/>
  <c r="Q311" i="32" s="1"/>
  <c r="Q604" i="32" s="1"/>
  <c r="Q508" i="32" s="1"/>
  <c r="R212" i="32"/>
  <c r="R207" i="32"/>
  <c r="R205" i="32"/>
  <c r="R210" i="32"/>
  <c r="P299" i="32"/>
  <c r="P313" i="32" s="1"/>
  <c r="P303" i="32"/>
  <c r="R213" i="32"/>
  <c r="R208" i="32"/>
  <c r="Q277" i="32" a="1"/>
  <c r="Q277" i="32" s="1"/>
  <c r="Q279" i="32" a="1"/>
  <c r="Q279" i="32" s="1"/>
  <c r="Q280" i="32" a="1"/>
  <c r="Q280" i="32" s="1"/>
  <c r="Q282" i="32" a="1"/>
  <c r="Q282" i="32" s="1"/>
  <c r="Q281" i="32" a="1"/>
  <c r="Q281" i="32" s="1"/>
  <c r="P278" i="32"/>
  <c r="P283" i="32" s="1"/>
  <c r="P264" i="32"/>
  <c r="Q262" i="32" a="1"/>
  <c r="Q262" i="32" s="1"/>
  <c r="Q261" i="32" a="1"/>
  <c r="Q261" i="32" s="1"/>
  <c r="Q620" i="32"/>
  <c r="Q524" i="32" s="1"/>
  <c r="Q330" i="32"/>
  <c r="Q332" i="32" s="1"/>
  <c r="Q263" i="32"/>
  <c r="R320" i="32"/>
  <c r="Q613" i="32"/>
  <c r="Q517" i="32" s="1"/>
  <c r="R602" i="32"/>
  <c r="R506" i="32" s="1"/>
  <c r="P598" i="32"/>
  <c r="P534" i="32"/>
  <c r="P630" i="32"/>
  <c r="S525" i="32"/>
  <c r="S849" i="32"/>
  <c r="S719" i="32"/>
  <c r="S838" i="32"/>
  <c r="S708" i="32"/>
  <c r="S520" i="32"/>
  <c r="S844" i="32"/>
  <c r="S714" i="32"/>
  <c r="S855" i="32"/>
  <c r="S725" i="32"/>
  <c r="S833" i="32"/>
  <c r="S703" i="32"/>
  <c r="S839" i="32"/>
  <c r="S709" i="32"/>
  <c r="S526" i="32"/>
  <c r="S850" i="32"/>
  <c r="S720" i="32"/>
  <c r="S856" i="32"/>
  <c r="S726" i="32"/>
  <c r="S834" i="32"/>
  <c r="S704" i="32"/>
  <c r="S845" i="32"/>
  <c r="S715" i="32"/>
  <c r="S851" i="32"/>
  <c r="S721" i="32"/>
  <c r="S533" i="32"/>
  <c r="S857" i="32"/>
  <c r="S727" i="32"/>
  <c r="S840" i="32"/>
  <c r="S710" i="32"/>
  <c r="S846" i="32"/>
  <c r="S716" i="32"/>
  <c r="S852" i="32"/>
  <c r="S722" i="32"/>
  <c r="S835" i="32"/>
  <c r="S705" i="32"/>
  <c r="S841" i="32"/>
  <c r="S711" i="32"/>
  <c r="S847" i="32"/>
  <c r="S717" i="32"/>
  <c r="S830" i="32"/>
  <c r="S862" i="32" s="1"/>
  <c r="S700" i="32"/>
  <c r="S732" i="32" s="1"/>
  <c r="S836" i="32"/>
  <c r="S706" i="32"/>
  <c r="S842" i="32"/>
  <c r="S712" i="32"/>
  <c r="S529" i="32"/>
  <c r="S853" i="32"/>
  <c r="S723" i="32"/>
  <c r="S831" i="32"/>
  <c r="S701" i="32"/>
  <c r="R728" i="32"/>
  <c r="R636" i="32"/>
  <c r="S837" i="32"/>
  <c r="S707" i="32"/>
  <c r="S848" i="32"/>
  <c r="S718" i="32"/>
  <c r="R858" i="32"/>
  <c r="R766" i="32"/>
  <c r="S854" i="32"/>
  <c r="S724" i="32"/>
  <c r="S832" i="32"/>
  <c r="S702" i="32"/>
  <c r="S843" i="32"/>
  <c r="S713" i="32"/>
  <c r="R938" i="32"/>
  <c r="S896" i="32"/>
  <c r="S901" i="32"/>
  <c r="S913" i="32"/>
  <c r="S914" i="32"/>
  <c r="S902" i="32"/>
  <c r="S915" i="32"/>
  <c r="S900" i="32"/>
  <c r="S903" i="32"/>
  <c r="S904" i="32"/>
  <c r="S916" i="32"/>
  <c r="S905" i="32"/>
  <c r="S917" i="32"/>
  <c r="S906" i="32"/>
  <c r="S918" i="32"/>
  <c r="S919" i="32"/>
  <c r="S897" i="32"/>
  <c r="S898" i="32"/>
  <c r="S907" i="32"/>
  <c r="S920" i="32"/>
  <c r="S908" i="32"/>
  <c r="S909" i="32"/>
  <c r="S910" i="32"/>
  <c r="S922" i="32"/>
  <c r="S929" i="32"/>
  <c r="S934" i="32"/>
  <c r="S924" i="32"/>
  <c r="S926" i="32"/>
  <c r="S928" i="32"/>
  <c r="S930" i="32"/>
  <c r="S933" i="32"/>
  <c r="S936" i="32"/>
  <c r="S911" i="32"/>
  <c r="S931" i="32"/>
  <c r="S937" i="32"/>
  <c r="S923" i="32"/>
  <c r="S925" i="32"/>
  <c r="S927" i="32"/>
  <c r="S921" i="32"/>
  <c r="S932" i="32"/>
  <c r="S899" i="32"/>
  <c r="S912" i="32"/>
  <c r="S935" i="32"/>
  <c r="S500" i="32"/>
  <c r="S42" i="32" s="1"/>
  <c r="S31" i="32" s="1"/>
  <c r="R606" i="32"/>
  <c r="R510" i="32" s="1"/>
  <c r="S177" i="32"/>
  <c r="S182" i="32"/>
  <c r="S179" i="32"/>
  <c r="S184" i="32"/>
  <c r="S176" i="32"/>
  <c r="S181" i="32"/>
  <c r="S178" i="32"/>
  <c r="S180" i="32"/>
  <c r="S185" i="32"/>
  <c r="S183" i="32"/>
  <c r="R186" i="32"/>
  <c r="R214" i="32" s="1"/>
  <c r="T409" i="32"/>
  <c r="T414" i="32"/>
  <c r="T419" i="32"/>
  <c r="T424" i="32"/>
  <c r="T429" i="32"/>
  <c r="T434" i="32"/>
  <c r="T411" i="32"/>
  <c r="T416" i="32"/>
  <c r="T421" i="32"/>
  <c r="T426" i="32"/>
  <c r="T431" i="32"/>
  <c r="U407" i="32"/>
  <c r="T408" i="32"/>
  <c r="T413" i="32"/>
  <c r="T418" i="32"/>
  <c r="T423" i="32"/>
  <c r="T428" i="32"/>
  <c r="T433" i="32"/>
  <c r="T410" i="32"/>
  <c r="T415" i="32"/>
  <c r="T420" i="32"/>
  <c r="T425" i="32"/>
  <c r="T430" i="32"/>
  <c r="T435" i="32"/>
  <c r="T412" i="32"/>
  <c r="T417" i="32"/>
  <c r="T422" i="32"/>
  <c r="T427" i="32"/>
  <c r="T432" i="32"/>
  <c r="S436" i="32"/>
  <c r="R356" i="32"/>
  <c r="P271" i="32"/>
  <c r="O383" i="32"/>
  <c r="O51" i="32" s="1"/>
  <c r="O32" i="32" s="1"/>
  <c r="R346" i="32"/>
  <c r="S352" i="32"/>
  <c r="S354" i="32"/>
  <c r="S351" i="32"/>
  <c r="S353" i="32"/>
  <c r="S355" i="32"/>
  <c r="R49" i="32" a="1"/>
  <c r="R49" i="32" s="1"/>
  <c r="R47" i="32" a="1"/>
  <c r="R47" i="32" s="1"/>
  <c r="R50" i="32" a="1"/>
  <c r="R50" i="32" s="1"/>
  <c r="R48" i="32" a="1"/>
  <c r="R48" i="32" s="1"/>
  <c r="T340" i="32"/>
  <c r="S345" i="32"/>
  <c r="S382" i="32" s="1"/>
  <c r="S342" i="32"/>
  <c r="S379" i="32" s="1"/>
  <c r="S344" i="32"/>
  <c r="S381" i="32" s="1"/>
  <c r="S341" i="32"/>
  <c r="S378" i="32" s="1"/>
  <c r="S343" i="32"/>
  <c r="S380" i="32" s="1"/>
  <c r="R327" i="32"/>
  <c r="R329" i="32" s="1"/>
  <c r="Q324" i="32"/>
  <c r="Q617" i="32" s="1"/>
  <c r="Q521" i="32" s="1"/>
  <c r="Q333" i="32"/>
  <c r="Q626" i="32" s="1"/>
  <c r="Q530" i="32" s="1"/>
  <c r="R222" i="32"/>
  <c r="Q245" i="32"/>
  <c r="Q238" i="32"/>
  <c r="T146" i="32"/>
  <c r="S170" i="32" a="1"/>
  <c r="S170" i="32" s="1"/>
  <c r="S147" i="32" a="1"/>
  <c r="S147" i="32" s="1"/>
  <c r="S152" i="32" a="1"/>
  <c r="S152" i="32" s="1"/>
  <c r="S169" i="32" a="1"/>
  <c r="S169" i="32" s="1"/>
  <c r="S159" i="32" a="1"/>
  <c r="S159" i="32" s="1"/>
  <c r="S149" i="32" a="1"/>
  <c r="S149" i="32" s="1"/>
  <c r="S151" i="32" a="1"/>
  <c r="S151" i="32" s="1"/>
  <c r="S156" i="32" a="1"/>
  <c r="S156" i="32" s="1"/>
  <c r="S158" i="32" a="1"/>
  <c r="S158" i="32" s="1"/>
  <c r="S148" i="32" a="1"/>
  <c r="S148" i="32" s="1"/>
  <c r="S153" i="32" a="1"/>
  <c r="S153" i="32" s="1"/>
  <c r="S150" i="32" a="1"/>
  <c r="S150" i="32" s="1"/>
  <c r="S157" i="32" a="1"/>
  <c r="S157" i="32" s="1"/>
  <c r="S155" i="32" a="1"/>
  <c r="S155" i="32" s="1"/>
  <c r="S154" i="32" a="1"/>
  <c r="S154" i="32" s="1"/>
  <c r="S162" i="32" a="1"/>
  <c r="S162" i="32" s="1"/>
  <c r="S160" i="32" a="1"/>
  <c r="S160" i="32" s="1"/>
  <c r="S163" i="32" a="1"/>
  <c r="S163" i="32" s="1"/>
  <c r="Q129" i="32" a="1"/>
  <c r="Q129" i="32" s="1"/>
  <c r="Q128" i="32" a="1"/>
  <c r="Q128" i="32" s="1"/>
  <c r="Q91" i="32" a="1"/>
  <c r="Q91" i="32" s="1"/>
  <c r="Q84" i="32" a="1"/>
  <c r="Q84" i="32" s="1"/>
  <c r="Q120" i="32" a="1"/>
  <c r="Q120" i="32" s="1"/>
  <c r="Q88" i="32" a="1"/>
  <c r="Q88" i="32" s="1"/>
  <c r="Q127" i="32" a="1"/>
  <c r="Q127" i="32" s="1"/>
  <c r="Q89" i="32" a="1"/>
  <c r="Q89" i="32" s="1"/>
  <c r="Q85" i="32" a="1"/>
  <c r="Q85" i="32" s="1"/>
  <c r="Q74" i="32" a="1"/>
  <c r="Q74" i="32" s="1"/>
  <c r="Q122" i="32" a="1"/>
  <c r="Q122" i="32" s="1"/>
  <c r="Q93" i="32" a="1"/>
  <c r="Q93" i="32" s="1"/>
  <c r="Q130" i="32" a="1"/>
  <c r="Q130" i="32" s="1"/>
  <c r="Q86" i="32" a="1"/>
  <c r="Q86" i="32" s="1"/>
  <c r="Q92" i="32" a="1"/>
  <c r="Q92" i="32" s="1"/>
  <c r="Q87" i="32" a="1"/>
  <c r="Q87" i="32" s="1"/>
  <c r="Q121" i="32" a="1"/>
  <c r="Q121" i="32" s="1"/>
  <c r="Q119" i="32" a="1"/>
  <c r="Q119" i="32" s="1"/>
  <c r="Q90" i="32" a="1"/>
  <c r="Q90" i="32" s="1"/>
  <c r="Q69" i="32" a="1"/>
  <c r="Q69" i="32" s="1"/>
  <c r="Q83" i="32" a="1"/>
  <c r="Q83" i="32" s="1"/>
  <c r="Q81" i="32" a="1"/>
  <c r="Q81" i="32" s="1"/>
  <c r="Q80" i="32" a="1"/>
  <c r="Q80" i="32" s="1"/>
  <c r="Q64" i="32" a="1"/>
  <c r="Q64" i="32" s="1"/>
  <c r="Q71" i="32" a="1"/>
  <c r="Q71" i="32" s="1"/>
  <c r="Q66" i="32" a="1"/>
  <c r="Q66" i="32" s="1"/>
  <c r="Q72" i="32" a="1"/>
  <c r="Q72" i="32" s="1"/>
  <c r="Q82" i="32" a="1"/>
  <c r="Q82" i="32" s="1"/>
  <c r="Q68" i="32" a="1"/>
  <c r="Q68" i="32" s="1"/>
  <c r="Q70" i="32" a="1"/>
  <c r="Q70" i="32" s="1"/>
  <c r="Q61" i="32" a="1"/>
  <c r="Q61" i="32" s="1"/>
  <c r="Q79" i="32" a="1"/>
  <c r="Q79" i="32" s="1"/>
  <c r="Q65" i="32" a="1"/>
  <c r="Q65" i="32" s="1"/>
  <c r="Q63" i="32" a="1"/>
  <c r="Q63" i="32" s="1"/>
  <c r="Q73" i="32" a="1"/>
  <c r="Q73" i="32" s="1"/>
  <c r="Q67" i="32" a="1"/>
  <c r="Q67" i="32" s="1"/>
  <c r="Q62" i="32" a="1"/>
  <c r="Q62" i="32" s="1"/>
  <c r="T359" i="32"/>
  <c r="R260" i="32"/>
  <c r="Q265" i="32"/>
  <c r="Q266" i="32"/>
  <c r="P106" i="32"/>
  <c r="P98" i="32"/>
  <c r="S37" i="32"/>
  <c r="P105" i="32"/>
  <c r="P100" i="32"/>
  <c r="P110" i="32"/>
  <c r="P107" i="32"/>
  <c r="P104" i="32"/>
  <c r="P101" i="32"/>
  <c r="P108" i="32"/>
  <c r="P109" i="32"/>
  <c r="P102" i="32"/>
  <c r="O112" i="32"/>
  <c r="P103" i="32"/>
  <c r="P111" i="32"/>
  <c r="P99" i="32"/>
  <c r="O27" i="32"/>
  <c r="O139" i="32"/>
  <c r="O28" i="32"/>
  <c r="P29" i="32"/>
  <c r="O43" i="32"/>
  <c r="N33" i="32"/>
  <c r="N34" i="32" s="1"/>
  <c r="O164" i="32"/>
  <c r="P123" i="32"/>
  <c r="P136" i="32"/>
  <c r="P135" i="32"/>
  <c r="P131" i="32"/>
  <c r="P94" i="32"/>
  <c r="P137" i="32"/>
  <c r="P138" i="32"/>
  <c r="R60" i="32"/>
  <c r="P75" i="32"/>
  <c r="T161" i="32" l="1" a="1"/>
  <c r="T161" i="32" s="1"/>
  <c r="T331" i="32" s="1"/>
  <c r="T165" i="32" a="1"/>
  <c r="T165" i="32" s="1"/>
  <c r="R21" i="32"/>
  <c r="Q24" i="32"/>
  <c r="Q22" i="32"/>
  <c r="Q23" i="32"/>
  <c r="Q26" i="32"/>
  <c r="Q25" i="32"/>
  <c r="U472" i="32"/>
  <c r="U477" i="32"/>
  <c r="U482" i="32"/>
  <c r="U487" i="32"/>
  <c r="U492" i="32"/>
  <c r="U497" i="32"/>
  <c r="U474" i="32"/>
  <c r="U479" i="32"/>
  <c r="U484" i="32"/>
  <c r="U489" i="32"/>
  <c r="U494" i="32"/>
  <c r="U499" i="32"/>
  <c r="U476" i="32"/>
  <c r="U481" i="32"/>
  <c r="U486" i="32"/>
  <c r="U491" i="32"/>
  <c r="U496" i="32"/>
  <c r="U473" i="32"/>
  <c r="U478" i="32"/>
  <c r="U483" i="32"/>
  <c r="U488" i="32"/>
  <c r="U493" i="32"/>
  <c r="U498" i="32"/>
  <c r="U475" i="32"/>
  <c r="U480" i="32"/>
  <c r="U485" i="32"/>
  <c r="U490" i="32"/>
  <c r="U495" i="32"/>
  <c r="S41" i="32" a="1"/>
  <c r="S41" i="32" s="1"/>
  <c r="S39" i="32" a="1"/>
  <c r="S39" i="32" s="1"/>
  <c r="S40" i="32" a="1"/>
  <c r="S40" i="32" s="1"/>
  <c r="S38" i="32" a="1"/>
  <c r="S38" i="32" s="1"/>
  <c r="S468" i="32"/>
  <c r="T594" i="32"/>
  <c r="T464" i="32"/>
  <c r="T583" i="32"/>
  <c r="T615" i="32" s="1"/>
  <c r="T519" i="32" s="1"/>
  <c r="T453" i="32"/>
  <c r="T589" i="32"/>
  <c r="T621" i="32" s="1"/>
  <c r="T525" i="32" s="1"/>
  <c r="T459" i="32"/>
  <c r="T595" i="32"/>
  <c r="T627" i="32" s="1"/>
  <c r="T531" i="32" s="1"/>
  <c r="T465" i="32"/>
  <c r="T578" i="32"/>
  <c r="T610" i="32" s="1"/>
  <c r="T514" i="32" s="1"/>
  <c r="T448" i="32"/>
  <c r="T584" i="32"/>
  <c r="T616" i="32" s="1"/>
  <c r="T454" i="32"/>
  <c r="T590" i="32"/>
  <c r="T622" i="32" s="1"/>
  <c r="T526" i="32" s="1"/>
  <c r="T460" i="32"/>
  <c r="T573" i="32"/>
  <c r="T443" i="32"/>
  <c r="T579" i="32"/>
  <c r="T611" i="32" s="1"/>
  <c r="T515" i="32" s="1"/>
  <c r="T449" i="32"/>
  <c r="T585" i="32"/>
  <c r="T455" i="32"/>
  <c r="T596" i="32"/>
  <c r="T628" i="32" s="1"/>
  <c r="T532" i="32" s="1"/>
  <c r="T466" i="32"/>
  <c r="T572" i="32"/>
  <c r="T442" i="32"/>
  <c r="T574" i="32"/>
  <c r="T444" i="32"/>
  <c r="T580" i="32"/>
  <c r="T612" i="32" s="1"/>
  <c r="T516" i="32" s="1"/>
  <c r="T450" i="32"/>
  <c r="T591" i="32"/>
  <c r="T623" i="32" s="1"/>
  <c r="T527" i="32" s="1"/>
  <c r="T461" i="32"/>
  <c r="T597" i="32"/>
  <c r="T629" i="32" s="1"/>
  <c r="T533" i="32" s="1"/>
  <c r="T467" i="32"/>
  <c r="T575" i="32"/>
  <c r="T607" i="32" s="1"/>
  <c r="T511" i="32" s="1"/>
  <c r="T445" i="32"/>
  <c r="T586" i="32"/>
  <c r="T618" i="32" s="1"/>
  <c r="T522" i="32" s="1"/>
  <c r="T456" i="32"/>
  <c r="T592" i="32"/>
  <c r="T624" i="32" s="1"/>
  <c r="T528" i="32" s="1"/>
  <c r="T462" i="32"/>
  <c r="T570" i="32"/>
  <c r="T440" i="32"/>
  <c r="T581" i="32"/>
  <c r="T451" i="32"/>
  <c r="T587" i="32"/>
  <c r="T619" i="32" s="1"/>
  <c r="T457" i="32"/>
  <c r="T576" i="32"/>
  <c r="T608" i="32" s="1"/>
  <c r="T512" i="32" s="1"/>
  <c r="T446" i="32"/>
  <c r="T582" i="32"/>
  <c r="T614" i="32" s="1"/>
  <c r="T518" i="32" s="1"/>
  <c r="T452" i="32"/>
  <c r="T593" i="32"/>
  <c r="T625" i="32" s="1"/>
  <c r="T529" i="32" s="1"/>
  <c r="T463" i="32"/>
  <c r="T571" i="32"/>
  <c r="T441" i="32"/>
  <c r="R890" i="32"/>
  <c r="T577" i="32"/>
  <c r="T609" i="32" s="1"/>
  <c r="T513" i="32" s="1"/>
  <c r="T447" i="32"/>
  <c r="T588" i="32"/>
  <c r="T458" i="32"/>
  <c r="S784" i="32"/>
  <c r="S880" i="32"/>
  <c r="S783" i="32"/>
  <c r="S879" i="32"/>
  <c r="S787" i="32"/>
  <c r="S883" i="32"/>
  <c r="S786" i="32"/>
  <c r="S882" i="32"/>
  <c r="S779" i="32"/>
  <c r="S875" i="32"/>
  <c r="S782" i="32"/>
  <c r="S878" i="32"/>
  <c r="S780" i="32"/>
  <c r="S876" i="32"/>
  <c r="S768" i="32"/>
  <c r="S864" i="32"/>
  <c r="R664" i="32"/>
  <c r="S776" i="32"/>
  <c r="S872" i="32"/>
  <c r="S774" i="32"/>
  <c r="S870" i="32"/>
  <c r="S789" i="32"/>
  <c r="S885" i="32"/>
  <c r="S772" i="32"/>
  <c r="S868" i="32"/>
  <c r="S771" i="32"/>
  <c r="S867" i="32"/>
  <c r="S770" i="32"/>
  <c r="S866" i="32"/>
  <c r="S790" i="32"/>
  <c r="S886" i="32"/>
  <c r="S769" i="32"/>
  <c r="S865" i="32"/>
  <c r="R794" i="32"/>
  <c r="S767" i="32"/>
  <c r="S863" i="32"/>
  <c r="S793" i="32"/>
  <c r="S889" i="32"/>
  <c r="S792" i="32"/>
  <c r="S888" i="32"/>
  <c r="S785" i="32"/>
  <c r="S881" i="32"/>
  <c r="S773" i="32"/>
  <c r="S869" i="32"/>
  <c r="S778" i="32"/>
  <c r="S874" i="32"/>
  <c r="S777" i="32"/>
  <c r="S873" i="32"/>
  <c r="S781" i="32"/>
  <c r="S877" i="32"/>
  <c r="S775" i="32"/>
  <c r="S871" i="32"/>
  <c r="S788" i="32"/>
  <c r="S884" i="32"/>
  <c r="S791" i="32"/>
  <c r="S887" i="32"/>
  <c r="R760" i="32"/>
  <c r="S637" i="32"/>
  <c r="S733" i="32"/>
  <c r="S663" i="32"/>
  <c r="S759" i="32"/>
  <c r="S662" i="32"/>
  <c r="S758" i="32"/>
  <c r="S655" i="32"/>
  <c r="S751" i="32"/>
  <c r="S642" i="32"/>
  <c r="S738" i="32"/>
  <c r="S641" i="32"/>
  <c r="S737" i="32"/>
  <c r="S640" i="32"/>
  <c r="S736" i="32"/>
  <c r="S660" i="32"/>
  <c r="S756" i="32"/>
  <c r="S639" i="32"/>
  <c r="S735" i="32"/>
  <c r="S658" i="32"/>
  <c r="S754" i="32"/>
  <c r="S661" i="32"/>
  <c r="S757" i="32"/>
  <c r="S659" i="32"/>
  <c r="S755" i="32"/>
  <c r="S654" i="32"/>
  <c r="S750" i="32"/>
  <c r="S653" i="32"/>
  <c r="S749" i="32"/>
  <c r="S657" i="32"/>
  <c r="S753" i="32"/>
  <c r="S656" i="32"/>
  <c r="S752" i="32"/>
  <c r="S649" i="32"/>
  <c r="S745" i="32"/>
  <c r="S652" i="32"/>
  <c r="S748" i="32"/>
  <c r="S650" i="32"/>
  <c r="S746" i="32"/>
  <c r="S643" i="32"/>
  <c r="S739" i="32"/>
  <c r="S648" i="32"/>
  <c r="S744" i="32"/>
  <c r="S647" i="32"/>
  <c r="S743" i="32"/>
  <c r="S651" i="32"/>
  <c r="S747" i="32"/>
  <c r="S645" i="32"/>
  <c r="S741" i="32"/>
  <c r="S638" i="32"/>
  <c r="S734" i="32"/>
  <c r="S646" i="32"/>
  <c r="S742" i="32"/>
  <c r="S644" i="32"/>
  <c r="S740" i="32"/>
  <c r="P236" i="32"/>
  <c r="P237" i="32" s="1"/>
  <c r="R229" i="32" a="1"/>
  <c r="R229" i="32" s="1"/>
  <c r="R232" i="32" a="1"/>
  <c r="R232" i="32" s="1"/>
  <c r="R226" i="32" a="1"/>
  <c r="R226" i="32" s="1"/>
  <c r="R223" i="32" a="1"/>
  <c r="R223" i="32" s="1"/>
  <c r="R228" i="32" a="1"/>
  <c r="R228" i="32" s="1"/>
  <c r="R231" i="32" a="1"/>
  <c r="R231" i="32" s="1"/>
  <c r="R230" i="32" a="1"/>
  <c r="R230" i="32" s="1"/>
  <c r="R233" i="32" a="1"/>
  <c r="R233" i="32" s="1"/>
  <c r="R225" i="32" a="1"/>
  <c r="R225" i="32" s="1"/>
  <c r="R227" i="32" a="1"/>
  <c r="R227" i="32" s="1"/>
  <c r="R224" i="32" a="1"/>
  <c r="R224" i="32" s="1"/>
  <c r="T370" i="32"/>
  <c r="T372" i="32"/>
  <c r="T369" i="32"/>
  <c r="T371" i="32"/>
  <c r="T373" i="32"/>
  <c r="T362" i="32"/>
  <c r="T361" i="32"/>
  <c r="T363" i="32"/>
  <c r="T360" i="32"/>
  <c r="T364" i="32"/>
  <c r="S365" i="32"/>
  <c r="Q235" i="32" a="1"/>
  <c r="Q235" i="32" s="1"/>
  <c r="Q234" i="32" a="1"/>
  <c r="Q234" i="32" s="1"/>
  <c r="S374" i="32"/>
  <c r="S52" i="32" s="1"/>
  <c r="R244" i="32"/>
  <c r="R220" i="32"/>
  <c r="O53" i="32"/>
  <c r="S208" i="32"/>
  <c r="S206" i="32"/>
  <c r="Q299" i="32"/>
  <c r="Q313" i="32" s="1"/>
  <c r="Q303" i="32"/>
  <c r="S209" i="32"/>
  <c r="S204" i="32"/>
  <c r="S212" i="32"/>
  <c r="S207" i="32"/>
  <c r="S210" i="32"/>
  <c r="S205" i="32"/>
  <c r="S211" i="32"/>
  <c r="R289" i="32"/>
  <c r="R294" i="32"/>
  <c r="R308" i="32" s="1"/>
  <c r="R290" i="32"/>
  <c r="R304" i="32" s="1"/>
  <c r="R293" i="32"/>
  <c r="R307" i="32" s="1"/>
  <c r="R296" i="32"/>
  <c r="R310" i="32" s="1"/>
  <c r="R603" i="32" s="1"/>
  <c r="R507" i="32" s="1"/>
  <c r="R292" i="32"/>
  <c r="R306" i="32" s="1"/>
  <c r="R295" i="32"/>
  <c r="R309" i="32" s="1"/>
  <c r="R297" i="32"/>
  <c r="R311" i="32" s="1"/>
  <c r="R604" i="32" s="1"/>
  <c r="R508" i="32" s="1"/>
  <c r="R298" i="32"/>
  <c r="R312" i="32" s="1"/>
  <c r="R605" i="32" s="1"/>
  <c r="R509" i="32" s="1"/>
  <c r="R291" i="32"/>
  <c r="R305" i="32" s="1"/>
  <c r="S213" i="32"/>
  <c r="R279" i="32" a="1"/>
  <c r="R279" i="32" s="1"/>
  <c r="R277" i="32" a="1"/>
  <c r="R277" i="32" s="1"/>
  <c r="R282" i="32" a="1"/>
  <c r="R282" i="32" s="1"/>
  <c r="R281" i="32" a="1"/>
  <c r="R281" i="32" s="1"/>
  <c r="R280" i="32" a="1"/>
  <c r="R280" i="32" s="1"/>
  <c r="Q278" i="32"/>
  <c r="Q283" i="32" s="1"/>
  <c r="Q264" i="32"/>
  <c r="R620" i="32"/>
  <c r="R524" i="32" s="1"/>
  <c r="R330" i="32"/>
  <c r="R332" i="32" s="1"/>
  <c r="R262" i="32" a="1"/>
  <c r="R262" i="32" s="1"/>
  <c r="R261" i="32" a="1"/>
  <c r="R261" i="32" s="1"/>
  <c r="R263" i="32"/>
  <c r="Q534" i="32"/>
  <c r="Q630" i="32"/>
  <c r="S602" i="32"/>
  <c r="Q598" i="32"/>
  <c r="S320" i="32"/>
  <c r="R613" i="32"/>
  <c r="R517" i="32" s="1"/>
  <c r="T857" i="32"/>
  <c r="T727" i="32"/>
  <c r="T835" i="32"/>
  <c r="T705" i="32"/>
  <c r="T846" i="32"/>
  <c r="T716" i="32"/>
  <c r="T852" i="32"/>
  <c r="T722" i="32"/>
  <c r="T830" i="32"/>
  <c r="T862" i="32" s="1"/>
  <c r="T700" i="32"/>
  <c r="T732" i="32" s="1"/>
  <c r="T841" i="32"/>
  <c r="T711" i="32"/>
  <c r="T523" i="32"/>
  <c r="T847" i="32"/>
  <c r="T717" i="32"/>
  <c r="T836" i="32"/>
  <c r="T706" i="32"/>
  <c r="T842" i="32"/>
  <c r="T712" i="32"/>
  <c r="T853" i="32"/>
  <c r="T723" i="32"/>
  <c r="T831" i="32"/>
  <c r="T701" i="32"/>
  <c r="S636" i="32"/>
  <c r="S728" i="32"/>
  <c r="T837" i="32"/>
  <c r="T707" i="32"/>
  <c r="T848" i="32"/>
  <c r="T718" i="32"/>
  <c r="S858" i="32"/>
  <c r="S766" i="32"/>
  <c r="T854" i="32"/>
  <c r="T724" i="32"/>
  <c r="T832" i="32"/>
  <c r="T702" i="32"/>
  <c r="T843" i="32"/>
  <c r="T713" i="32"/>
  <c r="T849" i="32"/>
  <c r="T719" i="32"/>
  <c r="T855" i="32"/>
  <c r="T725" i="32"/>
  <c r="T838" i="32"/>
  <c r="T708" i="32"/>
  <c r="T520" i="32"/>
  <c r="T844" i="32"/>
  <c r="T714" i="32"/>
  <c r="T850" i="32"/>
  <c r="T720" i="32"/>
  <c r="T833" i="32"/>
  <c r="T703" i="32"/>
  <c r="T839" i="32"/>
  <c r="T709" i="32"/>
  <c r="T845" i="32"/>
  <c r="T715" i="32"/>
  <c r="T856" i="32"/>
  <c r="T726" i="32"/>
  <c r="T834" i="32"/>
  <c r="T704" i="32"/>
  <c r="T840" i="32"/>
  <c r="T710" i="32"/>
  <c r="T851" i="32"/>
  <c r="T721" i="32"/>
  <c r="T897" i="32"/>
  <c r="T902" i="32"/>
  <c r="T907" i="32"/>
  <c r="T912" i="32"/>
  <c r="T917" i="32"/>
  <c r="T922" i="32"/>
  <c r="T927" i="32"/>
  <c r="T899" i="32"/>
  <c r="T896" i="32"/>
  <c r="T898" i="32"/>
  <c r="T903" i="32"/>
  <c r="T908" i="32"/>
  <c r="T913" i="32"/>
  <c r="T918" i="32"/>
  <c r="T923" i="32"/>
  <c r="T928" i="32"/>
  <c r="T901" i="32"/>
  <c r="T914" i="32"/>
  <c r="T915" i="32"/>
  <c r="T900" i="32"/>
  <c r="T904" i="32"/>
  <c r="T916" i="32"/>
  <c r="T905" i="32"/>
  <c r="T906" i="32"/>
  <c r="T919" i="32"/>
  <c r="T909" i="32"/>
  <c r="T921" i="32"/>
  <c r="T920" i="32"/>
  <c r="T924" i="32"/>
  <c r="T926" i="32"/>
  <c r="T930" i="32"/>
  <c r="T933" i="32"/>
  <c r="T936" i="32"/>
  <c r="T911" i="32"/>
  <c r="T931" i="32"/>
  <c r="T934" i="32"/>
  <c r="T910" i="32"/>
  <c r="T937" i="32"/>
  <c r="T925" i="32"/>
  <c r="T929" i="32"/>
  <c r="T932" i="32"/>
  <c r="T935" i="32"/>
  <c r="S938" i="32"/>
  <c r="T500" i="32"/>
  <c r="T42" i="32" s="1"/>
  <c r="T31" i="32" s="1"/>
  <c r="S606" i="32"/>
  <c r="S510" i="32" s="1"/>
  <c r="T177" i="32"/>
  <c r="T182" i="32"/>
  <c r="T179" i="32"/>
  <c r="T184" i="32"/>
  <c r="T176" i="32"/>
  <c r="T181" i="32"/>
  <c r="T178" i="32"/>
  <c r="T183" i="32"/>
  <c r="T180" i="32"/>
  <c r="T185" i="32"/>
  <c r="S186" i="32"/>
  <c r="S214" i="32" s="1"/>
  <c r="T436" i="32"/>
  <c r="U412" i="32"/>
  <c r="U417" i="32"/>
  <c r="U422" i="32"/>
  <c r="U427" i="32"/>
  <c r="U432" i="32"/>
  <c r="U409" i="32"/>
  <c r="U414" i="32"/>
  <c r="U419" i="32"/>
  <c r="U424" i="32"/>
  <c r="U429" i="32"/>
  <c r="U434" i="32"/>
  <c r="V407" i="32"/>
  <c r="U411" i="32"/>
  <c r="U416" i="32"/>
  <c r="U421" i="32"/>
  <c r="U426" i="32"/>
  <c r="U431" i="32"/>
  <c r="U408" i="32"/>
  <c r="U413" i="32"/>
  <c r="U418" i="32"/>
  <c r="U423" i="32"/>
  <c r="U428" i="32"/>
  <c r="U433" i="32"/>
  <c r="U410" i="32"/>
  <c r="U415" i="32"/>
  <c r="U420" i="32"/>
  <c r="U425" i="32"/>
  <c r="U430" i="32"/>
  <c r="U435" i="32"/>
  <c r="Q271" i="32"/>
  <c r="P383" i="32"/>
  <c r="P51" i="32" s="1"/>
  <c r="P32" i="32" s="1"/>
  <c r="T352" i="32"/>
  <c r="T354" i="32"/>
  <c r="T351" i="32"/>
  <c r="T353" i="32"/>
  <c r="T355" i="32"/>
  <c r="S346" i="32"/>
  <c r="Q99" i="32"/>
  <c r="S356" i="32"/>
  <c r="U359" i="32"/>
  <c r="U340" i="32"/>
  <c r="T345" i="32"/>
  <c r="T382" i="32" s="1"/>
  <c r="T342" i="32"/>
  <c r="T379" i="32" s="1"/>
  <c r="T344" i="32"/>
  <c r="T381" i="32" s="1"/>
  <c r="T341" i="32"/>
  <c r="T378" i="32" s="1"/>
  <c r="T343" i="32"/>
  <c r="T380" i="32" s="1"/>
  <c r="U146" i="32"/>
  <c r="T169" i="32" a="1"/>
  <c r="T169" i="32" s="1"/>
  <c r="T147" i="32" a="1"/>
  <c r="T147" i="32" s="1"/>
  <c r="T152" i="32" a="1"/>
  <c r="T152" i="32" s="1"/>
  <c r="T149" i="32" a="1"/>
  <c r="T149" i="32" s="1"/>
  <c r="T154" i="32" a="1"/>
  <c r="T154" i="32" s="1"/>
  <c r="T162" i="32" a="1"/>
  <c r="T162" i="32" s="1"/>
  <c r="T151" i="32" a="1"/>
  <c r="T151" i="32" s="1"/>
  <c r="T156" i="32" a="1"/>
  <c r="T156" i="32" s="1"/>
  <c r="T163" i="32" a="1"/>
  <c r="T163" i="32" s="1"/>
  <c r="T158" i="32" a="1"/>
  <c r="T158" i="32" s="1"/>
  <c r="T148" i="32" a="1"/>
  <c r="T148" i="32" s="1"/>
  <c r="T170" i="32" a="1"/>
  <c r="T170" i="32" s="1"/>
  <c r="T150" i="32" a="1"/>
  <c r="T150" i="32" s="1"/>
  <c r="T155" i="32" a="1"/>
  <c r="T155" i="32" s="1"/>
  <c r="T160" i="32" a="1"/>
  <c r="T160" i="32" s="1"/>
  <c r="T157" i="32" a="1"/>
  <c r="T157" i="32" s="1"/>
  <c r="T159" i="32" a="1"/>
  <c r="T159" i="32" s="1"/>
  <c r="T153" i="32" a="1"/>
  <c r="T153" i="32" s="1"/>
  <c r="S222" i="32"/>
  <c r="R245" i="32"/>
  <c r="R238" i="32"/>
  <c r="R130" i="32" a="1"/>
  <c r="R130" i="32" s="1"/>
  <c r="R120" i="32" a="1"/>
  <c r="R120" i="32" s="1"/>
  <c r="R88" i="32" a="1"/>
  <c r="R88" i="32" s="1"/>
  <c r="R74" i="32" a="1"/>
  <c r="R74" i="32" s="1"/>
  <c r="R127" i="32" a="1"/>
  <c r="R127" i="32" s="1"/>
  <c r="R89" i="32" a="1"/>
  <c r="R89" i="32" s="1"/>
  <c r="R122" i="32" a="1"/>
  <c r="R122" i="32" s="1"/>
  <c r="R93" i="32" a="1"/>
  <c r="R93" i="32" s="1"/>
  <c r="R86" i="32" a="1"/>
  <c r="R86" i="32" s="1"/>
  <c r="R73" i="32" a="1"/>
  <c r="R73" i="32" s="1"/>
  <c r="R128" i="32" a="1"/>
  <c r="R128" i="32" s="1"/>
  <c r="R92" i="32" a="1"/>
  <c r="R92" i="32" s="1"/>
  <c r="R87" i="32" a="1"/>
  <c r="R87" i="32" s="1"/>
  <c r="R81" i="32" a="1"/>
  <c r="R81" i="32" s="1"/>
  <c r="R80" i="32" a="1"/>
  <c r="R80" i="32" s="1"/>
  <c r="R121" i="32" a="1"/>
  <c r="R121" i="32" s="1"/>
  <c r="R119" i="32" a="1"/>
  <c r="R119" i="32" s="1"/>
  <c r="R90" i="32" a="1"/>
  <c r="R90" i="32" s="1"/>
  <c r="R129" i="32" a="1"/>
  <c r="R129" i="32" s="1"/>
  <c r="R91" i="32" a="1"/>
  <c r="R91" i="32" s="1"/>
  <c r="R83" i="32" a="1"/>
  <c r="R83" i="32" s="1"/>
  <c r="R64" i="32" a="1"/>
  <c r="R64" i="32" s="1"/>
  <c r="R85" i="32" a="1"/>
  <c r="R85" i="32" s="1"/>
  <c r="R72" i="32" a="1"/>
  <c r="R72" i="32" s="1"/>
  <c r="R71" i="32" a="1"/>
  <c r="R71" i="32" s="1"/>
  <c r="R66" i="32" a="1"/>
  <c r="R66" i="32" s="1"/>
  <c r="R68" i="32" a="1"/>
  <c r="R68" i="32" s="1"/>
  <c r="R82" i="32" a="1"/>
  <c r="R82" i="32" s="1"/>
  <c r="R70" i="32" a="1"/>
  <c r="R70" i="32" s="1"/>
  <c r="R61" i="32" a="1"/>
  <c r="R61" i="32" s="1"/>
  <c r="R84" i="32" a="1"/>
  <c r="R84" i="32" s="1"/>
  <c r="R79" i="32" a="1"/>
  <c r="R79" i="32" s="1"/>
  <c r="R65" i="32" a="1"/>
  <c r="R65" i="32" s="1"/>
  <c r="R63" i="32" a="1"/>
  <c r="R63" i="32" s="1"/>
  <c r="R62" i="32" a="1"/>
  <c r="R62" i="32" s="1"/>
  <c r="R67" i="32" a="1"/>
  <c r="R67" i="32" s="1"/>
  <c r="R69" i="32" a="1"/>
  <c r="R69" i="32" s="1"/>
  <c r="S49" i="32" a="1"/>
  <c r="S49" i="32" s="1"/>
  <c r="S50" i="32" a="1"/>
  <c r="S50" i="32" s="1"/>
  <c r="S48" i="32" a="1"/>
  <c r="S48" i="32" s="1"/>
  <c r="S47" i="32" a="1"/>
  <c r="S47" i="32" s="1"/>
  <c r="S327" i="32"/>
  <c r="S329" i="32" s="1"/>
  <c r="R324" i="32"/>
  <c r="R617" i="32" s="1"/>
  <c r="R521" i="32" s="1"/>
  <c r="R333" i="32"/>
  <c r="R626" i="32" s="1"/>
  <c r="R530" i="32" s="1"/>
  <c r="S260" i="32"/>
  <c r="R265" i="32"/>
  <c r="R266" i="32"/>
  <c r="Q106" i="32"/>
  <c r="Q103" i="32"/>
  <c r="Q111" i="32"/>
  <c r="T37" i="32"/>
  <c r="Q108" i="32"/>
  <c r="Q100" i="32"/>
  <c r="Q98" i="32"/>
  <c r="Q102" i="32"/>
  <c r="Q109" i="32"/>
  <c r="Q104" i="32"/>
  <c r="Q107" i="32"/>
  <c r="P112" i="32"/>
  <c r="Q101" i="32"/>
  <c r="Q105" i="32"/>
  <c r="O33" i="32"/>
  <c r="O34" i="32" s="1"/>
  <c r="Q110" i="32"/>
  <c r="P27" i="32"/>
  <c r="P28" i="32"/>
  <c r="P30" i="32"/>
  <c r="Q29" i="32"/>
  <c r="P139" i="32"/>
  <c r="P43" i="32"/>
  <c r="P164" i="32"/>
  <c r="Q136" i="32"/>
  <c r="Q137" i="32"/>
  <c r="Q123" i="32"/>
  <c r="S60" i="32"/>
  <c r="Q94" i="32"/>
  <c r="Q138" i="32"/>
  <c r="Q75" i="32"/>
  <c r="Q131" i="32"/>
  <c r="Q135" i="32"/>
  <c r="R100" i="32" l="1"/>
  <c r="U161" i="32" a="1"/>
  <c r="U161" i="32" s="1"/>
  <c r="U331" i="32" s="1"/>
  <c r="U165" i="32" a="1"/>
  <c r="U165" i="32" s="1"/>
  <c r="S21" i="32"/>
  <c r="R24" i="32"/>
  <c r="R22" i="32"/>
  <c r="R25" i="32"/>
  <c r="R23" i="32"/>
  <c r="R26" i="32"/>
  <c r="T41" i="32" a="1"/>
  <c r="T41" i="32" s="1"/>
  <c r="T39" i="32" a="1"/>
  <c r="T39" i="32" s="1"/>
  <c r="T40" i="32" a="1"/>
  <c r="T40" i="32" s="1"/>
  <c r="T38" i="32" a="1"/>
  <c r="T38" i="32" s="1"/>
  <c r="V473" i="32"/>
  <c r="V474" i="32"/>
  <c r="V479" i="32"/>
  <c r="V484" i="32"/>
  <c r="V489" i="32"/>
  <c r="V494" i="32"/>
  <c r="V499" i="32"/>
  <c r="V472" i="32"/>
  <c r="V480" i="32"/>
  <c r="V487" i="32"/>
  <c r="V488" i="32"/>
  <c r="V497" i="32"/>
  <c r="V498" i="32"/>
  <c r="V475" i="32"/>
  <c r="V493" i="32"/>
  <c r="V491" i="32"/>
  <c r="V486" i="32"/>
  <c r="V496" i="32"/>
  <c r="V485" i="32"/>
  <c r="V495" i="32"/>
  <c r="V478" i="32"/>
  <c r="V477" i="32"/>
  <c r="V482" i="32"/>
  <c r="V492" i="32"/>
  <c r="V483" i="32"/>
  <c r="V481" i="32"/>
  <c r="V490" i="32"/>
  <c r="V476" i="32"/>
  <c r="T468" i="32"/>
  <c r="U587" i="32"/>
  <c r="U619" i="32" s="1"/>
  <c r="U523" i="32" s="1"/>
  <c r="U457" i="32"/>
  <c r="U593" i="32"/>
  <c r="U625" i="32" s="1"/>
  <c r="U463" i="32"/>
  <c r="U576" i="32"/>
  <c r="U608" i="32" s="1"/>
  <c r="U512" i="32" s="1"/>
  <c r="U446" i="32"/>
  <c r="U582" i="32"/>
  <c r="U614" i="32" s="1"/>
  <c r="U518" i="32" s="1"/>
  <c r="U452" i="32"/>
  <c r="U588" i="32"/>
  <c r="U458" i="32"/>
  <c r="U571" i="32"/>
  <c r="U441" i="32"/>
  <c r="U577" i="32"/>
  <c r="U609" i="32" s="1"/>
  <c r="U447" i="32"/>
  <c r="U583" i="32"/>
  <c r="U615" i="32" s="1"/>
  <c r="U519" i="32" s="1"/>
  <c r="U453" i="32"/>
  <c r="U594" i="32"/>
  <c r="U464" i="32"/>
  <c r="U592" i="32"/>
  <c r="U624" i="32" s="1"/>
  <c r="U528" i="32" s="1"/>
  <c r="U462" i="32"/>
  <c r="U570" i="32"/>
  <c r="U440" i="32"/>
  <c r="U581" i="32"/>
  <c r="U451" i="32"/>
  <c r="U572" i="32"/>
  <c r="U442" i="32"/>
  <c r="U578" i="32"/>
  <c r="U610" i="32" s="1"/>
  <c r="U514" i="32" s="1"/>
  <c r="U448" i="32"/>
  <c r="U589" i="32"/>
  <c r="U621" i="32" s="1"/>
  <c r="U525" i="32" s="1"/>
  <c r="U459" i="32"/>
  <c r="S890" i="32"/>
  <c r="U595" i="32"/>
  <c r="U627" i="32" s="1"/>
  <c r="U465" i="32"/>
  <c r="U573" i="32"/>
  <c r="U443" i="32"/>
  <c r="U584" i="32"/>
  <c r="U616" i="32" s="1"/>
  <c r="U520" i="32" s="1"/>
  <c r="U454" i="32"/>
  <c r="U590" i="32"/>
  <c r="U622" i="32" s="1"/>
  <c r="U526" i="32" s="1"/>
  <c r="U460" i="32"/>
  <c r="U579" i="32"/>
  <c r="U611" i="32" s="1"/>
  <c r="U515" i="32" s="1"/>
  <c r="U449" i="32"/>
  <c r="U585" i="32"/>
  <c r="U455" i="32"/>
  <c r="U596" i="32"/>
  <c r="U628" i="32" s="1"/>
  <c r="U532" i="32" s="1"/>
  <c r="U466" i="32"/>
  <c r="U574" i="32"/>
  <c r="U444" i="32"/>
  <c r="U580" i="32"/>
  <c r="U612" i="32" s="1"/>
  <c r="U516" i="32" s="1"/>
  <c r="U450" i="32"/>
  <c r="U591" i="32"/>
  <c r="U623" i="32" s="1"/>
  <c r="U527" i="32" s="1"/>
  <c r="U461" i="32"/>
  <c r="U597" i="32"/>
  <c r="U629" i="32" s="1"/>
  <c r="U467" i="32"/>
  <c r="U575" i="32"/>
  <c r="U607" i="32" s="1"/>
  <c r="U511" i="32" s="1"/>
  <c r="U445" i="32"/>
  <c r="U586" i="32"/>
  <c r="U618" i="32" s="1"/>
  <c r="U456" i="32"/>
  <c r="T792" i="32"/>
  <c r="T888" i="32"/>
  <c r="T790" i="32"/>
  <c r="T886" i="32"/>
  <c r="S794" i="32"/>
  <c r="T767" i="32"/>
  <c r="T863" i="32"/>
  <c r="T787" i="32"/>
  <c r="T883" i="32"/>
  <c r="T785" i="32"/>
  <c r="T881" i="32"/>
  <c r="T783" i="32"/>
  <c r="T879" i="32"/>
  <c r="T782" i="32"/>
  <c r="T878" i="32"/>
  <c r="T781" i="32"/>
  <c r="T877" i="32"/>
  <c r="T780" i="32"/>
  <c r="T876" i="32"/>
  <c r="T789" i="32"/>
  <c r="T885" i="32"/>
  <c r="S760" i="32"/>
  <c r="T784" i="32"/>
  <c r="T880" i="32"/>
  <c r="T776" i="32"/>
  <c r="T872" i="32"/>
  <c r="T775" i="32"/>
  <c r="T871" i="32"/>
  <c r="T779" i="32"/>
  <c r="T875" i="32"/>
  <c r="T777" i="32"/>
  <c r="T873" i="32"/>
  <c r="T771" i="32"/>
  <c r="T867" i="32"/>
  <c r="T786" i="32"/>
  <c r="T882" i="32"/>
  <c r="T774" i="32"/>
  <c r="T870" i="32"/>
  <c r="T773" i="32"/>
  <c r="T869" i="32"/>
  <c r="T778" i="32"/>
  <c r="T874" i="32"/>
  <c r="T770" i="32"/>
  <c r="T866" i="32"/>
  <c r="T769" i="32"/>
  <c r="T865" i="32"/>
  <c r="T768" i="32"/>
  <c r="T864" i="32"/>
  <c r="T793" i="32"/>
  <c r="T889" i="32"/>
  <c r="T791" i="32"/>
  <c r="T887" i="32"/>
  <c r="T772" i="32"/>
  <c r="T868" i="32"/>
  <c r="T788" i="32"/>
  <c r="T884" i="32"/>
  <c r="T661" i="32"/>
  <c r="T757" i="32"/>
  <c r="T642" i="32"/>
  <c r="T738" i="32"/>
  <c r="T658" i="32"/>
  <c r="T754" i="32"/>
  <c r="T640" i="32"/>
  <c r="T736" i="32"/>
  <c r="T639" i="32"/>
  <c r="T735" i="32"/>
  <c r="T638" i="32"/>
  <c r="T734" i="32"/>
  <c r="T663" i="32"/>
  <c r="T759" i="32"/>
  <c r="T662" i="32"/>
  <c r="T758" i="32"/>
  <c r="T656" i="32"/>
  <c r="T752" i="32"/>
  <c r="T660" i="32"/>
  <c r="T756" i="32"/>
  <c r="S664" i="32"/>
  <c r="T637" i="32"/>
  <c r="T733" i="32"/>
  <c r="T646" i="32"/>
  <c r="T742" i="32"/>
  <c r="T645" i="32"/>
  <c r="T741" i="32"/>
  <c r="T649" i="32"/>
  <c r="T745" i="32"/>
  <c r="T647" i="32"/>
  <c r="T743" i="32"/>
  <c r="T641" i="32"/>
  <c r="T737" i="32"/>
  <c r="T657" i="32"/>
  <c r="T753" i="32"/>
  <c r="T655" i="32"/>
  <c r="T751" i="32"/>
  <c r="T653" i="32"/>
  <c r="T749" i="32"/>
  <c r="T652" i="32"/>
  <c r="T748" i="32"/>
  <c r="T644" i="32"/>
  <c r="T740" i="32"/>
  <c r="T643" i="32"/>
  <c r="T739" i="32"/>
  <c r="T648" i="32"/>
  <c r="T744" i="32"/>
  <c r="T651" i="32"/>
  <c r="T747" i="32"/>
  <c r="T650" i="32"/>
  <c r="T746" i="32"/>
  <c r="T659" i="32"/>
  <c r="T755" i="32"/>
  <c r="T654" i="32"/>
  <c r="T750" i="32"/>
  <c r="T365" i="32"/>
  <c r="Q236" i="32"/>
  <c r="Q237" i="32" s="1"/>
  <c r="R235" i="32" a="1"/>
  <c r="R235" i="32" s="1"/>
  <c r="R234" i="32" a="1"/>
  <c r="R234" i="32" s="1"/>
  <c r="U373" i="32"/>
  <c r="U370" i="32"/>
  <c r="U372" i="32"/>
  <c r="U369" i="32"/>
  <c r="U371" i="32"/>
  <c r="U364" i="32"/>
  <c r="U363" i="32"/>
  <c r="U360" i="32"/>
  <c r="U361" i="32"/>
  <c r="U362" i="32"/>
  <c r="T374" i="32"/>
  <c r="T52" i="32" s="1"/>
  <c r="S224" i="32" a="1"/>
  <c r="S224" i="32" s="1"/>
  <c r="S233" i="32" a="1"/>
  <c r="S233" i="32" s="1"/>
  <c r="S229" i="32" a="1"/>
  <c r="S229" i="32" s="1"/>
  <c r="S232" i="32" a="1"/>
  <c r="S232" i="32" s="1"/>
  <c r="S226" i="32" a="1"/>
  <c r="S226" i="32" s="1"/>
  <c r="S230" i="32" a="1"/>
  <c r="S230" i="32" s="1"/>
  <c r="S223" i="32" a="1"/>
  <c r="S223" i="32" s="1"/>
  <c r="S228" i="32" a="1"/>
  <c r="S228" i="32" s="1"/>
  <c r="S231" i="32" a="1"/>
  <c r="S231" i="32" s="1"/>
  <c r="S227" i="32" a="1"/>
  <c r="S227" i="32" s="1"/>
  <c r="S225" i="32" a="1"/>
  <c r="S225" i="32" s="1"/>
  <c r="P53" i="32"/>
  <c r="S244" i="32"/>
  <c r="S220" i="32"/>
  <c r="T211" i="32"/>
  <c r="T206" i="32"/>
  <c r="T209" i="32"/>
  <c r="T204" i="32"/>
  <c r="T212" i="32"/>
  <c r="T207" i="32"/>
  <c r="T210" i="32"/>
  <c r="T205" i="32"/>
  <c r="S289" i="32"/>
  <c r="S291" i="32"/>
  <c r="S305" i="32" s="1"/>
  <c r="S294" i="32"/>
  <c r="S308" i="32" s="1"/>
  <c r="S293" i="32"/>
  <c r="S307" i="32" s="1"/>
  <c r="S290" i="32"/>
  <c r="S304" i="32" s="1"/>
  <c r="S298" i="32"/>
  <c r="S312" i="32" s="1"/>
  <c r="S605" i="32" s="1"/>
  <c r="S509" i="32" s="1"/>
  <c r="S295" i="32"/>
  <c r="S309" i="32" s="1"/>
  <c r="S292" i="32"/>
  <c r="S306" i="32" s="1"/>
  <c r="S296" i="32"/>
  <c r="S310" i="32" s="1"/>
  <c r="S603" i="32" s="1"/>
  <c r="S507" i="32" s="1"/>
  <c r="S297" i="32"/>
  <c r="S311" i="32" s="1"/>
  <c r="S604" i="32" s="1"/>
  <c r="S508" i="32" s="1"/>
  <c r="T213" i="32"/>
  <c r="T208" i="32"/>
  <c r="R299" i="32"/>
  <c r="R313" i="32" s="1"/>
  <c r="R303" i="32"/>
  <c r="S282" i="32" a="1"/>
  <c r="S282" i="32" s="1"/>
  <c r="S277" i="32" a="1"/>
  <c r="S277" i="32" s="1"/>
  <c r="S281" i="32" a="1"/>
  <c r="S281" i="32" s="1"/>
  <c r="S280" i="32" a="1"/>
  <c r="S280" i="32" s="1"/>
  <c r="S279" i="32" a="1"/>
  <c r="S279" i="32" s="1"/>
  <c r="R278" i="32"/>
  <c r="R283" i="32" s="1"/>
  <c r="R264" i="32"/>
  <c r="S262" i="32" a="1"/>
  <c r="S262" i="32" s="1"/>
  <c r="S261" i="32" a="1"/>
  <c r="S261" i="32" s="1"/>
  <c r="S620" i="32"/>
  <c r="S524" i="32" s="1"/>
  <c r="S330" i="32"/>
  <c r="S332" i="32" s="1"/>
  <c r="S263" i="32"/>
  <c r="R534" i="32"/>
  <c r="T320" i="32"/>
  <c r="S613" i="32"/>
  <c r="S517" i="32" s="1"/>
  <c r="R598" i="32"/>
  <c r="S506" i="32"/>
  <c r="T602" i="32"/>
  <c r="T506" i="32" s="1"/>
  <c r="R630" i="32"/>
  <c r="U531" i="32"/>
  <c r="U855" i="32"/>
  <c r="U725" i="32"/>
  <c r="U833" i="32"/>
  <c r="U703" i="32"/>
  <c r="U844" i="32"/>
  <c r="U714" i="32"/>
  <c r="U850" i="32"/>
  <c r="U720" i="32"/>
  <c r="U839" i="32"/>
  <c r="U709" i="32"/>
  <c r="U845" i="32"/>
  <c r="U715" i="32"/>
  <c r="U856" i="32"/>
  <c r="U726" i="32"/>
  <c r="U834" i="32"/>
  <c r="U704" i="32"/>
  <c r="U840" i="32"/>
  <c r="U710" i="32"/>
  <c r="U851" i="32"/>
  <c r="U721" i="32"/>
  <c r="U533" i="32"/>
  <c r="U857" i="32"/>
  <c r="U727" i="32"/>
  <c r="U835" i="32"/>
  <c r="U705" i="32"/>
  <c r="U522" i="32"/>
  <c r="U846" i="32"/>
  <c r="U716" i="32"/>
  <c r="U852" i="32"/>
  <c r="U722" i="32"/>
  <c r="U830" i="32"/>
  <c r="U862" i="32" s="1"/>
  <c r="U700" i="32"/>
  <c r="U732" i="32" s="1"/>
  <c r="U841" i="32"/>
  <c r="U711" i="32"/>
  <c r="T728" i="32"/>
  <c r="T636" i="32"/>
  <c r="U847" i="32"/>
  <c r="U717" i="32"/>
  <c r="U529" i="32"/>
  <c r="U853" i="32"/>
  <c r="U723" i="32"/>
  <c r="U836" i="32"/>
  <c r="U706" i="32"/>
  <c r="T858" i="32"/>
  <c r="T766" i="32"/>
  <c r="U842" i="32"/>
  <c r="U712" i="32"/>
  <c r="U848" i="32"/>
  <c r="U718" i="32"/>
  <c r="U831" i="32"/>
  <c r="U701" i="32"/>
  <c r="U513" i="32"/>
  <c r="U837" i="32"/>
  <c r="U707" i="32"/>
  <c r="U843" i="32"/>
  <c r="U713" i="32"/>
  <c r="U854" i="32"/>
  <c r="U724" i="32"/>
  <c r="U832" i="32"/>
  <c r="U702" i="32"/>
  <c r="U838" i="32"/>
  <c r="U708" i="32"/>
  <c r="U849" i="32"/>
  <c r="U719" i="32"/>
  <c r="T938" i="32"/>
  <c r="U899" i="32"/>
  <c r="U898" i="32"/>
  <c r="U911" i="32"/>
  <c r="U912" i="32"/>
  <c r="U913" i="32"/>
  <c r="U901" i="32"/>
  <c r="U902" i="32"/>
  <c r="U914" i="32"/>
  <c r="U903" i="32"/>
  <c r="U915" i="32"/>
  <c r="U928" i="32"/>
  <c r="U900" i="32"/>
  <c r="U904" i="32"/>
  <c r="U916" i="32"/>
  <c r="U917" i="32"/>
  <c r="U896" i="32"/>
  <c r="U905" i="32"/>
  <c r="U918" i="32"/>
  <c r="U930" i="32"/>
  <c r="U897" i="32"/>
  <c r="U906" i="32"/>
  <c r="U907" i="32"/>
  <c r="U908" i="32"/>
  <c r="U920" i="32"/>
  <c r="U932" i="32"/>
  <c r="U937" i="32"/>
  <c r="U929" i="32"/>
  <c r="U922" i="32"/>
  <c r="U924" i="32"/>
  <c r="U926" i="32"/>
  <c r="U933" i="32"/>
  <c r="U936" i="32"/>
  <c r="U931" i="32"/>
  <c r="U934" i="32"/>
  <c r="U910" i="32"/>
  <c r="U923" i="32"/>
  <c r="U927" i="32"/>
  <c r="U919" i="32"/>
  <c r="U921" i="32"/>
  <c r="U925" i="32"/>
  <c r="U909" i="32"/>
  <c r="U935" i="32"/>
  <c r="U500" i="32"/>
  <c r="U42" i="32" s="1"/>
  <c r="U31" i="32" s="1"/>
  <c r="T606" i="32"/>
  <c r="T510" i="32" s="1"/>
  <c r="T186" i="32"/>
  <c r="T214" i="32" s="1"/>
  <c r="U180" i="32"/>
  <c r="U185" i="32"/>
  <c r="U177" i="32"/>
  <c r="U182" i="32"/>
  <c r="U179" i="32"/>
  <c r="U184" i="32"/>
  <c r="U176" i="32"/>
  <c r="U181" i="32"/>
  <c r="U178" i="32"/>
  <c r="U183" i="32"/>
  <c r="U436" i="32"/>
  <c r="V412" i="32"/>
  <c r="V417" i="32"/>
  <c r="V422" i="32"/>
  <c r="V427" i="32"/>
  <c r="V432" i="32"/>
  <c r="W407" i="32"/>
  <c r="V409" i="32"/>
  <c r="V414" i="32"/>
  <c r="V419" i="32"/>
  <c r="V424" i="32"/>
  <c r="V429" i="32"/>
  <c r="V434" i="32"/>
  <c r="V411" i="32"/>
  <c r="V416" i="32"/>
  <c r="V421" i="32"/>
  <c r="V426" i="32"/>
  <c r="V431" i="32"/>
  <c r="V408" i="32"/>
  <c r="V413" i="32"/>
  <c r="V418" i="32"/>
  <c r="V423" i="32"/>
  <c r="V428" i="32"/>
  <c r="V433" i="32"/>
  <c r="V410" i="32"/>
  <c r="V415" i="32"/>
  <c r="V420" i="32"/>
  <c r="V425" i="32"/>
  <c r="V430" i="32"/>
  <c r="V435" i="32"/>
  <c r="T356" i="32"/>
  <c r="Q383" i="32"/>
  <c r="Q51" i="32" s="1"/>
  <c r="Q32" i="32" s="1"/>
  <c r="R271" i="32"/>
  <c r="U355" i="32"/>
  <c r="U352" i="32"/>
  <c r="U354" i="32"/>
  <c r="U351" i="32"/>
  <c r="U353" i="32"/>
  <c r="T346" i="32"/>
  <c r="T222" i="32"/>
  <c r="S245" i="32"/>
  <c r="S238" i="32"/>
  <c r="V146" i="32"/>
  <c r="U150" i="32" a="1"/>
  <c r="U150" i="32" s="1"/>
  <c r="U157" i="32" a="1"/>
  <c r="U157" i="32" s="1"/>
  <c r="U147" i="32" a="1"/>
  <c r="U147" i="32" s="1"/>
  <c r="U152" i="32" a="1"/>
  <c r="U152" i="32" s="1"/>
  <c r="U159" i="32" a="1"/>
  <c r="U159" i="32" s="1"/>
  <c r="U149" i="32" a="1"/>
  <c r="U149" i="32" s="1"/>
  <c r="U154" i="32" a="1"/>
  <c r="U154" i="32" s="1"/>
  <c r="U151" i="32" a="1"/>
  <c r="U151" i="32" s="1"/>
  <c r="U156" i="32" a="1"/>
  <c r="U156" i="32" s="1"/>
  <c r="U163" i="32" a="1"/>
  <c r="U163" i="32" s="1"/>
  <c r="U170" i="32" a="1"/>
  <c r="U170" i="32" s="1"/>
  <c r="U148" i="32" a="1"/>
  <c r="U148" i="32" s="1"/>
  <c r="U153" i="32" a="1"/>
  <c r="U153" i="32" s="1"/>
  <c r="U169" i="32" a="1"/>
  <c r="U169" i="32" s="1"/>
  <c r="U160" i="32" a="1"/>
  <c r="U160" i="32" s="1"/>
  <c r="U155" i="32" a="1"/>
  <c r="U155" i="32" s="1"/>
  <c r="U158" i="32" a="1"/>
  <c r="U158" i="32" s="1"/>
  <c r="U162" i="32" a="1"/>
  <c r="U162" i="32" s="1"/>
  <c r="T327" i="32"/>
  <c r="T329" i="32" s="1"/>
  <c r="S333" i="32"/>
  <c r="S626" i="32" s="1"/>
  <c r="S530" i="32" s="1"/>
  <c r="S324" i="32"/>
  <c r="S617" i="32" s="1"/>
  <c r="S521" i="32" s="1"/>
  <c r="T47" i="32" a="1"/>
  <c r="T47" i="32" s="1"/>
  <c r="T50" i="32" a="1"/>
  <c r="T50" i="32" s="1"/>
  <c r="T48" i="32" a="1"/>
  <c r="T48" i="32" s="1"/>
  <c r="T49" i="32" a="1"/>
  <c r="T49" i="32" s="1"/>
  <c r="V340" i="32"/>
  <c r="U343" i="32"/>
  <c r="U380" i="32" s="1"/>
  <c r="U345" i="32"/>
  <c r="U382" i="32" s="1"/>
  <c r="U342" i="32"/>
  <c r="U379" i="32" s="1"/>
  <c r="U344" i="32"/>
  <c r="U381" i="32" s="1"/>
  <c r="U341" i="32"/>
  <c r="U378" i="32" s="1"/>
  <c r="S129" i="32" a="1"/>
  <c r="S129" i="32" s="1"/>
  <c r="S127" i="32" a="1"/>
  <c r="S127" i="32" s="1"/>
  <c r="S130" i="32" a="1"/>
  <c r="S130" i="32" s="1"/>
  <c r="S122" i="32" a="1"/>
  <c r="S122" i="32" s="1"/>
  <c r="S88" i="32" a="1"/>
  <c r="S88" i="32" s="1"/>
  <c r="S89" i="32" a="1"/>
  <c r="S89" i="32" s="1"/>
  <c r="S85" i="32" a="1"/>
  <c r="S85" i="32" s="1"/>
  <c r="S73" i="32" a="1"/>
  <c r="S73" i="32" s="1"/>
  <c r="S93" i="32" a="1"/>
  <c r="S93" i="32" s="1"/>
  <c r="S128" i="32" a="1"/>
  <c r="S128" i="32" s="1"/>
  <c r="S92" i="32" a="1"/>
  <c r="S92" i="32" s="1"/>
  <c r="S87" i="32" a="1"/>
  <c r="S87" i="32" s="1"/>
  <c r="S80" i="32" a="1"/>
  <c r="S80" i="32" s="1"/>
  <c r="S72" i="32" a="1"/>
  <c r="S72" i="32" s="1"/>
  <c r="S82" i="32" a="1"/>
  <c r="S82" i="32" s="1"/>
  <c r="S121" i="32" a="1"/>
  <c r="S121" i="32" s="1"/>
  <c r="S119" i="32" a="1"/>
  <c r="S119" i="32" s="1"/>
  <c r="S90" i="32" a="1"/>
  <c r="S90" i="32" s="1"/>
  <c r="S120" i="32" a="1"/>
  <c r="S120" i="32" s="1"/>
  <c r="S83" i="32" a="1"/>
  <c r="S83" i="32" s="1"/>
  <c r="S64" i="32" a="1"/>
  <c r="S64" i="32" s="1"/>
  <c r="S81" i="32" a="1"/>
  <c r="S81" i="32" s="1"/>
  <c r="S86" i="32" a="1"/>
  <c r="S86" i="32" s="1"/>
  <c r="S71" i="32" a="1"/>
  <c r="S71" i="32" s="1"/>
  <c r="S68" i="32" a="1"/>
  <c r="S68" i="32" s="1"/>
  <c r="S74" i="32" a="1"/>
  <c r="S74" i="32" s="1"/>
  <c r="S70" i="32" a="1"/>
  <c r="S70" i="32" s="1"/>
  <c r="S61" i="32" a="1"/>
  <c r="S61" i="32" s="1"/>
  <c r="S84" i="32" a="1"/>
  <c r="S84" i="32" s="1"/>
  <c r="S65" i="32" a="1"/>
  <c r="S65" i="32" s="1"/>
  <c r="S63" i="32" a="1"/>
  <c r="S63" i="32" s="1"/>
  <c r="S62" i="32" a="1"/>
  <c r="S62" i="32" s="1"/>
  <c r="S91" i="32" a="1"/>
  <c r="S91" i="32" s="1"/>
  <c r="S79" i="32" a="1"/>
  <c r="S79" i="32" s="1"/>
  <c r="S67" i="32" a="1"/>
  <c r="S67" i="32" s="1"/>
  <c r="S69" i="32" a="1"/>
  <c r="S69" i="32" s="1"/>
  <c r="S66" i="32" a="1"/>
  <c r="S66" i="32" s="1"/>
  <c r="T260" i="32"/>
  <c r="S265" i="32"/>
  <c r="S266" i="32"/>
  <c r="V359" i="32"/>
  <c r="R98" i="32"/>
  <c r="R99" i="32"/>
  <c r="U37" i="32"/>
  <c r="R106" i="32"/>
  <c r="R101" i="32"/>
  <c r="R104" i="32"/>
  <c r="R105" i="32"/>
  <c r="R102" i="32"/>
  <c r="Q112" i="32"/>
  <c r="R108" i="32"/>
  <c r="R109" i="32"/>
  <c r="R110" i="32"/>
  <c r="Q30" i="32"/>
  <c r="R103" i="32"/>
  <c r="R111" i="32"/>
  <c r="R107" i="32"/>
  <c r="P33" i="32"/>
  <c r="P34" i="32" s="1"/>
  <c r="Q139" i="32"/>
  <c r="R29" i="32"/>
  <c r="Q43" i="32"/>
  <c r="Q28" i="32"/>
  <c r="Q27" i="32"/>
  <c r="Q164" i="32"/>
  <c r="R137" i="32"/>
  <c r="R131" i="32"/>
  <c r="R135" i="32"/>
  <c r="R75" i="32"/>
  <c r="R94" i="32"/>
  <c r="R123" i="32"/>
  <c r="R138" i="32"/>
  <c r="T60" i="32"/>
  <c r="R136" i="32"/>
  <c r="V161" i="32" l="1" a="1"/>
  <c r="V161" i="32" s="1"/>
  <c r="V331" i="32" s="1"/>
  <c r="V165" i="32" a="1"/>
  <c r="V165" i="32" s="1"/>
  <c r="T21" i="32"/>
  <c r="S26" i="32"/>
  <c r="S24" i="32"/>
  <c r="S22" i="32"/>
  <c r="S25" i="32"/>
  <c r="S23" i="32"/>
  <c r="W475" i="32"/>
  <c r="W480" i="32"/>
  <c r="W485" i="32"/>
  <c r="W490" i="32"/>
  <c r="W495" i="32"/>
  <c r="W472" i="32"/>
  <c r="W477" i="32"/>
  <c r="W482" i="32"/>
  <c r="W487" i="32"/>
  <c r="W492" i="32"/>
  <c r="W497" i="32"/>
  <c r="W474" i="32"/>
  <c r="W479" i="32"/>
  <c r="W484" i="32"/>
  <c r="W489" i="32"/>
  <c r="W494" i="32"/>
  <c r="W499" i="32"/>
  <c r="W476" i="32"/>
  <c r="W481" i="32"/>
  <c r="W486" i="32"/>
  <c r="W491" i="32"/>
  <c r="W496" i="32"/>
  <c r="W473" i="32"/>
  <c r="W478" i="32"/>
  <c r="W483" i="32"/>
  <c r="W488" i="32"/>
  <c r="W493" i="32"/>
  <c r="W498" i="32"/>
  <c r="U39" i="32" a="1"/>
  <c r="U39" i="32" s="1"/>
  <c r="U38" i="32" a="1"/>
  <c r="U38" i="32" s="1"/>
  <c r="U41" i="32" a="1"/>
  <c r="U41" i="32" s="1"/>
  <c r="U40" i="32" a="1"/>
  <c r="U40" i="32" s="1"/>
  <c r="U468" i="32"/>
  <c r="V587" i="32"/>
  <c r="V619" i="32" s="1"/>
  <c r="V457" i="32"/>
  <c r="V593" i="32"/>
  <c r="V625" i="32" s="1"/>
  <c r="V529" i="32" s="1"/>
  <c r="V463" i="32"/>
  <c r="V571" i="32"/>
  <c r="V441" i="32"/>
  <c r="V582" i="32"/>
  <c r="V614" i="32" s="1"/>
  <c r="V518" i="32" s="1"/>
  <c r="V452" i="32"/>
  <c r="V588" i="32"/>
  <c r="V458" i="32"/>
  <c r="V572" i="32"/>
  <c r="V442" i="32"/>
  <c r="V578" i="32"/>
  <c r="V610" i="32" s="1"/>
  <c r="V448" i="32"/>
  <c r="V589" i="32"/>
  <c r="V621" i="32" s="1"/>
  <c r="V525" i="32" s="1"/>
  <c r="V459" i="32"/>
  <c r="V577" i="32"/>
  <c r="V609" i="32" s="1"/>
  <c r="V513" i="32" s="1"/>
  <c r="V447" i="32"/>
  <c r="V583" i="32"/>
  <c r="V615" i="32" s="1"/>
  <c r="V519" i="32" s="1"/>
  <c r="V453" i="32"/>
  <c r="V594" i="32"/>
  <c r="V464" i="32"/>
  <c r="V595" i="32"/>
  <c r="V627" i="32" s="1"/>
  <c r="V531" i="32" s="1"/>
  <c r="V465" i="32"/>
  <c r="V573" i="32"/>
  <c r="V443" i="32"/>
  <c r="V584" i="32"/>
  <c r="V616" i="32" s="1"/>
  <c r="V520" i="32" s="1"/>
  <c r="V454" i="32"/>
  <c r="V590" i="32"/>
  <c r="V622" i="32" s="1"/>
  <c r="V526" i="32" s="1"/>
  <c r="V460" i="32"/>
  <c r="V596" i="32"/>
  <c r="V628" i="32" s="1"/>
  <c r="V532" i="32" s="1"/>
  <c r="V466" i="32"/>
  <c r="V579" i="32"/>
  <c r="V611" i="32" s="1"/>
  <c r="V515" i="32" s="1"/>
  <c r="V449" i="32"/>
  <c r="V585" i="32"/>
  <c r="V455" i="32"/>
  <c r="V591" i="32"/>
  <c r="V623" i="32" s="1"/>
  <c r="V527" i="32" s="1"/>
  <c r="V461" i="32"/>
  <c r="V574" i="32"/>
  <c r="V444" i="32"/>
  <c r="T890" i="32"/>
  <c r="V580" i="32"/>
  <c r="V612" i="32" s="1"/>
  <c r="V516" i="32" s="1"/>
  <c r="V450" i="32"/>
  <c r="V586" i="32"/>
  <c r="V618" i="32" s="1"/>
  <c r="V522" i="32" s="1"/>
  <c r="V456" i="32"/>
  <c r="V597" i="32"/>
  <c r="V629" i="32" s="1"/>
  <c r="V533" i="32" s="1"/>
  <c r="V467" i="32"/>
  <c r="V575" i="32"/>
  <c r="V607" i="32" s="1"/>
  <c r="V511" i="32" s="1"/>
  <c r="V445" i="32"/>
  <c r="V581" i="32"/>
  <c r="V451" i="32"/>
  <c r="V592" i="32"/>
  <c r="V624" i="32" s="1"/>
  <c r="V528" i="32" s="1"/>
  <c r="V462" i="32"/>
  <c r="V570" i="32"/>
  <c r="V440" i="32"/>
  <c r="V576" i="32"/>
  <c r="V608" i="32" s="1"/>
  <c r="V512" i="32" s="1"/>
  <c r="V446" i="32"/>
  <c r="T794" i="32"/>
  <c r="U787" i="32"/>
  <c r="U883" i="32"/>
  <c r="U774" i="32"/>
  <c r="U870" i="32"/>
  <c r="U773" i="32"/>
  <c r="U869" i="32"/>
  <c r="U782" i="32"/>
  <c r="U878" i="32"/>
  <c r="U781" i="32"/>
  <c r="U877" i="32"/>
  <c r="U769" i="32"/>
  <c r="U865" i="32"/>
  <c r="U772" i="32"/>
  <c r="U868" i="32"/>
  <c r="U776" i="32"/>
  <c r="U872" i="32"/>
  <c r="U775" i="32"/>
  <c r="U871" i="32"/>
  <c r="T760" i="32"/>
  <c r="U793" i="32"/>
  <c r="U889" i="32"/>
  <c r="U785" i="32"/>
  <c r="U881" i="32"/>
  <c r="U779" i="32"/>
  <c r="U875" i="32"/>
  <c r="U778" i="32"/>
  <c r="U874" i="32"/>
  <c r="U788" i="32"/>
  <c r="U884" i="32"/>
  <c r="U792" i="32"/>
  <c r="U888" i="32"/>
  <c r="U768" i="32"/>
  <c r="U864" i="32"/>
  <c r="U767" i="32"/>
  <c r="U863" i="32"/>
  <c r="U777" i="32"/>
  <c r="U873" i="32"/>
  <c r="U771" i="32"/>
  <c r="U867" i="32"/>
  <c r="U791" i="32"/>
  <c r="U887" i="32"/>
  <c r="U783" i="32"/>
  <c r="U879" i="32"/>
  <c r="U780" i="32"/>
  <c r="U876" i="32"/>
  <c r="U790" i="32"/>
  <c r="U886" i="32"/>
  <c r="U784" i="32"/>
  <c r="U880" i="32"/>
  <c r="U789" i="32"/>
  <c r="U885" i="32"/>
  <c r="U770" i="32"/>
  <c r="U866" i="32"/>
  <c r="U786" i="32"/>
  <c r="U882" i="32"/>
  <c r="U642" i="32"/>
  <c r="U738" i="32"/>
  <c r="U646" i="32"/>
  <c r="U742" i="32"/>
  <c r="U645" i="32"/>
  <c r="U741" i="32"/>
  <c r="U638" i="32"/>
  <c r="U734" i="32"/>
  <c r="U637" i="32"/>
  <c r="U733" i="32"/>
  <c r="U647" i="32"/>
  <c r="U743" i="32"/>
  <c r="U641" i="32"/>
  <c r="U737" i="32"/>
  <c r="U661" i="32"/>
  <c r="U757" i="32"/>
  <c r="U660" i="32"/>
  <c r="U756" i="32"/>
  <c r="U654" i="32"/>
  <c r="U750" i="32"/>
  <c r="U659" i="32"/>
  <c r="U755" i="32"/>
  <c r="U640" i="32"/>
  <c r="U736" i="32"/>
  <c r="U656" i="32"/>
  <c r="U752" i="32"/>
  <c r="U663" i="32"/>
  <c r="U759" i="32"/>
  <c r="U655" i="32"/>
  <c r="U751" i="32"/>
  <c r="U649" i="32"/>
  <c r="U745" i="32"/>
  <c r="U648" i="32"/>
  <c r="U744" i="32"/>
  <c r="U658" i="32"/>
  <c r="U754" i="32"/>
  <c r="U662" i="32"/>
  <c r="U758" i="32"/>
  <c r="U653" i="32"/>
  <c r="U749" i="32"/>
  <c r="U650" i="32"/>
  <c r="U746" i="32"/>
  <c r="U657" i="32"/>
  <c r="U753" i="32"/>
  <c r="U644" i="32"/>
  <c r="U740" i="32"/>
  <c r="U643" i="32"/>
  <c r="U739" i="32"/>
  <c r="U652" i="32"/>
  <c r="U748" i="32"/>
  <c r="U651" i="32"/>
  <c r="U747" i="32"/>
  <c r="T664" i="32"/>
  <c r="U639" i="32"/>
  <c r="U735" i="32"/>
  <c r="R236" i="32"/>
  <c r="R237" i="32" s="1"/>
  <c r="U365" i="32"/>
  <c r="S235" i="32" a="1"/>
  <c r="S235" i="32" s="1"/>
  <c r="S234" i="32" a="1"/>
  <c r="S234" i="32" s="1"/>
  <c r="T224" i="32" a="1"/>
  <c r="T224" i="32" s="1"/>
  <c r="T229" i="32" a="1"/>
  <c r="T229" i="32" s="1"/>
  <c r="T232" i="32" a="1"/>
  <c r="T232" i="32" s="1"/>
  <c r="T226" i="32" a="1"/>
  <c r="T226" i="32" s="1"/>
  <c r="T230" i="32" a="1"/>
  <c r="T230" i="32" s="1"/>
  <c r="T228" i="32" a="1"/>
  <c r="T228" i="32" s="1"/>
  <c r="T223" i="32" a="1"/>
  <c r="T223" i="32" s="1"/>
  <c r="T231" i="32" a="1"/>
  <c r="T231" i="32" s="1"/>
  <c r="T227" i="32" a="1"/>
  <c r="T227" i="32" s="1"/>
  <c r="T225" i="32" a="1"/>
  <c r="T225" i="32" s="1"/>
  <c r="T233" i="32" a="1"/>
  <c r="T233" i="32" s="1"/>
  <c r="V373" i="32"/>
  <c r="V370" i="32"/>
  <c r="V372" i="32"/>
  <c r="V369" i="32"/>
  <c r="V371" i="32"/>
  <c r="V362" i="32"/>
  <c r="V364" i="32"/>
  <c r="V361" i="32"/>
  <c r="V363" i="32"/>
  <c r="V360" i="32"/>
  <c r="U374" i="32"/>
  <c r="U52" i="32" s="1"/>
  <c r="Q53" i="32"/>
  <c r="T244" i="32"/>
  <c r="T220" i="32"/>
  <c r="U212" i="32"/>
  <c r="T292" i="32"/>
  <c r="T306" i="32" s="1"/>
  <c r="T297" i="32"/>
  <c r="T311" i="32" s="1"/>
  <c r="T604" i="32" s="1"/>
  <c r="T508" i="32" s="1"/>
  <c r="T290" i="32"/>
  <c r="T304" i="32" s="1"/>
  <c r="T289" i="32"/>
  <c r="T296" i="32"/>
  <c r="T310" i="32" s="1"/>
  <c r="T603" i="32" s="1"/>
  <c r="T507" i="32" s="1"/>
  <c r="T291" i="32"/>
  <c r="T305" i="32" s="1"/>
  <c r="T295" i="32"/>
  <c r="T309" i="32" s="1"/>
  <c r="T294" i="32"/>
  <c r="T308" i="32" s="1"/>
  <c r="T293" i="32"/>
  <c r="T307" i="32" s="1"/>
  <c r="T298" i="32"/>
  <c r="T312" i="32" s="1"/>
  <c r="T605" i="32" s="1"/>
  <c r="T509" i="32" s="1"/>
  <c r="U207" i="32"/>
  <c r="U210" i="32"/>
  <c r="U205" i="32"/>
  <c r="S299" i="32"/>
  <c r="S313" i="32" s="1"/>
  <c r="S303" i="32"/>
  <c r="U213" i="32"/>
  <c r="U208" i="32"/>
  <c r="U211" i="32"/>
  <c r="U206" i="32"/>
  <c r="U209" i="32"/>
  <c r="U204" i="32"/>
  <c r="T282" i="32" a="1"/>
  <c r="T282" i="32" s="1"/>
  <c r="T281" i="32" a="1"/>
  <c r="T281" i="32" s="1"/>
  <c r="T280" i="32" a="1"/>
  <c r="T280" i="32" s="1"/>
  <c r="T277" i="32" a="1"/>
  <c r="T277" i="32" s="1"/>
  <c r="T279" i="32" a="1"/>
  <c r="T279" i="32" s="1"/>
  <c r="S278" i="32"/>
  <c r="S283" i="32" s="1"/>
  <c r="S264" i="32"/>
  <c r="T620" i="32"/>
  <c r="T524" i="32" s="1"/>
  <c r="T330" i="32"/>
  <c r="T332" i="32" s="1"/>
  <c r="T262" i="32" a="1"/>
  <c r="T262" i="32" s="1"/>
  <c r="T261" i="32" a="1"/>
  <c r="T261" i="32" s="1"/>
  <c r="T263" i="32"/>
  <c r="U602" i="32"/>
  <c r="U506" i="32" s="1"/>
  <c r="S598" i="32"/>
  <c r="S630" i="32"/>
  <c r="S534" i="32"/>
  <c r="U320" i="32"/>
  <c r="T613" i="32"/>
  <c r="T517" i="32" s="1"/>
  <c r="V850" i="32"/>
  <c r="V720" i="32"/>
  <c r="V856" i="32"/>
  <c r="V726" i="32"/>
  <c r="V839" i="32"/>
  <c r="V709" i="32"/>
  <c r="V832" i="32"/>
  <c r="V702" i="32"/>
  <c r="V514" i="32"/>
  <c r="V838" i="32"/>
  <c r="V708" i="32"/>
  <c r="V849" i="32"/>
  <c r="V719" i="32"/>
  <c r="V845" i="32"/>
  <c r="V715" i="32"/>
  <c r="V851" i="32"/>
  <c r="V721" i="32"/>
  <c r="V834" i="32"/>
  <c r="V704" i="32"/>
  <c r="V855" i="32"/>
  <c r="V725" i="32"/>
  <c r="V833" i="32"/>
  <c r="V703" i="32"/>
  <c r="V844" i="32"/>
  <c r="V714" i="32"/>
  <c r="V840" i="32"/>
  <c r="V710" i="32"/>
  <c r="V846" i="32"/>
  <c r="V716" i="32"/>
  <c r="V857" i="32"/>
  <c r="V727" i="32"/>
  <c r="V835" i="32"/>
  <c r="V705" i="32"/>
  <c r="V841" i="32"/>
  <c r="V711" i="32"/>
  <c r="U636" i="32"/>
  <c r="U728" i="32"/>
  <c r="V852" i="32"/>
  <c r="V722" i="32"/>
  <c r="V830" i="32"/>
  <c r="V862" i="32" s="1"/>
  <c r="V700" i="32"/>
  <c r="V732" i="32" s="1"/>
  <c r="V836" i="32"/>
  <c r="V706" i="32"/>
  <c r="U858" i="32"/>
  <c r="U766" i="32"/>
  <c r="V523" i="32"/>
  <c r="V847" i="32"/>
  <c r="V717" i="32"/>
  <c r="V853" i="32"/>
  <c r="V723" i="32"/>
  <c r="V831" i="32"/>
  <c r="V701" i="32"/>
  <c r="V842" i="32"/>
  <c r="V712" i="32"/>
  <c r="V848" i="32"/>
  <c r="V718" i="32"/>
  <c r="V837" i="32"/>
  <c r="V707" i="32"/>
  <c r="V843" i="32"/>
  <c r="V713" i="32"/>
  <c r="V854" i="32"/>
  <c r="V724" i="32"/>
  <c r="U938" i="32"/>
  <c r="V900" i="32"/>
  <c r="V905" i="32"/>
  <c r="V910" i="32"/>
  <c r="V915" i="32"/>
  <c r="V920" i="32"/>
  <c r="V925" i="32"/>
  <c r="V897" i="32"/>
  <c r="V899" i="32"/>
  <c r="V896" i="32"/>
  <c r="V901" i="32"/>
  <c r="V906" i="32"/>
  <c r="V911" i="32"/>
  <c r="V916" i="32"/>
  <c r="V921" i="32"/>
  <c r="V926" i="32"/>
  <c r="V912" i="32"/>
  <c r="V913" i="32"/>
  <c r="V902" i="32"/>
  <c r="V914" i="32"/>
  <c r="V927" i="32"/>
  <c r="V903" i="32"/>
  <c r="V904" i="32"/>
  <c r="V917" i="32"/>
  <c r="V898" i="32"/>
  <c r="V907" i="32"/>
  <c r="V919" i="32"/>
  <c r="V909" i="32"/>
  <c r="V935" i="32"/>
  <c r="V928" i="32"/>
  <c r="V929" i="32"/>
  <c r="V922" i="32"/>
  <c r="V930" i="32"/>
  <c r="V924" i="32"/>
  <c r="V933" i="32"/>
  <c r="V936" i="32"/>
  <c r="V908" i="32"/>
  <c r="V918" i="32"/>
  <c r="V931" i="32"/>
  <c r="V934" i="32"/>
  <c r="V937" i="32"/>
  <c r="V923" i="32"/>
  <c r="V932" i="32"/>
  <c r="V500" i="32"/>
  <c r="V42" i="32" s="1"/>
  <c r="V31" i="32" s="1"/>
  <c r="U606" i="32"/>
  <c r="U510" i="32" s="1"/>
  <c r="V180" i="32"/>
  <c r="V185" i="32"/>
  <c r="V177" i="32"/>
  <c r="V182" i="32"/>
  <c r="V179" i="32"/>
  <c r="V184" i="32"/>
  <c r="V176" i="32"/>
  <c r="V181" i="32"/>
  <c r="V183" i="32"/>
  <c r="V178" i="32"/>
  <c r="U186" i="32"/>
  <c r="U214" i="32" s="1"/>
  <c r="V436" i="32"/>
  <c r="W410" i="32"/>
  <c r="W415" i="32"/>
  <c r="W420" i="32"/>
  <c r="W425" i="32"/>
  <c r="W430" i="32"/>
  <c r="W435" i="32"/>
  <c r="X407" i="32"/>
  <c r="W412" i="32"/>
  <c r="W417" i="32"/>
  <c r="W422" i="32"/>
  <c r="W427" i="32"/>
  <c r="W432" i="32"/>
  <c r="W409" i="32"/>
  <c r="W414" i="32"/>
  <c r="W419" i="32"/>
  <c r="W424" i="32"/>
  <c r="W429" i="32"/>
  <c r="W434" i="32"/>
  <c r="W411" i="32"/>
  <c r="W416" i="32"/>
  <c r="W421" i="32"/>
  <c r="W426" i="32"/>
  <c r="W431" i="32"/>
  <c r="W408" i="32"/>
  <c r="W413" i="32"/>
  <c r="W418" i="32"/>
  <c r="W423" i="32"/>
  <c r="W428" i="32"/>
  <c r="W433" i="32"/>
  <c r="S271" i="32"/>
  <c r="R383" i="32"/>
  <c r="R51" i="32" s="1"/>
  <c r="R32" i="32" s="1"/>
  <c r="U356" i="32"/>
  <c r="U346" i="32"/>
  <c r="V355" i="32"/>
  <c r="V352" i="32"/>
  <c r="V354" i="32"/>
  <c r="V351" i="32"/>
  <c r="V353" i="32"/>
  <c r="U48" i="32" a="1"/>
  <c r="U48" i="32" s="1"/>
  <c r="U50" i="32" a="1"/>
  <c r="U50" i="32" s="1"/>
  <c r="U49" i="32" a="1"/>
  <c r="U49" i="32" s="1"/>
  <c r="U47" i="32" a="1"/>
  <c r="U47" i="32" s="1"/>
  <c r="W340" i="32"/>
  <c r="V343" i="32"/>
  <c r="V380" i="32" s="1"/>
  <c r="V345" i="32"/>
  <c r="V382" i="32" s="1"/>
  <c r="V342" i="32"/>
  <c r="V379" i="32" s="1"/>
  <c r="V344" i="32"/>
  <c r="V381" i="32" s="1"/>
  <c r="V341" i="32"/>
  <c r="V378" i="32" s="1"/>
  <c r="U327" i="32"/>
  <c r="U329" i="32" s="1"/>
  <c r="T324" i="32"/>
  <c r="T617" i="32" s="1"/>
  <c r="T521" i="32" s="1"/>
  <c r="T333" i="32"/>
  <c r="T626" i="32" s="1"/>
  <c r="T530" i="32" s="1"/>
  <c r="W146" i="32"/>
  <c r="V150" i="32" a="1"/>
  <c r="V150" i="32" s="1"/>
  <c r="V155" i="32" a="1"/>
  <c r="V155" i="32" s="1"/>
  <c r="V147" i="32" a="1"/>
  <c r="V147" i="32" s="1"/>
  <c r="V152" i="32" a="1"/>
  <c r="V152" i="32" s="1"/>
  <c r="V149" i="32" a="1"/>
  <c r="V149" i="32" s="1"/>
  <c r="V154" i="32" a="1"/>
  <c r="V154" i="32" s="1"/>
  <c r="V162" i="32" a="1"/>
  <c r="V162" i="32" s="1"/>
  <c r="V170" i="32" a="1"/>
  <c r="V170" i="32" s="1"/>
  <c r="V169" i="32" a="1"/>
  <c r="V169" i="32" s="1"/>
  <c r="V151" i="32" a="1"/>
  <c r="V151" i="32" s="1"/>
  <c r="V148" i="32" a="1"/>
  <c r="V148" i="32" s="1"/>
  <c r="V153" i="32" a="1"/>
  <c r="V153" i="32" s="1"/>
  <c r="V163" i="32" a="1"/>
  <c r="V163" i="32" s="1"/>
  <c r="V160" i="32" a="1"/>
  <c r="V160" i="32" s="1"/>
  <c r="V156" i="32" a="1"/>
  <c r="V156" i="32" s="1"/>
  <c r="V157" i="32" a="1"/>
  <c r="V157" i="32" s="1"/>
  <c r="V158" i="32" a="1"/>
  <c r="V158" i="32" s="1"/>
  <c r="V159" i="32" a="1"/>
  <c r="V159" i="32" s="1"/>
  <c r="U260" i="32"/>
  <c r="T266" i="32"/>
  <c r="T265" i="32"/>
  <c r="T128" i="32" a="1"/>
  <c r="T128" i="32" s="1"/>
  <c r="T85" i="32" a="1"/>
  <c r="T85" i="32" s="1"/>
  <c r="T127" i="32" a="1"/>
  <c r="T127" i="32" s="1"/>
  <c r="T93" i="32" a="1"/>
  <c r="T93" i="32" s="1"/>
  <c r="T86" i="32" a="1"/>
  <c r="T86" i="32" s="1"/>
  <c r="T122" i="32" a="1"/>
  <c r="T122" i="32" s="1"/>
  <c r="T92" i="32" a="1"/>
  <c r="T92" i="32" s="1"/>
  <c r="T87" i="32" a="1"/>
  <c r="T87" i="32" s="1"/>
  <c r="T82" i="32" a="1"/>
  <c r="T82" i="32" s="1"/>
  <c r="T81" i="32" a="1"/>
  <c r="T81" i="32" s="1"/>
  <c r="T130" i="32" a="1"/>
  <c r="T130" i="32" s="1"/>
  <c r="T121" i="32" a="1"/>
  <c r="T121" i="32" s="1"/>
  <c r="T119" i="32" a="1"/>
  <c r="T119" i="32" s="1"/>
  <c r="T90" i="32" a="1"/>
  <c r="T90" i="32" s="1"/>
  <c r="T91" i="32" a="1"/>
  <c r="T91" i="32" s="1"/>
  <c r="T129" i="32" a="1"/>
  <c r="T129" i="32" s="1"/>
  <c r="T120" i="32" a="1"/>
  <c r="T120" i="32" s="1"/>
  <c r="T66" i="32" a="1"/>
  <c r="T66" i="32" s="1"/>
  <c r="T80" i="32" a="1"/>
  <c r="T80" i="32" s="1"/>
  <c r="T71" i="32" a="1"/>
  <c r="T71" i="32" s="1"/>
  <c r="T68" i="32" a="1"/>
  <c r="T68" i="32" s="1"/>
  <c r="T74" i="32" a="1"/>
  <c r="T74" i="32" s="1"/>
  <c r="T72" i="32" a="1"/>
  <c r="T72" i="32" s="1"/>
  <c r="T70" i="32" a="1"/>
  <c r="T70" i="32" s="1"/>
  <c r="T61" i="32" a="1"/>
  <c r="T61" i="32" s="1"/>
  <c r="T65" i="32" a="1"/>
  <c r="T65" i="32" s="1"/>
  <c r="T84" i="32" a="1"/>
  <c r="T84" i="32" s="1"/>
  <c r="T79" i="32" a="1"/>
  <c r="T79" i="32" s="1"/>
  <c r="T88" i="32" a="1"/>
  <c r="T88" i="32" s="1"/>
  <c r="T67" i="32" a="1"/>
  <c r="T67" i="32" s="1"/>
  <c r="T73" i="32" a="1"/>
  <c r="T73" i="32" s="1"/>
  <c r="T69" i="32" a="1"/>
  <c r="T69" i="32" s="1"/>
  <c r="T89" i="32" a="1"/>
  <c r="T89" i="32" s="1"/>
  <c r="T83" i="32" a="1"/>
  <c r="T83" i="32" s="1"/>
  <c r="T62" i="32" a="1"/>
  <c r="T62" i="32" s="1"/>
  <c r="T64" i="32" a="1"/>
  <c r="T64" i="32" s="1"/>
  <c r="T63" i="32" a="1"/>
  <c r="T63" i="32" s="1"/>
  <c r="W359" i="32"/>
  <c r="U222" i="32"/>
  <c r="T245" i="32"/>
  <c r="T238" i="32"/>
  <c r="S110" i="32"/>
  <c r="S109" i="32"/>
  <c r="S108" i="32"/>
  <c r="V37" i="32"/>
  <c r="S104" i="32"/>
  <c r="S101" i="32"/>
  <c r="S102" i="32"/>
  <c r="S107" i="32"/>
  <c r="S100" i="32"/>
  <c r="R112" i="32"/>
  <c r="S105" i="32"/>
  <c r="S98" i="32"/>
  <c r="S103" i="32"/>
  <c r="S99" i="32"/>
  <c r="S106" i="32"/>
  <c r="S111" i="32"/>
  <c r="R27" i="32"/>
  <c r="R43" i="32"/>
  <c r="S29" i="32"/>
  <c r="R30" i="32"/>
  <c r="Q33" i="32"/>
  <c r="Q34" i="32" s="1"/>
  <c r="R28" i="32"/>
  <c r="R164" i="32"/>
  <c r="S138" i="32"/>
  <c r="S136" i="32"/>
  <c r="S131" i="32"/>
  <c r="S135" i="32"/>
  <c r="S75" i="32"/>
  <c r="S137" i="32"/>
  <c r="U60" i="32"/>
  <c r="S123" i="32"/>
  <c r="S94" i="32"/>
  <c r="R139" i="32"/>
  <c r="W161" i="32" l="1" a="1"/>
  <c r="W161" i="32" s="1"/>
  <c r="W331" i="32" s="1"/>
  <c r="W165" i="32" a="1"/>
  <c r="W165" i="32" s="1"/>
  <c r="U21" i="32"/>
  <c r="T22" i="32"/>
  <c r="T25" i="32"/>
  <c r="T23" i="32"/>
  <c r="T26" i="32"/>
  <c r="T24" i="32"/>
  <c r="V39" i="32" a="1"/>
  <c r="V39" i="32" s="1"/>
  <c r="V40" i="32" a="1"/>
  <c r="V40" i="32" s="1"/>
  <c r="V38" i="32" a="1"/>
  <c r="V38" i="32" s="1"/>
  <c r="V41" i="32" a="1"/>
  <c r="V41" i="32" s="1"/>
  <c r="X475" i="32"/>
  <c r="X480" i="32"/>
  <c r="X485" i="32"/>
  <c r="X490" i="32"/>
  <c r="X495" i="32"/>
  <c r="X472" i="32"/>
  <c r="X478" i="32"/>
  <c r="X483" i="32"/>
  <c r="X488" i="32"/>
  <c r="X493" i="32"/>
  <c r="X498" i="32"/>
  <c r="X476" i="32"/>
  <c r="X481" i="32"/>
  <c r="X486" i="32"/>
  <c r="X491" i="32"/>
  <c r="X496" i="32"/>
  <c r="X474" i="32"/>
  <c r="X479" i="32"/>
  <c r="X494" i="32"/>
  <c r="X487" i="32"/>
  <c r="X497" i="32"/>
  <c r="X484" i="32"/>
  <c r="X477" i="32"/>
  <c r="X489" i="32"/>
  <c r="X482" i="32"/>
  <c r="X492" i="32"/>
  <c r="X499" i="32"/>
  <c r="X473" i="32"/>
  <c r="V468" i="32"/>
  <c r="W596" i="32"/>
  <c r="W628" i="32" s="1"/>
  <c r="W532" i="32" s="1"/>
  <c r="W466" i="32"/>
  <c r="W585" i="32"/>
  <c r="W455" i="32"/>
  <c r="W591" i="32"/>
  <c r="W623" i="32" s="1"/>
  <c r="W527" i="32" s="1"/>
  <c r="W461" i="32"/>
  <c r="W580" i="32"/>
  <c r="W612" i="32" s="1"/>
  <c r="W516" i="32" s="1"/>
  <c r="W450" i="32"/>
  <c r="W586" i="32"/>
  <c r="W618" i="32" s="1"/>
  <c r="W522" i="32" s="1"/>
  <c r="W456" i="32"/>
  <c r="W597" i="32"/>
  <c r="W629" i="32" s="1"/>
  <c r="W533" i="32" s="1"/>
  <c r="W467" i="32"/>
  <c r="W575" i="32"/>
  <c r="W607" i="32" s="1"/>
  <c r="W511" i="32" s="1"/>
  <c r="W445" i="32"/>
  <c r="W581" i="32"/>
  <c r="W451" i="32"/>
  <c r="W592" i="32"/>
  <c r="W624" i="32" s="1"/>
  <c r="W528" i="32" s="1"/>
  <c r="W462" i="32"/>
  <c r="W570" i="32"/>
  <c r="W440" i="32"/>
  <c r="W576" i="32"/>
  <c r="W608" i="32" s="1"/>
  <c r="W512" i="32" s="1"/>
  <c r="W446" i="32"/>
  <c r="W587" i="32"/>
  <c r="W619" i="32" s="1"/>
  <c r="W523" i="32" s="1"/>
  <c r="W457" i="32"/>
  <c r="W593" i="32"/>
  <c r="W625" i="32" s="1"/>
  <c r="W529" i="32" s="1"/>
  <c r="W463" i="32"/>
  <c r="W571" i="32"/>
  <c r="W441" i="32"/>
  <c r="W582" i="32"/>
  <c r="W614" i="32" s="1"/>
  <c r="W518" i="32" s="1"/>
  <c r="W452" i="32"/>
  <c r="W590" i="32"/>
  <c r="W622" i="32" s="1"/>
  <c r="W526" i="32" s="1"/>
  <c r="W460" i="32"/>
  <c r="W574" i="32"/>
  <c r="W444" i="32"/>
  <c r="W588" i="32"/>
  <c r="W458" i="32"/>
  <c r="W594" i="32"/>
  <c r="W464" i="32"/>
  <c r="W577" i="32"/>
  <c r="W609" i="32" s="1"/>
  <c r="W513" i="32" s="1"/>
  <c r="W447" i="32"/>
  <c r="U890" i="32"/>
  <c r="W583" i="32"/>
  <c r="W615" i="32" s="1"/>
  <c r="W453" i="32"/>
  <c r="W589" i="32"/>
  <c r="W621" i="32" s="1"/>
  <c r="W459" i="32"/>
  <c r="W572" i="32"/>
  <c r="W442" i="32"/>
  <c r="S236" i="32"/>
  <c r="S237" i="32" s="1"/>
  <c r="W578" i="32"/>
  <c r="W610" i="32" s="1"/>
  <c r="W514" i="32" s="1"/>
  <c r="W448" i="32"/>
  <c r="W584" i="32"/>
  <c r="W616" i="32" s="1"/>
  <c r="W520" i="32" s="1"/>
  <c r="W454" i="32"/>
  <c r="W595" i="32"/>
  <c r="W627" i="32" s="1"/>
  <c r="W465" i="32"/>
  <c r="W573" i="32"/>
  <c r="W443" i="32"/>
  <c r="W579" i="32"/>
  <c r="W611" i="32" s="1"/>
  <c r="W515" i="32" s="1"/>
  <c r="W449" i="32"/>
  <c r="V782" i="32"/>
  <c r="V878" i="32"/>
  <c r="V784" i="32"/>
  <c r="V880" i="32"/>
  <c r="V783" i="32"/>
  <c r="V879" i="32"/>
  <c r="V788" i="32"/>
  <c r="V884" i="32"/>
  <c r="V793" i="32"/>
  <c r="V889" i="32"/>
  <c r="V768" i="32"/>
  <c r="V864" i="32"/>
  <c r="V779" i="32"/>
  <c r="V875" i="32"/>
  <c r="V791" i="32"/>
  <c r="V887" i="32"/>
  <c r="V785" i="32"/>
  <c r="V881" i="32"/>
  <c r="U760" i="32"/>
  <c r="V776" i="32"/>
  <c r="V872" i="32"/>
  <c r="V773" i="32"/>
  <c r="V869" i="32"/>
  <c r="V789" i="32"/>
  <c r="V885" i="32"/>
  <c r="V771" i="32"/>
  <c r="V867" i="32"/>
  <c r="V770" i="32"/>
  <c r="V866" i="32"/>
  <c r="V774" i="32"/>
  <c r="V870" i="32"/>
  <c r="V767" i="32"/>
  <c r="V863" i="32"/>
  <c r="V772" i="32"/>
  <c r="V868" i="32"/>
  <c r="V777" i="32"/>
  <c r="V873" i="32"/>
  <c r="V792" i="32"/>
  <c r="V888" i="32"/>
  <c r="V786" i="32"/>
  <c r="V882" i="32"/>
  <c r="V790" i="32"/>
  <c r="V886" i="32"/>
  <c r="V778" i="32"/>
  <c r="V874" i="32"/>
  <c r="U794" i="32"/>
  <c r="V769" i="32"/>
  <c r="V865" i="32"/>
  <c r="V781" i="32"/>
  <c r="V877" i="32"/>
  <c r="V775" i="32"/>
  <c r="V871" i="32"/>
  <c r="V780" i="32"/>
  <c r="V876" i="32"/>
  <c r="V787" i="32"/>
  <c r="V883" i="32"/>
  <c r="V656" i="32"/>
  <c r="V752" i="32"/>
  <c r="V643" i="32"/>
  <c r="V739" i="32"/>
  <c r="V659" i="32"/>
  <c r="V755" i="32"/>
  <c r="V641" i="32"/>
  <c r="V737" i="32"/>
  <c r="V640" i="32"/>
  <c r="V736" i="32"/>
  <c r="V644" i="32"/>
  <c r="V740" i="32"/>
  <c r="V650" i="32"/>
  <c r="V746" i="32"/>
  <c r="V657" i="32"/>
  <c r="V753" i="32"/>
  <c r="V654" i="32"/>
  <c r="V750" i="32"/>
  <c r="V653" i="32"/>
  <c r="V749" i="32"/>
  <c r="V658" i="32"/>
  <c r="V754" i="32"/>
  <c r="V663" i="32"/>
  <c r="V759" i="32"/>
  <c r="V638" i="32"/>
  <c r="V734" i="32"/>
  <c r="V660" i="32"/>
  <c r="V756" i="32"/>
  <c r="V648" i="32"/>
  <c r="V744" i="32"/>
  <c r="V639" i="32"/>
  <c r="V735" i="32"/>
  <c r="V651" i="32"/>
  <c r="V747" i="32"/>
  <c r="V645" i="32"/>
  <c r="V741" i="32"/>
  <c r="V652" i="32"/>
  <c r="V748" i="32"/>
  <c r="V649" i="32"/>
  <c r="V745" i="32"/>
  <c r="U664" i="32"/>
  <c r="V661" i="32"/>
  <c r="V757" i="32"/>
  <c r="V655" i="32"/>
  <c r="V751" i="32"/>
  <c r="V646" i="32"/>
  <c r="V742" i="32"/>
  <c r="V637" i="32"/>
  <c r="V733" i="32"/>
  <c r="V642" i="32"/>
  <c r="V738" i="32"/>
  <c r="V647" i="32"/>
  <c r="V743" i="32"/>
  <c r="V662" i="32"/>
  <c r="V758" i="32"/>
  <c r="W371" i="32"/>
  <c r="W373" i="32"/>
  <c r="W370" i="32"/>
  <c r="W372" i="32"/>
  <c r="W369" i="32"/>
  <c r="W362" i="32"/>
  <c r="W360" i="32"/>
  <c r="W364" i="32"/>
  <c r="W361" i="32"/>
  <c r="W363" i="32"/>
  <c r="T235" i="32" a="1"/>
  <c r="T235" i="32" s="1"/>
  <c r="T234" i="32" a="1"/>
  <c r="T234" i="32" s="1"/>
  <c r="V374" i="32"/>
  <c r="V52" i="32" s="1"/>
  <c r="V365" i="32"/>
  <c r="U227" i="32" a="1"/>
  <c r="U227" i="32" s="1"/>
  <c r="U233" i="32" a="1"/>
  <c r="U233" i="32" s="1"/>
  <c r="U230" i="32" a="1"/>
  <c r="U230" i="32" s="1"/>
  <c r="U231" i="32" a="1"/>
  <c r="U231" i="32" s="1"/>
  <c r="U224" i="32" a="1"/>
  <c r="U224" i="32" s="1"/>
  <c r="U229" i="32" a="1"/>
  <c r="U229" i="32" s="1"/>
  <c r="U232" i="32" a="1"/>
  <c r="U232" i="32" s="1"/>
  <c r="U228" i="32" a="1"/>
  <c r="U228" i="32" s="1"/>
  <c r="U226" i="32" a="1"/>
  <c r="U226" i="32" s="1"/>
  <c r="U223" i="32" a="1"/>
  <c r="U223" i="32" s="1"/>
  <c r="U225" i="32" a="1"/>
  <c r="U225" i="32" s="1"/>
  <c r="U244" i="32"/>
  <c r="U220" i="32"/>
  <c r="V209" i="32"/>
  <c r="V204" i="32"/>
  <c r="V212" i="32"/>
  <c r="V207" i="32"/>
  <c r="V210" i="32"/>
  <c r="T299" i="32"/>
  <c r="T313" i="32" s="1"/>
  <c r="T303" i="32"/>
  <c r="V205" i="32"/>
  <c r="V213" i="32"/>
  <c r="V208" i="32"/>
  <c r="U295" i="32"/>
  <c r="U309" i="32" s="1"/>
  <c r="U298" i="32"/>
  <c r="U312" i="32" s="1"/>
  <c r="U605" i="32" s="1"/>
  <c r="U509" i="32" s="1"/>
  <c r="U291" i="32"/>
  <c r="U305" i="32" s="1"/>
  <c r="U294" i="32"/>
  <c r="U308" i="32" s="1"/>
  <c r="U297" i="32"/>
  <c r="U311" i="32" s="1"/>
  <c r="U604" i="32" s="1"/>
  <c r="U508" i="32" s="1"/>
  <c r="U289" i="32"/>
  <c r="U296" i="32"/>
  <c r="U310" i="32" s="1"/>
  <c r="U603" i="32" s="1"/>
  <c r="U507" i="32" s="1"/>
  <c r="U290" i="32"/>
  <c r="U304" i="32" s="1"/>
  <c r="U293" i="32"/>
  <c r="U307" i="32" s="1"/>
  <c r="U292" i="32"/>
  <c r="U306" i="32" s="1"/>
  <c r="V206" i="32"/>
  <c r="V211" i="32"/>
  <c r="U281" i="32" a="1"/>
  <c r="U281" i="32" s="1"/>
  <c r="U280" i="32" a="1"/>
  <c r="U280" i="32" s="1"/>
  <c r="U279" i="32" a="1"/>
  <c r="U279" i="32" s="1"/>
  <c r="U277" i="32" a="1"/>
  <c r="U277" i="32" s="1"/>
  <c r="U282" i="32" a="1"/>
  <c r="U282" i="32" s="1"/>
  <c r="T278" i="32"/>
  <c r="T283" i="32" s="1"/>
  <c r="T264" i="32"/>
  <c r="R53" i="32"/>
  <c r="U620" i="32"/>
  <c r="U524" i="32" s="1"/>
  <c r="U330" i="32"/>
  <c r="U332" i="32" s="1"/>
  <c r="U262" i="32" a="1"/>
  <c r="U262" i="32" s="1"/>
  <c r="U261" i="32" a="1"/>
  <c r="U261" i="32" s="1"/>
  <c r="U263" i="32"/>
  <c r="T534" i="32"/>
  <c r="V320" i="32"/>
  <c r="U613" i="32"/>
  <c r="V602" i="32"/>
  <c r="T598" i="32"/>
  <c r="T630" i="32"/>
  <c r="W845" i="32"/>
  <c r="W715" i="32"/>
  <c r="W840" i="32"/>
  <c r="W710" i="32"/>
  <c r="W846" i="32"/>
  <c r="W716" i="32"/>
  <c r="W857" i="32"/>
  <c r="W727" i="32"/>
  <c r="V858" i="32"/>
  <c r="V766" i="32"/>
  <c r="W835" i="32"/>
  <c r="W705" i="32"/>
  <c r="W841" i="32"/>
  <c r="W711" i="32"/>
  <c r="W852" i="32"/>
  <c r="W722" i="32"/>
  <c r="W856" i="32"/>
  <c r="W726" i="32"/>
  <c r="W834" i="32"/>
  <c r="W704" i="32"/>
  <c r="W830" i="32"/>
  <c r="W862" i="32" s="1"/>
  <c r="W700" i="32"/>
  <c r="W732" i="32" s="1"/>
  <c r="W836" i="32"/>
  <c r="W706" i="32"/>
  <c r="W847" i="32"/>
  <c r="W717" i="32"/>
  <c r="W853" i="32"/>
  <c r="W723" i="32"/>
  <c r="W831" i="32"/>
  <c r="W701" i="32"/>
  <c r="W842" i="32"/>
  <c r="W712" i="32"/>
  <c r="W850" i="32"/>
  <c r="W720" i="32"/>
  <c r="W851" i="32"/>
  <c r="W721" i="32"/>
  <c r="V636" i="32"/>
  <c r="V728" i="32"/>
  <c r="W848" i="32"/>
  <c r="W718" i="32"/>
  <c r="W854" i="32"/>
  <c r="W724" i="32"/>
  <c r="W837" i="32"/>
  <c r="W707" i="32"/>
  <c r="W519" i="32"/>
  <c r="W843" i="32"/>
  <c r="W713" i="32"/>
  <c r="W525" i="32"/>
  <c r="W849" i="32"/>
  <c r="W719" i="32"/>
  <c r="W832" i="32"/>
  <c r="W702" i="32"/>
  <c r="W838" i="32"/>
  <c r="W708" i="32"/>
  <c r="W844" i="32"/>
  <c r="W714" i="32"/>
  <c r="W531" i="32"/>
  <c r="W855" i="32"/>
  <c r="W725" i="32"/>
  <c r="W833" i="32"/>
  <c r="W703" i="32"/>
  <c r="W839" i="32"/>
  <c r="W709" i="32"/>
  <c r="T106" i="32"/>
  <c r="V938" i="32"/>
  <c r="W897" i="32"/>
  <c r="W896" i="32"/>
  <c r="W909" i="32"/>
  <c r="W910" i="32"/>
  <c r="W911" i="32"/>
  <c r="W912" i="32"/>
  <c r="W901" i="32"/>
  <c r="W913" i="32"/>
  <c r="W926" i="32"/>
  <c r="W902" i="32"/>
  <c r="W914" i="32"/>
  <c r="W915" i="32"/>
  <c r="W900" i="32"/>
  <c r="W903" i="32"/>
  <c r="W916" i="32"/>
  <c r="W928" i="32"/>
  <c r="W904" i="32"/>
  <c r="W905" i="32"/>
  <c r="W898" i="32"/>
  <c r="W906" i="32"/>
  <c r="W918" i="32"/>
  <c r="W930" i="32"/>
  <c r="W935" i="32"/>
  <c r="W899" i="32"/>
  <c r="W917" i="32"/>
  <c r="W920" i="32"/>
  <c r="W929" i="32"/>
  <c r="W922" i="32"/>
  <c r="W924" i="32"/>
  <c r="W933" i="32"/>
  <c r="W936" i="32"/>
  <c r="W908" i="32"/>
  <c r="W931" i="32"/>
  <c r="W907" i="32"/>
  <c r="W932" i="32"/>
  <c r="W927" i="32"/>
  <c r="W934" i="32"/>
  <c r="W937" i="32"/>
  <c r="W919" i="32"/>
  <c r="W921" i="32"/>
  <c r="W923" i="32"/>
  <c r="W925" i="32"/>
  <c r="V606" i="32"/>
  <c r="V510" i="32" s="1"/>
  <c r="W500" i="32"/>
  <c r="W42" i="32" s="1"/>
  <c r="W31" i="32" s="1"/>
  <c r="V186" i="32"/>
  <c r="V214" i="32" s="1"/>
  <c r="W178" i="32"/>
  <c r="W183" i="32"/>
  <c r="W180" i="32"/>
  <c r="W185" i="32"/>
  <c r="W177" i="32"/>
  <c r="W182" i="32"/>
  <c r="W179" i="32"/>
  <c r="W176" i="32"/>
  <c r="W181" i="32"/>
  <c r="W184" i="32"/>
  <c r="X410" i="32"/>
  <c r="X415" i="32"/>
  <c r="X420" i="32"/>
  <c r="X425" i="32"/>
  <c r="X430" i="32"/>
  <c r="X435" i="32"/>
  <c r="X412" i="32"/>
  <c r="X417" i="32"/>
  <c r="X422" i="32"/>
  <c r="X427" i="32"/>
  <c r="X432" i="32"/>
  <c r="X409" i="32"/>
  <c r="X414" i="32"/>
  <c r="X419" i="32"/>
  <c r="X424" i="32"/>
  <c r="X429" i="32"/>
  <c r="X434" i="32"/>
  <c r="X411" i="32"/>
  <c r="X416" i="32"/>
  <c r="X421" i="32"/>
  <c r="X426" i="32"/>
  <c r="X431" i="32"/>
  <c r="X408" i="32"/>
  <c r="X413" i="32"/>
  <c r="X418" i="32"/>
  <c r="X423" i="32"/>
  <c r="X428" i="32"/>
  <c r="X433" i="32"/>
  <c r="Y407" i="32"/>
  <c r="W436" i="32"/>
  <c r="T271" i="32"/>
  <c r="S383" i="32"/>
  <c r="S51" i="32" s="1"/>
  <c r="S32" i="32" s="1"/>
  <c r="V346" i="32"/>
  <c r="W353" i="32"/>
  <c r="W355" i="32"/>
  <c r="W352" i="32"/>
  <c r="W354" i="32"/>
  <c r="W351" i="32"/>
  <c r="V356" i="32"/>
  <c r="X340" i="32"/>
  <c r="W341" i="32"/>
  <c r="W378" i="32" s="1"/>
  <c r="W343" i="32"/>
  <c r="W380" i="32" s="1"/>
  <c r="W345" i="32"/>
  <c r="W382" i="32" s="1"/>
  <c r="W342" i="32"/>
  <c r="W379" i="32" s="1"/>
  <c r="W344" i="32"/>
  <c r="W381" i="32" s="1"/>
  <c r="V222" i="32"/>
  <c r="U245" i="32"/>
  <c r="U238" i="32"/>
  <c r="X359" i="32"/>
  <c r="V260" i="32"/>
  <c r="U266" i="32"/>
  <c r="U265" i="32"/>
  <c r="X146" i="32"/>
  <c r="W148" i="32" a="1"/>
  <c r="W148" i="32" s="1"/>
  <c r="W153" i="32" a="1"/>
  <c r="W153" i="32" s="1"/>
  <c r="W160" i="32" a="1"/>
  <c r="W160" i="32" s="1"/>
  <c r="W150" i="32" a="1"/>
  <c r="W150" i="32" s="1"/>
  <c r="W157" i="32" a="1"/>
  <c r="W157" i="32" s="1"/>
  <c r="W147" i="32" a="1"/>
  <c r="W147" i="32" s="1"/>
  <c r="W152" i="32" a="1"/>
  <c r="W152" i="32" s="1"/>
  <c r="W170" i="32" a="1"/>
  <c r="W170" i="32" s="1"/>
  <c r="W159" i="32" a="1"/>
  <c r="W159" i="32" s="1"/>
  <c r="W169" i="32" a="1"/>
  <c r="W169" i="32" s="1"/>
  <c r="W149" i="32" a="1"/>
  <c r="W149" i="32" s="1"/>
  <c r="W154" i="32" a="1"/>
  <c r="W154" i="32" s="1"/>
  <c r="W162" i="32" a="1"/>
  <c r="W162" i="32" s="1"/>
  <c r="W151" i="32" a="1"/>
  <c r="W151" i="32" s="1"/>
  <c r="W158" i="32" a="1"/>
  <c r="W158" i="32" s="1"/>
  <c r="W163" i="32" a="1"/>
  <c r="W163" i="32" s="1"/>
  <c r="W155" i="32" a="1"/>
  <c r="W155" i="32" s="1"/>
  <c r="W156" i="32" a="1"/>
  <c r="W156" i="32" s="1"/>
  <c r="V50" i="32" a="1"/>
  <c r="V50" i="32" s="1"/>
  <c r="V48" i="32" a="1"/>
  <c r="V48" i="32" s="1"/>
  <c r="V49" i="32" a="1"/>
  <c r="V49" i="32" s="1"/>
  <c r="V47" i="32" a="1"/>
  <c r="V47" i="32" s="1"/>
  <c r="V327" i="32"/>
  <c r="V329" i="32" s="1"/>
  <c r="U324" i="32"/>
  <c r="U617" i="32" s="1"/>
  <c r="U521" i="32" s="1"/>
  <c r="U333" i="32"/>
  <c r="U626" i="32" s="1"/>
  <c r="U530" i="32" s="1"/>
  <c r="U130" i="32" a="1"/>
  <c r="U130" i="32" s="1"/>
  <c r="U129" i="32" a="1"/>
  <c r="U129" i="32" s="1"/>
  <c r="U120" i="32" a="1"/>
  <c r="U120" i="32" s="1"/>
  <c r="U127" i="32" a="1"/>
  <c r="U127" i="32" s="1"/>
  <c r="U93" i="32" a="1"/>
  <c r="U93" i="32" s="1"/>
  <c r="U86" i="32" a="1"/>
  <c r="U86" i="32" s="1"/>
  <c r="U122" i="32" a="1"/>
  <c r="U122" i="32" s="1"/>
  <c r="U92" i="32" a="1"/>
  <c r="U92" i="32" s="1"/>
  <c r="U87" i="32" a="1"/>
  <c r="U87" i="32" s="1"/>
  <c r="U72" i="32" a="1"/>
  <c r="U72" i="32" s="1"/>
  <c r="U128" i="32" a="1"/>
  <c r="U128" i="32" s="1"/>
  <c r="U121" i="32" a="1"/>
  <c r="U121" i="32" s="1"/>
  <c r="U119" i="32" a="1"/>
  <c r="U119" i="32" s="1"/>
  <c r="U90" i="32" a="1"/>
  <c r="U90" i="32" s="1"/>
  <c r="U91" i="32" a="1"/>
  <c r="U91" i="32" s="1"/>
  <c r="U83" i="32" a="1"/>
  <c r="U83" i="32" s="1"/>
  <c r="U81" i="32" a="1"/>
  <c r="U81" i="32" s="1"/>
  <c r="U80" i="32" a="1"/>
  <c r="U80" i="32" s="1"/>
  <c r="U74" i="32" a="1"/>
  <c r="U74" i="32" s="1"/>
  <c r="U70" i="32" a="1"/>
  <c r="U70" i="32" s="1"/>
  <c r="U85" i="32" a="1"/>
  <c r="U85" i="32" s="1"/>
  <c r="U63" i="32" a="1"/>
  <c r="U63" i="32" s="1"/>
  <c r="U62" i="32" a="1"/>
  <c r="U62" i="32" s="1"/>
  <c r="U84" i="32" a="1"/>
  <c r="U84" i="32" s="1"/>
  <c r="U82" i="32" a="1"/>
  <c r="U82" i="32" s="1"/>
  <c r="U79" i="32" a="1"/>
  <c r="U79" i="32" s="1"/>
  <c r="U65" i="32" a="1"/>
  <c r="U65" i="32" s="1"/>
  <c r="U67" i="32" a="1"/>
  <c r="U67" i="32" s="1"/>
  <c r="U88" i="32" a="1"/>
  <c r="U88" i="32" s="1"/>
  <c r="U69" i="32" a="1"/>
  <c r="U69" i="32" s="1"/>
  <c r="U73" i="32" a="1"/>
  <c r="U73" i="32" s="1"/>
  <c r="U64" i="32" a="1"/>
  <c r="U64" i="32" s="1"/>
  <c r="U89" i="32" a="1"/>
  <c r="U89" i="32" s="1"/>
  <c r="U66" i="32" a="1"/>
  <c r="U66" i="32" s="1"/>
  <c r="U61" i="32" a="1"/>
  <c r="U61" i="32" s="1"/>
  <c r="U71" i="32" a="1"/>
  <c r="U71" i="32" s="1"/>
  <c r="U68" i="32" a="1"/>
  <c r="U68" i="32" s="1"/>
  <c r="T110" i="32"/>
  <c r="T104" i="32"/>
  <c r="W37" i="32"/>
  <c r="T107" i="32"/>
  <c r="T100" i="32"/>
  <c r="T103" i="32"/>
  <c r="T109" i="32"/>
  <c r="T101" i="32"/>
  <c r="T108" i="32"/>
  <c r="T111" i="32"/>
  <c r="T98" i="32"/>
  <c r="T99" i="32"/>
  <c r="S112" i="32"/>
  <c r="T102" i="32"/>
  <c r="T105" i="32"/>
  <c r="S43" i="32"/>
  <c r="S27" i="32"/>
  <c r="R33" i="32"/>
  <c r="R34" i="32" s="1"/>
  <c r="S28" i="32"/>
  <c r="T29" i="32"/>
  <c r="S30" i="32"/>
  <c r="S164" i="32"/>
  <c r="T136" i="32"/>
  <c r="T94" i="32"/>
  <c r="T138" i="32"/>
  <c r="T131" i="32"/>
  <c r="T135" i="32"/>
  <c r="T75" i="32"/>
  <c r="V60" i="32"/>
  <c r="T137" i="32"/>
  <c r="S139" i="32"/>
  <c r="T123" i="32"/>
  <c r="V21" i="32" l="1"/>
  <c r="U23" i="32"/>
  <c r="U26" i="32"/>
  <c r="U22" i="32"/>
  <c r="U24" i="32"/>
  <c r="U25" i="32"/>
  <c r="X161" i="32" a="1"/>
  <c r="X161" i="32" s="1"/>
  <c r="X331" i="32" s="1"/>
  <c r="X165" i="32" a="1"/>
  <c r="X165" i="32" s="1"/>
  <c r="W40" i="32" a="1"/>
  <c r="W40" i="32" s="1"/>
  <c r="W41" i="32" a="1"/>
  <c r="W41" i="32" s="1"/>
  <c r="W39" i="32" a="1"/>
  <c r="W39" i="32" s="1"/>
  <c r="W38" i="32" a="1"/>
  <c r="W38" i="32" s="1"/>
  <c r="Y473" i="32"/>
  <c r="Y478" i="32"/>
  <c r="Y483" i="32"/>
  <c r="Y488" i="32"/>
  <c r="Y493" i="32"/>
  <c r="Y498" i="32"/>
  <c r="Y475" i="32"/>
  <c r="Y480" i="32"/>
  <c r="Y485" i="32"/>
  <c r="Y490" i="32"/>
  <c r="Y495" i="32"/>
  <c r="Y472" i="32"/>
  <c r="Y477" i="32"/>
  <c r="Y482" i="32"/>
  <c r="Y487" i="32"/>
  <c r="Y492" i="32"/>
  <c r="Y497" i="32"/>
  <c r="Y474" i="32"/>
  <c r="Y479" i="32"/>
  <c r="Y484" i="32"/>
  <c r="Y489" i="32"/>
  <c r="Y494" i="32"/>
  <c r="Y499" i="32"/>
  <c r="Y476" i="32"/>
  <c r="Y481" i="32"/>
  <c r="Y486" i="32"/>
  <c r="Y491" i="32"/>
  <c r="Y496" i="32"/>
  <c r="V890" i="32"/>
  <c r="W468" i="32"/>
  <c r="X590" i="32"/>
  <c r="X622" i="32" s="1"/>
  <c r="X460" i="32"/>
  <c r="X596" i="32"/>
  <c r="X628" i="32" s="1"/>
  <c r="X532" i="32" s="1"/>
  <c r="X466" i="32"/>
  <c r="X574" i="32"/>
  <c r="X444" i="32"/>
  <c r="X580" i="32"/>
  <c r="X612" i="32" s="1"/>
  <c r="X516" i="32" s="1"/>
  <c r="X450" i="32"/>
  <c r="X586" i="32"/>
  <c r="X618" i="32" s="1"/>
  <c r="X522" i="32" s="1"/>
  <c r="X456" i="32"/>
  <c r="X592" i="32"/>
  <c r="X624" i="32" s="1"/>
  <c r="X462" i="32"/>
  <c r="X575" i="32"/>
  <c r="X607" i="32" s="1"/>
  <c r="X511" i="32" s="1"/>
  <c r="X445" i="32"/>
  <c r="X581" i="32"/>
  <c r="X451" i="32"/>
  <c r="X587" i="32"/>
  <c r="X619" i="32" s="1"/>
  <c r="X523" i="32" s="1"/>
  <c r="X457" i="32"/>
  <c r="X570" i="32"/>
  <c r="X440" i="32"/>
  <c r="X576" i="32"/>
  <c r="X608" i="32" s="1"/>
  <c r="X446" i="32"/>
  <c r="X582" i="32"/>
  <c r="X614" i="32" s="1"/>
  <c r="X518" i="32" s="1"/>
  <c r="X452" i="32"/>
  <c r="X593" i="32"/>
  <c r="X625" i="32" s="1"/>
  <c r="X529" i="32" s="1"/>
  <c r="X463" i="32"/>
  <c r="X571" i="32"/>
  <c r="X441" i="32"/>
  <c r="X577" i="32"/>
  <c r="X609" i="32" s="1"/>
  <c r="X513" i="32" s="1"/>
  <c r="X447" i="32"/>
  <c r="X585" i="32"/>
  <c r="X455" i="32"/>
  <c r="X591" i="32"/>
  <c r="X623" i="32" s="1"/>
  <c r="X527" i="32" s="1"/>
  <c r="X461" i="32"/>
  <c r="X597" i="32"/>
  <c r="X629" i="32" s="1"/>
  <c r="X533" i="32" s="1"/>
  <c r="X467" i="32"/>
  <c r="X588" i="32"/>
  <c r="X458" i="32"/>
  <c r="X594" i="32"/>
  <c r="X464" i="32"/>
  <c r="X572" i="32"/>
  <c r="X442" i="32"/>
  <c r="X583" i="32"/>
  <c r="X615" i="32" s="1"/>
  <c r="X519" i="32" s="1"/>
  <c r="X453" i="32"/>
  <c r="X589" i="32"/>
  <c r="X621" i="32" s="1"/>
  <c r="X525" i="32" s="1"/>
  <c r="X459" i="32"/>
  <c r="X578" i="32"/>
  <c r="X610" i="32" s="1"/>
  <c r="X514" i="32" s="1"/>
  <c r="X448" i="32"/>
  <c r="X584" i="32"/>
  <c r="X616" i="32" s="1"/>
  <c r="X520" i="32" s="1"/>
  <c r="X454" i="32"/>
  <c r="X595" i="32"/>
  <c r="X627" i="32" s="1"/>
  <c r="X465" i="32"/>
  <c r="X573" i="32"/>
  <c r="X443" i="32"/>
  <c r="X579" i="32"/>
  <c r="X611" i="32" s="1"/>
  <c r="X515" i="32" s="1"/>
  <c r="X449" i="32"/>
  <c r="W767" i="32"/>
  <c r="W863" i="32"/>
  <c r="W779" i="32"/>
  <c r="W875" i="32"/>
  <c r="W787" i="32"/>
  <c r="W883" i="32"/>
  <c r="W777" i="32"/>
  <c r="W873" i="32"/>
  <c r="W782" i="32"/>
  <c r="W878" i="32"/>
  <c r="W773" i="32"/>
  <c r="W869" i="32"/>
  <c r="W789" i="32"/>
  <c r="W885" i="32"/>
  <c r="V760" i="32"/>
  <c r="W784" i="32"/>
  <c r="W880" i="32"/>
  <c r="W780" i="32"/>
  <c r="W876" i="32"/>
  <c r="W793" i="32"/>
  <c r="W889" i="32"/>
  <c r="W775" i="32"/>
  <c r="W871" i="32"/>
  <c r="W774" i="32"/>
  <c r="W870" i="32"/>
  <c r="W769" i="32"/>
  <c r="W865" i="32"/>
  <c r="W770" i="32"/>
  <c r="W866" i="32"/>
  <c r="W771" i="32"/>
  <c r="W867" i="32"/>
  <c r="W772" i="32"/>
  <c r="W868" i="32"/>
  <c r="W788" i="32"/>
  <c r="W884" i="32"/>
  <c r="W768" i="32"/>
  <c r="W864" i="32"/>
  <c r="W786" i="32"/>
  <c r="W882" i="32"/>
  <c r="W776" i="32"/>
  <c r="W872" i="32"/>
  <c r="W791" i="32"/>
  <c r="W887" i="32"/>
  <c r="W790" i="32"/>
  <c r="W886" i="32"/>
  <c r="W783" i="32"/>
  <c r="W879" i="32"/>
  <c r="W792" i="32"/>
  <c r="W888" i="32"/>
  <c r="V794" i="32"/>
  <c r="W778" i="32"/>
  <c r="W874" i="32"/>
  <c r="W781" i="32"/>
  <c r="W877" i="32"/>
  <c r="U108" i="32"/>
  <c r="W785" i="32"/>
  <c r="W881" i="32"/>
  <c r="W639" i="32"/>
  <c r="W735" i="32"/>
  <c r="W640" i="32"/>
  <c r="W736" i="32"/>
  <c r="W641" i="32"/>
  <c r="W737" i="32"/>
  <c r="W655" i="32"/>
  <c r="W751" i="32"/>
  <c r="W654" i="32"/>
  <c r="W750" i="32"/>
  <c r="W648" i="32"/>
  <c r="W744" i="32"/>
  <c r="W651" i="32"/>
  <c r="W747" i="32"/>
  <c r="W661" i="32"/>
  <c r="W757" i="32"/>
  <c r="W660" i="32"/>
  <c r="W756" i="32"/>
  <c r="W653" i="32"/>
  <c r="W749" i="32"/>
  <c r="W662" i="32"/>
  <c r="W758" i="32"/>
  <c r="W650" i="32"/>
  <c r="W746" i="32"/>
  <c r="W642" i="32"/>
  <c r="W738" i="32"/>
  <c r="W658" i="32"/>
  <c r="W754" i="32"/>
  <c r="W663" i="32"/>
  <c r="W759" i="32"/>
  <c r="W649" i="32"/>
  <c r="W745" i="32"/>
  <c r="W645" i="32"/>
  <c r="W741" i="32"/>
  <c r="V664" i="32"/>
  <c r="W637" i="32"/>
  <c r="W733" i="32"/>
  <c r="W644" i="32"/>
  <c r="W740" i="32"/>
  <c r="W657" i="32"/>
  <c r="W753" i="32"/>
  <c r="W647" i="32"/>
  <c r="W743" i="32"/>
  <c r="W652" i="32"/>
  <c r="W748" i="32"/>
  <c r="W638" i="32"/>
  <c r="W734" i="32"/>
  <c r="W656" i="32"/>
  <c r="W752" i="32"/>
  <c r="W646" i="32"/>
  <c r="W742" i="32"/>
  <c r="W643" i="32"/>
  <c r="W739" i="32"/>
  <c r="W659" i="32"/>
  <c r="W755" i="32"/>
  <c r="T236" i="32"/>
  <c r="T237" i="32" s="1"/>
  <c r="U234" i="32" a="1"/>
  <c r="U234" i="32" s="1"/>
  <c r="U235" i="32" a="1"/>
  <c r="U235" i="32" s="1"/>
  <c r="W365" i="32"/>
  <c r="W374" i="32"/>
  <c r="W52" i="32" s="1"/>
  <c r="V230" i="32" a="1"/>
  <c r="V230" i="32" s="1"/>
  <c r="V228" i="32" a="1"/>
  <c r="V228" i="32" s="1"/>
  <c r="V227" i="32" a="1"/>
  <c r="V227" i="32" s="1"/>
  <c r="V233" i="32" a="1"/>
  <c r="V233" i="32" s="1"/>
  <c r="V231" i="32" a="1"/>
  <c r="V231" i="32" s="1"/>
  <c r="V224" i="32" a="1"/>
  <c r="V224" i="32" s="1"/>
  <c r="V229" i="32" a="1"/>
  <c r="V229" i="32" s="1"/>
  <c r="V232" i="32" a="1"/>
  <c r="V232" i="32" s="1"/>
  <c r="V225" i="32" a="1"/>
  <c r="V225" i="32" s="1"/>
  <c r="V226" i="32" a="1"/>
  <c r="V226" i="32" s="1"/>
  <c r="V223" i="32" a="1"/>
  <c r="V223" i="32" s="1"/>
  <c r="X371" i="32"/>
  <c r="X373" i="32"/>
  <c r="X370" i="32"/>
  <c r="X372" i="32"/>
  <c r="X369" i="32"/>
  <c r="X362" i="32"/>
  <c r="X364" i="32"/>
  <c r="X361" i="32"/>
  <c r="X363" i="32"/>
  <c r="X360" i="32"/>
  <c r="S53" i="32"/>
  <c r="V244" i="32"/>
  <c r="V220" i="32"/>
  <c r="W205" i="32"/>
  <c r="W213" i="32"/>
  <c r="W208" i="32"/>
  <c r="W211" i="32"/>
  <c r="W206" i="32"/>
  <c r="V290" i="32"/>
  <c r="V304" i="32" s="1"/>
  <c r="V295" i="32"/>
  <c r="V309" i="32" s="1"/>
  <c r="V289" i="32"/>
  <c r="V292" i="32"/>
  <c r="V306" i="32" s="1"/>
  <c r="V291" i="32"/>
  <c r="V305" i="32" s="1"/>
  <c r="V297" i="32"/>
  <c r="V311" i="32" s="1"/>
  <c r="V604" i="32" s="1"/>
  <c r="V508" i="32" s="1"/>
  <c r="V296" i="32"/>
  <c r="V310" i="32" s="1"/>
  <c r="V603" i="32" s="1"/>
  <c r="V507" i="32" s="1"/>
  <c r="V294" i="32"/>
  <c r="V308" i="32" s="1"/>
  <c r="V293" i="32"/>
  <c r="V307" i="32" s="1"/>
  <c r="V298" i="32"/>
  <c r="V312" i="32" s="1"/>
  <c r="V605" i="32" s="1"/>
  <c r="V509" i="32" s="1"/>
  <c r="W212" i="32"/>
  <c r="W209" i="32"/>
  <c r="U299" i="32"/>
  <c r="U313" i="32" s="1"/>
  <c r="U303" i="32"/>
  <c r="W204" i="32"/>
  <c r="W207" i="32"/>
  <c r="W210" i="32"/>
  <c r="V277" i="32" a="1"/>
  <c r="V277" i="32" s="1"/>
  <c r="V279" i="32" a="1"/>
  <c r="V279" i="32" s="1"/>
  <c r="V282" i="32" a="1"/>
  <c r="V282" i="32" s="1"/>
  <c r="V281" i="32" a="1"/>
  <c r="V281" i="32" s="1"/>
  <c r="V280" i="32" a="1"/>
  <c r="V280" i="32" s="1"/>
  <c r="U278" i="32"/>
  <c r="U283" i="32" s="1"/>
  <c r="V620" i="32"/>
  <c r="V524" i="32" s="1"/>
  <c r="V330" i="32"/>
  <c r="V332" i="32" s="1"/>
  <c r="V262" i="32" a="1"/>
  <c r="V262" i="32" s="1"/>
  <c r="V261" i="32" a="1"/>
  <c r="V261" i="32" s="1"/>
  <c r="V263" i="32"/>
  <c r="U264" i="32"/>
  <c r="W602" i="32"/>
  <c r="U598" i="32"/>
  <c r="V506" i="32"/>
  <c r="U517" i="32"/>
  <c r="U534" i="32" s="1"/>
  <c r="U630" i="32"/>
  <c r="W320" i="32"/>
  <c r="V613" i="32"/>
  <c r="V517" i="32" s="1"/>
  <c r="X835" i="32"/>
  <c r="X705" i="32"/>
  <c r="X841" i="32"/>
  <c r="X711" i="32"/>
  <c r="X847" i="32"/>
  <c r="X717" i="32"/>
  <c r="X830" i="32"/>
  <c r="X862" i="32" s="1"/>
  <c r="X700" i="32"/>
  <c r="X732" i="32" s="1"/>
  <c r="X512" i="32"/>
  <c r="X836" i="32"/>
  <c r="X706" i="32"/>
  <c r="X842" i="32"/>
  <c r="X712" i="32"/>
  <c r="X840" i="32"/>
  <c r="X710" i="32"/>
  <c r="X853" i="32"/>
  <c r="X723" i="32"/>
  <c r="X831" i="32"/>
  <c r="X701" i="32"/>
  <c r="X837" i="32"/>
  <c r="X707" i="32"/>
  <c r="X846" i="32"/>
  <c r="X716" i="32"/>
  <c r="X528" i="32"/>
  <c r="X852" i="32"/>
  <c r="X722" i="32"/>
  <c r="X848" i="32"/>
  <c r="X718" i="32"/>
  <c r="X854" i="32"/>
  <c r="X724" i="32"/>
  <c r="X832" i="32"/>
  <c r="X702" i="32"/>
  <c r="X843" i="32"/>
  <c r="X713" i="32"/>
  <c r="X849" i="32"/>
  <c r="X719" i="32"/>
  <c r="X838" i="32"/>
  <c r="X708" i="32"/>
  <c r="X844" i="32"/>
  <c r="X714" i="32"/>
  <c r="X531" i="32"/>
  <c r="X855" i="32"/>
  <c r="X725" i="32"/>
  <c r="X833" i="32"/>
  <c r="X703" i="32"/>
  <c r="X839" i="32"/>
  <c r="X709" i="32"/>
  <c r="X526" i="32"/>
  <c r="X850" i="32"/>
  <c r="X720" i="32"/>
  <c r="X856" i="32"/>
  <c r="X726" i="32"/>
  <c r="X834" i="32"/>
  <c r="X704" i="32"/>
  <c r="W636" i="32"/>
  <c r="W728" i="32"/>
  <c r="X845" i="32"/>
  <c r="X715" i="32"/>
  <c r="X851" i="32"/>
  <c r="X721" i="32"/>
  <c r="X857" i="32"/>
  <c r="X727" i="32"/>
  <c r="W858" i="32"/>
  <c r="W766" i="32"/>
  <c r="W938" i="32"/>
  <c r="X898" i="32"/>
  <c r="X903" i="32"/>
  <c r="X908" i="32"/>
  <c r="X913" i="32"/>
  <c r="X918" i="32"/>
  <c r="X923" i="32"/>
  <c r="X900" i="32"/>
  <c r="X897" i="32"/>
  <c r="X899" i="32"/>
  <c r="X904" i="32"/>
  <c r="X909" i="32"/>
  <c r="X914" i="32"/>
  <c r="X919" i="32"/>
  <c r="X924" i="32"/>
  <c r="X910" i="32"/>
  <c r="X911" i="32"/>
  <c r="X912" i="32"/>
  <c r="X925" i="32"/>
  <c r="X901" i="32"/>
  <c r="X902" i="32"/>
  <c r="X915" i="32"/>
  <c r="X927" i="32"/>
  <c r="X896" i="32"/>
  <c r="X905" i="32"/>
  <c r="X917" i="32"/>
  <c r="X907" i="32"/>
  <c r="X916" i="32"/>
  <c r="X932" i="32"/>
  <c r="X935" i="32"/>
  <c r="X928" i="32"/>
  <c r="X920" i="32"/>
  <c r="X926" i="32"/>
  <c r="X929" i="32"/>
  <c r="X930" i="32"/>
  <c r="X906" i="32"/>
  <c r="X922" i="32"/>
  <c r="X933" i="32"/>
  <c r="X936" i="32"/>
  <c r="X921" i="32"/>
  <c r="X931" i="32"/>
  <c r="X934" i="32"/>
  <c r="X937" i="32"/>
  <c r="W606" i="32"/>
  <c r="W510" i="32" s="1"/>
  <c r="X500" i="32"/>
  <c r="X42" i="32" s="1"/>
  <c r="X31" i="32" s="1"/>
  <c r="X178" i="32"/>
  <c r="X183" i="32"/>
  <c r="X180" i="32"/>
  <c r="X185" i="32"/>
  <c r="X177" i="32"/>
  <c r="X182" i="32"/>
  <c r="X179" i="32"/>
  <c r="X184" i="32"/>
  <c r="X176" i="32"/>
  <c r="X204" i="32" s="1"/>
  <c r="X181" i="32"/>
  <c r="W186" i="32"/>
  <c r="W214" i="32" s="1"/>
  <c r="Y408" i="32"/>
  <c r="Y413" i="32"/>
  <c r="Y418" i="32"/>
  <c r="Y423" i="32"/>
  <c r="Y428" i="32"/>
  <c r="Y433" i="32"/>
  <c r="Y410" i="32"/>
  <c r="Y415" i="32"/>
  <c r="Y420" i="32"/>
  <c r="Y425" i="32"/>
  <c r="Y430" i="32"/>
  <c r="Y435" i="32"/>
  <c r="Y412" i="32"/>
  <c r="Y417" i="32"/>
  <c r="Y422" i="32"/>
  <c r="Y427" i="32"/>
  <c r="Y432" i="32"/>
  <c r="Y409" i="32"/>
  <c r="Y414" i="32"/>
  <c r="Y419" i="32"/>
  <c r="Y424" i="32"/>
  <c r="Y429" i="32"/>
  <c r="Y434" i="32"/>
  <c r="Y411" i="32"/>
  <c r="Y416" i="32"/>
  <c r="Y421" i="32"/>
  <c r="Y426" i="32"/>
  <c r="Y431" i="32"/>
  <c r="Z407" i="32"/>
  <c r="X436" i="32"/>
  <c r="T383" i="32"/>
  <c r="T51" i="32" s="1"/>
  <c r="T32" i="32" s="1"/>
  <c r="U271" i="32"/>
  <c r="W356" i="32"/>
  <c r="W346" i="32"/>
  <c r="X353" i="32"/>
  <c r="X355" i="32"/>
  <c r="X352" i="32"/>
  <c r="X354" i="32"/>
  <c r="X351" i="32"/>
  <c r="Y359" i="32"/>
  <c r="W222" i="32"/>
  <c r="V245" i="32"/>
  <c r="V238" i="32"/>
  <c r="Y146" i="32"/>
  <c r="X148" i="32" a="1"/>
  <c r="X148" i="32" s="1"/>
  <c r="X153" i="32" a="1"/>
  <c r="X153" i="32" s="1"/>
  <c r="X150" i="32" a="1"/>
  <c r="X150" i="32" s="1"/>
  <c r="X155" i="32" a="1"/>
  <c r="X155" i="32" s="1"/>
  <c r="X170" i="32" a="1"/>
  <c r="X170" i="32" s="1"/>
  <c r="X157" i="32" a="1"/>
  <c r="X157" i="32" s="1"/>
  <c r="X169" i="32" a="1"/>
  <c r="X169" i="32" s="1"/>
  <c r="X147" i="32" a="1"/>
  <c r="X147" i="32" s="1"/>
  <c r="X152" i="32" a="1"/>
  <c r="X152" i="32" s="1"/>
  <c r="X159" i="32" a="1"/>
  <c r="X159" i="32" s="1"/>
  <c r="X149" i="32" a="1"/>
  <c r="X149" i="32" s="1"/>
  <c r="X151" i="32" a="1"/>
  <c r="X151" i="32" s="1"/>
  <c r="X156" i="32" a="1"/>
  <c r="X156" i="32" s="1"/>
  <c r="X163" i="32" a="1"/>
  <c r="X163" i="32" s="1"/>
  <c r="X160" i="32" a="1"/>
  <c r="X160" i="32" s="1"/>
  <c r="X154" i="32" a="1"/>
  <c r="X154" i="32" s="1"/>
  <c r="X162" i="32" a="1"/>
  <c r="X162" i="32" s="1"/>
  <c r="X158" i="32" a="1"/>
  <c r="X158" i="32" s="1"/>
  <c r="W50" i="32" a="1"/>
  <c r="W50" i="32" s="1"/>
  <c r="W49" i="32" a="1"/>
  <c r="W49" i="32" s="1"/>
  <c r="W47" i="32" a="1"/>
  <c r="W47" i="32" s="1"/>
  <c r="W48" i="32" a="1"/>
  <c r="W48" i="32" s="1"/>
  <c r="W327" i="32"/>
  <c r="W329" i="32" s="1"/>
  <c r="V324" i="32"/>
  <c r="V617" i="32" s="1"/>
  <c r="V521" i="32" s="1"/>
  <c r="V333" i="32"/>
  <c r="V626" i="32" s="1"/>
  <c r="V530" i="32" s="1"/>
  <c r="V122" i="32" a="1"/>
  <c r="V122" i="32" s="1"/>
  <c r="V128" i="32" a="1"/>
  <c r="V128" i="32" s="1"/>
  <c r="V82" i="32" a="1"/>
  <c r="V82" i="32" s="1"/>
  <c r="V81" i="32" a="1"/>
  <c r="V81" i="32" s="1"/>
  <c r="V121" i="32" a="1"/>
  <c r="V121" i="32" s="1"/>
  <c r="V119" i="32" a="1"/>
  <c r="V119" i="32" s="1"/>
  <c r="V130" i="32" a="1"/>
  <c r="V130" i="32" s="1"/>
  <c r="V90" i="32" a="1"/>
  <c r="V90" i="32" s="1"/>
  <c r="V71" i="32" a="1"/>
  <c r="V71" i="32" s="1"/>
  <c r="V91" i="32" a="1"/>
  <c r="V91" i="32" s="1"/>
  <c r="V83" i="32" a="1"/>
  <c r="V83" i="32" s="1"/>
  <c r="V84" i="32" a="1"/>
  <c r="V84" i="32" s="1"/>
  <c r="V89" i="32" a="1"/>
  <c r="V89" i="32" s="1"/>
  <c r="V129" i="32" a="1"/>
  <c r="V129" i="32" s="1"/>
  <c r="V120" i="32" a="1"/>
  <c r="V120" i="32" s="1"/>
  <c r="V88" i="32" a="1"/>
  <c r="V88" i="32" s="1"/>
  <c r="V127" i="32" a="1"/>
  <c r="V127" i="32" s="1"/>
  <c r="V93" i="32" a="1"/>
  <c r="V93" i="32" s="1"/>
  <c r="V92" i="32" a="1"/>
  <c r="V92" i="32" s="1"/>
  <c r="V74" i="32" a="1"/>
  <c r="V74" i="32" s="1"/>
  <c r="V72" i="32" a="1"/>
  <c r="V72" i="32" s="1"/>
  <c r="V70" i="32" a="1"/>
  <c r="V70" i="32" s="1"/>
  <c r="V86" i="32" a="1"/>
  <c r="V86" i="32" s="1"/>
  <c r="V85" i="32" a="1"/>
  <c r="V85" i="32" s="1"/>
  <c r="V87" i="32" a="1"/>
  <c r="V87" i="32" s="1"/>
  <c r="V79" i="32" a="1"/>
  <c r="V79" i="32" s="1"/>
  <c r="V65" i="32" a="1"/>
  <c r="V65" i="32" s="1"/>
  <c r="V67" i="32" a="1"/>
  <c r="V67" i="32" s="1"/>
  <c r="V69" i="32" a="1"/>
  <c r="V69" i="32" s="1"/>
  <c r="V73" i="32" a="1"/>
  <c r="V73" i="32" s="1"/>
  <c r="V64" i="32" a="1"/>
  <c r="V64" i="32" s="1"/>
  <c r="V66" i="32" a="1"/>
  <c r="V66" i="32" s="1"/>
  <c r="V68" i="32" a="1"/>
  <c r="V68" i="32" s="1"/>
  <c r="V80" i="32" a="1"/>
  <c r="V80" i="32" s="1"/>
  <c r="V62" i="32" a="1"/>
  <c r="V62" i="32" s="1"/>
  <c r="V61" i="32" a="1"/>
  <c r="V61" i="32" s="1"/>
  <c r="V63" i="32" a="1"/>
  <c r="V63" i="32" s="1"/>
  <c r="W260" i="32"/>
  <c r="V266" i="32"/>
  <c r="V265" i="32"/>
  <c r="Y340" i="32"/>
  <c r="X341" i="32"/>
  <c r="X378" i="32" s="1"/>
  <c r="X343" i="32"/>
  <c r="X380" i="32" s="1"/>
  <c r="X345" i="32"/>
  <c r="X382" i="32" s="1"/>
  <c r="X342" i="32"/>
  <c r="X379" i="32" s="1"/>
  <c r="X344" i="32"/>
  <c r="X381" i="32" s="1"/>
  <c r="U103" i="32"/>
  <c r="X37" i="32"/>
  <c r="U110" i="32"/>
  <c r="U100" i="32"/>
  <c r="U111" i="32"/>
  <c r="U104" i="32"/>
  <c r="U109" i="32"/>
  <c r="U98" i="32"/>
  <c r="T112" i="32"/>
  <c r="U102" i="32"/>
  <c r="U99" i="32"/>
  <c r="S33" i="32"/>
  <c r="S34" i="32" s="1"/>
  <c r="U105" i="32"/>
  <c r="U101" i="32"/>
  <c r="U106" i="32"/>
  <c r="U107" i="32"/>
  <c r="T30" i="32"/>
  <c r="U29" i="32"/>
  <c r="T43" i="32"/>
  <c r="T27" i="32"/>
  <c r="T28" i="32"/>
  <c r="T164" i="32"/>
  <c r="U94" i="32"/>
  <c r="U136" i="32"/>
  <c r="U75" i="32"/>
  <c r="U135" i="32"/>
  <c r="U131" i="32"/>
  <c r="W60" i="32"/>
  <c r="U137" i="32"/>
  <c r="U123" i="32"/>
  <c r="T139" i="32"/>
  <c r="U138" i="32"/>
  <c r="Y161" i="32" l="1" a="1"/>
  <c r="Y161" i="32" s="1"/>
  <c r="Y331" i="32" s="1"/>
  <c r="Y165" i="32" a="1"/>
  <c r="Y165" i="32" s="1"/>
  <c r="W21" i="32"/>
  <c r="V23" i="32"/>
  <c r="V24" i="32"/>
  <c r="V26" i="32"/>
  <c r="V22" i="32"/>
  <c r="V25" i="32"/>
  <c r="Z473" i="32"/>
  <c r="Z476" i="32"/>
  <c r="Z481" i="32"/>
  <c r="Z486" i="32"/>
  <c r="Z491" i="32"/>
  <c r="Z496" i="32"/>
  <c r="Z472" i="32"/>
  <c r="Z480" i="32"/>
  <c r="Z488" i="32"/>
  <c r="Z498" i="32"/>
  <c r="Z497" i="32"/>
  <c r="Z475" i="32"/>
  <c r="Z479" i="32"/>
  <c r="Z487" i="32"/>
  <c r="Z474" i="32"/>
  <c r="Z499" i="32"/>
  <c r="Z495" i="32"/>
  <c r="Z484" i="32"/>
  <c r="Z485" i="32"/>
  <c r="Z494" i="32"/>
  <c r="Z493" i="32"/>
  <c r="Z477" i="32"/>
  <c r="Z478" i="32"/>
  <c r="Z482" i="32"/>
  <c r="Z492" i="32"/>
  <c r="Z483" i="32"/>
  <c r="Z490" i="32"/>
  <c r="Z489" i="32"/>
  <c r="X40" i="32" a="1"/>
  <c r="X40" i="32" s="1"/>
  <c r="X38" i="32" a="1"/>
  <c r="X38" i="32" s="1"/>
  <c r="X41" i="32" a="1"/>
  <c r="X41" i="32" s="1"/>
  <c r="X39" i="32" a="1"/>
  <c r="X39" i="32" s="1"/>
  <c r="X468" i="32"/>
  <c r="Y593" i="32"/>
  <c r="Y625" i="32" s="1"/>
  <c r="Y463" i="32"/>
  <c r="Y571" i="32"/>
  <c r="Y441" i="32"/>
  <c r="Y577" i="32"/>
  <c r="Y609" i="32" s="1"/>
  <c r="Y513" i="32" s="1"/>
  <c r="Y447" i="32"/>
  <c r="Y588" i="32"/>
  <c r="Y458" i="32"/>
  <c r="Y594" i="32"/>
  <c r="Y464" i="32"/>
  <c r="Y572" i="32"/>
  <c r="Y442" i="32"/>
  <c r="Y583" i="32"/>
  <c r="Y615" i="32" s="1"/>
  <c r="Y519" i="32" s="1"/>
  <c r="Y453" i="32"/>
  <c r="Y589" i="32"/>
  <c r="Y621" i="32" s="1"/>
  <c r="Y525" i="32" s="1"/>
  <c r="Y459" i="32"/>
  <c r="Y595" i="32"/>
  <c r="Y627" i="32" s="1"/>
  <c r="Y531" i="32" s="1"/>
  <c r="Y465" i="32"/>
  <c r="Y578" i="32"/>
  <c r="Y610" i="32" s="1"/>
  <c r="Y514" i="32" s="1"/>
  <c r="Y448" i="32"/>
  <c r="Y584" i="32"/>
  <c r="Y616" i="32" s="1"/>
  <c r="Y454" i="32"/>
  <c r="Y590" i="32"/>
  <c r="Y622" i="32" s="1"/>
  <c r="Y526" i="32" s="1"/>
  <c r="Y460" i="32"/>
  <c r="Y573" i="32"/>
  <c r="Y443" i="32"/>
  <c r="Y579" i="32"/>
  <c r="Y611" i="32" s="1"/>
  <c r="Y515" i="32" s="1"/>
  <c r="Y449" i="32"/>
  <c r="Y585" i="32"/>
  <c r="Y455" i="32"/>
  <c r="Y596" i="32"/>
  <c r="Y628" i="32" s="1"/>
  <c r="Y532" i="32" s="1"/>
  <c r="Y466" i="32"/>
  <c r="Y574" i="32"/>
  <c r="Y444" i="32"/>
  <c r="Y580" i="32"/>
  <c r="Y612" i="32" s="1"/>
  <c r="Y516" i="32" s="1"/>
  <c r="Y450" i="32"/>
  <c r="Y591" i="32"/>
  <c r="Y623" i="32" s="1"/>
  <c r="Y527" i="32" s="1"/>
  <c r="Y461" i="32"/>
  <c r="Y597" i="32"/>
  <c r="Y629" i="32" s="1"/>
  <c r="Y533" i="32" s="1"/>
  <c r="Y467" i="32"/>
  <c r="Y575" i="32"/>
  <c r="Y607" i="32" s="1"/>
  <c r="Y445" i="32"/>
  <c r="W890" i="32"/>
  <c r="Y586" i="32"/>
  <c r="Y618" i="32" s="1"/>
  <c r="Y522" i="32" s="1"/>
  <c r="Y456" i="32"/>
  <c r="Y592" i="32"/>
  <c r="Y624" i="32" s="1"/>
  <c r="Y528" i="32" s="1"/>
  <c r="Y462" i="32"/>
  <c r="Y570" i="32"/>
  <c r="Y440" i="32"/>
  <c r="Y581" i="32"/>
  <c r="Y451" i="32"/>
  <c r="Y587" i="32"/>
  <c r="Y619" i="32" s="1"/>
  <c r="Y457" i="32"/>
  <c r="Y576" i="32"/>
  <c r="Y608" i="32" s="1"/>
  <c r="Y512" i="32" s="1"/>
  <c r="Y446" i="32"/>
  <c r="Y582" i="32"/>
  <c r="Y614" i="32" s="1"/>
  <c r="Y518" i="32" s="1"/>
  <c r="Y452" i="32"/>
  <c r="X769" i="32"/>
  <c r="X865" i="32"/>
  <c r="X778" i="32"/>
  <c r="X874" i="32"/>
  <c r="X792" i="32"/>
  <c r="X888" i="32"/>
  <c r="X785" i="32"/>
  <c r="X881" i="32"/>
  <c r="X784" i="32"/>
  <c r="X880" i="32"/>
  <c r="X777" i="32"/>
  <c r="X873" i="32"/>
  <c r="X774" i="32"/>
  <c r="X870" i="32"/>
  <c r="X783" i="32"/>
  <c r="X879" i="32"/>
  <c r="X787" i="32"/>
  <c r="X883" i="32"/>
  <c r="X791" i="32"/>
  <c r="X887" i="32"/>
  <c r="X767" i="32"/>
  <c r="X863" i="32"/>
  <c r="X775" i="32"/>
  <c r="X871" i="32"/>
  <c r="X768" i="32"/>
  <c r="X864" i="32"/>
  <c r="X776" i="32"/>
  <c r="X872" i="32"/>
  <c r="X793" i="32"/>
  <c r="X889" i="32"/>
  <c r="X770" i="32"/>
  <c r="X866" i="32"/>
  <c r="X790" i="32"/>
  <c r="X886" i="32"/>
  <c r="X773" i="32"/>
  <c r="X869" i="32"/>
  <c r="X788" i="32"/>
  <c r="X884" i="32"/>
  <c r="X772" i="32"/>
  <c r="X868" i="32"/>
  <c r="X771" i="32"/>
  <c r="X867" i="32"/>
  <c r="W760" i="32"/>
  <c r="X786" i="32"/>
  <c r="X882" i="32"/>
  <c r="X779" i="32"/>
  <c r="X875" i="32"/>
  <c r="X789" i="32"/>
  <c r="X885" i="32"/>
  <c r="X781" i="32"/>
  <c r="X877" i="32"/>
  <c r="X780" i="32"/>
  <c r="X876" i="32"/>
  <c r="W794" i="32"/>
  <c r="X782" i="32"/>
  <c r="X878" i="32"/>
  <c r="X658" i="32"/>
  <c r="X754" i="32"/>
  <c r="X642" i="32"/>
  <c r="X738" i="32"/>
  <c r="X641" i="32"/>
  <c r="X737" i="32"/>
  <c r="X649" i="32"/>
  <c r="X745" i="32"/>
  <c r="X656" i="32"/>
  <c r="X752" i="32"/>
  <c r="X659" i="32"/>
  <c r="X755" i="32"/>
  <c r="X651" i="32"/>
  <c r="X747" i="32"/>
  <c r="X650" i="32"/>
  <c r="X746" i="32"/>
  <c r="X652" i="32"/>
  <c r="X748" i="32"/>
  <c r="X645" i="32"/>
  <c r="X741" i="32"/>
  <c r="X638" i="32"/>
  <c r="X734" i="32"/>
  <c r="X646" i="32"/>
  <c r="X742" i="32"/>
  <c r="W664" i="32"/>
  <c r="X644" i="32"/>
  <c r="X740" i="32"/>
  <c r="X653" i="32"/>
  <c r="X749" i="32"/>
  <c r="X663" i="32"/>
  <c r="X759" i="32"/>
  <c r="X640" i="32"/>
  <c r="X736" i="32"/>
  <c r="X660" i="32"/>
  <c r="X756" i="32"/>
  <c r="X643" i="32"/>
  <c r="X739" i="32"/>
  <c r="X657" i="32"/>
  <c r="X753" i="32"/>
  <c r="X661" i="32"/>
  <c r="X757" i="32"/>
  <c r="X637" i="32"/>
  <c r="X733" i="32"/>
  <c r="X639" i="32"/>
  <c r="X735" i="32"/>
  <c r="X648" i="32"/>
  <c r="X744" i="32"/>
  <c r="X662" i="32"/>
  <c r="X758" i="32"/>
  <c r="X655" i="32"/>
  <c r="X751" i="32"/>
  <c r="X654" i="32"/>
  <c r="X750" i="32"/>
  <c r="X647" i="32"/>
  <c r="X743" i="32"/>
  <c r="X365" i="32"/>
  <c r="U236" i="32"/>
  <c r="U237" i="32" s="1"/>
  <c r="V235" i="32" a="1"/>
  <c r="V235" i="32" s="1"/>
  <c r="V234" i="32" a="1"/>
  <c r="V234" i="32" s="1"/>
  <c r="Y369" i="32"/>
  <c r="Y371" i="32"/>
  <c r="Y372" i="32"/>
  <c r="Y373" i="32"/>
  <c r="Y370" i="32"/>
  <c r="Y360" i="32"/>
  <c r="Y362" i="32"/>
  <c r="Y364" i="32"/>
  <c r="Y361" i="32"/>
  <c r="Y363" i="32"/>
  <c r="W225" i="32" a="1"/>
  <c r="W225" i="32" s="1"/>
  <c r="W230" i="32" a="1"/>
  <c r="W230" i="32" s="1"/>
  <c r="W227" i="32" a="1"/>
  <c r="W227" i="32" s="1"/>
  <c r="W233" i="32" a="1"/>
  <c r="W233" i="32" s="1"/>
  <c r="W226" i="32" a="1"/>
  <c r="W226" i="32" s="1"/>
  <c r="W228" i="32" a="1"/>
  <c r="W228" i="32" s="1"/>
  <c r="W224" i="32" a="1"/>
  <c r="W224" i="32" s="1"/>
  <c r="W229" i="32" a="1"/>
  <c r="W229" i="32" s="1"/>
  <c r="W232" i="32" a="1"/>
  <c r="W232" i="32" s="1"/>
  <c r="W223" i="32" a="1"/>
  <c r="W223" i="32" s="1"/>
  <c r="W231" i="32" a="1"/>
  <c r="W231" i="32" s="1"/>
  <c r="X374" i="32"/>
  <c r="X52" i="32" s="1"/>
  <c r="T53" i="32"/>
  <c r="W244" i="32"/>
  <c r="W220" i="32"/>
  <c r="X207" i="32"/>
  <c r="X210" i="32"/>
  <c r="X205" i="32"/>
  <c r="X213" i="32"/>
  <c r="W298" i="32"/>
  <c r="W312" i="32" s="1"/>
  <c r="W605" i="32" s="1"/>
  <c r="W509" i="32" s="1"/>
  <c r="W289" i="32"/>
  <c r="W291" i="32"/>
  <c r="W305" i="32" s="1"/>
  <c r="W295" i="32"/>
  <c r="W309" i="32" s="1"/>
  <c r="W296" i="32"/>
  <c r="W310" i="32" s="1"/>
  <c r="W603" i="32" s="1"/>
  <c r="W507" i="32" s="1"/>
  <c r="W292" i="32"/>
  <c r="W306" i="32" s="1"/>
  <c r="W297" i="32"/>
  <c r="W311" i="32" s="1"/>
  <c r="W604" i="32" s="1"/>
  <c r="W508" i="32" s="1"/>
  <c r="W294" i="32"/>
  <c r="W308" i="32" s="1"/>
  <c r="W290" i="32"/>
  <c r="W304" i="32" s="1"/>
  <c r="W293" i="32"/>
  <c r="W307" i="32" s="1"/>
  <c r="X208" i="32"/>
  <c r="X211" i="32"/>
  <c r="X206" i="32"/>
  <c r="X209" i="32"/>
  <c r="V299" i="32"/>
  <c r="V313" i="32" s="1"/>
  <c r="V303" i="32"/>
  <c r="X212" i="32"/>
  <c r="W277" i="32" a="1"/>
  <c r="W277" i="32" s="1"/>
  <c r="W279" i="32" a="1"/>
  <c r="W279" i="32" s="1"/>
  <c r="W282" i="32" a="1"/>
  <c r="W282" i="32" s="1"/>
  <c r="W281" i="32" a="1"/>
  <c r="W281" i="32" s="1"/>
  <c r="W280" i="32" a="1"/>
  <c r="W280" i="32" s="1"/>
  <c r="V278" i="32"/>
  <c r="V283" i="32" s="1"/>
  <c r="W261" i="32" a="1"/>
  <c r="W261" i="32" s="1"/>
  <c r="W262" i="32" a="1"/>
  <c r="W262" i="32" s="1"/>
  <c r="W620" i="32"/>
  <c r="W524" i="32" s="1"/>
  <c r="W330" i="32"/>
  <c r="W332" i="32" s="1"/>
  <c r="W263" i="32"/>
  <c r="V264" i="32"/>
  <c r="X320" i="32"/>
  <c r="W613" i="32"/>
  <c r="W517" i="32" s="1"/>
  <c r="X602" i="32"/>
  <c r="X506" i="32" s="1"/>
  <c r="V598" i="32"/>
  <c r="V534" i="32"/>
  <c r="V630" i="32"/>
  <c r="W506" i="32"/>
  <c r="Y846" i="32"/>
  <c r="Y716" i="32"/>
  <c r="Y852" i="32"/>
  <c r="Y722" i="32"/>
  <c r="Y830" i="32"/>
  <c r="Y862" i="32" s="1"/>
  <c r="Y700" i="32"/>
  <c r="Y732" i="32" s="1"/>
  <c r="Y841" i="32"/>
  <c r="Y711" i="32"/>
  <c r="Y523" i="32"/>
  <c r="Y847" i="32"/>
  <c r="Y717" i="32"/>
  <c r="Y836" i="32"/>
  <c r="Y706" i="32"/>
  <c r="Y842" i="32"/>
  <c r="Y712" i="32"/>
  <c r="Y529" i="32"/>
  <c r="Y853" i="32"/>
  <c r="Y723" i="32"/>
  <c r="Y831" i="32"/>
  <c r="Y701" i="32"/>
  <c r="Y837" i="32"/>
  <c r="Y707" i="32"/>
  <c r="Y848" i="32"/>
  <c r="Y718" i="32"/>
  <c r="Y854" i="32"/>
  <c r="Y724" i="32"/>
  <c r="Y832" i="32"/>
  <c r="Y702" i="32"/>
  <c r="Y843" i="32"/>
  <c r="Y713" i="32"/>
  <c r="Y849" i="32"/>
  <c r="Y719" i="32"/>
  <c r="Y855" i="32"/>
  <c r="Y725" i="32"/>
  <c r="Y838" i="32"/>
  <c r="Y708" i="32"/>
  <c r="Y520" i="32"/>
  <c r="Y844" i="32"/>
  <c r="Y714" i="32"/>
  <c r="Y850" i="32"/>
  <c r="Y720" i="32"/>
  <c r="Y833" i="32"/>
  <c r="Y703" i="32"/>
  <c r="Y839" i="32"/>
  <c r="Y709" i="32"/>
  <c r="Y845" i="32"/>
  <c r="Y715" i="32"/>
  <c r="Y856" i="32"/>
  <c r="Y726" i="32"/>
  <c r="Y834" i="32"/>
  <c r="Y704" i="32"/>
  <c r="Y840" i="32"/>
  <c r="Y710" i="32"/>
  <c r="X728" i="32"/>
  <c r="X636" i="32"/>
  <c r="Y851" i="32"/>
  <c r="Y721" i="32"/>
  <c r="Y857" i="32"/>
  <c r="Y727" i="32"/>
  <c r="Y511" i="32"/>
  <c r="Y835" i="32"/>
  <c r="Y705" i="32"/>
  <c r="X858" i="32"/>
  <c r="X766" i="32"/>
  <c r="X938" i="32"/>
  <c r="Y899" i="32"/>
  <c r="Y907" i="32"/>
  <c r="Y908" i="32"/>
  <c r="Y909" i="32"/>
  <c r="Y910" i="32"/>
  <c r="Y911" i="32"/>
  <c r="Y924" i="32"/>
  <c r="Y912" i="32"/>
  <c r="Y913" i="32"/>
  <c r="Y901" i="32"/>
  <c r="Y914" i="32"/>
  <c r="Y926" i="32"/>
  <c r="Y900" i="32"/>
  <c r="Y902" i="32"/>
  <c r="Y903" i="32"/>
  <c r="Y896" i="32"/>
  <c r="Y897" i="32"/>
  <c r="Y904" i="32"/>
  <c r="Y916" i="32"/>
  <c r="Y928" i="32"/>
  <c r="Y933" i="32"/>
  <c r="Y915" i="32"/>
  <c r="Y921" i="32"/>
  <c r="Y932" i="32"/>
  <c r="Y935" i="32"/>
  <c r="Y917" i="32"/>
  <c r="Y920" i="32"/>
  <c r="Y929" i="32"/>
  <c r="Y930" i="32"/>
  <c r="Y906" i="32"/>
  <c r="Y918" i="32"/>
  <c r="Y922" i="32"/>
  <c r="Y898" i="32"/>
  <c r="Y936" i="32"/>
  <c r="Y905" i="32"/>
  <c r="Y919" i="32"/>
  <c r="Y923" i="32"/>
  <c r="Y925" i="32"/>
  <c r="Y927" i="32"/>
  <c r="Y931" i="32"/>
  <c r="Y934" i="32"/>
  <c r="Y937" i="32"/>
  <c r="Y500" i="32"/>
  <c r="Y42" i="32" s="1"/>
  <c r="Y31" i="32" s="1"/>
  <c r="X186" i="32"/>
  <c r="X214" i="32" s="1"/>
  <c r="Y176" i="32"/>
  <c r="Y181" i="32"/>
  <c r="Y178" i="32"/>
  <c r="Y183" i="32"/>
  <c r="Y180" i="32"/>
  <c r="Y177" i="32"/>
  <c r="Y179" i="32"/>
  <c r="Y182" i="32"/>
  <c r="Y184" i="32"/>
  <c r="Y185" i="32"/>
  <c r="Z408" i="32"/>
  <c r="Z413" i="32"/>
  <c r="Z418" i="32"/>
  <c r="Z423" i="32"/>
  <c r="Z428" i="32"/>
  <c r="Z433" i="32"/>
  <c r="Z410" i="32"/>
  <c r="Z415" i="32"/>
  <c r="Z420" i="32"/>
  <c r="Z425" i="32"/>
  <c r="Z430" i="32"/>
  <c r="Z435" i="32"/>
  <c r="Z412" i="32"/>
  <c r="Z417" i="32"/>
  <c r="Z422" i="32"/>
  <c r="Z427" i="32"/>
  <c r="Z432" i="32"/>
  <c r="Z409" i="32"/>
  <c r="Z414" i="32"/>
  <c r="Z419" i="32"/>
  <c r="Z424" i="32"/>
  <c r="Z429" i="32"/>
  <c r="Z434" i="32"/>
  <c r="AA407" i="32"/>
  <c r="Z411" i="32"/>
  <c r="Z416" i="32"/>
  <c r="Z421" i="32"/>
  <c r="Z426" i="32"/>
  <c r="Z431" i="32"/>
  <c r="Y436" i="32"/>
  <c r="U383" i="32"/>
  <c r="U51" i="32" s="1"/>
  <c r="U32" i="32" s="1"/>
  <c r="V271" i="32"/>
  <c r="V100" i="32"/>
  <c r="X346" i="32"/>
  <c r="Y351" i="32"/>
  <c r="Y353" i="32"/>
  <c r="Y355" i="32"/>
  <c r="Y352" i="32"/>
  <c r="Y354" i="32"/>
  <c r="X356" i="32"/>
  <c r="Z340" i="32"/>
  <c r="Y344" i="32"/>
  <c r="Y381" i="32" s="1"/>
  <c r="Y341" i="32"/>
  <c r="Y378" i="32" s="1"/>
  <c r="Y343" i="32"/>
  <c r="Y380" i="32" s="1"/>
  <c r="Y345" i="32"/>
  <c r="Y382" i="32" s="1"/>
  <c r="Y342" i="32"/>
  <c r="Y379" i="32" s="1"/>
  <c r="Z146" i="32"/>
  <c r="Y156" i="32" a="1"/>
  <c r="Y156" i="32" s="1"/>
  <c r="Y151" i="32" a="1"/>
  <c r="Y151" i="32" s="1"/>
  <c r="Y158" i="32" a="1"/>
  <c r="Y158" i="32" s="1"/>
  <c r="Y148" i="32" a="1"/>
  <c r="Y148" i="32" s="1"/>
  <c r="Y153" i="32" a="1"/>
  <c r="Y153" i="32" s="1"/>
  <c r="Y170" i="32" a="1"/>
  <c r="Y170" i="32" s="1"/>
  <c r="Y160" i="32" a="1"/>
  <c r="Y160" i="32" s="1"/>
  <c r="Y169" i="32" a="1"/>
  <c r="Y169" i="32" s="1"/>
  <c r="Y150" i="32" a="1"/>
  <c r="Y150" i="32" s="1"/>
  <c r="Y155" i="32" a="1"/>
  <c r="Y155" i="32" s="1"/>
  <c r="Y157" i="32" a="1"/>
  <c r="Y157" i="32" s="1"/>
  <c r="Y147" i="32" a="1"/>
  <c r="Y147" i="32" s="1"/>
  <c r="Y152" i="32" a="1"/>
  <c r="Y152" i="32" s="1"/>
  <c r="Y149" i="32" a="1"/>
  <c r="Y149" i="32" s="1"/>
  <c r="Y163" i="32" a="1"/>
  <c r="Y163" i="32" s="1"/>
  <c r="Y154" i="32" a="1"/>
  <c r="Y154" i="32" s="1"/>
  <c r="Y162" i="32" a="1"/>
  <c r="Y162" i="32" s="1"/>
  <c r="Y159" i="32" a="1"/>
  <c r="Y159" i="32" s="1"/>
  <c r="X50" i="32" a="1"/>
  <c r="X50" i="32" s="1"/>
  <c r="X48" i="32" a="1"/>
  <c r="X48" i="32" s="1"/>
  <c r="X49" i="32" a="1"/>
  <c r="X49" i="32" s="1"/>
  <c r="X47" i="32" a="1"/>
  <c r="X47" i="32" s="1"/>
  <c r="X260" i="32"/>
  <c r="W266" i="32"/>
  <c r="W265" i="32"/>
  <c r="X327" i="32"/>
  <c r="X329" i="32" s="1"/>
  <c r="W333" i="32"/>
  <c r="W626" i="32" s="1"/>
  <c r="W530" i="32" s="1"/>
  <c r="W324" i="32"/>
  <c r="W617" i="32" s="1"/>
  <c r="W521" i="32" s="1"/>
  <c r="X222" i="32"/>
  <c r="W245" i="32"/>
  <c r="W238" i="32"/>
  <c r="W130" i="32" a="1"/>
  <c r="W130" i="32" s="1"/>
  <c r="W128" i="32" a="1"/>
  <c r="W128" i="32" s="1"/>
  <c r="W127" i="32" a="1"/>
  <c r="W127" i="32" s="1"/>
  <c r="W82" i="32" a="1"/>
  <c r="W82" i="32" s="1"/>
  <c r="W121" i="32" a="1"/>
  <c r="W121" i="32" s="1"/>
  <c r="W119" i="32" a="1"/>
  <c r="W119" i="32" s="1"/>
  <c r="W79" i="32" a="1"/>
  <c r="W79" i="32" s="1"/>
  <c r="W90" i="32" a="1"/>
  <c r="W90" i="32" s="1"/>
  <c r="W91" i="32" a="1"/>
  <c r="W91" i="32" s="1"/>
  <c r="W83" i="32" a="1"/>
  <c r="W83" i="32" s="1"/>
  <c r="W84" i="32" a="1"/>
  <c r="W84" i="32" s="1"/>
  <c r="W89" i="32" a="1"/>
  <c r="W89" i="32" s="1"/>
  <c r="W129" i="32" a="1"/>
  <c r="W129" i="32" s="1"/>
  <c r="W120" i="32" a="1"/>
  <c r="W120" i="32" s="1"/>
  <c r="W88" i="32" a="1"/>
  <c r="W88" i="32" s="1"/>
  <c r="W93" i="32" a="1"/>
  <c r="W93" i="32" s="1"/>
  <c r="W92" i="32" a="1"/>
  <c r="W92" i="32" s="1"/>
  <c r="W122" i="32" a="1"/>
  <c r="W122" i="32" s="1"/>
  <c r="W86" i="32" a="1"/>
  <c r="W86" i="32" s="1"/>
  <c r="W85" i="32" a="1"/>
  <c r="W85" i="32" s="1"/>
  <c r="W65" i="32" a="1"/>
  <c r="W65" i="32" s="1"/>
  <c r="W63" i="32" a="1"/>
  <c r="W63" i="32" s="1"/>
  <c r="W87" i="32" a="1"/>
  <c r="W87" i="32" s="1"/>
  <c r="W69" i="32" a="1"/>
  <c r="W69" i="32" s="1"/>
  <c r="W67" i="32" a="1"/>
  <c r="W67" i="32" s="1"/>
  <c r="W73" i="32" a="1"/>
  <c r="W73" i="32" s="1"/>
  <c r="W66" i="32" a="1"/>
  <c r="W66" i="32" s="1"/>
  <c r="W68" i="32" a="1"/>
  <c r="W68" i="32" s="1"/>
  <c r="W80" i="32" a="1"/>
  <c r="W80" i="32" s="1"/>
  <c r="W74" i="32" a="1"/>
  <c r="W74" i="32" s="1"/>
  <c r="W71" i="32" a="1"/>
  <c r="W71" i="32" s="1"/>
  <c r="W61" i="32" a="1"/>
  <c r="W61" i="32" s="1"/>
  <c r="W81" i="32" a="1"/>
  <c r="W81" i="32" s="1"/>
  <c r="W72" i="32" a="1"/>
  <c r="W72" i="32" s="1"/>
  <c r="W62" i="32" a="1"/>
  <c r="W62" i="32" s="1"/>
  <c r="W64" i="32" a="1"/>
  <c r="W64" i="32" s="1"/>
  <c r="W70" i="32" a="1"/>
  <c r="W70" i="32" s="1"/>
  <c r="Z359" i="32"/>
  <c r="V98" i="32"/>
  <c r="V109" i="32"/>
  <c r="Y37" i="32"/>
  <c r="V110" i="32"/>
  <c r="V106" i="32"/>
  <c r="V111" i="32"/>
  <c r="V105" i="32"/>
  <c r="V99" i="32"/>
  <c r="V107" i="32"/>
  <c r="V103" i="32"/>
  <c r="U112" i="32"/>
  <c r="V101" i="32"/>
  <c r="V104" i="32"/>
  <c r="V108" i="32"/>
  <c r="V102" i="32"/>
  <c r="U30" i="32"/>
  <c r="T33" i="32"/>
  <c r="T34" i="32" s="1"/>
  <c r="V29" i="32"/>
  <c r="U27" i="32"/>
  <c r="U43" i="32"/>
  <c r="U28" i="32"/>
  <c r="U164" i="32"/>
  <c r="V137" i="32"/>
  <c r="X60" i="32"/>
  <c r="V136" i="32"/>
  <c r="V131" i="32"/>
  <c r="V135" i="32"/>
  <c r="V75" i="32"/>
  <c r="U139" i="32"/>
  <c r="V123" i="32"/>
  <c r="V94" i="32"/>
  <c r="V138" i="32"/>
  <c r="Z161" i="32" l="1" a="1"/>
  <c r="Z161" i="32" s="1"/>
  <c r="Z331" i="32" s="1"/>
  <c r="Z165" i="32" a="1"/>
  <c r="Z165" i="32" s="1"/>
  <c r="X21" i="32"/>
  <c r="W25" i="32"/>
  <c r="W22" i="32"/>
  <c r="W23" i="32"/>
  <c r="W26" i="32"/>
  <c r="W24" i="32"/>
  <c r="AA476" i="32"/>
  <c r="AA481" i="32"/>
  <c r="AA486" i="32"/>
  <c r="AA491" i="32"/>
  <c r="AA496" i="32"/>
  <c r="AA473" i="32"/>
  <c r="AA478" i="32"/>
  <c r="AA483" i="32"/>
  <c r="AA488" i="32"/>
  <c r="AA493" i="32"/>
  <c r="AA498" i="32"/>
  <c r="AA475" i="32"/>
  <c r="AA480" i="32"/>
  <c r="AA485" i="32"/>
  <c r="AA490" i="32"/>
  <c r="AA495" i="32"/>
  <c r="AA472" i="32"/>
  <c r="AA477" i="32"/>
  <c r="AA482" i="32"/>
  <c r="AA487" i="32"/>
  <c r="AA492" i="32"/>
  <c r="AA497" i="32"/>
  <c r="AA474" i="32"/>
  <c r="AA479" i="32"/>
  <c r="AA484" i="32"/>
  <c r="AA489" i="32"/>
  <c r="AA494" i="32"/>
  <c r="AA499" i="32"/>
  <c r="W106" i="32"/>
  <c r="Y40" i="32" a="1"/>
  <c r="Y40" i="32" s="1"/>
  <c r="Y38" i="32" a="1"/>
  <c r="Y38" i="32" s="1"/>
  <c r="Y41" i="32" a="1"/>
  <c r="Y41" i="32" s="1"/>
  <c r="Y39" i="32" a="1"/>
  <c r="Y39" i="32" s="1"/>
  <c r="Y468" i="32"/>
  <c r="Z593" i="32"/>
  <c r="Z625" i="32" s="1"/>
  <c r="Z463" i="32"/>
  <c r="Z576" i="32"/>
  <c r="Z608" i="32" s="1"/>
  <c r="Z512" i="32" s="1"/>
  <c r="Z446" i="32"/>
  <c r="Z582" i="32"/>
  <c r="Z614" i="32" s="1"/>
  <c r="Z518" i="32" s="1"/>
  <c r="Z452" i="32"/>
  <c r="Z588" i="32"/>
  <c r="Z458" i="32"/>
  <c r="Z571" i="32"/>
  <c r="Z441" i="32"/>
  <c r="Z577" i="32"/>
  <c r="Z609" i="32" s="1"/>
  <c r="Z447" i="32"/>
  <c r="Z583" i="32"/>
  <c r="Z615" i="32" s="1"/>
  <c r="Z519" i="32" s="1"/>
  <c r="Z453" i="32"/>
  <c r="Z594" i="32"/>
  <c r="Z464" i="32"/>
  <c r="Z572" i="32"/>
  <c r="Z442" i="32"/>
  <c r="Z581" i="32"/>
  <c r="Z451" i="32"/>
  <c r="Z587" i="32"/>
  <c r="Z619" i="32" s="1"/>
  <c r="Z457" i="32"/>
  <c r="Z578" i="32"/>
  <c r="Z610" i="32" s="1"/>
  <c r="Z514" i="32" s="1"/>
  <c r="Z448" i="32"/>
  <c r="Z589" i="32"/>
  <c r="Z621" i="32" s="1"/>
  <c r="Z525" i="32" s="1"/>
  <c r="Z459" i="32"/>
  <c r="Z595" i="32"/>
  <c r="Z627" i="32" s="1"/>
  <c r="Z531" i="32" s="1"/>
  <c r="Z465" i="32"/>
  <c r="Z573" i="32"/>
  <c r="Z443" i="32"/>
  <c r="Z584" i="32"/>
  <c r="Z616" i="32" s="1"/>
  <c r="Z454" i="32"/>
  <c r="Z590" i="32"/>
  <c r="Z622" i="32" s="1"/>
  <c r="Z460" i="32"/>
  <c r="X890" i="32"/>
  <c r="Z579" i="32"/>
  <c r="Z611" i="32" s="1"/>
  <c r="Z515" i="32" s="1"/>
  <c r="Z449" i="32"/>
  <c r="Z585" i="32"/>
  <c r="Z455" i="32"/>
  <c r="Z596" i="32"/>
  <c r="Z628" i="32" s="1"/>
  <c r="Z532" i="32" s="1"/>
  <c r="Z466" i="32"/>
  <c r="Z574" i="32"/>
  <c r="Z444" i="32"/>
  <c r="Z580" i="32"/>
  <c r="Z612" i="32" s="1"/>
  <c r="Z516" i="32" s="1"/>
  <c r="Z450" i="32"/>
  <c r="Z591" i="32"/>
  <c r="Z623" i="32" s="1"/>
  <c r="Z527" i="32" s="1"/>
  <c r="Z461" i="32"/>
  <c r="Z597" i="32"/>
  <c r="Z629" i="32" s="1"/>
  <c r="Z533" i="32" s="1"/>
  <c r="Z467" i="32"/>
  <c r="Z575" i="32"/>
  <c r="Z607" i="32" s="1"/>
  <c r="Z511" i="32" s="1"/>
  <c r="Z445" i="32"/>
  <c r="Z586" i="32"/>
  <c r="Z618" i="32" s="1"/>
  <c r="Z522" i="32" s="1"/>
  <c r="Z456" i="32"/>
  <c r="Z592" i="32"/>
  <c r="Z624" i="32" s="1"/>
  <c r="Z528" i="32" s="1"/>
  <c r="Z462" i="32"/>
  <c r="Z570" i="32"/>
  <c r="Z440" i="32"/>
  <c r="Y787" i="32"/>
  <c r="Y883" i="32"/>
  <c r="Y792" i="32"/>
  <c r="Y888" i="32"/>
  <c r="Y786" i="32"/>
  <c r="Y882" i="32"/>
  <c r="Y790" i="32"/>
  <c r="Y886" i="32"/>
  <c r="X794" i="32"/>
  <c r="Y777" i="32"/>
  <c r="Y873" i="32"/>
  <c r="Y785" i="32"/>
  <c r="Y881" i="32"/>
  <c r="Y784" i="32"/>
  <c r="Y880" i="32"/>
  <c r="Y778" i="32"/>
  <c r="Y874" i="32"/>
  <c r="Y781" i="32"/>
  <c r="Y877" i="32"/>
  <c r="Y780" i="32"/>
  <c r="Y876" i="32"/>
  <c r="Y771" i="32"/>
  <c r="Y867" i="32"/>
  <c r="Y773" i="32"/>
  <c r="Y869" i="32"/>
  <c r="Y776" i="32"/>
  <c r="Y872" i="32"/>
  <c r="Y775" i="32"/>
  <c r="Y871" i="32"/>
  <c r="Y779" i="32"/>
  <c r="Y875" i="32"/>
  <c r="Y772" i="32"/>
  <c r="Y868" i="32"/>
  <c r="Y788" i="32"/>
  <c r="Y884" i="32"/>
  <c r="X760" i="32"/>
  <c r="Y774" i="32"/>
  <c r="Y870" i="32"/>
  <c r="Y793" i="32"/>
  <c r="Y889" i="32"/>
  <c r="Y767" i="32"/>
  <c r="Y863" i="32"/>
  <c r="Y770" i="32"/>
  <c r="Y866" i="32"/>
  <c r="Y769" i="32"/>
  <c r="Y865" i="32"/>
  <c r="Y768" i="32"/>
  <c r="Y864" i="32"/>
  <c r="Y783" i="32"/>
  <c r="Y879" i="32"/>
  <c r="Y782" i="32"/>
  <c r="Y878" i="32"/>
  <c r="Y791" i="32"/>
  <c r="Y887" i="32"/>
  <c r="Y789" i="32"/>
  <c r="Y885" i="32"/>
  <c r="Y640" i="32"/>
  <c r="Y736" i="32"/>
  <c r="Y638" i="32"/>
  <c r="Y734" i="32"/>
  <c r="Y652" i="32"/>
  <c r="Y748" i="32"/>
  <c r="Y663" i="32"/>
  <c r="Y759" i="32"/>
  <c r="Y637" i="32"/>
  <c r="Y733" i="32"/>
  <c r="Y661" i="32"/>
  <c r="Y757" i="32"/>
  <c r="Y659" i="32"/>
  <c r="Y755" i="32"/>
  <c r="Y657" i="32"/>
  <c r="Y753" i="32"/>
  <c r="Y662" i="32"/>
  <c r="Y758" i="32"/>
  <c r="Y656" i="32"/>
  <c r="Y752" i="32"/>
  <c r="Y660" i="32"/>
  <c r="Y756" i="32"/>
  <c r="Y647" i="32"/>
  <c r="Y743" i="32"/>
  <c r="Y644" i="32"/>
  <c r="Y740" i="32"/>
  <c r="Y655" i="32"/>
  <c r="Y751" i="32"/>
  <c r="Y654" i="32"/>
  <c r="Y750" i="32"/>
  <c r="Y648" i="32"/>
  <c r="Y744" i="32"/>
  <c r="X664" i="32"/>
  <c r="Y651" i="32"/>
  <c r="Y747" i="32"/>
  <c r="Y650" i="32"/>
  <c r="Y746" i="32"/>
  <c r="Y639" i="32"/>
  <c r="Y735" i="32"/>
  <c r="Y653" i="32"/>
  <c r="Y749" i="32"/>
  <c r="Y641" i="32"/>
  <c r="Y737" i="32"/>
  <c r="Y643" i="32"/>
  <c r="Y739" i="32"/>
  <c r="Y646" i="32"/>
  <c r="Y742" i="32"/>
  <c r="Y645" i="32"/>
  <c r="Y741" i="32"/>
  <c r="Y649" i="32"/>
  <c r="Y745" i="32"/>
  <c r="Y642" i="32"/>
  <c r="Y738" i="32"/>
  <c r="Y658" i="32"/>
  <c r="Y754" i="32"/>
  <c r="V236" i="32"/>
  <c r="V237" i="32" s="1"/>
  <c r="W234" i="32" a="1"/>
  <c r="W234" i="32" s="1"/>
  <c r="W235" i="32" a="1"/>
  <c r="W235" i="32" s="1"/>
  <c r="Y365" i="32"/>
  <c r="X228" i="32" a="1"/>
  <c r="X228" i="32" s="1"/>
  <c r="X225" i="32" a="1"/>
  <c r="X225" i="32" s="1"/>
  <c r="X229" i="32" a="1"/>
  <c r="X229" i="32" s="1"/>
  <c r="X231" i="32" a="1"/>
  <c r="X231" i="32" s="1"/>
  <c r="X230" i="32" a="1"/>
  <c r="X230" i="32" s="1"/>
  <c r="X227" i="32" a="1"/>
  <c r="X227" i="32" s="1"/>
  <c r="X233" i="32" a="1"/>
  <c r="X233" i="32" s="1"/>
  <c r="X224" i="32" a="1"/>
  <c r="X224" i="32" s="1"/>
  <c r="X232" i="32" a="1"/>
  <c r="X232" i="32" s="1"/>
  <c r="X226" i="32" a="1"/>
  <c r="X226" i="32" s="1"/>
  <c r="X223" i="32" a="1"/>
  <c r="X223" i="32" s="1"/>
  <c r="Y374" i="32"/>
  <c r="Y52" i="32" s="1"/>
  <c r="Z369" i="32"/>
  <c r="Z371" i="32"/>
  <c r="Z373" i="32"/>
  <c r="Z370" i="32"/>
  <c r="Z372" i="32"/>
  <c r="Z363" i="32"/>
  <c r="Z360" i="32"/>
  <c r="Z362" i="32"/>
  <c r="Z364" i="32"/>
  <c r="Z361" i="32"/>
  <c r="U53" i="32"/>
  <c r="X244" i="32"/>
  <c r="X220" i="32"/>
  <c r="Y210" i="32"/>
  <c r="W299" i="32"/>
  <c r="W313" i="32" s="1"/>
  <c r="W303" i="32"/>
  <c r="Y207" i="32"/>
  <c r="Y205" i="32"/>
  <c r="X293" i="32"/>
  <c r="X307" i="32" s="1"/>
  <c r="X298" i="32"/>
  <c r="X312" i="32" s="1"/>
  <c r="X605" i="32" s="1"/>
  <c r="X509" i="32" s="1"/>
  <c r="X289" i="32"/>
  <c r="X296" i="32"/>
  <c r="X310" i="32" s="1"/>
  <c r="X603" i="32" s="1"/>
  <c r="X507" i="32" s="1"/>
  <c r="X297" i="32"/>
  <c r="X311" i="32" s="1"/>
  <c r="X604" i="32" s="1"/>
  <c r="X508" i="32" s="1"/>
  <c r="X295" i="32"/>
  <c r="X309" i="32" s="1"/>
  <c r="X291" i="32"/>
  <c r="X305" i="32" s="1"/>
  <c r="X294" i="32"/>
  <c r="X308" i="32" s="1"/>
  <c r="X290" i="32"/>
  <c r="X304" i="32" s="1"/>
  <c r="X292" i="32"/>
  <c r="X306" i="32" s="1"/>
  <c r="Y208" i="32"/>
  <c r="Y211" i="32"/>
  <c r="Y206" i="32"/>
  <c r="Y209" i="32"/>
  <c r="Y204" i="32"/>
  <c r="Y213" i="32"/>
  <c r="Y212" i="32"/>
  <c r="X282" i="32" a="1"/>
  <c r="X282" i="32" s="1"/>
  <c r="X277" i="32" a="1"/>
  <c r="X277" i="32" s="1"/>
  <c r="X281" i="32" a="1"/>
  <c r="X281" i="32" s="1"/>
  <c r="X280" i="32" a="1"/>
  <c r="X280" i="32" s="1"/>
  <c r="X279" i="32" a="1"/>
  <c r="X279" i="32" s="1"/>
  <c r="W278" i="32"/>
  <c r="W283" i="32" s="1"/>
  <c r="W264" i="32"/>
  <c r="X620" i="32"/>
  <c r="X524" i="32" s="1"/>
  <c r="X330" i="32"/>
  <c r="X332" i="32" s="1"/>
  <c r="X261" i="32" a="1"/>
  <c r="X261" i="32" s="1"/>
  <c r="X262" i="32" a="1"/>
  <c r="X262" i="32" s="1"/>
  <c r="X263" i="32"/>
  <c r="W598" i="32"/>
  <c r="W630" i="32"/>
  <c r="W534" i="32"/>
  <c r="Y602" i="32"/>
  <c r="Y506" i="32" s="1"/>
  <c r="Y320" i="32"/>
  <c r="X613" i="32"/>
  <c r="Z833" i="32"/>
  <c r="Z703" i="32"/>
  <c r="Z520" i="32"/>
  <c r="Z844" i="32"/>
  <c r="Z714" i="32"/>
  <c r="Z526" i="32"/>
  <c r="Z850" i="32"/>
  <c r="Z720" i="32"/>
  <c r="Z839" i="32"/>
  <c r="Z709" i="32"/>
  <c r="Z845" i="32"/>
  <c r="Z715" i="32"/>
  <c r="Y728" i="32"/>
  <c r="Y636" i="32"/>
  <c r="Z856" i="32"/>
  <c r="Z726" i="32"/>
  <c r="Z834" i="32"/>
  <c r="Z704" i="32"/>
  <c r="Z840" i="32"/>
  <c r="Z710" i="32"/>
  <c r="Y858" i="32"/>
  <c r="Y766" i="32"/>
  <c r="Z851" i="32"/>
  <c r="Z721" i="32"/>
  <c r="Z857" i="32"/>
  <c r="Z727" i="32"/>
  <c r="Z835" i="32"/>
  <c r="Z705" i="32"/>
  <c r="Z846" i="32"/>
  <c r="Z716" i="32"/>
  <c r="Z852" i="32"/>
  <c r="Z722" i="32"/>
  <c r="Z830" i="32"/>
  <c r="Z862" i="32" s="1"/>
  <c r="Z700" i="32"/>
  <c r="Z732" i="32" s="1"/>
  <c r="Z841" i="32"/>
  <c r="Z711" i="32"/>
  <c r="Z523" i="32"/>
  <c r="Z847" i="32"/>
  <c r="Z717" i="32"/>
  <c r="Z529" i="32"/>
  <c r="Z853" i="32"/>
  <c r="Z723" i="32"/>
  <c r="Z836" i="32"/>
  <c r="Z706" i="32"/>
  <c r="Z842" i="32"/>
  <c r="Z712" i="32"/>
  <c r="Z848" i="32"/>
  <c r="Z718" i="32"/>
  <c r="Z831" i="32"/>
  <c r="Z701" i="32"/>
  <c r="Z513" i="32"/>
  <c r="Z837" i="32"/>
  <c r="Z707" i="32"/>
  <c r="Z843" i="32"/>
  <c r="Z713" i="32"/>
  <c r="Z854" i="32"/>
  <c r="Z724" i="32"/>
  <c r="Z832" i="32"/>
  <c r="Z702" i="32"/>
  <c r="Z838" i="32"/>
  <c r="Z708" i="32"/>
  <c r="Z849" i="32"/>
  <c r="Z719" i="32"/>
  <c r="Z855" i="32"/>
  <c r="Z725" i="32"/>
  <c r="Z896" i="32"/>
  <c r="Z901" i="32"/>
  <c r="Z906" i="32"/>
  <c r="Z911" i="32"/>
  <c r="Z916" i="32"/>
  <c r="Z921" i="32"/>
  <c r="Z926" i="32"/>
  <c r="Z898" i="32"/>
  <c r="Z900" i="32"/>
  <c r="Z897" i="32"/>
  <c r="Z902" i="32"/>
  <c r="Z907" i="32"/>
  <c r="Z912" i="32"/>
  <c r="Z917" i="32"/>
  <c r="Z922" i="32"/>
  <c r="Z927" i="32"/>
  <c r="Z899" i="32"/>
  <c r="Z908" i="32"/>
  <c r="Z909" i="32"/>
  <c r="Z910" i="32"/>
  <c r="Z923" i="32"/>
  <c r="Z913" i="32"/>
  <c r="Z925" i="32"/>
  <c r="Z903" i="32"/>
  <c r="Z915" i="32"/>
  <c r="Z905" i="32"/>
  <c r="Z919" i="32"/>
  <c r="Z934" i="32"/>
  <c r="Z937" i="32"/>
  <c r="Z914" i="32"/>
  <c r="Z932" i="32"/>
  <c r="Z928" i="32"/>
  <c r="Z935" i="32"/>
  <c r="Z904" i="32"/>
  <c r="Z920" i="32"/>
  <c r="Z924" i="32"/>
  <c r="Z929" i="32"/>
  <c r="Z930" i="32"/>
  <c r="Z918" i="32"/>
  <c r="Z933" i="32"/>
  <c r="Z931" i="32"/>
  <c r="Z936" i="32"/>
  <c r="Y938" i="32"/>
  <c r="Z500" i="32"/>
  <c r="Z42" i="32" s="1"/>
  <c r="Z31" i="32" s="1"/>
  <c r="Y606" i="32"/>
  <c r="Y510" i="32" s="1"/>
  <c r="Z176" i="32"/>
  <c r="Z181" i="32"/>
  <c r="Z178" i="32"/>
  <c r="Z183" i="32"/>
  <c r="Z180" i="32"/>
  <c r="Z185" i="32"/>
  <c r="Z177" i="32"/>
  <c r="Z182" i="32"/>
  <c r="Z179" i="32"/>
  <c r="Z184" i="32"/>
  <c r="Y186" i="32"/>
  <c r="Y214" i="32" s="1"/>
  <c r="AA411" i="32"/>
  <c r="AA416" i="32"/>
  <c r="AA421" i="32"/>
  <c r="AA426" i="32"/>
  <c r="AA431" i="32"/>
  <c r="AA408" i="32"/>
  <c r="AA413" i="32"/>
  <c r="AA418" i="32"/>
  <c r="AA423" i="32"/>
  <c r="AA428" i="32"/>
  <c r="AA433" i="32"/>
  <c r="AA410" i="32"/>
  <c r="AA415" i="32"/>
  <c r="AA420" i="32"/>
  <c r="AA425" i="32"/>
  <c r="AA430" i="32"/>
  <c r="AA435" i="32"/>
  <c r="AA412" i="32"/>
  <c r="AA417" i="32"/>
  <c r="AA422" i="32"/>
  <c r="AA427" i="32"/>
  <c r="AA432" i="32"/>
  <c r="AB407" i="32"/>
  <c r="AA409" i="32"/>
  <c r="AA414" i="32"/>
  <c r="AA419" i="32"/>
  <c r="AA424" i="32"/>
  <c r="AA429" i="32"/>
  <c r="AA434" i="32"/>
  <c r="Z436" i="32"/>
  <c r="V383" i="32"/>
  <c r="V51" i="32" s="1"/>
  <c r="V32" i="32" s="1"/>
  <c r="W271" i="32"/>
  <c r="W98" i="32"/>
  <c r="Y346" i="32"/>
  <c r="Z351" i="32"/>
  <c r="Z353" i="32"/>
  <c r="Z355" i="32"/>
  <c r="Z352" i="32"/>
  <c r="Z354" i="32"/>
  <c r="Y356" i="32"/>
  <c r="AA146" i="32"/>
  <c r="Z151" i="32" a="1"/>
  <c r="Z151" i="32" s="1"/>
  <c r="Z163" i="32" a="1"/>
  <c r="Z163" i="32" s="1"/>
  <c r="Z170" i="32" a="1"/>
  <c r="Z170" i="32" s="1"/>
  <c r="Z169" i="32" a="1"/>
  <c r="Z169" i="32" s="1"/>
  <c r="Z148" i="32" a="1"/>
  <c r="Z148" i="32" s="1"/>
  <c r="Z153" i="32" a="1"/>
  <c r="Z153" i="32" s="1"/>
  <c r="Z150" i="32" a="1"/>
  <c r="Z150" i="32" s="1"/>
  <c r="Z155" i="32" a="1"/>
  <c r="Z155" i="32" s="1"/>
  <c r="Z157" i="32" a="1"/>
  <c r="Z157" i="32" s="1"/>
  <c r="Z147" i="32" a="1"/>
  <c r="Z147" i="32" s="1"/>
  <c r="Z149" i="32" a="1"/>
  <c r="Z149" i="32" s="1"/>
  <c r="Z154" i="32" a="1"/>
  <c r="Z154" i="32" s="1"/>
  <c r="Z162" i="32" a="1"/>
  <c r="Z162" i="32" s="1"/>
  <c r="Z160" i="32" a="1"/>
  <c r="Z160" i="32" s="1"/>
  <c r="Z152" i="32" a="1"/>
  <c r="Z152" i="32" s="1"/>
  <c r="Z156" i="32" a="1"/>
  <c r="Z156" i="32" s="1"/>
  <c r="Z158" i="32" a="1"/>
  <c r="Z158" i="32" s="1"/>
  <c r="Z159" i="32" a="1"/>
  <c r="Z159" i="32" s="1"/>
  <c r="Y48" i="32" a="1"/>
  <c r="Y48" i="32" s="1"/>
  <c r="Y49" i="32" a="1"/>
  <c r="Y49" i="32" s="1"/>
  <c r="Y50" i="32" a="1"/>
  <c r="Y50" i="32" s="1"/>
  <c r="Y47" i="32" a="1"/>
  <c r="Y47" i="32" s="1"/>
  <c r="Y260" i="32"/>
  <c r="X265" i="32"/>
  <c r="X266" i="32"/>
  <c r="AA359" i="32"/>
  <c r="X129" i="32" a="1"/>
  <c r="X129" i="32" s="1"/>
  <c r="X128" i="32" a="1"/>
  <c r="X128" i="32" s="1"/>
  <c r="X121" i="32" a="1"/>
  <c r="X121" i="32" s="1"/>
  <c r="X119" i="32" a="1"/>
  <c r="X119" i="32" s="1"/>
  <c r="X90" i="32" a="1"/>
  <c r="X90" i="32" s="1"/>
  <c r="X130" i="32" a="1"/>
  <c r="X130" i="32" s="1"/>
  <c r="X91" i="32" a="1"/>
  <c r="X91" i="32" s="1"/>
  <c r="X84" i="32" a="1"/>
  <c r="X84" i="32" s="1"/>
  <c r="X89" i="32" a="1"/>
  <c r="X89" i="32" s="1"/>
  <c r="X120" i="32" a="1"/>
  <c r="X120" i="32" s="1"/>
  <c r="X88" i="32" a="1"/>
  <c r="X88" i="32" s="1"/>
  <c r="X92" i="32" a="1"/>
  <c r="X92" i="32" s="1"/>
  <c r="X87" i="32" a="1"/>
  <c r="X87" i="32" s="1"/>
  <c r="X85" i="32" a="1"/>
  <c r="X85" i="32" s="1"/>
  <c r="X93" i="32" a="1"/>
  <c r="X93" i="32" s="1"/>
  <c r="X86" i="32" a="1"/>
  <c r="X86" i="32" s="1"/>
  <c r="X127" i="32" a="1"/>
  <c r="X127" i="32" s="1"/>
  <c r="X122" i="32" a="1"/>
  <c r="X122" i="32" s="1"/>
  <c r="X79" i="32" a="1"/>
  <c r="X79" i="32" s="1"/>
  <c r="X73" i="32" a="1"/>
  <c r="X73" i="32" s="1"/>
  <c r="X69" i="32" a="1"/>
  <c r="X69" i="32" s="1"/>
  <c r="X82" i="32" a="1"/>
  <c r="X82" i="32" s="1"/>
  <c r="X64" i="32" a="1"/>
  <c r="X64" i="32" s="1"/>
  <c r="X66" i="32" a="1"/>
  <c r="X66" i="32" s="1"/>
  <c r="X71" i="32" a="1"/>
  <c r="X71" i="32" s="1"/>
  <c r="X68" i="32" a="1"/>
  <c r="X68" i="32" s="1"/>
  <c r="X61" i="32" a="1"/>
  <c r="X61" i="32" s="1"/>
  <c r="X81" i="32" a="1"/>
  <c r="X81" i="32" s="1"/>
  <c r="X80" i="32" a="1"/>
  <c r="X80" i="32" s="1"/>
  <c r="X74" i="32" a="1"/>
  <c r="X74" i="32" s="1"/>
  <c r="X70" i="32" a="1"/>
  <c r="X70" i="32" s="1"/>
  <c r="X62" i="32" a="1"/>
  <c r="X62" i="32" s="1"/>
  <c r="X83" i="32" a="1"/>
  <c r="X83" i="32" s="1"/>
  <c r="X72" i="32" a="1"/>
  <c r="X72" i="32" s="1"/>
  <c r="X67" i="32" a="1"/>
  <c r="X67" i="32" s="1"/>
  <c r="X65" i="32" a="1"/>
  <c r="X65" i="32" s="1"/>
  <c r="X63" i="32" a="1"/>
  <c r="X63" i="32" s="1"/>
  <c r="Y327" i="32"/>
  <c r="Y329" i="32" s="1"/>
  <c r="X333" i="32"/>
  <c r="X626" i="32" s="1"/>
  <c r="X530" i="32" s="1"/>
  <c r="X324" i="32"/>
  <c r="X617" i="32" s="1"/>
  <c r="X521" i="32" s="1"/>
  <c r="Y222" i="32"/>
  <c r="X245" i="32"/>
  <c r="X238" i="32"/>
  <c r="AA340" i="32"/>
  <c r="Z344" i="32"/>
  <c r="Z381" i="32" s="1"/>
  <c r="Z341" i="32"/>
  <c r="Z378" i="32" s="1"/>
  <c r="Z343" i="32"/>
  <c r="Z380" i="32" s="1"/>
  <c r="Z345" i="32"/>
  <c r="Z382" i="32" s="1"/>
  <c r="Z342" i="32"/>
  <c r="Z379" i="32" s="1"/>
  <c r="W108" i="32"/>
  <c r="W103" i="32"/>
  <c r="Z37" i="32"/>
  <c r="W100" i="32"/>
  <c r="W104" i="32"/>
  <c r="V30" i="32"/>
  <c r="W102" i="32"/>
  <c r="W107" i="32"/>
  <c r="W105" i="32"/>
  <c r="W109" i="32"/>
  <c r="W111" i="32"/>
  <c r="V112" i="32"/>
  <c r="W110" i="32"/>
  <c r="W101" i="32"/>
  <c r="W99" i="32"/>
  <c r="U33" i="32"/>
  <c r="U34" i="32" s="1"/>
  <c r="V43" i="32"/>
  <c r="V27" i="32"/>
  <c r="W29" i="32"/>
  <c r="V28" i="32"/>
  <c r="V164" i="32"/>
  <c r="V139" i="32"/>
  <c r="W75" i="32"/>
  <c r="W137" i="32"/>
  <c r="W138" i="32"/>
  <c r="Y60" i="32"/>
  <c r="W136" i="32"/>
  <c r="W135" i="32"/>
  <c r="W131" i="32"/>
  <c r="W94" i="32"/>
  <c r="W123" i="32"/>
  <c r="AA161" i="32" l="1" a="1"/>
  <c r="AA161" i="32" s="1"/>
  <c r="AA331" i="32" s="1"/>
  <c r="AA165" i="32" a="1"/>
  <c r="AA165" i="32" s="1"/>
  <c r="Y21" i="32"/>
  <c r="X25" i="32"/>
  <c r="X26" i="32"/>
  <c r="X22" i="32"/>
  <c r="X23" i="32"/>
  <c r="X24" i="32"/>
  <c r="AB472" i="32"/>
  <c r="AB477" i="32"/>
  <c r="AB482" i="32"/>
  <c r="AB487" i="32"/>
  <c r="AB492" i="32"/>
  <c r="AB497" i="32"/>
  <c r="AB475" i="32"/>
  <c r="AB480" i="32"/>
  <c r="AB485" i="32"/>
  <c r="AB490" i="32"/>
  <c r="AB495" i="32"/>
  <c r="AB478" i="32"/>
  <c r="AB483" i="32"/>
  <c r="AB488" i="32"/>
  <c r="AB493" i="32"/>
  <c r="AB498" i="32"/>
  <c r="AB473" i="32"/>
  <c r="AB476" i="32"/>
  <c r="AB481" i="32"/>
  <c r="AB489" i="32"/>
  <c r="AB499" i="32"/>
  <c r="AB479" i="32"/>
  <c r="AB486" i="32"/>
  <c r="AB496" i="32"/>
  <c r="AB474" i="32"/>
  <c r="AB484" i="32"/>
  <c r="AB494" i="32"/>
  <c r="AB491" i="32"/>
  <c r="Z40" i="32" a="1"/>
  <c r="Z40" i="32" s="1"/>
  <c r="Z38" i="32" a="1"/>
  <c r="Z38" i="32" s="1"/>
  <c r="Z41" i="32" a="1"/>
  <c r="Z41" i="32" s="1"/>
  <c r="Z39" i="32" a="1"/>
  <c r="Z39" i="32" s="1"/>
  <c r="Z468" i="32"/>
  <c r="AA591" i="32"/>
  <c r="AA623" i="32" s="1"/>
  <c r="AA527" i="32" s="1"/>
  <c r="AA461" i="32"/>
  <c r="AA574" i="32"/>
  <c r="AA444" i="32"/>
  <c r="AA580" i="32"/>
  <c r="AA612" i="32" s="1"/>
  <c r="AA516" i="32" s="1"/>
  <c r="AA450" i="32"/>
  <c r="AA586" i="32"/>
  <c r="AA618" i="32" s="1"/>
  <c r="AA522" i="32" s="1"/>
  <c r="AA456" i="32"/>
  <c r="AA597" i="32"/>
  <c r="AA629" i="32" s="1"/>
  <c r="AA533" i="32" s="1"/>
  <c r="AA467" i="32"/>
  <c r="AA575" i="32"/>
  <c r="AA607" i="32" s="1"/>
  <c r="AA445" i="32"/>
  <c r="AA581" i="32"/>
  <c r="AA451" i="32"/>
  <c r="AA592" i="32"/>
  <c r="AA624" i="32" s="1"/>
  <c r="AA528" i="32" s="1"/>
  <c r="AA462" i="32"/>
  <c r="AA570" i="32"/>
  <c r="AA440" i="32"/>
  <c r="AA576" i="32"/>
  <c r="AA608" i="32" s="1"/>
  <c r="AA512" i="32" s="1"/>
  <c r="AA446" i="32"/>
  <c r="AA587" i="32"/>
  <c r="AA619" i="32" s="1"/>
  <c r="AA457" i="32"/>
  <c r="AA593" i="32"/>
  <c r="AA625" i="32" s="1"/>
  <c r="AA529" i="32" s="1"/>
  <c r="AA463" i="32"/>
  <c r="AA571" i="32"/>
  <c r="AA441" i="32"/>
  <c r="AA582" i="32"/>
  <c r="AA614" i="32" s="1"/>
  <c r="AA518" i="32" s="1"/>
  <c r="AA452" i="32"/>
  <c r="AA588" i="32"/>
  <c r="AA458" i="32"/>
  <c r="AA577" i="32"/>
  <c r="AA609" i="32" s="1"/>
  <c r="AA513" i="32" s="1"/>
  <c r="AA447" i="32"/>
  <c r="AA583" i="32"/>
  <c r="AA615" i="32" s="1"/>
  <c r="AA519" i="32" s="1"/>
  <c r="AA453" i="32"/>
  <c r="AA594" i="32"/>
  <c r="AA464" i="32"/>
  <c r="AA572" i="32"/>
  <c r="AA442" i="32"/>
  <c r="AA578" i="32"/>
  <c r="AA610" i="32" s="1"/>
  <c r="AA514" i="32" s="1"/>
  <c r="AA448" i="32"/>
  <c r="AA589" i="32"/>
  <c r="AA621" i="32" s="1"/>
  <c r="AA525" i="32" s="1"/>
  <c r="AA459" i="32"/>
  <c r="AA595" i="32"/>
  <c r="AA627" i="32" s="1"/>
  <c r="AA465" i="32"/>
  <c r="AA573" i="32"/>
  <c r="AA443" i="32"/>
  <c r="AA596" i="32"/>
  <c r="AA628" i="32" s="1"/>
  <c r="AA532" i="32" s="1"/>
  <c r="AA466" i="32"/>
  <c r="AA579" i="32"/>
  <c r="AA611" i="32" s="1"/>
  <c r="AA515" i="32" s="1"/>
  <c r="AA449" i="32"/>
  <c r="AA585" i="32"/>
  <c r="AA455" i="32"/>
  <c r="Y890" i="32"/>
  <c r="AA584" i="32"/>
  <c r="AA616" i="32" s="1"/>
  <c r="AA454" i="32"/>
  <c r="AA590" i="32"/>
  <c r="AA622" i="32" s="1"/>
  <c r="AA526" i="32" s="1"/>
  <c r="AA460" i="32"/>
  <c r="Z793" i="32"/>
  <c r="Z889" i="32"/>
  <c r="Z775" i="32"/>
  <c r="Z871" i="32"/>
  <c r="Z768" i="32"/>
  <c r="Z864" i="32"/>
  <c r="Z767" i="32"/>
  <c r="Z863" i="32"/>
  <c r="Z789" i="32"/>
  <c r="Z885" i="32"/>
  <c r="Z788" i="32"/>
  <c r="Z884" i="32"/>
  <c r="Z770" i="32"/>
  <c r="Z866" i="32"/>
  <c r="Z790" i="32"/>
  <c r="Z886" i="32"/>
  <c r="Z784" i="32"/>
  <c r="Z880" i="32"/>
  <c r="Z787" i="32"/>
  <c r="Z883" i="32"/>
  <c r="Z792" i="32"/>
  <c r="Z888" i="32"/>
  <c r="Z786" i="32"/>
  <c r="Z882" i="32"/>
  <c r="Z783" i="32"/>
  <c r="Z879" i="32"/>
  <c r="Z782" i="32"/>
  <c r="Z878" i="32"/>
  <c r="Y760" i="32"/>
  <c r="Z785" i="32"/>
  <c r="Z881" i="32"/>
  <c r="Z779" i="32"/>
  <c r="Z875" i="32"/>
  <c r="Z778" i="32"/>
  <c r="Z874" i="32"/>
  <c r="Y794" i="32"/>
  <c r="Y664" i="32"/>
  <c r="Z791" i="32"/>
  <c r="Z887" i="32"/>
  <c r="Z780" i="32"/>
  <c r="Z876" i="32"/>
  <c r="Z777" i="32"/>
  <c r="Z873" i="32"/>
  <c r="Z771" i="32"/>
  <c r="Z867" i="32"/>
  <c r="Z774" i="32"/>
  <c r="Z870" i="32"/>
  <c r="Z773" i="32"/>
  <c r="Z869" i="32"/>
  <c r="Z772" i="32"/>
  <c r="Z868" i="32"/>
  <c r="Z776" i="32"/>
  <c r="Z872" i="32"/>
  <c r="Z781" i="32"/>
  <c r="Z877" i="32"/>
  <c r="Z769" i="32"/>
  <c r="Z865" i="32"/>
  <c r="Z638" i="32"/>
  <c r="Z734" i="32"/>
  <c r="Z637" i="32"/>
  <c r="Z733" i="32"/>
  <c r="Z659" i="32"/>
  <c r="Z755" i="32"/>
  <c r="Z658" i="32"/>
  <c r="Z754" i="32"/>
  <c r="Z640" i="32"/>
  <c r="Z736" i="32"/>
  <c r="Z650" i="32"/>
  <c r="Z746" i="32"/>
  <c r="Z663" i="32"/>
  <c r="Z759" i="32"/>
  <c r="Z661" i="32"/>
  <c r="Z757" i="32"/>
  <c r="Z647" i="32"/>
  <c r="Z743" i="32"/>
  <c r="Z641" i="32"/>
  <c r="Z737" i="32"/>
  <c r="Z644" i="32"/>
  <c r="Z740" i="32"/>
  <c r="Z643" i="32"/>
  <c r="Z739" i="32"/>
  <c r="Z642" i="32"/>
  <c r="Z738" i="32"/>
  <c r="Z646" i="32"/>
  <c r="Z742" i="32"/>
  <c r="Z651" i="32"/>
  <c r="Z747" i="32"/>
  <c r="Z639" i="32"/>
  <c r="Z735" i="32"/>
  <c r="Z645" i="32"/>
  <c r="Z741" i="32"/>
  <c r="Z660" i="32"/>
  <c r="Z756" i="32"/>
  <c r="Z654" i="32"/>
  <c r="Z750" i="32"/>
  <c r="Z657" i="32"/>
  <c r="Z753" i="32"/>
  <c r="Z662" i="32"/>
  <c r="Z758" i="32"/>
  <c r="Z656" i="32"/>
  <c r="Z752" i="32"/>
  <c r="X99" i="32"/>
  <c r="Z653" i="32"/>
  <c r="Z749" i="32"/>
  <c r="Z652" i="32"/>
  <c r="Z748" i="32"/>
  <c r="Z655" i="32"/>
  <c r="Z751" i="32"/>
  <c r="Z649" i="32"/>
  <c r="Z745" i="32"/>
  <c r="Z648" i="32"/>
  <c r="Z744" i="32"/>
  <c r="W236" i="32"/>
  <c r="W237" i="32" s="1"/>
  <c r="X234" i="32" a="1"/>
  <c r="X234" i="32" s="1"/>
  <c r="X235" i="32" a="1"/>
  <c r="X235" i="32" s="1"/>
  <c r="AA372" i="32"/>
  <c r="AA369" i="32"/>
  <c r="AA371" i="32"/>
  <c r="AA373" i="32"/>
  <c r="AA370" i="32"/>
  <c r="AA363" i="32"/>
  <c r="AA361" i="32"/>
  <c r="AA362" i="32"/>
  <c r="AA360" i="32"/>
  <c r="AA364" i="32"/>
  <c r="Z374" i="32"/>
  <c r="Z52" i="32" s="1"/>
  <c r="Z365" i="32"/>
  <c r="Y223" i="32" a="1"/>
  <c r="Y223" i="32" s="1"/>
  <c r="Y231" i="32" a="1"/>
  <c r="Y231" i="32" s="1"/>
  <c r="Y228" i="32" a="1"/>
  <c r="Y228" i="32" s="1"/>
  <c r="Y229" i="32" a="1"/>
  <c r="Y229" i="32" s="1"/>
  <c r="Y226" i="32" a="1"/>
  <c r="Y226" i="32" s="1"/>
  <c r="Y225" i="32" a="1"/>
  <c r="Y225" i="32" s="1"/>
  <c r="Y230" i="32" a="1"/>
  <c r="Y230" i="32" s="1"/>
  <c r="Y232" i="32" a="1"/>
  <c r="Y232" i="32" s="1"/>
  <c r="Y227" i="32" a="1"/>
  <c r="Y227" i="32" s="1"/>
  <c r="Y233" i="32" a="1"/>
  <c r="Y233" i="32" s="1"/>
  <c r="Y224" i="32" a="1"/>
  <c r="Y224" i="32" s="1"/>
  <c r="Y244" i="32"/>
  <c r="Y220" i="32"/>
  <c r="V53" i="32"/>
  <c r="Z210" i="32"/>
  <c r="Z213" i="32"/>
  <c r="Z208" i="32"/>
  <c r="Z211" i="32"/>
  <c r="Z206" i="32"/>
  <c r="Z209" i="32"/>
  <c r="Z205" i="32"/>
  <c r="Z204" i="32"/>
  <c r="Y291" i="32"/>
  <c r="Y305" i="32" s="1"/>
  <c r="Y294" i="32"/>
  <c r="Y308" i="32" s="1"/>
  <c r="Y297" i="32"/>
  <c r="Y311" i="32" s="1"/>
  <c r="Y604" i="32" s="1"/>
  <c r="Y508" i="32" s="1"/>
  <c r="Y290" i="32"/>
  <c r="Y304" i="32" s="1"/>
  <c r="Y293" i="32"/>
  <c r="Y307" i="32" s="1"/>
  <c r="Y292" i="32"/>
  <c r="Y306" i="32" s="1"/>
  <c r="Y296" i="32"/>
  <c r="Y310" i="32" s="1"/>
  <c r="Y603" i="32" s="1"/>
  <c r="Y507" i="32" s="1"/>
  <c r="Y289" i="32"/>
  <c r="Y298" i="32"/>
  <c r="Y312" i="32" s="1"/>
  <c r="Y605" i="32" s="1"/>
  <c r="Y509" i="32" s="1"/>
  <c r="Y295" i="32"/>
  <c r="Y309" i="32" s="1"/>
  <c r="Z212" i="32"/>
  <c r="Z207" i="32"/>
  <c r="X299" i="32"/>
  <c r="X313" i="32" s="1"/>
  <c r="X303" i="32"/>
  <c r="X606" i="32" s="1"/>
  <c r="X510" i="32" s="1"/>
  <c r="Y282" i="32" a="1"/>
  <c r="Y282" i="32" s="1"/>
  <c r="Y281" i="32" a="1"/>
  <c r="Y281" i="32" s="1"/>
  <c r="Y280" i="32" a="1"/>
  <c r="Y280" i="32" s="1"/>
  <c r="Y277" i="32" a="1"/>
  <c r="Y277" i="32" s="1"/>
  <c r="Y279" i="32" a="1"/>
  <c r="Y279" i="32" s="1"/>
  <c r="X278" i="32"/>
  <c r="X283" i="32" s="1"/>
  <c r="X264" i="32"/>
  <c r="Y620" i="32"/>
  <c r="Y524" i="32" s="1"/>
  <c r="Y330" i="32"/>
  <c r="Y332" i="32" s="1"/>
  <c r="Y261" i="32" a="1"/>
  <c r="Y261" i="32" s="1"/>
  <c r="Y262" i="32" a="1"/>
  <c r="Y262" i="32" s="1"/>
  <c r="Y263" i="32"/>
  <c r="Z602" i="32"/>
  <c r="X517" i="32"/>
  <c r="Z320" i="32"/>
  <c r="Y613" i="32"/>
  <c r="Y517" i="32" s="1"/>
  <c r="X598" i="32"/>
  <c r="AA831" i="32"/>
  <c r="AA701" i="32"/>
  <c r="AA842" i="32"/>
  <c r="AA712" i="32"/>
  <c r="AA848" i="32"/>
  <c r="AA718" i="32"/>
  <c r="AA836" i="32"/>
  <c r="AA706" i="32"/>
  <c r="AA523" i="32"/>
  <c r="AA847" i="32"/>
  <c r="AA717" i="32"/>
  <c r="AA853" i="32"/>
  <c r="AA723" i="32"/>
  <c r="AA837" i="32"/>
  <c r="AA707" i="32"/>
  <c r="AA843" i="32"/>
  <c r="AA713" i="32"/>
  <c r="AA854" i="32"/>
  <c r="AA724" i="32"/>
  <c r="AA832" i="32"/>
  <c r="AA702" i="32"/>
  <c r="AA838" i="32"/>
  <c r="AA708" i="32"/>
  <c r="Z728" i="32"/>
  <c r="Z636" i="32"/>
  <c r="AA849" i="32"/>
  <c r="AA719" i="32"/>
  <c r="AA531" i="32"/>
  <c r="AA855" i="32"/>
  <c r="AA725" i="32"/>
  <c r="AA833" i="32"/>
  <c r="AA703" i="32"/>
  <c r="Z858" i="32"/>
  <c r="Z766" i="32"/>
  <c r="AA520" i="32"/>
  <c r="AA844" i="32"/>
  <c r="AA714" i="32"/>
  <c r="AA850" i="32"/>
  <c r="AA720" i="32"/>
  <c r="AA856" i="32"/>
  <c r="AA726" i="32"/>
  <c r="AA839" i="32"/>
  <c r="AA709" i="32"/>
  <c r="AA845" i="32"/>
  <c r="AA715" i="32"/>
  <c r="AA851" i="32"/>
  <c r="AA721" i="32"/>
  <c r="AA834" i="32"/>
  <c r="AA704" i="32"/>
  <c r="AA840" i="32"/>
  <c r="AA710" i="32"/>
  <c r="AA846" i="32"/>
  <c r="AA716" i="32"/>
  <c r="AA857" i="32"/>
  <c r="AA727" i="32"/>
  <c r="AA511" i="32"/>
  <c r="AA835" i="32"/>
  <c r="AA705" i="32"/>
  <c r="AA841" i="32"/>
  <c r="AA711" i="32"/>
  <c r="AA852" i="32"/>
  <c r="AA722" i="32"/>
  <c r="AA830" i="32"/>
  <c r="AA862" i="32" s="1"/>
  <c r="AA700" i="32"/>
  <c r="AA732" i="32" s="1"/>
  <c r="AA898" i="32"/>
  <c r="AA897" i="32"/>
  <c r="AA905" i="32"/>
  <c r="AA906" i="32"/>
  <c r="AA907" i="32"/>
  <c r="AA899" i="32"/>
  <c r="AA908" i="32"/>
  <c r="AA909" i="32"/>
  <c r="AA922" i="32"/>
  <c r="AA910" i="32"/>
  <c r="AA911" i="32"/>
  <c r="AA912" i="32"/>
  <c r="AA924" i="32"/>
  <c r="AA929" i="32"/>
  <c r="AA901" i="32"/>
  <c r="AA900" i="32"/>
  <c r="AA902" i="32"/>
  <c r="AA914" i="32"/>
  <c r="AA927" i="32"/>
  <c r="AA931" i="32"/>
  <c r="AA936" i="32"/>
  <c r="AA923" i="32"/>
  <c r="AA925" i="32"/>
  <c r="AA896" i="32"/>
  <c r="AA915" i="32"/>
  <c r="AA916" i="32"/>
  <c r="AA919" i="32"/>
  <c r="AA921" i="32"/>
  <c r="AA934" i="32"/>
  <c r="AA937" i="32"/>
  <c r="AA932" i="32"/>
  <c r="AA917" i="32"/>
  <c r="AA926" i="32"/>
  <c r="AA928" i="32"/>
  <c r="AA935" i="32"/>
  <c r="AA904" i="32"/>
  <c r="AA913" i="32"/>
  <c r="AA920" i="32"/>
  <c r="AA930" i="32"/>
  <c r="AA903" i="32"/>
  <c r="AA918" i="32"/>
  <c r="AA933" i="32"/>
  <c r="Z938" i="32"/>
  <c r="AA500" i="32"/>
  <c r="AA42" i="32" s="1"/>
  <c r="AA31" i="32" s="1"/>
  <c r="Z606" i="32"/>
  <c r="Z510" i="32" s="1"/>
  <c r="AA179" i="32"/>
  <c r="AA184" i="32"/>
  <c r="AA176" i="32"/>
  <c r="AA181" i="32"/>
  <c r="AA178" i="32"/>
  <c r="AA183" i="32"/>
  <c r="AA180" i="32"/>
  <c r="AA177" i="32"/>
  <c r="AA182" i="32"/>
  <c r="AA185" i="32"/>
  <c r="Z186" i="32"/>
  <c r="Z214" i="32" s="1"/>
  <c r="W383" i="32"/>
  <c r="W51" i="32" s="1"/>
  <c r="W32" i="32" s="1"/>
  <c r="AA436" i="32"/>
  <c r="AB411" i="32"/>
  <c r="AB416" i="32"/>
  <c r="AB421" i="32"/>
  <c r="AB426" i="32"/>
  <c r="AB431" i="32"/>
  <c r="AB408" i="32"/>
  <c r="AB413" i="32"/>
  <c r="AB418" i="32"/>
  <c r="AB423" i="32"/>
  <c r="AB428" i="32"/>
  <c r="AB433" i="32"/>
  <c r="AB410" i="32"/>
  <c r="AB415" i="32"/>
  <c r="AB420" i="32"/>
  <c r="AB425" i="32"/>
  <c r="AB430" i="32"/>
  <c r="AB435" i="32"/>
  <c r="AC407" i="32"/>
  <c r="AB412" i="32"/>
  <c r="AB417" i="32"/>
  <c r="AB422" i="32"/>
  <c r="AB427" i="32"/>
  <c r="AB432" i="32"/>
  <c r="AB409" i="32"/>
  <c r="AB414" i="32"/>
  <c r="AB419" i="32"/>
  <c r="AB424" i="32"/>
  <c r="AB429" i="32"/>
  <c r="AB434" i="32"/>
  <c r="X271" i="32"/>
  <c r="Z346" i="32"/>
  <c r="AA354" i="32"/>
  <c r="AA351" i="32"/>
  <c r="AA353" i="32"/>
  <c r="AA355" i="32"/>
  <c r="AA352" i="32"/>
  <c r="X109" i="32"/>
  <c r="Z356" i="32"/>
  <c r="Y128" i="32" a="1"/>
  <c r="Y128" i="32" s="1"/>
  <c r="Y122" i="32" a="1"/>
  <c r="Y122" i="32" s="1"/>
  <c r="Y129" i="32" a="1"/>
  <c r="Y129" i="32" s="1"/>
  <c r="Y130" i="32" a="1"/>
  <c r="Y130" i="32" s="1"/>
  <c r="Y121" i="32" a="1"/>
  <c r="Y121" i="32" s="1"/>
  <c r="Y91" i="32" a="1"/>
  <c r="Y91" i="32" s="1"/>
  <c r="Y90" i="32" a="1"/>
  <c r="Y90" i="32" s="1"/>
  <c r="Y83" i="32" a="1"/>
  <c r="Y83" i="32" s="1"/>
  <c r="Y89" i="32" a="1"/>
  <c r="Y89" i="32" s="1"/>
  <c r="Y74" i="32" a="1"/>
  <c r="Y74" i="32" s="1"/>
  <c r="Y73" i="32" a="1"/>
  <c r="Y73" i="32" s="1"/>
  <c r="Y120" i="32" a="1"/>
  <c r="Y120" i="32" s="1"/>
  <c r="Y88" i="32" a="1"/>
  <c r="Y88" i="32" s="1"/>
  <c r="Y85" i="32" a="1"/>
  <c r="Y85" i="32" s="1"/>
  <c r="Y92" i="32" a="1"/>
  <c r="Y92" i="32" s="1"/>
  <c r="Y87" i="32" a="1"/>
  <c r="Y87" i="32" s="1"/>
  <c r="Y80" i="32" a="1"/>
  <c r="Y80" i="32" s="1"/>
  <c r="Y93" i="32" a="1"/>
  <c r="Y93" i="32" s="1"/>
  <c r="Y86" i="32" a="1"/>
  <c r="Y86" i="32" s="1"/>
  <c r="Y127" i="32" a="1"/>
  <c r="Y127" i="32" s="1"/>
  <c r="Y119" i="32" a="1"/>
  <c r="Y119" i="32" s="1"/>
  <c r="Y69" i="32" a="1"/>
  <c r="Y69" i="32" s="1"/>
  <c r="Y82" i="32" a="1"/>
  <c r="Y82" i="32" s="1"/>
  <c r="Y84" i="32" a="1"/>
  <c r="Y84" i="32" s="1"/>
  <c r="Y66" i="32" a="1"/>
  <c r="Y66" i="32" s="1"/>
  <c r="Y71" i="32" a="1"/>
  <c r="Y71" i="32" s="1"/>
  <c r="Y68" i="32" a="1"/>
  <c r="Y68" i="32" s="1"/>
  <c r="Y61" i="32" a="1"/>
  <c r="Y61" i="32" s="1"/>
  <c r="Y81" i="32" a="1"/>
  <c r="Y81" i="32" s="1"/>
  <c r="Y70" i="32" a="1"/>
  <c r="Y70" i="32" s="1"/>
  <c r="Y62" i="32" a="1"/>
  <c r="Y62" i="32" s="1"/>
  <c r="Y72" i="32" a="1"/>
  <c r="Y72" i="32" s="1"/>
  <c r="Y63" i="32" a="1"/>
  <c r="Y63" i="32" s="1"/>
  <c r="Y65" i="32" a="1"/>
  <c r="Y65" i="32" s="1"/>
  <c r="Y79" i="32" a="1"/>
  <c r="Y79" i="32" s="1"/>
  <c r="Y67" i="32" a="1"/>
  <c r="Y67" i="32" s="1"/>
  <c r="Y64" i="32" a="1"/>
  <c r="Y64" i="32" s="1"/>
  <c r="Z260" i="32"/>
  <c r="Y265" i="32"/>
  <c r="Y266" i="32"/>
  <c r="AB340" i="32"/>
  <c r="AA342" i="32"/>
  <c r="AA379" i="32" s="1"/>
  <c r="AA344" i="32"/>
  <c r="AA381" i="32" s="1"/>
  <c r="AA341" i="32"/>
  <c r="AA378" i="32" s="1"/>
  <c r="AA343" i="32"/>
  <c r="AA380" i="32" s="1"/>
  <c r="AA345" i="32"/>
  <c r="AA382" i="32" s="1"/>
  <c r="Z222" i="32"/>
  <c r="Y245" i="32"/>
  <c r="Y238" i="32"/>
  <c r="AB359" i="32"/>
  <c r="Z49" i="32" a="1"/>
  <c r="Z49" i="32" s="1"/>
  <c r="Z47" i="32" a="1"/>
  <c r="Z47" i="32" s="1"/>
  <c r="Z50" i="32" a="1"/>
  <c r="Z50" i="32" s="1"/>
  <c r="Z48" i="32" a="1"/>
  <c r="Z48" i="32" s="1"/>
  <c r="Z327" i="32"/>
  <c r="Z329" i="32" s="1"/>
  <c r="Y324" i="32"/>
  <c r="Y617" i="32" s="1"/>
  <c r="Y521" i="32" s="1"/>
  <c r="Y333" i="32"/>
  <c r="Y626" i="32" s="1"/>
  <c r="Y530" i="32" s="1"/>
  <c r="AB146" i="32"/>
  <c r="AA149" i="32" a="1"/>
  <c r="AA149" i="32" s="1"/>
  <c r="AA154" i="32" a="1"/>
  <c r="AA154" i="32" s="1"/>
  <c r="AA170" i="32" a="1"/>
  <c r="AA170" i="32" s="1"/>
  <c r="AA169" i="32" a="1"/>
  <c r="AA169" i="32" s="1"/>
  <c r="AA156" i="32" a="1"/>
  <c r="AA156" i="32" s="1"/>
  <c r="AA151" i="32" a="1"/>
  <c r="AA151" i="32" s="1"/>
  <c r="AA158" i="32" a="1"/>
  <c r="AA158" i="32" s="1"/>
  <c r="AA148" i="32" a="1"/>
  <c r="AA148" i="32" s="1"/>
  <c r="AA153" i="32" a="1"/>
  <c r="AA153" i="32" s="1"/>
  <c r="AA160" i="32" a="1"/>
  <c r="AA160" i="32" s="1"/>
  <c r="AA150" i="32" a="1"/>
  <c r="AA150" i="32" s="1"/>
  <c r="AA155" i="32" a="1"/>
  <c r="AA155" i="32" s="1"/>
  <c r="AA147" i="32" a="1"/>
  <c r="AA147" i="32" s="1"/>
  <c r="AA152" i="32" a="1"/>
  <c r="AA152" i="32" s="1"/>
  <c r="AA159" i="32" a="1"/>
  <c r="AA159" i="32" s="1"/>
  <c r="AA163" i="32" a="1"/>
  <c r="AA163" i="32" s="1"/>
  <c r="AA157" i="32" a="1"/>
  <c r="AA157" i="32" s="1"/>
  <c r="AA162" i="32" a="1"/>
  <c r="AA162" i="32" s="1"/>
  <c r="X103" i="32"/>
  <c r="X106" i="32"/>
  <c r="AA37" i="32"/>
  <c r="X107" i="32"/>
  <c r="X108" i="32"/>
  <c r="X98" i="32"/>
  <c r="X102" i="32"/>
  <c r="X111" i="32"/>
  <c r="X100" i="32"/>
  <c r="W112" i="32"/>
  <c r="X101" i="32"/>
  <c r="X104" i="32"/>
  <c r="X105" i="32"/>
  <c r="X110" i="32"/>
  <c r="W43" i="32"/>
  <c r="X29" i="32"/>
  <c r="W28" i="32"/>
  <c r="W30" i="32"/>
  <c r="W27" i="32"/>
  <c r="V33" i="32"/>
  <c r="V34" i="32" s="1"/>
  <c r="W164" i="32"/>
  <c r="W139" i="32"/>
  <c r="X94" i="32"/>
  <c r="X75" i="32"/>
  <c r="X138" i="32"/>
  <c r="X136" i="32"/>
  <c r="X135" i="32"/>
  <c r="X131" i="32"/>
  <c r="Z60" i="32"/>
  <c r="X137" i="32"/>
  <c r="X123" i="32"/>
  <c r="Z21" i="32" l="1"/>
  <c r="Y22" i="32"/>
  <c r="Y26" i="32"/>
  <c r="Y25" i="32"/>
  <c r="Y23" i="32"/>
  <c r="Y24" i="32"/>
  <c r="AB161" i="32" a="1"/>
  <c r="AB161" i="32" s="1"/>
  <c r="AB331" i="32" s="1"/>
  <c r="AB165" i="32" a="1"/>
  <c r="AB165" i="32" s="1"/>
  <c r="AC474" i="32"/>
  <c r="AC479" i="32"/>
  <c r="AC484" i="32"/>
  <c r="AC489" i="32"/>
  <c r="AC494" i="32"/>
  <c r="AC499" i="32"/>
  <c r="AC476" i="32"/>
  <c r="AC481" i="32"/>
  <c r="AC486" i="32"/>
  <c r="AC491" i="32"/>
  <c r="AC496" i="32"/>
  <c r="AC473" i="32"/>
  <c r="AC478" i="32"/>
  <c r="AC483" i="32"/>
  <c r="AC488" i="32"/>
  <c r="AC493" i="32"/>
  <c r="AC498" i="32"/>
  <c r="AC475" i="32"/>
  <c r="AC480" i="32"/>
  <c r="AC485" i="32"/>
  <c r="AC490" i="32"/>
  <c r="AC495" i="32"/>
  <c r="AC472" i="32"/>
  <c r="AC477" i="32"/>
  <c r="AC482" i="32"/>
  <c r="AC487" i="32"/>
  <c r="AC492" i="32"/>
  <c r="AC497" i="32"/>
  <c r="AA41" i="32" a="1"/>
  <c r="AA41" i="32" s="1"/>
  <c r="AA40" i="32" a="1"/>
  <c r="AA40" i="32" s="1"/>
  <c r="AA38" i="32" a="1"/>
  <c r="AA38" i="32" s="1"/>
  <c r="AA39" i="32" a="1"/>
  <c r="AA39" i="32" s="1"/>
  <c r="W53" i="32"/>
  <c r="AA468" i="32"/>
  <c r="AB586" i="32"/>
  <c r="AB618" i="32" s="1"/>
  <c r="AB456" i="32"/>
  <c r="AB597" i="32"/>
  <c r="AB629" i="32" s="1"/>
  <c r="AB467" i="32"/>
  <c r="AB575" i="32"/>
  <c r="AB607" i="32" s="1"/>
  <c r="AB511" i="32" s="1"/>
  <c r="AB445" i="32"/>
  <c r="AB581" i="32"/>
  <c r="AB451" i="32"/>
  <c r="AB592" i="32"/>
  <c r="AB624" i="32" s="1"/>
  <c r="AB528" i="32" s="1"/>
  <c r="AB462" i="32"/>
  <c r="AB570" i="32"/>
  <c r="AB440" i="32"/>
  <c r="AB576" i="32"/>
  <c r="AB608" i="32" s="1"/>
  <c r="AB446" i="32"/>
  <c r="AB587" i="32"/>
  <c r="AB619" i="32" s="1"/>
  <c r="AB523" i="32" s="1"/>
  <c r="AB457" i="32"/>
  <c r="AB593" i="32"/>
  <c r="AB625" i="32" s="1"/>
  <c r="AB529" i="32" s="1"/>
  <c r="AB463" i="32"/>
  <c r="AB571" i="32"/>
  <c r="AB441" i="32"/>
  <c r="AB582" i="32"/>
  <c r="AB614" i="32" s="1"/>
  <c r="AB518" i="32" s="1"/>
  <c r="AB452" i="32"/>
  <c r="AB588" i="32"/>
  <c r="AB458" i="32"/>
  <c r="AB594" i="32"/>
  <c r="AB464" i="32"/>
  <c r="AB577" i="32"/>
  <c r="AB609" i="32" s="1"/>
  <c r="AB513" i="32" s="1"/>
  <c r="AB447" i="32"/>
  <c r="AB583" i="32"/>
  <c r="AB615" i="32" s="1"/>
  <c r="AB519" i="32" s="1"/>
  <c r="AB453" i="32"/>
  <c r="AB589" i="32"/>
  <c r="AB621" i="32" s="1"/>
  <c r="AB459" i="32"/>
  <c r="AB572" i="32"/>
  <c r="AB442" i="32"/>
  <c r="AB578" i="32"/>
  <c r="AB610" i="32" s="1"/>
  <c r="AB514" i="32" s="1"/>
  <c r="AB448" i="32"/>
  <c r="Z890" i="32"/>
  <c r="AB584" i="32"/>
  <c r="AB616" i="32" s="1"/>
  <c r="AB520" i="32" s="1"/>
  <c r="AB454" i="32"/>
  <c r="AB595" i="32"/>
  <c r="AB627" i="32" s="1"/>
  <c r="AB531" i="32" s="1"/>
  <c r="AB465" i="32"/>
  <c r="AB573" i="32"/>
  <c r="AB443" i="32"/>
  <c r="AB579" i="32"/>
  <c r="AB611" i="32" s="1"/>
  <c r="AB515" i="32" s="1"/>
  <c r="AB449" i="32"/>
  <c r="AB590" i="32"/>
  <c r="AB622" i="32" s="1"/>
  <c r="AB526" i="32" s="1"/>
  <c r="AB460" i="32"/>
  <c r="AB596" i="32"/>
  <c r="AB628" i="32" s="1"/>
  <c r="AB532" i="32" s="1"/>
  <c r="AB466" i="32"/>
  <c r="AB574" i="32"/>
  <c r="AB444" i="32"/>
  <c r="AB585" i="32"/>
  <c r="AB455" i="32"/>
  <c r="AB591" i="32"/>
  <c r="AB623" i="32" s="1"/>
  <c r="AB527" i="32" s="1"/>
  <c r="AB461" i="32"/>
  <c r="AB580" i="32"/>
  <c r="AB612" i="32" s="1"/>
  <c r="AB516" i="32" s="1"/>
  <c r="AB450" i="32"/>
  <c r="AA770" i="32"/>
  <c r="AA866" i="32"/>
  <c r="AA792" i="32"/>
  <c r="AA888" i="32"/>
  <c r="AA772" i="32"/>
  <c r="AA868" i="32"/>
  <c r="AA793" i="32"/>
  <c r="AA889" i="32"/>
  <c r="AA769" i="32"/>
  <c r="AA865" i="32"/>
  <c r="AA774" i="32"/>
  <c r="AA870" i="32"/>
  <c r="AA773" i="32"/>
  <c r="AA869" i="32"/>
  <c r="AA787" i="32"/>
  <c r="AA883" i="32"/>
  <c r="AA784" i="32"/>
  <c r="AA880" i="32"/>
  <c r="AA782" i="32"/>
  <c r="AA878" i="32"/>
  <c r="AA768" i="32"/>
  <c r="AA864" i="32"/>
  <c r="AA789" i="32"/>
  <c r="AA885" i="32"/>
  <c r="AA781" i="32"/>
  <c r="AA877" i="32"/>
  <c r="AA778" i="32"/>
  <c r="AA874" i="32"/>
  <c r="AA777" i="32"/>
  <c r="AA873" i="32"/>
  <c r="AA780" i="32"/>
  <c r="AA876" i="32"/>
  <c r="AA785" i="32"/>
  <c r="AA881" i="32"/>
  <c r="AA790" i="32"/>
  <c r="AA886" i="32"/>
  <c r="AA788" i="32"/>
  <c r="AA884" i="32"/>
  <c r="AA786" i="32"/>
  <c r="AA882" i="32"/>
  <c r="AA791" i="32"/>
  <c r="AA887" i="32"/>
  <c r="AA776" i="32"/>
  <c r="AA872" i="32"/>
  <c r="AA775" i="32"/>
  <c r="AA871" i="32"/>
  <c r="AA783" i="32"/>
  <c r="AA879" i="32"/>
  <c r="AA771" i="32"/>
  <c r="AA867" i="32"/>
  <c r="Z794" i="32"/>
  <c r="AA779" i="32"/>
  <c r="AA875" i="32"/>
  <c r="AA767" i="32"/>
  <c r="AA863" i="32"/>
  <c r="Z760" i="32"/>
  <c r="AA651" i="32"/>
  <c r="AA747" i="32"/>
  <c r="AA648" i="32"/>
  <c r="AA744" i="32"/>
  <c r="AA647" i="32"/>
  <c r="AA743" i="32"/>
  <c r="AA650" i="32"/>
  <c r="AA746" i="32"/>
  <c r="AA655" i="32"/>
  <c r="AA751" i="32"/>
  <c r="AA660" i="32"/>
  <c r="AA756" i="32"/>
  <c r="AA646" i="32"/>
  <c r="AA742" i="32"/>
  <c r="AA645" i="32"/>
  <c r="AA741" i="32"/>
  <c r="AA653" i="32"/>
  <c r="AA749" i="32"/>
  <c r="AA641" i="32"/>
  <c r="AA737" i="32"/>
  <c r="AA649" i="32"/>
  <c r="AA745" i="32"/>
  <c r="AA637" i="32"/>
  <c r="AA733" i="32"/>
  <c r="Z664" i="32"/>
  <c r="AA640" i="32"/>
  <c r="AA736" i="32"/>
  <c r="AA662" i="32"/>
  <c r="AA758" i="32"/>
  <c r="AA642" i="32"/>
  <c r="AA738" i="32"/>
  <c r="AA652" i="32"/>
  <c r="AA748" i="32"/>
  <c r="AA638" i="32"/>
  <c r="AA734" i="32"/>
  <c r="AA659" i="32"/>
  <c r="AA755" i="32"/>
  <c r="AA663" i="32"/>
  <c r="AA759" i="32"/>
  <c r="AA639" i="32"/>
  <c r="AA735" i="32"/>
  <c r="AA644" i="32"/>
  <c r="AA740" i="32"/>
  <c r="AA643" i="32"/>
  <c r="AA739" i="32"/>
  <c r="AA657" i="32"/>
  <c r="AA753" i="32"/>
  <c r="AA658" i="32"/>
  <c r="AA754" i="32"/>
  <c r="AA656" i="32"/>
  <c r="AA752" i="32"/>
  <c r="AA661" i="32"/>
  <c r="AA757" i="32"/>
  <c r="AA654" i="32"/>
  <c r="AA750" i="32"/>
  <c r="X236" i="32"/>
  <c r="X237" i="32" s="1"/>
  <c r="Y234" i="32" a="1"/>
  <c r="Y234" i="32" s="1"/>
  <c r="Y235" i="32" a="1"/>
  <c r="Y235" i="32" s="1"/>
  <c r="Z223" i="32" a="1"/>
  <c r="Z223" i="32" s="1"/>
  <c r="Z231" i="32" a="1"/>
  <c r="Z231" i="32" s="1"/>
  <c r="Z226" i="32" a="1"/>
  <c r="Z226" i="32" s="1"/>
  <c r="Z228" i="32" a="1"/>
  <c r="Z228" i="32" s="1"/>
  <c r="Z225" i="32" a="1"/>
  <c r="Z225" i="32" s="1"/>
  <c r="Z230" i="32" a="1"/>
  <c r="Z230" i="32" s="1"/>
  <c r="Z229" i="32" a="1"/>
  <c r="Z229" i="32" s="1"/>
  <c r="Z227" i="32" a="1"/>
  <c r="Z227" i="32" s="1"/>
  <c r="Z233" i="32" a="1"/>
  <c r="Z233" i="32" s="1"/>
  <c r="Z232" i="32" a="1"/>
  <c r="Z232" i="32" s="1"/>
  <c r="Z224" i="32" a="1"/>
  <c r="Z224" i="32" s="1"/>
  <c r="AA374" i="32"/>
  <c r="AA52" i="32" s="1"/>
  <c r="AB372" i="32"/>
  <c r="AB369" i="32"/>
  <c r="AB371" i="32"/>
  <c r="AB373" i="32"/>
  <c r="AB370" i="32"/>
  <c r="AB361" i="32"/>
  <c r="AB363" i="32"/>
  <c r="AB360" i="32"/>
  <c r="AB364" i="32"/>
  <c r="AB362" i="32"/>
  <c r="AA365" i="32"/>
  <c r="Z244" i="32"/>
  <c r="Z220" i="32"/>
  <c r="AA205" i="32"/>
  <c r="AA208" i="32"/>
  <c r="AA211" i="32"/>
  <c r="Z291" i="32"/>
  <c r="Z305" i="32" s="1"/>
  <c r="Z296" i="32"/>
  <c r="Z310" i="32" s="1"/>
  <c r="Z603" i="32" s="1"/>
  <c r="Z507" i="32" s="1"/>
  <c r="Z290" i="32"/>
  <c r="Z304" i="32" s="1"/>
  <c r="Z292" i="32"/>
  <c r="Z306" i="32" s="1"/>
  <c r="Z298" i="32"/>
  <c r="Z312" i="32" s="1"/>
  <c r="Z605" i="32" s="1"/>
  <c r="Z509" i="32" s="1"/>
  <c r="Z297" i="32"/>
  <c r="Z311" i="32" s="1"/>
  <c r="Z604" i="32" s="1"/>
  <c r="Z508" i="32" s="1"/>
  <c r="Z289" i="32"/>
  <c r="Z293" i="32"/>
  <c r="Z307" i="32" s="1"/>
  <c r="Z295" i="32"/>
  <c r="Z309" i="32" s="1"/>
  <c r="Z294" i="32"/>
  <c r="Z308" i="32" s="1"/>
  <c r="AA206" i="32"/>
  <c r="X630" i="32"/>
  <c r="AA209" i="32"/>
  <c r="X534" i="32"/>
  <c r="AA204" i="32"/>
  <c r="AA212" i="32"/>
  <c r="Y299" i="32"/>
  <c r="Y313" i="32" s="1"/>
  <c r="Y303" i="32"/>
  <c r="AA207" i="32"/>
  <c r="AA213" i="32"/>
  <c r="AA210" i="32"/>
  <c r="Z281" i="32" a="1"/>
  <c r="Z281" i="32" s="1"/>
  <c r="Z280" i="32" a="1"/>
  <c r="Z280" i="32" s="1"/>
  <c r="Z279" i="32" a="1"/>
  <c r="Z279" i="32" s="1"/>
  <c r="Z277" i="32" a="1"/>
  <c r="Z277" i="32" s="1"/>
  <c r="Z282" i="32" a="1"/>
  <c r="Z282" i="32" s="1"/>
  <c r="Y278" i="32"/>
  <c r="Y283" i="32" s="1"/>
  <c r="Y264" i="32"/>
  <c r="Z620" i="32"/>
  <c r="Z524" i="32" s="1"/>
  <c r="Z330" i="32"/>
  <c r="Z332" i="32" s="1"/>
  <c r="Z261" i="32" a="1"/>
  <c r="Z261" i="32" s="1"/>
  <c r="Z262" i="32" a="1"/>
  <c r="Z262" i="32" s="1"/>
  <c r="Z263" i="32"/>
  <c r="Y106" i="32"/>
  <c r="Y110" i="32"/>
  <c r="Y109" i="32"/>
  <c r="Y534" i="32"/>
  <c r="AA602" i="32"/>
  <c r="AA506" i="32" s="1"/>
  <c r="Y598" i="32"/>
  <c r="AA320" i="32"/>
  <c r="Z613" i="32"/>
  <c r="Z517" i="32" s="1"/>
  <c r="Y630" i="32"/>
  <c r="Z506" i="32"/>
  <c r="AB854" i="32"/>
  <c r="AB724" i="32"/>
  <c r="AB837" i="32"/>
  <c r="AB707" i="32"/>
  <c r="AB843" i="32"/>
  <c r="AB713" i="32"/>
  <c r="AB842" i="32"/>
  <c r="AB712" i="32"/>
  <c r="AB525" i="32"/>
  <c r="AB849" i="32"/>
  <c r="AB719" i="32"/>
  <c r="AB832" i="32"/>
  <c r="AB702" i="32"/>
  <c r="AB838" i="32"/>
  <c r="AB708" i="32"/>
  <c r="AA636" i="32"/>
  <c r="AA728" i="32"/>
  <c r="AB831" i="32"/>
  <c r="AB701" i="32"/>
  <c r="AB848" i="32"/>
  <c r="AB718" i="32"/>
  <c r="AB844" i="32"/>
  <c r="AB714" i="32"/>
  <c r="AB855" i="32"/>
  <c r="AB725" i="32"/>
  <c r="AB833" i="32"/>
  <c r="AB703" i="32"/>
  <c r="AA858" i="32"/>
  <c r="AA766" i="32"/>
  <c r="AB839" i="32"/>
  <c r="AB709" i="32"/>
  <c r="AB850" i="32"/>
  <c r="AB720" i="32"/>
  <c r="AB856" i="32"/>
  <c r="AB726" i="32"/>
  <c r="AB834" i="32"/>
  <c r="AB704" i="32"/>
  <c r="AB845" i="32"/>
  <c r="AB715" i="32"/>
  <c r="AB851" i="32"/>
  <c r="AB721" i="32"/>
  <c r="AB840" i="32"/>
  <c r="AB710" i="32"/>
  <c r="AB522" i="32"/>
  <c r="AB846" i="32"/>
  <c r="AB716" i="32"/>
  <c r="AB533" i="32"/>
  <c r="AB857" i="32"/>
  <c r="AB727" i="32"/>
  <c r="AB835" i="32"/>
  <c r="AB705" i="32"/>
  <c r="AB841" i="32"/>
  <c r="AB711" i="32"/>
  <c r="AB852" i="32"/>
  <c r="AB722" i="32"/>
  <c r="AB830" i="32"/>
  <c r="AB862" i="32" s="1"/>
  <c r="AB700" i="32"/>
  <c r="AB732" i="32" s="1"/>
  <c r="AB512" i="32"/>
  <c r="AB836" i="32"/>
  <c r="AB706" i="32"/>
  <c r="AB847" i="32"/>
  <c r="AB717" i="32"/>
  <c r="AB853" i="32"/>
  <c r="AB723" i="32"/>
  <c r="AA938" i="32"/>
  <c r="AB899" i="32"/>
  <c r="AB904" i="32"/>
  <c r="AB909" i="32"/>
  <c r="AB914" i="32"/>
  <c r="AB919" i="32"/>
  <c r="AB924" i="32"/>
  <c r="AB896" i="32"/>
  <c r="AB898" i="32"/>
  <c r="AB900" i="32"/>
  <c r="AB905" i="32"/>
  <c r="AB910" i="32"/>
  <c r="AB915" i="32"/>
  <c r="AB920" i="32"/>
  <c r="AB925" i="32"/>
  <c r="AB906" i="32"/>
  <c r="AB907" i="32"/>
  <c r="AB908" i="32"/>
  <c r="AB921" i="32"/>
  <c r="AB911" i="32"/>
  <c r="AB923" i="32"/>
  <c r="AB901" i="32"/>
  <c r="AB913" i="32"/>
  <c r="AB926" i="32"/>
  <c r="AB903" i="32"/>
  <c r="AB912" i="32"/>
  <c r="AB931" i="32"/>
  <c r="AB916" i="32"/>
  <c r="AB934" i="32"/>
  <c r="AB937" i="32"/>
  <c r="AB897" i="32"/>
  <c r="AB902" i="32"/>
  <c r="AB932" i="32"/>
  <c r="AB917" i="32"/>
  <c r="AB928" i="32"/>
  <c r="AB935" i="32"/>
  <c r="AB922" i="32"/>
  <c r="AB929" i="32"/>
  <c r="AB927" i="32"/>
  <c r="AB930" i="32"/>
  <c r="AB918" i="32"/>
  <c r="AB933" i="32"/>
  <c r="AB936" i="32"/>
  <c r="AB500" i="32"/>
  <c r="AB42" i="32" s="1"/>
  <c r="AB31" i="32" s="1"/>
  <c r="AA606" i="32"/>
  <c r="AA510" i="32" s="1"/>
  <c r="AB179" i="32"/>
  <c r="AB184" i="32"/>
  <c r="AB176" i="32"/>
  <c r="AB181" i="32"/>
  <c r="AB178" i="32"/>
  <c r="AB183" i="32"/>
  <c r="AB180" i="32"/>
  <c r="AB185" i="32"/>
  <c r="AB177" i="32"/>
  <c r="AB182" i="32"/>
  <c r="AA186" i="32"/>
  <c r="AA214" i="32" s="1"/>
  <c r="AC409" i="32"/>
  <c r="AC414" i="32"/>
  <c r="AC419" i="32"/>
  <c r="AC424" i="32"/>
  <c r="AC429" i="32"/>
  <c r="AC434" i="32"/>
  <c r="AC411" i="32"/>
  <c r="AC416" i="32"/>
  <c r="AC421" i="32"/>
  <c r="AC426" i="32"/>
  <c r="AC431" i="32"/>
  <c r="AC408" i="32"/>
  <c r="AC413" i="32"/>
  <c r="AC418" i="32"/>
  <c r="AC423" i="32"/>
  <c r="AC428" i="32"/>
  <c r="AC433" i="32"/>
  <c r="AD407" i="32"/>
  <c r="AC410" i="32"/>
  <c r="AC415" i="32"/>
  <c r="AC420" i="32"/>
  <c r="AC425" i="32"/>
  <c r="AC430" i="32"/>
  <c r="AC435" i="32"/>
  <c r="AC412" i="32"/>
  <c r="AC417" i="32"/>
  <c r="AC422" i="32"/>
  <c r="AC427" i="32"/>
  <c r="AC432" i="32"/>
  <c r="AB436" i="32"/>
  <c r="Y100" i="32"/>
  <c r="Y271" i="32"/>
  <c r="X383" i="32"/>
  <c r="X51" i="32" s="1"/>
  <c r="X32" i="32" s="1"/>
  <c r="AA346" i="32"/>
  <c r="AB354" i="32"/>
  <c r="AB351" i="32"/>
  <c r="AB353" i="32"/>
  <c r="AB355" i="32"/>
  <c r="AB352" i="32"/>
  <c r="AA356" i="32"/>
  <c r="AC146" i="32"/>
  <c r="AB170" i="32" a="1"/>
  <c r="AB170" i="32" s="1"/>
  <c r="AB169" i="32" a="1"/>
  <c r="AB169" i="32" s="1"/>
  <c r="AB149" i="32" a="1"/>
  <c r="AB149" i="32" s="1"/>
  <c r="AB154" i="32" a="1"/>
  <c r="AB154" i="32" s="1"/>
  <c r="AB162" i="32" a="1"/>
  <c r="AB162" i="32" s="1"/>
  <c r="AB151" i="32" a="1"/>
  <c r="AB151" i="32" s="1"/>
  <c r="AB163" i="32" a="1"/>
  <c r="AB163" i="32" s="1"/>
  <c r="AB158" i="32" a="1"/>
  <c r="AB158" i="32" s="1"/>
  <c r="AB148" i="32" a="1"/>
  <c r="AB148" i="32" s="1"/>
  <c r="AB153" i="32" a="1"/>
  <c r="AB153" i="32" s="1"/>
  <c r="AB160" i="32" a="1"/>
  <c r="AB160" i="32" s="1"/>
  <c r="AB150" i="32" a="1"/>
  <c r="AB150" i="32" s="1"/>
  <c r="AB147" i="32" a="1"/>
  <c r="AB147" i="32" s="1"/>
  <c r="AB152" i="32" a="1"/>
  <c r="AB152" i="32" s="1"/>
  <c r="AB159" i="32" a="1"/>
  <c r="AB159" i="32" s="1"/>
  <c r="AB155" i="32" a="1"/>
  <c r="AB155" i="32" s="1"/>
  <c r="AB156" i="32" a="1"/>
  <c r="AB156" i="32" s="1"/>
  <c r="AB157" i="32" a="1"/>
  <c r="AB157" i="32" s="1"/>
  <c r="AA327" i="32"/>
  <c r="AA329" i="32" s="1"/>
  <c r="Z333" i="32"/>
  <c r="Z626" i="32" s="1"/>
  <c r="Z530" i="32" s="1"/>
  <c r="Z324" i="32"/>
  <c r="Z617" i="32" s="1"/>
  <c r="Z521" i="32" s="1"/>
  <c r="AC359" i="32"/>
  <c r="AA260" i="32"/>
  <c r="Z266" i="32"/>
  <c r="Z265" i="32"/>
  <c r="AA222" i="32"/>
  <c r="Z245" i="32"/>
  <c r="Z238" i="32"/>
  <c r="Z83" i="32" a="1"/>
  <c r="Z83" i="32" s="1"/>
  <c r="Z130" i="32" a="1"/>
  <c r="Z130" i="32" s="1"/>
  <c r="Z89" i="32" a="1"/>
  <c r="Z89" i="32" s="1"/>
  <c r="Z84" i="32" a="1"/>
  <c r="Z84" i="32" s="1"/>
  <c r="Z74" i="32" a="1"/>
  <c r="Z74" i="32" s="1"/>
  <c r="Z120" i="32" a="1"/>
  <c r="Z120" i="32" s="1"/>
  <c r="Z88" i="32" a="1"/>
  <c r="Z88" i="32" s="1"/>
  <c r="Z85" i="32" a="1"/>
  <c r="Z85" i="32" s="1"/>
  <c r="Z92" i="32" a="1"/>
  <c r="Z92" i="32" s="1"/>
  <c r="Z87" i="32" a="1"/>
  <c r="Z87" i="32" s="1"/>
  <c r="Z129" i="32" a="1"/>
  <c r="Z129" i="32" s="1"/>
  <c r="Z93" i="32" a="1"/>
  <c r="Z93" i="32" s="1"/>
  <c r="Z86" i="32" a="1"/>
  <c r="Z86" i="32" s="1"/>
  <c r="Z127" i="32" a="1"/>
  <c r="Z127" i="32" s="1"/>
  <c r="Z122" i="32" a="1"/>
  <c r="Z122" i="32" s="1"/>
  <c r="Z119" i="32" a="1"/>
  <c r="Z119" i="32" s="1"/>
  <c r="Z128" i="32" a="1"/>
  <c r="Z128" i="32" s="1"/>
  <c r="Z121" i="32" a="1"/>
  <c r="Z121" i="32" s="1"/>
  <c r="Z91" i="32" a="1"/>
  <c r="Z91" i="32" s="1"/>
  <c r="Z82" i="32" a="1"/>
  <c r="Z82" i="32" s="1"/>
  <c r="Z73" i="32" a="1"/>
  <c r="Z73" i="32" s="1"/>
  <c r="Z64" i="32" a="1"/>
  <c r="Z64" i="32" s="1"/>
  <c r="Z66" i="32" a="1"/>
  <c r="Z66" i="32" s="1"/>
  <c r="Z71" i="32" a="1"/>
  <c r="Z71" i="32" s="1"/>
  <c r="Z68" i="32" a="1"/>
  <c r="Z68" i="32" s="1"/>
  <c r="Z81" i="32" a="1"/>
  <c r="Z81" i="32" s="1"/>
  <c r="Z80" i="32" a="1"/>
  <c r="Z80" i="32" s="1"/>
  <c r="Z72" i="32" a="1"/>
  <c r="Z72" i="32" s="1"/>
  <c r="Z70" i="32" a="1"/>
  <c r="Z70" i="32" s="1"/>
  <c r="Z63" i="32" a="1"/>
  <c r="Z63" i="32" s="1"/>
  <c r="Z79" i="32" a="1"/>
  <c r="Z79" i="32" s="1"/>
  <c r="Z65" i="32" a="1"/>
  <c r="Z65" i="32" s="1"/>
  <c r="Z69" i="32" a="1"/>
  <c r="Z69" i="32" s="1"/>
  <c r="Z67" i="32" a="1"/>
  <c r="Z67" i="32" s="1"/>
  <c r="Z90" i="32" a="1"/>
  <c r="Z90" i="32" s="1"/>
  <c r="Z61" i="32" a="1"/>
  <c r="Z61" i="32" s="1"/>
  <c r="Z62" i="32" a="1"/>
  <c r="Z62" i="32" s="1"/>
  <c r="AA50" i="32" a="1"/>
  <c r="AA50" i="32" s="1"/>
  <c r="AA49" i="32" a="1"/>
  <c r="AA49" i="32" s="1"/>
  <c r="AA47" i="32" a="1"/>
  <c r="AA47" i="32" s="1"/>
  <c r="AA48" i="32" a="1"/>
  <c r="AA48" i="32" s="1"/>
  <c r="AC340" i="32"/>
  <c r="AB342" i="32"/>
  <c r="AB379" i="32" s="1"/>
  <c r="AB344" i="32"/>
  <c r="AB381" i="32" s="1"/>
  <c r="AB341" i="32"/>
  <c r="AB378" i="32" s="1"/>
  <c r="AB343" i="32"/>
  <c r="AB380" i="32" s="1"/>
  <c r="AB345" i="32"/>
  <c r="AB382" i="32" s="1"/>
  <c r="Y98" i="32"/>
  <c r="Y103" i="32"/>
  <c r="Y99" i="32"/>
  <c r="AB37" i="32"/>
  <c r="Y107" i="32"/>
  <c r="Y108" i="32"/>
  <c r="Y101" i="32"/>
  <c r="Y102" i="32"/>
  <c r="Y111" i="32"/>
  <c r="X112" i="32"/>
  <c r="Y105" i="32"/>
  <c r="Y104" i="32"/>
  <c r="W33" i="32"/>
  <c r="W34" i="32" s="1"/>
  <c r="X27" i="32"/>
  <c r="X30" i="32"/>
  <c r="X28" i="32"/>
  <c r="Y29" i="32"/>
  <c r="X43" i="32"/>
  <c r="X164" i="32"/>
  <c r="Y138" i="32"/>
  <c r="Y137" i="32"/>
  <c r="Y123" i="32"/>
  <c r="Y136" i="32"/>
  <c r="Y75" i="32"/>
  <c r="Y94" i="32"/>
  <c r="X139" i="32"/>
  <c r="AA60" i="32"/>
  <c r="Y135" i="32"/>
  <c r="Y131" i="32"/>
  <c r="AC161" i="32" l="1" a="1"/>
  <c r="AC161" i="32" s="1"/>
  <c r="AC331" i="32" s="1"/>
  <c r="AC165" i="32" a="1"/>
  <c r="AC165" i="32" s="1"/>
  <c r="AA21" i="32"/>
  <c r="Z22" i="32"/>
  <c r="Z23" i="32"/>
  <c r="Z25" i="32"/>
  <c r="Z26" i="32"/>
  <c r="Z24" i="32"/>
  <c r="AB38" i="32" a="1"/>
  <c r="AB38" i="32" s="1"/>
  <c r="AB41" i="32" a="1"/>
  <c r="AB41" i="32" s="1"/>
  <c r="AB39" i="32" a="1"/>
  <c r="AB39" i="32" s="1"/>
  <c r="AB40" i="32" a="1"/>
  <c r="AB40" i="32" s="1"/>
  <c r="AD472" i="32"/>
  <c r="AD478" i="32"/>
  <c r="AD483" i="32"/>
  <c r="AD488" i="32"/>
  <c r="AD493" i="32"/>
  <c r="AD498" i="32"/>
  <c r="AD473" i="32"/>
  <c r="AD476" i="32"/>
  <c r="AD490" i="32"/>
  <c r="AD487" i="32"/>
  <c r="AD489" i="32"/>
  <c r="AD499" i="32"/>
  <c r="AD477" i="32"/>
  <c r="AD480" i="32"/>
  <c r="AD475" i="32"/>
  <c r="AD497" i="32"/>
  <c r="AD479" i="32"/>
  <c r="AD486" i="32"/>
  <c r="AD496" i="32"/>
  <c r="AD485" i="32"/>
  <c r="AD484" i="32"/>
  <c r="AD492" i="32"/>
  <c r="AD481" i="32"/>
  <c r="AD474" i="32"/>
  <c r="AD495" i="32"/>
  <c r="AD494" i="32"/>
  <c r="AD482" i="32"/>
  <c r="AD491" i="32"/>
  <c r="AB468" i="32"/>
  <c r="AC597" i="32"/>
  <c r="AC629" i="32" s="1"/>
  <c r="AC533" i="32" s="1"/>
  <c r="AC467" i="32"/>
  <c r="AC592" i="32"/>
  <c r="AC624" i="32" s="1"/>
  <c r="AC462" i="32"/>
  <c r="AC575" i="32"/>
  <c r="AC607" i="32" s="1"/>
  <c r="AC511" i="32" s="1"/>
  <c r="AC445" i="32"/>
  <c r="AC581" i="32"/>
  <c r="AC451" i="32"/>
  <c r="AC587" i="32"/>
  <c r="AC619" i="32" s="1"/>
  <c r="AC523" i="32" s="1"/>
  <c r="AC457" i="32"/>
  <c r="AC570" i="32"/>
  <c r="AC440" i="32"/>
  <c r="AC576" i="32"/>
  <c r="AC608" i="32" s="1"/>
  <c r="AC446" i="32"/>
  <c r="AA794" i="32"/>
  <c r="AA890" i="32"/>
  <c r="AC582" i="32"/>
  <c r="AC614" i="32" s="1"/>
  <c r="AC452" i="32"/>
  <c r="AC593" i="32"/>
  <c r="AC625" i="32" s="1"/>
  <c r="AC529" i="32" s="1"/>
  <c r="AC463" i="32"/>
  <c r="AC571" i="32"/>
  <c r="AC441" i="32"/>
  <c r="AC577" i="32"/>
  <c r="AC609" i="32" s="1"/>
  <c r="AC513" i="32" s="1"/>
  <c r="AC447" i="32"/>
  <c r="AC588" i="32"/>
  <c r="AC458" i="32"/>
  <c r="AC594" i="32"/>
  <c r="AC464" i="32"/>
  <c r="AC572" i="32"/>
  <c r="AC442" i="32"/>
  <c r="AC583" i="32"/>
  <c r="AC615" i="32" s="1"/>
  <c r="AC519" i="32" s="1"/>
  <c r="AC453" i="32"/>
  <c r="AC580" i="32"/>
  <c r="AC612" i="32" s="1"/>
  <c r="AC450" i="32"/>
  <c r="AC586" i="32"/>
  <c r="AC618" i="32" s="1"/>
  <c r="AC522" i="32" s="1"/>
  <c r="AC456" i="32"/>
  <c r="AC589" i="32"/>
  <c r="AC621" i="32" s="1"/>
  <c r="AC459" i="32"/>
  <c r="AC578" i="32"/>
  <c r="AC610" i="32" s="1"/>
  <c r="AC514" i="32" s="1"/>
  <c r="AC448" i="32"/>
  <c r="AC584" i="32"/>
  <c r="AC616" i="32" s="1"/>
  <c r="AC520" i="32" s="1"/>
  <c r="AC454" i="32"/>
  <c r="AC595" i="32"/>
  <c r="AC627" i="32" s="1"/>
  <c r="AC531" i="32" s="1"/>
  <c r="AC465" i="32"/>
  <c r="AC573" i="32"/>
  <c r="AC443" i="32"/>
  <c r="AC579" i="32"/>
  <c r="AC611" i="32" s="1"/>
  <c r="AC515" i="32" s="1"/>
  <c r="AC449" i="32"/>
  <c r="AC590" i="32"/>
  <c r="AC622" i="32" s="1"/>
  <c r="AC526" i="32" s="1"/>
  <c r="AC460" i="32"/>
  <c r="AC596" i="32"/>
  <c r="AC628" i="32" s="1"/>
  <c r="AC532" i="32" s="1"/>
  <c r="AC466" i="32"/>
  <c r="AC574" i="32"/>
  <c r="AC444" i="32"/>
  <c r="AC585" i="32"/>
  <c r="AC455" i="32"/>
  <c r="AC591" i="32"/>
  <c r="AC623" i="32" s="1"/>
  <c r="AC527" i="32" s="1"/>
  <c r="AC461" i="32"/>
  <c r="AB777" i="32"/>
  <c r="AB873" i="32"/>
  <c r="AB784" i="32"/>
  <c r="AB880" i="32"/>
  <c r="AB773" i="32"/>
  <c r="AB869" i="32"/>
  <c r="AB776" i="32"/>
  <c r="AB872" i="32"/>
  <c r="AB792" i="32"/>
  <c r="AB888" i="32"/>
  <c r="AB785" i="32"/>
  <c r="AB881" i="32"/>
  <c r="AB772" i="32"/>
  <c r="AB868" i="32"/>
  <c r="AB771" i="32"/>
  <c r="AB867" i="32"/>
  <c r="AB769" i="32"/>
  <c r="AB865" i="32"/>
  <c r="AB767" i="32"/>
  <c r="AB863" i="32"/>
  <c r="AB790" i="32"/>
  <c r="AB886" i="32"/>
  <c r="AB787" i="32"/>
  <c r="AB883" i="32"/>
  <c r="AB786" i="32"/>
  <c r="AB882" i="32"/>
  <c r="AB791" i="32"/>
  <c r="AB887" i="32"/>
  <c r="AA664" i="32"/>
  <c r="AB778" i="32"/>
  <c r="AB874" i="32"/>
  <c r="AB793" i="32"/>
  <c r="AB889" i="32"/>
  <c r="AB770" i="32"/>
  <c r="AB866" i="32"/>
  <c r="AB768" i="32"/>
  <c r="AB864" i="32"/>
  <c r="AB789" i="32"/>
  <c r="AB885" i="32"/>
  <c r="AB774" i="32"/>
  <c r="AB870" i="32"/>
  <c r="AA760" i="32"/>
  <c r="AB788" i="32"/>
  <c r="AB884" i="32"/>
  <c r="AB781" i="32"/>
  <c r="AB877" i="32"/>
  <c r="AB775" i="32"/>
  <c r="AB871" i="32"/>
  <c r="AB780" i="32"/>
  <c r="AB876" i="32"/>
  <c r="AB779" i="32"/>
  <c r="AB875" i="32"/>
  <c r="AB783" i="32"/>
  <c r="AB879" i="32"/>
  <c r="AB782" i="32"/>
  <c r="AB878" i="32"/>
  <c r="AB663" i="32"/>
  <c r="AB759" i="32"/>
  <c r="AB658" i="32"/>
  <c r="AB754" i="32"/>
  <c r="AB651" i="32"/>
  <c r="AB747" i="32"/>
  <c r="AB645" i="32"/>
  <c r="AB741" i="32"/>
  <c r="AB650" i="32"/>
  <c r="AB746" i="32"/>
  <c r="AB649" i="32"/>
  <c r="AB745" i="32"/>
  <c r="AB652" i="32"/>
  <c r="AB748" i="32"/>
  <c r="AB653" i="32"/>
  <c r="AB749" i="32"/>
  <c r="AB640" i="32"/>
  <c r="AB736" i="32"/>
  <c r="AB638" i="32"/>
  <c r="AB734" i="32"/>
  <c r="AB659" i="32"/>
  <c r="AB755" i="32"/>
  <c r="AB644" i="32"/>
  <c r="AB740" i="32"/>
  <c r="AB647" i="32"/>
  <c r="AB743" i="32"/>
  <c r="AB654" i="32"/>
  <c r="AB750" i="32"/>
  <c r="AB643" i="32"/>
  <c r="AB739" i="32"/>
  <c r="AB646" i="32"/>
  <c r="AB742" i="32"/>
  <c r="AB662" i="32"/>
  <c r="AB758" i="32"/>
  <c r="AB655" i="32"/>
  <c r="AB751" i="32"/>
  <c r="AB642" i="32"/>
  <c r="AB738" i="32"/>
  <c r="AB641" i="32"/>
  <c r="AB737" i="32"/>
  <c r="AB639" i="32"/>
  <c r="AB735" i="32"/>
  <c r="AB637" i="32"/>
  <c r="AB733" i="32"/>
  <c r="AB660" i="32"/>
  <c r="AB756" i="32"/>
  <c r="AB657" i="32"/>
  <c r="AB753" i="32"/>
  <c r="AB656" i="32"/>
  <c r="AB752" i="32"/>
  <c r="AB661" i="32"/>
  <c r="AB757" i="32"/>
  <c r="AB648" i="32"/>
  <c r="AB744" i="32"/>
  <c r="Y236" i="32"/>
  <c r="Y237" i="32" s="1"/>
  <c r="AB374" i="32"/>
  <c r="AB52" i="32" s="1"/>
  <c r="Z234" i="32" a="1"/>
  <c r="Z234" i="32" s="1"/>
  <c r="Z235" i="32" a="1"/>
  <c r="Z235" i="32" s="1"/>
  <c r="AC370" i="32"/>
  <c r="AC372" i="32"/>
  <c r="AC369" i="32"/>
  <c r="AC373" i="32"/>
  <c r="AC371" i="32"/>
  <c r="AC361" i="32"/>
  <c r="AC363" i="32"/>
  <c r="AC360" i="32"/>
  <c r="AC362" i="32"/>
  <c r="AC364" i="32"/>
  <c r="AB365" i="32"/>
  <c r="AA226" i="32" a="1"/>
  <c r="AA226" i="32" s="1"/>
  <c r="AA232" i="32" a="1"/>
  <c r="AA232" i="32" s="1"/>
  <c r="AA223" i="32" a="1"/>
  <c r="AA223" i="32" s="1"/>
  <c r="AA231" i="32" a="1"/>
  <c r="AA231" i="32" s="1"/>
  <c r="AA227" i="32" a="1"/>
  <c r="AA227" i="32" s="1"/>
  <c r="AA228" i="32" a="1"/>
  <c r="AA228" i="32" s="1"/>
  <c r="AA233" i="32" a="1"/>
  <c r="AA233" i="32" s="1"/>
  <c r="AA225" i="32" a="1"/>
  <c r="AA225" i="32" s="1"/>
  <c r="AA229" i="32" a="1"/>
  <c r="AA229" i="32" s="1"/>
  <c r="AA230" i="32" a="1"/>
  <c r="AA230" i="32" s="1"/>
  <c r="AA224" i="32" a="1"/>
  <c r="AA224" i="32" s="1"/>
  <c r="X53" i="32"/>
  <c r="AA244" i="32"/>
  <c r="AA220" i="32"/>
  <c r="AB212" i="32"/>
  <c r="AB207" i="32"/>
  <c r="AB210" i="32"/>
  <c r="AB205" i="32"/>
  <c r="AB213" i="32"/>
  <c r="AB208" i="32"/>
  <c r="AA292" i="32"/>
  <c r="AA306" i="32" s="1"/>
  <c r="AA298" i="32"/>
  <c r="AA312" i="32" s="1"/>
  <c r="AA605" i="32" s="1"/>
  <c r="AA509" i="32" s="1"/>
  <c r="AA291" i="32"/>
  <c r="AA305" i="32" s="1"/>
  <c r="AA297" i="32"/>
  <c r="AA311" i="32" s="1"/>
  <c r="AA604" i="32" s="1"/>
  <c r="AA508" i="32" s="1"/>
  <c r="AA294" i="32"/>
  <c r="AA308" i="32" s="1"/>
  <c r="AA289" i="32"/>
  <c r="AA296" i="32"/>
  <c r="AA310" i="32" s="1"/>
  <c r="AA603" i="32" s="1"/>
  <c r="AA507" i="32" s="1"/>
  <c r="AA290" i="32"/>
  <c r="AA304" i="32" s="1"/>
  <c r="AA295" i="32"/>
  <c r="AA309" i="32" s="1"/>
  <c r="AA293" i="32"/>
  <c r="AA307" i="32" s="1"/>
  <c r="AB211" i="32"/>
  <c r="AB206" i="32"/>
  <c r="Z299" i="32"/>
  <c r="Z313" i="32" s="1"/>
  <c r="Z303" i="32"/>
  <c r="AB209" i="32"/>
  <c r="AB204" i="32"/>
  <c r="AA277" i="32" a="1"/>
  <c r="AA277" i="32" s="1"/>
  <c r="AA280" i="32" a="1"/>
  <c r="AA280" i="32" s="1"/>
  <c r="AA282" i="32" a="1"/>
  <c r="AA282" i="32" s="1"/>
  <c r="AA281" i="32" a="1"/>
  <c r="AA281" i="32" s="1"/>
  <c r="AA279" i="32" a="1"/>
  <c r="AA279" i="32" s="1"/>
  <c r="Z278" i="32"/>
  <c r="Z283" i="32" s="1"/>
  <c r="Z264" i="32"/>
  <c r="AA620" i="32"/>
  <c r="AA524" i="32" s="1"/>
  <c r="AA330" i="32"/>
  <c r="AA332" i="32" s="1"/>
  <c r="AA262" i="32" a="1"/>
  <c r="AA262" i="32" s="1"/>
  <c r="AA261" i="32" a="1"/>
  <c r="AA261" i="32" s="1"/>
  <c r="AA263" i="32"/>
  <c r="Z598" i="32"/>
  <c r="Z630" i="32"/>
  <c r="Z534" i="32"/>
  <c r="AB320" i="32"/>
  <c r="AA613" i="32"/>
  <c r="AA517" i="32" s="1"/>
  <c r="AB602" i="32"/>
  <c r="AC834" i="32"/>
  <c r="AC704" i="32"/>
  <c r="AC845" i="32"/>
  <c r="AC715" i="32"/>
  <c r="AC851" i="32"/>
  <c r="AC721" i="32"/>
  <c r="AB728" i="32"/>
  <c r="AB636" i="32"/>
  <c r="AC857" i="32"/>
  <c r="AC727" i="32"/>
  <c r="AC516" i="32"/>
  <c r="AC840" i="32"/>
  <c r="AC710" i="32"/>
  <c r="AC846" i="32"/>
  <c r="AC716" i="32"/>
  <c r="AB858" i="32"/>
  <c r="AB766" i="32"/>
  <c r="AC528" i="32"/>
  <c r="AC852" i="32"/>
  <c r="AC722" i="32"/>
  <c r="AC835" i="32"/>
  <c r="AC705" i="32"/>
  <c r="AC841" i="32"/>
  <c r="AC711" i="32"/>
  <c r="AC847" i="32"/>
  <c r="AC717" i="32"/>
  <c r="AC830" i="32"/>
  <c r="AC862" i="32" s="1"/>
  <c r="AC700" i="32"/>
  <c r="AC732" i="32" s="1"/>
  <c r="AC512" i="32"/>
  <c r="AC836" i="32"/>
  <c r="AC706" i="32"/>
  <c r="AC518" i="32"/>
  <c r="AC842" i="32"/>
  <c r="AC712" i="32"/>
  <c r="AC853" i="32"/>
  <c r="AC723" i="32"/>
  <c r="AC831" i="32"/>
  <c r="AC701" i="32"/>
  <c r="AC837" i="32"/>
  <c r="AC707" i="32"/>
  <c r="AC848" i="32"/>
  <c r="AC718" i="32"/>
  <c r="AC854" i="32"/>
  <c r="AC724" i="32"/>
  <c r="AC832" i="32"/>
  <c r="AC702" i="32"/>
  <c r="AC843" i="32"/>
  <c r="AC713" i="32"/>
  <c r="AC525" i="32"/>
  <c r="AC849" i="32"/>
  <c r="AC719" i="32"/>
  <c r="AC838" i="32"/>
  <c r="AC708" i="32"/>
  <c r="AC844" i="32"/>
  <c r="AC714" i="32"/>
  <c r="AC725" i="32"/>
  <c r="AC855" i="32"/>
  <c r="AC833" i="32"/>
  <c r="AC703" i="32"/>
  <c r="AC839" i="32"/>
  <c r="AC709" i="32"/>
  <c r="AC850" i="32"/>
  <c r="AC720" i="32"/>
  <c r="AC856" i="32"/>
  <c r="AC726" i="32"/>
  <c r="AC896" i="32"/>
  <c r="AC903" i="32"/>
  <c r="AC904" i="32"/>
  <c r="AC905" i="32"/>
  <c r="AC906" i="32"/>
  <c r="AC899" i="32"/>
  <c r="AC907" i="32"/>
  <c r="AC920" i="32"/>
  <c r="AC908" i="32"/>
  <c r="AC909" i="32"/>
  <c r="AC910" i="32"/>
  <c r="AC922" i="32"/>
  <c r="AC912" i="32"/>
  <c r="AC925" i="32"/>
  <c r="AC929" i="32"/>
  <c r="AC934" i="32"/>
  <c r="AC927" i="32"/>
  <c r="AC923" i="32"/>
  <c r="AC931" i="32"/>
  <c r="AC915" i="32"/>
  <c r="AC919" i="32"/>
  <c r="AC921" i="32"/>
  <c r="AC914" i="32"/>
  <c r="AC916" i="32"/>
  <c r="AC937" i="32"/>
  <c r="AC897" i="32"/>
  <c r="AC900" i="32"/>
  <c r="AC911" i="32"/>
  <c r="AC902" i="32"/>
  <c r="AC926" i="32"/>
  <c r="AC932" i="32"/>
  <c r="AC917" i="32"/>
  <c r="AC924" i="32"/>
  <c r="AC928" i="32"/>
  <c r="AC935" i="32"/>
  <c r="AC901" i="32"/>
  <c r="AC918" i="32"/>
  <c r="AC898" i="32"/>
  <c r="AC913" i="32"/>
  <c r="AC930" i="32"/>
  <c r="AC933" i="32"/>
  <c r="AC936" i="32"/>
  <c r="AB938" i="32"/>
  <c r="AC500" i="32"/>
  <c r="AC42" i="32" s="1"/>
  <c r="AC31" i="32" s="1"/>
  <c r="AB606" i="32"/>
  <c r="AB510" i="32" s="1"/>
  <c r="AC177" i="32"/>
  <c r="AC182" i="32"/>
  <c r="AC179" i="32"/>
  <c r="AC184" i="32"/>
  <c r="AC176" i="32"/>
  <c r="AC181" i="32"/>
  <c r="AC178" i="32"/>
  <c r="AC185" i="32"/>
  <c r="AC183" i="32"/>
  <c r="AC180" i="32"/>
  <c r="Z98" i="32"/>
  <c r="AB186" i="32"/>
  <c r="AB214" i="32" s="1"/>
  <c r="AD409" i="32"/>
  <c r="AD414" i="32"/>
  <c r="AD419" i="32"/>
  <c r="AD424" i="32"/>
  <c r="AD429" i="32"/>
  <c r="AD434" i="32"/>
  <c r="AD411" i="32"/>
  <c r="AD416" i="32"/>
  <c r="AD421" i="32"/>
  <c r="AD426" i="32"/>
  <c r="AD431" i="32"/>
  <c r="AD408" i="32"/>
  <c r="AD413" i="32"/>
  <c r="AD418" i="32"/>
  <c r="AD423" i="32"/>
  <c r="AD428" i="32"/>
  <c r="AD433" i="32"/>
  <c r="AD410" i="32"/>
  <c r="AD415" i="32"/>
  <c r="AD420" i="32"/>
  <c r="AD425" i="32"/>
  <c r="AD430" i="32"/>
  <c r="AD435" i="32"/>
  <c r="AD412" i="32"/>
  <c r="AD417" i="32"/>
  <c r="AD422" i="32"/>
  <c r="AD427" i="32"/>
  <c r="AD432" i="32"/>
  <c r="AC436" i="32"/>
  <c r="Z271" i="32"/>
  <c r="Y383" i="32"/>
  <c r="Y51" i="32" s="1"/>
  <c r="Y32" i="32" s="1"/>
  <c r="AB356" i="32"/>
  <c r="AB346" i="32"/>
  <c r="AC352" i="32"/>
  <c r="AC354" i="32"/>
  <c r="AC351" i="32"/>
  <c r="AC353" i="32"/>
  <c r="AC355" i="32"/>
  <c r="AB222" i="32"/>
  <c r="AA245" i="32"/>
  <c r="AA238" i="32"/>
  <c r="AD340" i="32"/>
  <c r="AC345" i="32"/>
  <c r="AC382" i="32" s="1"/>
  <c r="AC342" i="32"/>
  <c r="AC379" i="32" s="1"/>
  <c r="AC344" i="32"/>
  <c r="AC381" i="32" s="1"/>
  <c r="AC341" i="32"/>
  <c r="AC378" i="32" s="1"/>
  <c r="AC343" i="32"/>
  <c r="AC380" i="32" s="1"/>
  <c r="AB49" i="32" a="1"/>
  <c r="AB49" i="32" s="1"/>
  <c r="AB47" i="32" a="1"/>
  <c r="AB47" i="32" s="1"/>
  <c r="AB50" i="32" a="1"/>
  <c r="AB50" i="32" s="1"/>
  <c r="AB48" i="32" a="1"/>
  <c r="AB48" i="32" s="1"/>
  <c r="AB260" i="32"/>
  <c r="AA265" i="32"/>
  <c r="AA266" i="32"/>
  <c r="AD359" i="32"/>
  <c r="AB327" i="32"/>
  <c r="AB329" i="32" s="1"/>
  <c r="AA324" i="32"/>
  <c r="AA617" i="32" s="1"/>
  <c r="AA521" i="32" s="1"/>
  <c r="AA333" i="32"/>
  <c r="AA626" i="32" s="1"/>
  <c r="AA530" i="32" s="1"/>
  <c r="AA129" i="32" a="1"/>
  <c r="AA129" i="32" s="1"/>
  <c r="AA128" i="32" a="1"/>
  <c r="AA128" i="32" s="1"/>
  <c r="AA130" i="32" a="1"/>
  <c r="AA130" i="32" s="1"/>
  <c r="AA84" i="32" a="1"/>
  <c r="AA84" i="32" s="1"/>
  <c r="AA73" i="32" a="1"/>
  <c r="AA73" i="32" s="1"/>
  <c r="AA120" i="32" a="1"/>
  <c r="AA120" i="32" s="1"/>
  <c r="AA88" i="32" a="1"/>
  <c r="AA88" i="32" s="1"/>
  <c r="AA87" i="32" a="1"/>
  <c r="AA87" i="32" s="1"/>
  <c r="AA92" i="32" a="1"/>
  <c r="AA92" i="32" s="1"/>
  <c r="AA80" i="32" a="1"/>
  <c r="AA80" i="32" s="1"/>
  <c r="AA72" i="32" a="1"/>
  <c r="AA72" i="32" s="1"/>
  <c r="AA93" i="32" a="1"/>
  <c r="AA93" i="32" s="1"/>
  <c r="AA86" i="32" a="1"/>
  <c r="AA86" i="32" s="1"/>
  <c r="AA127" i="32" a="1"/>
  <c r="AA127" i="32" s="1"/>
  <c r="AA81" i="32" a="1"/>
  <c r="AA81" i="32" s="1"/>
  <c r="AA79" i="32" a="1"/>
  <c r="AA79" i="32" s="1"/>
  <c r="AA122" i="32" a="1"/>
  <c r="AA122" i="32" s="1"/>
  <c r="AA119" i="32" a="1"/>
  <c r="AA119" i="32" s="1"/>
  <c r="AA90" i="32" a="1"/>
  <c r="AA90" i="32" s="1"/>
  <c r="AA121" i="32" a="1"/>
  <c r="AA121" i="32" s="1"/>
  <c r="AA71" i="32" a="1"/>
  <c r="AA71" i="32" s="1"/>
  <c r="AA68" i="32" a="1"/>
  <c r="AA68" i="32" s="1"/>
  <c r="AA61" i="32" a="1"/>
  <c r="AA61" i="32" s="1"/>
  <c r="AA62" i="32" a="1"/>
  <c r="AA62" i="32" s="1"/>
  <c r="AA70" i="32" a="1"/>
  <c r="AA70" i="32" s="1"/>
  <c r="AA91" i="32" a="1"/>
  <c r="AA91" i="32" s="1"/>
  <c r="AA74" i="32" a="1"/>
  <c r="AA74" i="32" s="1"/>
  <c r="AA65" i="32" a="1"/>
  <c r="AA65" i="32" s="1"/>
  <c r="AA63" i="32" a="1"/>
  <c r="AA63" i="32" s="1"/>
  <c r="AA89" i="32" a="1"/>
  <c r="AA89" i="32" s="1"/>
  <c r="AA83" i="32" a="1"/>
  <c r="AA83" i="32" s="1"/>
  <c r="AA69" i="32" a="1"/>
  <c r="AA69" i="32" s="1"/>
  <c r="AA67" i="32" a="1"/>
  <c r="AA67" i="32" s="1"/>
  <c r="AA85" i="32" a="1"/>
  <c r="AA85" i="32" s="1"/>
  <c r="AA82" i="32" a="1"/>
  <c r="AA82" i="32" s="1"/>
  <c r="AA64" i="32" a="1"/>
  <c r="AA64" i="32" s="1"/>
  <c r="AA66" i="32" a="1"/>
  <c r="AA66" i="32" s="1"/>
  <c r="AD146" i="32"/>
  <c r="AC147" i="32" a="1"/>
  <c r="AC147" i="32" s="1"/>
  <c r="AC152" i="32" a="1"/>
  <c r="AC152" i="32" s="1"/>
  <c r="AC159" i="32" a="1"/>
  <c r="AC159" i="32" s="1"/>
  <c r="AC149" i="32" a="1"/>
  <c r="AC149" i="32" s="1"/>
  <c r="AC156" i="32" a="1"/>
  <c r="AC156" i="32" s="1"/>
  <c r="AC151" i="32" a="1"/>
  <c r="AC151" i="32" s="1"/>
  <c r="AC158" i="32" a="1"/>
  <c r="AC158" i="32" s="1"/>
  <c r="AC163" i="32" a="1"/>
  <c r="AC163" i="32" s="1"/>
  <c r="AC148" i="32" a="1"/>
  <c r="AC148" i="32" s="1"/>
  <c r="AC153" i="32" a="1"/>
  <c r="AC153" i="32" s="1"/>
  <c r="AC150" i="32" a="1"/>
  <c r="AC150" i="32" s="1"/>
  <c r="AC170" i="32" a="1"/>
  <c r="AC170" i="32" s="1"/>
  <c r="AC169" i="32" a="1"/>
  <c r="AC169" i="32" s="1"/>
  <c r="AC157" i="32" a="1"/>
  <c r="AC157" i="32" s="1"/>
  <c r="AC160" i="32" a="1"/>
  <c r="AC160" i="32" s="1"/>
  <c r="AC154" i="32" a="1"/>
  <c r="AC154" i="32" s="1"/>
  <c r="AC155" i="32" a="1"/>
  <c r="AC155" i="32" s="1"/>
  <c r="AC162" i="32" a="1"/>
  <c r="AC162" i="32" s="1"/>
  <c r="Z106" i="32"/>
  <c r="AC37" i="32"/>
  <c r="Z109" i="32"/>
  <c r="Z108" i="32"/>
  <c r="Z110" i="32"/>
  <c r="Z101" i="32"/>
  <c r="Z105" i="32"/>
  <c r="Z103" i="32"/>
  <c r="Y112" i="32"/>
  <c r="Z111" i="32"/>
  <c r="Z104" i="32"/>
  <c r="Z102" i="32"/>
  <c r="Z136" i="32"/>
  <c r="Z107" i="32"/>
  <c r="Z100" i="32"/>
  <c r="Z99" i="32"/>
  <c r="Y43" i="32"/>
  <c r="Z29" i="32"/>
  <c r="Y28" i="32"/>
  <c r="Y30" i="32"/>
  <c r="Y27" i="32"/>
  <c r="X33" i="32"/>
  <c r="X34" i="32" s="1"/>
  <c r="Y164" i="32"/>
  <c r="Y139" i="32"/>
  <c r="Z94" i="32"/>
  <c r="Z135" i="32"/>
  <c r="Z131" i="32"/>
  <c r="Z75" i="32"/>
  <c r="Z137" i="32"/>
  <c r="Z123" i="32"/>
  <c r="Z138" i="32"/>
  <c r="AB60" i="32"/>
  <c r="Y53" i="32" l="1"/>
  <c r="AD161" i="32" a="1"/>
  <c r="AD161" i="32" s="1"/>
  <c r="AD331" i="32" s="1"/>
  <c r="AD165" i="32" a="1"/>
  <c r="AD165" i="32" s="1"/>
  <c r="AB21" i="32"/>
  <c r="AA24" i="32"/>
  <c r="AA22" i="32"/>
  <c r="AA23" i="32"/>
  <c r="AA25" i="32"/>
  <c r="AA26" i="32"/>
  <c r="AC41" i="32" a="1"/>
  <c r="AC41" i="32" s="1"/>
  <c r="AC39" i="32" a="1"/>
  <c r="AC39" i="32" s="1"/>
  <c r="AC40" i="32" a="1"/>
  <c r="AC40" i="32" s="1"/>
  <c r="AC38" i="32" a="1"/>
  <c r="AC38" i="32" s="1"/>
  <c r="AC468" i="32"/>
  <c r="AD589" i="32"/>
  <c r="AD621" i="32" s="1"/>
  <c r="AD459" i="32"/>
  <c r="AD595" i="32"/>
  <c r="AD627" i="32" s="1"/>
  <c r="AD465" i="32"/>
  <c r="AD573" i="32"/>
  <c r="AD443" i="32"/>
  <c r="AD584" i="32"/>
  <c r="AD616" i="32" s="1"/>
  <c r="AD520" i="32" s="1"/>
  <c r="AD454" i="32"/>
  <c r="AD590" i="32"/>
  <c r="AD622" i="32" s="1"/>
  <c r="AD526" i="32" s="1"/>
  <c r="AD460" i="32"/>
  <c r="AD596" i="32"/>
  <c r="AD628" i="32" s="1"/>
  <c r="AD532" i="32" s="1"/>
  <c r="AD466" i="32"/>
  <c r="AB890" i="32"/>
  <c r="AD579" i="32"/>
  <c r="AD611" i="32" s="1"/>
  <c r="AD449" i="32"/>
  <c r="AD585" i="32"/>
  <c r="AD455" i="32"/>
  <c r="AD591" i="32"/>
  <c r="AD623" i="32" s="1"/>
  <c r="AD527" i="32" s="1"/>
  <c r="AD461" i="32"/>
  <c r="AD574" i="32"/>
  <c r="AD444" i="32"/>
  <c r="AD580" i="32"/>
  <c r="AD612" i="32" s="1"/>
  <c r="AD516" i="32" s="1"/>
  <c r="AD450" i="32"/>
  <c r="AD586" i="32"/>
  <c r="AD618" i="32" s="1"/>
  <c r="AD522" i="32" s="1"/>
  <c r="AD456" i="32"/>
  <c r="AD597" i="32"/>
  <c r="AD629" i="32" s="1"/>
  <c r="AD533" i="32" s="1"/>
  <c r="AD467" i="32"/>
  <c r="AD575" i="32"/>
  <c r="AD607" i="32" s="1"/>
  <c r="AD511" i="32" s="1"/>
  <c r="AD445" i="32"/>
  <c r="AD581" i="32"/>
  <c r="AD451" i="32"/>
  <c r="AD592" i="32"/>
  <c r="AD624" i="32" s="1"/>
  <c r="AD462" i="32"/>
  <c r="AD570" i="32"/>
  <c r="AD440" i="32"/>
  <c r="AD576" i="32"/>
  <c r="AD608" i="32" s="1"/>
  <c r="AD512" i="32" s="1"/>
  <c r="AD446" i="32"/>
  <c r="AD594" i="32"/>
  <c r="AD464" i="32"/>
  <c r="AD572" i="32"/>
  <c r="AD442" i="32"/>
  <c r="AD578" i="32"/>
  <c r="AD610" i="32" s="1"/>
  <c r="AD514" i="32" s="1"/>
  <c r="AD448" i="32"/>
  <c r="AD587" i="32"/>
  <c r="AD619" i="32" s="1"/>
  <c r="AD457" i="32"/>
  <c r="AD593" i="32"/>
  <c r="AD625" i="32" s="1"/>
  <c r="AD529" i="32" s="1"/>
  <c r="AD463" i="32"/>
  <c r="AD571" i="32"/>
  <c r="AD441" i="32"/>
  <c r="AD582" i="32"/>
  <c r="AD614" i="32" s="1"/>
  <c r="AD518" i="32" s="1"/>
  <c r="AD452" i="32"/>
  <c r="AD588" i="32"/>
  <c r="AD458" i="32"/>
  <c r="AD577" i="32"/>
  <c r="AD609" i="32" s="1"/>
  <c r="AD513" i="32" s="1"/>
  <c r="AD447" i="32"/>
  <c r="AD583" i="32"/>
  <c r="AD615" i="32" s="1"/>
  <c r="AD519" i="32" s="1"/>
  <c r="AD453" i="32"/>
  <c r="AC769" i="32"/>
  <c r="AC865" i="32"/>
  <c r="AC792" i="32"/>
  <c r="AC888" i="32"/>
  <c r="AC791" i="32"/>
  <c r="AC887" i="32"/>
  <c r="AC785" i="32"/>
  <c r="AC881" i="32"/>
  <c r="AC784" i="32"/>
  <c r="AC880" i="32"/>
  <c r="AC778" i="32"/>
  <c r="AC874" i="32"/>
  <c r="AC773" i="32"/>
  <c r="AC869" i="32"/>
  <c r="AC787" i="32"/>
  <c r="AC883" i="32"/>
  <c r="AC774" i="32"/>
  <c r="AC870" i="32"/>
  <c r="AC789" i="32"/>
  <c r="AC885" i="32"/>
  <c r="AC793" i="32"/>
  <c r="AC889" i="32"/>
  <c r="AC770" i="32"/>
  <c r="AC866" i="32"/>
  <c r="AB760" i="32"/>
  <c r="AC777" i="32"/>
  <c r="AC873" i="32"/>
  <c r="AC782" i="32"/>
  <c r="AC878" i="32"/>
  <c r="AC786" i="32"/>
  <c r="AC882" i="32"/>
  <c r="AC779" i="32"/>
  <c r="AC875" i="32"/>
  <c r="AC772" i="32"/>
  <c r="AC868" i="32"/>
  <c r="AC771" i="32"/>
  <c r="AC867" i="32"/>
  <c r="AC790" i="32"/>
  <c r="AC886" i="32"/>
  <c r="AC783" i="32"/>
  <c r="AC879" i="32"/>
  <c r="AB794" i="32"/>
  <c r="AC780" i="32"/>
  <c r="AC876" i="32"/>
  <c r="AC776" i="32"/>
  <c r="AC872" i="32"/>
  <c r="AC767" i="32"/>
  <c r="AC863" i="32"/>
  <c r="AC781" i="32"/>
  <c r="AC877" i="32"/>
  <c r="AC775" i="32"/>
  <c r="AC871" i="32"/>
  <c r="AC768" i="32"/>
  <c r="AC864" i="32"/>
  <c r="AC788" i="32"/>
  <c r="AC884" i="32"/>
  <c r="AC644" i="32"/>
  <c r="AC740" i="32"/>
  <c r="AC659" i="32"/>
  <c r="AC755" i="32"/>
  <c r="AC663" i="32"/>
  <c r="AC759" i="32"/>
  <c r="AC640" i="32"/>
  <c r="AC736" i="32"/>
  <c r="AC637" i="32"/>
  <c r="AC733" i="32"/>
  <c r="AC651" i="32"/>
  <c r="AC747" i="32"/>
  <c r="AC660" i="32"/>
  <c r="AC756" i="32"/>
  <c r="AC653" i="32"/>
  <c r="AC749" i="32"/>
  <c r="AC639" i="32"/>
  <c r="AC735" i="32"/>
  <c r="AC650" i="32"/>
  <c r="AC746" i="32"/>
  <c r="AC646" i="32"/>
  <c r="AC742" i="32"/>
  <c r="AC645" i="32"/>
  <c r="AC741" i="32"/>
  <c r="AC638" i="32"/>
  <c r="AC734" i="32"/>
  <c r="AC658" i="32"/>
  <c r="AC754" i="32"/>
  <c r="AC662" i="32"/>
  <c r="AC758" i="32"/>
  <c r="AC655" i="32"/>
  <c r="AC751" i="32"/>
  <c r="AC654" i="32"/>
  <c r="AC750" i="32"/>
  <c r="AC648" i="32"/>
  <c r="AC744" i="32"/>
  <c r="AB664" i="32"/>
  <c r="AC656" i="32"/>
  <c r="AC752" i="32"/>
  <c r="AC649" i="32"/>
  <c r="AC745" i="32"/>
  <c r="AC642" i="32"/>
  <c r="AC738" i="32"/>
  <c r="AC641" i="32"/>
  <c r="AC737" i="32"/>
  <c r="AC647" i="32"/>
  <c r="AC743" i="32"/>
  <c r="AC652" i="32"/>
  <c r="AC748" i="32"/>
  <c r="AC661" i="32"/>
  <c r="AC757" i="32"/>
  <c r="AC643" i="32"/>
  <c r="AC739" i="32"/>
  <c r="AC657" i="32"/>
  <c r="AC753" i="32"/>
  <c r="Z236" i="32"/>
  <c r="Z237" i="32" s="1"/>
  <c r="AB229" i="32" a="1"/>
  <c r="AB229" i="32" s="1"/>
  <c r="AB232" i="32" a="1"/>
  <c r="AB232" i="32" s="1"/>
  <c r="AB233" i="32" a="1"/>
  <c r="AB233" i="32" s="1"/>
  <c r="AB226" i="32" a="1"/>
  <c r="AB226" i="32" s="1"/>
  <c r="AB227" i="32" a="1"/>
  <c r="AB227" i="32" s="1"/>
  <c r="AB224" i="32" a="1"/>
  <c r="AB224" i="32" s="1"/>
  <c r="AB223" i="32" a="1"/>
  <c r="AB223" i="32" s="1"/>
  <c r="AB231" i="32" a="1"/>
  <c r="AB231" i="32" s="1"/>
  <c r="AB228" i="32" a="1"/>
  <c r="AB228" i="32" s="1"/>
  <c r="AB225" i="32" a="1"/>
  <c r="AB225" i="32" s="1"/>
  <c r="AB230" i="32" a="1"/>
  <c r="AB230" i="32" s="1"/>
  <c r="AA235" i="32" a="1"/>
  <c r="AA235" i="32" s="1"/>
  <c r="AA234" i="32" a="1"/>
  <c r="AA234" i="32" s="1"/>
  <c r="AC374" i="32"/>
  <c r="AC52" i="32" s="1"/>
  <c r="AD370" i="32"/>
  <c r="AF370" i="32" s="1"/>
  <c r="AD372" i="32"/>
  <c r="AF372" i="32" s="1"/>
  <c r="AD369" i="32"/>
  <c r="AF369" i="32" s="1"/>
  <c r="AD371" i="32"/>
  <c r="AF371" i="32" s="1"/>
  <c r="AD373" i="32"/>
  <c r="AF373" i="32" s="1"/>
  <c r="AD364" i="32"/>
  <c r="AF364" i="32" s="1"/>
  <c r="AD361" i="32"/>
  <c r="AF361" i="32" s="1"/>
  <c r="AD363" i="32"/>
  <c r="AF363" i="32" s="1"/>
  <c r="AD360" i="32"/>
  <c r="AF360" i="32" s="1"/>
  <c r="AD362" i="32"/>
  <c r="AF362" i="32" s="1"/>
  <c r="AC365" i="32"/>
  <c r="AB244" i="32"/>
  <c r="AB220" i="32"/>
  <c r="AB289" i="32"/>
  <c r="AB294" i="32"/>
  <c r="AB308" i="32" s="1"/>
  <c r="AB292" i="32"/>
  <c r="AB306" i="32" s="1"/>
  <c r="AB295" i="32"/>
  <c r="AB309" i="32" s="1"/>
  <c r="AB298" i="32"/>
  <c r="AB312" i="32" s="1"/>
  <c r="AB605" i="32" s="1"/>
  <c r="AB509" i="32" s="1"/>
  <c r="AB293" i="32"/>
  <c r="AB307" i="32" s="1"/>
  <c r="AB291" i="32"/>
  <c r="AB305" i="32" s="1"/>
  <c r="AB297" i="32"/>
  <c r="AB311" i="32" s="1"/>
  <c r="AB604" i="32" s="1"/>
  <c r="AB508" i="32" s="1"/>
  <c r="AB296" i="32"/>
  <c r="AB310" i="32" s="1"/>
  <c r="AB603" i="32" s="1"/>
  <c r="AB507" i="32" s="1"/>
  <c r="AB290" i="32"/>
  <c r="AB304" i="32" s="1"/>
  <c r="AC213" i="32"/>
  <c r="AC206" i="32"/>
  <c r="AC209" i="32"/>
  <c r="AA299" i="32"/>
  <c r="AA313" i="32" s="1"/>
  <c r="AA303" i="32"/>
  <c r="AC204" i="32"/>
  <c r="AC212" i="32"/>
  <c r="AC207" i="32"/>
  <c r="AC210" i="32"/>
  <c r="AC205" i="32"/>
  <c r="AC208" i="32"/>
  <c r="AC211" i="32"/>
  <c r="AB277" i="32" a="1"/>
  <c r="AB277" i="32" s="1"/>
  <c r="AB282" i="32" a="1"/>
  <c r="AB282" i="32" s="1"/>
  <c r="AB281" i="32" a="1"/>
  <c r="AB281" i="32" s="1"/>
  <c r="AB280" i="32" a="1"/>
  <c r="AB280" i="32" s="1"/>
  <c r="AB279" i="32" a="1"/>
  <c r="AB279" i="32" s="1"/>
  <c r="AA278" i="32"/>
  <c r="AA283" i="32" s="1"/>
  <c r="AB620" i="32"/>
  <c r="AB524" i="32" s="1"/>
  <c r="AB330" i="32"/>
  <c r="AB332" i="32" s="1"/>
  <c r="AB261" i="32" a="1"/>
  <c r="AB261" i="32" s="1"/>
  <c r="AB262" i="32" a="1"/>
  <c r="AB262" i="32" s="1"/>
  <c r="AB263" i="32"/>
  <c r="AA264" i="32"/>
  <c r="AA534" i="32"/>
  <c r="AA598" i="32"/>
  <c r="AB506" i="32"/>
  <c r="AC320" i="32"/>
  <c r="AB613" i="32"/>
  <c r="AB517" i="32" s="1"/>
  <c r="AC602" i="32"/>
  <c r="AC506" i="32" s="1"/>
  <c r="AA630" i="32"/>
  <c r="AD515" i="32"/>
  <c r="AD839" i="32"/>
  <c r="AD709" i="32"/>
  <c r="AD845" i="32"/>
  <c r="AD715" i="32"/>
  <c r="AD851" i="32"/>
  <c r="AD721" i="32"/>
  <c r="AD834" i="32"/>
  <c r="AD704" i="32"/>
  <c r="AD840" i="32"/>
  <c r="AD710" i="32"/>
  <c r="AD846" i="32"/>
  <c r="AD716" i="32"/>
  <c r="AD857" i="32"/>
  <c r="AD727" i="32"/>
  <c r="AD835" i="32"/>
  <c r="AD705" i="32"/>
  <c r="AD841" i="32"/>
  <c r="AD711" i="32"/>
  <c r="AD528" i="32"/>
  <c r="AD852" i="32"/>
  <c r="AD722" i="32"/>
  <c r="AD830" i="32"/>
  <c r="AD862" i="32" s="1"/>
  <c r="AD700" i="32"/>
  <c r="AD732" i="32" s="1"/>
  <c r="AD836" i="32"/>
  <c r="AD706" i="32"/>
  <c r="AC728" i="32"/>
  <c r="AC636" i="32"/>
  <c r="AD523" i="32"/>
  <c r="AD847" i="32"/>
  <c r="AD717" i="32"/>
  <c r="AD853" i="32"/>
  <c r="AD723" i="32"/>
  <c r="AD831" i="32"/>
  <c r="AD701" i="32"/>
  <c r="AC858" i="32"/>
  <c r="AC766" i="32"/>
  <c r="AD842" i="32"/>
  <c r="AD712" i="32"/>
  <c r="AD848" i="32"/>
  <c r="AD718" i="32"/>
  <c r="AD837" i="32"/>
  <c r="AD707" i="32"/>
  <c r="AD843" i="32"/>
  <c r="AD713" i="32"/>
  <c r="AD854" i="32"/>
  <c r="AD724" i="32"/>
  <c r="AD832" i="32"/>
  <c r="AD702" i="32"/>
  <c r="AD838" i="32"/>
  <c r="AD708" i="32"/>
  <c r="AD525" i="32"/>
  <c r="AD849" i="32"/>
  <c r="AD719" i="32"/>
  <c r="AD531" i="32"/>
  <c r="AD725" i="32"/>
  <c r="AD855" i="32"/>
  <c r="AD833" i="32"/>
  <c r="AD703" i="32"/>
  <c r="AD844" i="32"/>
  <c r="AD714" i="32"/>
  <c r="AD850" i="32"/>
  <c r="AD720" i="32"/>
  <c r="AD856" i="32"/>
  <c r="AD726" i="32"/>
  <c r="AD897" i="32"/>
  <c r="AD902" i="32"/>
  <c r="AD907" i="32"/>
  <c r="AD912" i="32"/>
  <c r="AD917" i="32"/>
  <c r="AD922" i="32"/>
  <c r="AD927" i="32"/>
  <c r="AD899" i="32"/>
  <c r="AD896" i="32"/>
  <c r="AD898" i="32"/>
  <c r="AD903" i="32"/>
  <c r="AD908" i="32"/>
  <c r="AD913" i="32"/>
  <c r="AD918" i="32"/>
  <c r="AD923" i="32"/>
  <c r="AD904" i="32"/>
  <c r="AD905" i="32"/>
  <c r="AD906" i="32"/>
  <c r="AD919" i="32"/>
  <c r="AD909" i="32"/>
  <c r="AD921" i="32"/>
  <c r="AD911" i="32"/>
  <c r="AD924" i="32"/>
  <c r="AD901" i="32"/>
  <c r="AD933" i="32"/>
  <c r="AD936" i="32"/>
  <c r="AD925" i="32"/>
  <c r="AD931" i="32"/>
  <c r="AD915" i="32"/>
  <c r="AD934" i="32"/>
  <c r="AD914" i="32"/>
  <c r="AD916" i="32"/>
  <c r="AD937" i="32"/>
  <c r="AD900" i="32"/>
  <c r="AD926" i="32"/>
  <c r="AD932" i="32"/>
  <c r="AD930" i="32"/>
  <c r="AD910" i="32"/>
  <c r="AD920" i="32"/>
  <c r="AD928" i="32"/>
  <c r="AD929" i="32"/>
  <c r="AD935" i="32"/>
  <c r="AC938" i="32"/>
  <c r="AD500" i="32"/>
  <c r="AD42" i="32" s="1"/>
  <c r="AC606" i="32"/>
  <c r="AC510" i="32" s="1"/>
  <c r="AC186" i="32"/>
  <c r="AC214" i="32" s="1"/>
  <c r="AD177" i="32"/>
  <c r="AD182" i="32"/>
  <c r="AD179" i="32"/>
  <c r="AD184" i="32"/>
  <c r="AD176" i="32"/>
  <c r="AD181" i="32"/>
  <c r="AD178" i="32"/>
  <c r="AD183" i="32"/>
  <c r="AD185" i="32"/>
  <c r="AD180" i="32"/>
  <c r="AD436" i="32"/>
  <c r="AA271" i="32"/>
  <c r="Z383" i="32"/>
  <c r="Z51" i="32" s="1"/>
  <c r="Z32" i="32" s="1"/>
  <c r="AA99" i="32"/>
  <c r="AD352" i="32"/>
  <c r="AD354" i="32"/>
  <c r="AD351" i="32"/>
  <c r="AD353" i="32"/>
  <c r="AD355" i="32"/>
  <c r="AC346" i="32"/>
  <c r="AC356" i="32"/>
  <c r="AC260" i="32"/>
  <c r="AB265" i="32"/>
  <c r="AB266" i="32"/>
  <c r="AB130" i="32" a="1"/>
  <c r="AB130" i="32" s="1"/>
  <c r="AB120" i="32" a="1"/>
  <c r="AB120" i="32" s="1"/>
  <c r="AB88" i="32" a="1"/>
  <c r="AB88" i="32" s="1"/>
  <c r="AB87" i="32" a="1"/>
  <c r="AB87" i="32" s="1"/>
  <c r="AB85" i="32" a="1"/>
  <c r="AB85" i="32" s="1"/>
  <c r="AB72" i="32" a="1"/>
  <c r="AB72" i="32" s="1"/>
  <c r="AB93" i="32" a="1"/>
  <c r="AB93" i="32" s="1"/>
  <c r="AB92" i="32" a="1"/>
  <c r="AB92" i="32" s="1"/>
  <c r="AB86" i="32" a="1"/>
  <c r="AB86" i="32" s="1"/>
  <c r="AB129" i="32" a="1"/>
  <c r="AB129" i="32" s="1"/>
  <c r="AB127" i="32" a="1"/>
  <c r="AB127" i="32" s="1"/>
  <c r="AB81" i="32" a="1"/>
  <c r="AB81" i="32" s="1"/>
  <c r="AB122" i="32" a="1"/>
  <c r="AB122" i="32" s="1"/>
  <c r="AB82" i="32" a="1"/>
  <c r="AB82" i="32" s="1"/>
  <c r="AB119" i="32" a="1"/>
  <c r="AB119" i="32" s="1"/>
  <c r="AB91" i="32" a="1"/>
  <c r="AB91" i="32" s="1"/>
  <c r="AB90" i="32" a="1"/>
  <c r="AB90" i="32" s="1"/>
  <c r="AB121" i="32" a="1"/>
  <c r="AB121" i="32" s="1"/>
  <c r="AB128" i="32" a="1"/>
  <c r="AB128" i="32" s="1"/>
  <c r="AB71" i="32" a="1"/>
  <c r="AB71" i="32" s="1"/>
  <c r="AB84" i="32" a="1"/>
  <c r="AB84" i="32" s="1"/>
  <c r="AB68" i="32" a="1"/>
  <c r="AB68" i="32" s="1"/>
  <c r="AB70" i="32" a="1"/>
  <c r="AB70" i="32" s="1"/>
  <c r="AB65" i="32" a="1"/>
  <c r="AB65" i="32" s="1"/>
  <c r="AB80" i="32" a="1"/>
  <c r="AB80" i="32" s="1"/>
  <c r="AB74" i="32" a="1"/>
  <c r="AB74" i="32" s="1"/>
  <c r="AB69" i="32" a="1"/>
  <c r="AB69" i="32" s="1"/>
  <c r="AB67" i="32" a="1"/>
  <c r="AB67" i="32" s="1"/>
  <c r="AB89" i="32" a="1"/>
  <c r="AB89" i="32" s="1"/>
  <c r="AB83" i="32" a="1"/>
  <c r="AB83" i="32" s="1"/>
  <c r="AB79" i="32" a="1"/>
  <c r="AB79" i="32" s="1"/>
  <c r="AB64" i="32" a="1"/>
  <c r="AB64" i="32" s="1"/>
  <c r="AB73" i="32" a="1"/>
  <c r="AB73" i="32" s="1"/>
  <c r="AB61" i="32" a="1"/>
  <c r="AB61" i="32" s="1"/>
  <c r="AB63" i="32" a="1"/>
  <c r="AB63" i="32" s="1"/>
  <c r="AB66" i="32" a="1"/>
  <c r="AB66" i="32" s="1"/>
  <c r="AB62" i="32" a="1"/>
  <c r="AB62" i="32" s="1"/>
  <c r="AC49" i="32" a="1"/>
  <c r="AC49" i="32" s="1"/>
  <c r="AC50" i="32" a="1"/>
  <c r="AC50" i="32" s="1"/>
  <c r="AC47" i="32" a="1"/>
  <c r="AC47" i="32" s="1"/>
  <c r="AC48" i="32" a="1"/>
  <c r="AC48" i="32" s="1"/>
  <c r="AD345" i="32"/>
  <c r="AD382" i="32" s="1"/>
  <c r="AF382" i="32" s="1"/>
  <c r="AD342" i="32"/>
  <c r="AD379" i="32" s="1"/>
  <c r="AF379" i="32" s="1"/>
  <c r="AD344" i="32"/>
  <c r="AD381" i="32" s="1"/>
  <c r="AF381" i="32" s="1"/>
  <c r="AD341" i="32"/>
  <c r="AD378" i="32" s="1"/>
  <c r="AF378" i="32" s="1"/>
  <c r="AD343" i="32"/>
  <c r="AD380" i="32" s="1"/>
  <c r="AF380" i="32" s="1"/>
  <c r="AD147" i="32" a="1"/>
  <c r="AD147" i="32" s="1"/>
  <c r="AD152" i="32" a="1"/>
  <c r="AD152" i="32" s="1"/>
  <c r="AD149" i="32" a="1"/>
  <c r="AD149" i="32" s="1"/>
  <c r="AD154" i="32" a="1"/>
  <c r="AD154" i="32" s="1"/>
  <c r="AD162" i="32" a="1"/>
  <c r="AD162" i="32" s="1"/>
  <c r="AD156" i="32" a="1"/>
  <c r="AD156" i="32" s="1"/>
  <c r="AD151" i="32" a="1"/>
  <c r="AD151" i="32" s="1"/>
  <c r="AD158" i="32" a="1"/>
  <c r="AD158" i="32" s="1"/>
  <c r="AD163" i="32" a="1"/>
  <c r="AD163" i="32" s="1"/>
  <c r="AD148" i="32" a="1"/>
  <c r="AD148" i="32" s="1"/>
  <c r="AD170" i="32" a="1"/>
  <c r="AD170" i="32" s="1"/>
  <c r="AD169" i="32" a="1"/>
  <c r="AD169" i="32" s="1"/>
  <c r="AD150" i="32" a="1"/>
  <c r="AD150" i="32" s="1"/>
  <c r="AD155" i="32" a="1"/>
  <c r="AD155" i="32" s="1"/>
  <c r="AD159" i="32" a="1"/>
  <c r="AD159" i="32" s="1"/>
  <c r="AD160" i="32" a="1"/>
  <c r="AD160" i="32" s="1"/>
  <c r="AD157" i="32" a="1"/>
  <c r="AD157" i="32" s="1"/>
  <c r="AD153" i="32" a="1"/>
  <c r="AD153" i="32" s="1"/>
  <c r="AC327" i="32"/>
  <c r="AC329" i="32" s="1"/>
  <c r="AB333" i="32"/>
  <c r="AB626" i="32" s="1"/>
  <c r="AB530" i="32" s="1"/>
  <c r="AB324" i="32"/>
  <c r="AB617" i="32" s="1"/>
  <c r="AB521" i="32" s="1"/>
  <c r="AC222" i="32"/>
  <c r="AB245" i="32"/>
  <c r="AB238" i="32"/>
  <c r="AA108" i="32"/>
  <c r="AD37" i="32"/>
  <c r="AD47" i="32" s="1" a="1"/>
  <c r="AD47" i="32" s="1"/>
  <c r="AA109" i="32"/>
  <c r="AA107" i="32"/>
  <c r="AA101" i="32"/>
  <c r="AA105" i="32"/>
  <c r="Z112" i="32"/>
  <c r="AA102" i="32"/>
  <c r="AA111" i="32"/>
  <c r="AA106" i="32"/>
  <c r="AA110" i="32"/>
  <c r="AA98" i="32"/>
  <c r="AA104" i="32"/>
  <c r="AA100" i="32"/>
  <c r="AA103" i="32"/>
  <c r="Z27" i="32"/>
  <c r="AA138" i="32"/>
  <c r="AA29" i="32"/>
  <c r="Z43" i="32"/>
  <c r="Z28" i="32"/>
  <c r="Z30" i="32"/>
  <c r="Y33" i="32"/>
  <c r="Y34" i="32" s="1"/>
  <c r="Z164" i="32"/>
  <c r="AA136" i="32"/>
  <c r="AA94" i="32"/>
  <c r="AC60" i="32"/>
  <c r="AA131" i="32"/>
  <c r="AA135" i="32"/>
  <c r="AA137" i="32"/>
  <c r="Z139" i="32"/>
  <c r="AA75" i="32"/>
  <c r="AA123" i="32"/>
  <c r="AF47" i="32" l="1"/>
  <c r="AD31" i="32"/>
  <c r="AF31" i="32" s="1"/>
  <c r="AF42" i="32"/>
  <c r="AC21" i="32"/>
  <c r="AB24" i="32"/>
  <c r="AB25" i="32"/>
  <c r="AB22" i="32"/>
  <c r="AB23" i="32"/>
  <c r="AB26" i="32"/>
  <c r="AD41" i="32" a="1"/>
  <c r="AD41" i="32" s="1"/>
  <c r="AF41" i="32" s="1"/>
  <c r="AD39" i="32" a="1"/>
  <c r="AD39" i="32" s="1"/>
  <c r="AF39" i="32" s="1"/>
  <c r="AD40" i="32" a="1"/>
  <c r="AD40" i="32" s="1"/>
  <c r="AF40" i="32" s="1"/>
  <c r="AD38" i="32" a="1"/>
  <c r="AD38" i="32" s="1"/>
  <c r="AF38" i="32" s="1"/>
  <c r="AD468" i="32"/>
  <c r="AC890" i="32"/>
  <c r="AD790" i="32"/>
  <c r="AD886" i="32"/>
  <c r="AD778" i="32"/>
  <c r="AD874" i="32"/>
  <c r="AD783" i="32"/>
  <c r="AD879" i="32"/>
  <c r="AD788" i="32"/>
  <c r="AD884" i="32"/>
  <c r="AC760" i="32"/>
  <c r="AD786" i="32"/>
  <c r="AD882" i="32"/>
  <c r="AD782" i="32"/>
  <c r="AD878" i="32"/>
  <c r="AD785" i="32"/>
  <c r="AD881" i="32"/>
  <c r="AD779" i="32"/>
  <c r="AD875" i="32"/>
  <c r="AC794" i="32"/>
  <c r="AD781" i="32"/>
  <c r="AD877" i="32"/>
  <c r="AD777" i="32"/>
  <c r="AD873" i="32"/>
  <c r="AD780" i="32"/>
  <c r="AD876" i="32"/>
  <c r="AD776" i="32"/>
  <c r="AD872" i="32"/>
  <c r="AD775" i="32"/>
  <c r="AD871" i="32"/>
  <c r="AD774" i="32"/>
  <c r="AD870" i="32"/>
  <c r="AD773" i="32"/>
  <c r="AD869" i="32"/>
  <c r="AD767" i="32"/>
  <c r="AD863" i="32"/>
  <c r="AD772" i="32"/>
  <c r="AD868" i="32"/>
  <c r="AD771" i="32"/>
  <c r="AD867" i="32"/>
  <c r="AD792" i="32"/>
  <c r="AD888" i="32"/>
  <c r="AD791" i="32"/>
  <c r="AD887" i="32"/>
  <c r="AD768" i="32"/>
  <c r="AD864" i="32"/>
  <c r="AD784" i="32"/>
  <c r="AD880" i="32"/>
  <c r="AD793" i="32"/>
  <c r="AD889" i="32"/>
  <c r="AD787" i="32"/>
  <c r="AD883" i="32"/>
  <c r="AD769" i="32"/>
  <c r="AD865" i="32"/>
  <c r="AD789" i="32"/>
  <c r="AD885" i="32"/>
  <c r="AD770" i="32"/>
  <c r="AD866" i="32"/>
  <c r="AC664" i="32"/>
  <c r="AD644" i="32"/>
  <c r="AD740" i="32"/>
  <c r="AD643" i="32"/>
  <c r="AD739" i="32"/>
  <c r="AD637" i="32"/>
  <c r="AD733" i="32"/>
  <c r="AD642" i="32"/>
  <c r="AD738" i="32"/>
  <c r="AD641" i="32"/>
  <c r="AD737" i="32"/>
  <c r="AD655" i="32"/>
  <c r="AD751" i="32"/>
  <c r="AD649" i="32"/>
  <c r="AD745" i="32"/>
  <c r="AD651" i="32"/>
  <c r="AD747" i="32"/>
  <c r="AD647" i="32"/>
  <c r="AD743" i="32"/>
  <c r="AD639" i="32"/>
  <c r="AD735" i="32"/>
  <c r="AD659" i="32"/>
  <c r="AD755" i="32"/>
  <c r="AD640" i="32"/>
  <c r="AD736" i="32"/>
  <c r="AD662" i="32"/>
  <c r="AD758" i="32"/>
  <c r="AD638" i="32"/>
  <c r="AD734" i="32"/>
  <c r="AD654" i="32"/>
  <c r="AD750" i="32"/>
  <c r="AD663" i="32"/>
  <c r="AD759" i="32"/>
  <c r="AD650" i="32"/>
  <c r="AD746" i="32"/>
  <c r="AD646" i="32"/>
  <c r="AD742" i="32"/>
  <c r="AD645" i="32"/>
  <c r="AD741" i="32"/>
  <c r="AD657" i="32"/>
  <c r="AD753" i="32"/>
  <c r="AD661" i="32"/>
  <c r="AD757" i="32"/>
  <c r="AD660" i="32"/>
  <c r="AD756" i="32"/>
  <c r="AD648" i="32"/>
  <c r="AD744" i="32"/>
  <c r="AD653" i="32"/>
  <c r="AD749" i="32"/>
  <c r="AD658" i="32"/>
  <c r="AD754" i="32"/>
  <c r="AD656" i="32"/>
  <c r="AD752" i="32"/>
  <c r="AD652" i="32"/>
  <c r="AD748" i="32"/>
  <c r="Z53" i="32"/>
  <c r="AA236" i="32"/>
  <c r="AA237" i="32" s="1"/>
  <c r="AB235" i="32" a="1"/>
  <c r="AB235" i="32" s="1"/>
  <c r="AB234" i="32" a="1"/>
  <c r="AB234" i="32" s="1"/>
  <c r="AD374" i="32"/>
  <c r="AC224" i="32" a="1"/>
  <c r="AC224" i="32" s="1"/>
  <c r="AC229" i="32" a="1"/>
  <c r="AC229" i="32" s="1"/>
  <c r="AC232" i="32" a="1"/>
  <c r="AC232" i="32" s="1"/>
  <c r="AC233" i="32" a="1"/>
  <c r="AC233" i="32" s="1"/>
  <c r="AC226" i="32" a="1"/>
  <c r="AC226" i="32" s="1"/>
  <c r="AC223" i="32" a="1"/>
  <c r="AC223" i="32" s="1"/>
  <c r="AC231" i="32" a="1"/>
  <c r="AC231" i="32" s="1"/>
  <c r="AC230" i="32" a="1"/>
  <c r="AC230" i="32" s="1"/>
  <c r="AC228" i="32" a="1"/>
  <c r="AC228" i="32" s="1"/>
  <c r="AC227" i="32" a="1"/>
  <c r="AC227" i="32" s="1"/>
  <c r="AC225" i="32" a="1"/>
  <c r="AC225" i="32" s="1"/>
  <c r="AD365" i="32"/>
  <c r="AF365" i="32" s="1"/>
  <c r="AC244" i="32"/>
  <c r="AC220" i="32"/>
  <c r="AD212" i="32"/>
  <c r="AD207" i="32"/>
  <c r="AC290" i="32"/>
  <c r="AC304" i="32" s="1"/>
  <c r="AC293" i="32"/>
  <c r="AC307" i="32" s="1"/>
  <c r="AC296" i="32"/>
  <c r="AC310" i="32" s="1"/>
  <c r="AC603" i="32" s="1"/>
  <c r="AC507" i="32" s="1"/>
  <c r="AC289" i="32"/>
  <c r="AC292" i="32"/>
  <c r="AC306" i="32" s="1"/>
  <c r="AC298" i="32"/>
  <c r="AC312" i="32" s="1"/>
  <c r="AC605" i="32" s="1"/>
  <c r="AC509" i="32" s="1"/>
  <c r="AC295" i="32"/>
  <c r="AC309" i="32" s="1"/>
  <c r="AC291" i="32"/>
  <c r="AC305" i="32" s="1"/>
  <c r="AC297" i="32"/>
  <c r="AC311" i="32" s="1"/>
  <c r="AC604" i="32" s="1"/>
  <c r="AC508" i="32" s="1"/>
  <c r="AC294" i="32"/>
  <c r="AC308" i="32" s="1"/>
  <c r="AD210" i="32"/>
  <c r="AD205" i="32"/>
  <c r="AD208" i="32"/>
  <c r="AD213" i="32"/>
  <c r="AD211" i="32"/>
  <c r="AD206" i="32"/>
  <c r="AD209" i="32"/>
  <c r="AD204" i="32"/>
  <c r="AB299" i="32"/>
  <c r="AB313" i="32" s="1"/>
  <c r="AB303" i="32"/>
  <c r="AC282" i="32" a="1"/>
  <c r="AC282" i="32" s="1"/>
  <c r="AC277" i="32" a="1"/>
  <c r="AC277" i="32" s="1"/>
  <c r="AC281" i="32" a="1"/>
  <c r="AC281" i="32" s="1"/>
  <c r="AC280" i="32" a="1"/>
  <c r="AC280" i="32" s="1"/>
  <c r="AC279" i="32" a="1"/>
  <c r="AC279" i="32" s="1"/>
  <c r="AB98" i="32"/>
  <c r="AB278" i="32"/>
  <c r="AB283" i="32" s="1"/>
  <c r="AC262" i="32" a="1"/>
  <c r="AC262" i="32" s="1"/>
  <c r="AC261" i="32" a="1"/>
  <c r="AC261" i="32" s="1"/>
  <c r="AC620" i="32"/>
  <c r="AC524" i="32" s="1"/>
  <c r="AC330" i="32"/>
  <c r="AC332" i="32" s="1"/>
  <c r="AC263" i="32"/>
  <c r="AB264" i="32"/>
  <c r="AD602" i="32"/>
  <c r="AD320" i="32"/>
  <c r="AD613" i="32" s="1"/>
  <c r="AD517" i="32" s="1"/>
  <c r="AC613" i="32"/>
  <c r="AC517" i="32" s="1"/>
  <c r="AB598" i="32"/>
  <c r="AB630" i="32"/>
  <c r="AB534" i="32"/>
  <c r="AD728" i="32"/>
  <c r="AD636" i="32"/>
  <c r="AD858" i="32"/>
  <c r="AD766" i="32"/>
  <c r="AD938" i="32"/>
  <c r="AD606" i="32"/>
  <c r="AD510" i="32" s="1"/>
  <c r="AD186" i="32"/>
  <c r="AD214" i="32" s="1"/>
  <c r="AB271" i="32"/>
  <c r="AA383" i="32"/>
  <c r="AA51" i="32" s="1"/>
  <c r="AA32" i="32" s="1"/>
  <c r="AD356" i="32"/>
  <c r="AD346" i="32"/>
  <c r="AD48" i="32" a="1"/>
  <c r="AD48" i="32" s="1"/>
  <c r="AF48" i="32" s="1"/>
  <c r="AD50" i="32" a="1"/>
  <c r="AD50" i="32" s="1"/>
  <c r="AF50" i="32" s="1"/>
  <c r="AD49" i="32" a="1"/>
  <c r="AD49" i="32" s="1"/>
  <c r="AF49" i="32" s="1"/>
  <c r="AC129" i="32" a="1"/>
  <c r="AC129" i="32" s="1"/>
  <c r="AC127" i="32" a="1"/>
  <c r="AC127" i="32" s="1"/>
  <c r="AC130" i="32" a="1"/>
  <c r="AC130" i="32" s="1"/>
  <c r="AC122" i="32" a="1"/>
  <c r="AC122" i="32" s="1"/>
  <c r="AC120" i="32" a="1"/>
  <c r="AC120" i="32" s="1"/>
  <c r="AC92" i="32" a="1"/>
  <c r="AC92" i="32" s="1"/>
  <c r="AC88" i="32" a="1"/>
  <c r="AC88" i="32" s="1"/>
  <c r="AC85" i="32" a="1"/>
  <c r="AC85" i="32" s="1"/>
  <c r="AC93" i="32" a="1"/>
  <c r="AC93" i="32" s="1"/>
  <c r="AC80" i="32" a="1"/>
  <c r="AC80" i="32" s="1"/>
  <c r="AC79" i="32" a="1"/>
  <c r="AC79" i="32" s="1"/>
  <c r="AC71" i="32" a="1"/>
  <c r="AC71" i="32" s="1"/>
  <c r="AC82" i="32" a="1"/>
  <c r="AC82" i="32" s="1"/>
  <c r="AC119" i="32" a="1"/>
  <c r="AC119" i="32" s="1"/>
  <c r="AC91" i="32" a="1"/>
  <c r="AC91" i="32" s="1"/>
  <c r="AC90" i="32" a="1"/>
  <c r="AC90" i="32" s="1"/>
  <c r="AC121" i="32" a="1"/>
  <c r="AC121" i="32" s="1"/>
  <c r="AC128" i="32" a="1"/>
  <c r="AC128" i="32" s="1"/>
  <c r="AC89" i="32" a="1"/>
  <c r="AC89" i="32" s="1"/>
  <c r="AC87" i="32" a="1"/>
  <c r="AC87" i="32" s="1"/>
  <c r="AC84" i="32" a="1"/>
  <c r="AC84" i="32" s="1"/>
  <c r="AC68" i="32" a="1"/>
  <c r="AC68" i="32" s="1"/>
  <c r="AC70" i="32" a="1"/>
  <c r="AC70" i="32" s="1"/>
  <c r="AC63" i="32" a="1"/>
  <c r="AC63" i="32" s="1"/>
  <c r="AC74" i="32" a="1"/>
  <c r="AC74" i="32" s="1"/>
  <c r="AC72" i="32" a="1"/>
  <c r="AC72" i="32" s="1"/>
  <c r="AC69" i="32" a="1"/>
  <c r="AC69" i="32" s="1"/>
  <c r="AC65" i="32" a="1"/>
  <c r="AC65" i="32" s="1"/>
  <c r="AC67" i="32" a="1"/>
  <c r="AC67" i="32" s="1"/>
  <c r="AC81" i="32" a="1"/>
  <c r="AC81" i="32" s="1"/>
  <c r="AC83" i="32" a="1"/>
  <c r="AC83" i="32" s="1"/>
  <c r="AC64" i="32" a="1"/>
  <c r="AC64" i="32" s="1"/>
  <c r="AC73" i="32" a="1"/>
  <c r="AC73" i="32" s="1"/>
  <c r="AC66" i="32" a="1"/>
  <c r="AC66" i="32" s="1"/>
  <c r="AC86" i="32" a="1"/>
  <c r="AC86" i="32" s="1"/>
  <c r="AC61" i="32" a="1"/>
  <c r="AC61" i="32" s="1"/>
  <c r="AC62" i="32" a="1"/>
  <c r="AC62" i="32" s="1"/>
  <c r="AD222" i="32"/>
  <c r="AC245" i="32"/>
  <c r="AC238" i="32"/>
  <c r="AD327" i="32"/>
  <c r="AD329" i="32" s="1"/>
  <c r="AC333" i="32"/>
  <c r="AC626" i="32" s="1"/>
  <c r="AC530" i="32" s="1"/>
  <c r="AC324" i="32"/>
  <c r="AC617" i="32" s="1"/>
  <c r="AC521" i="32" s="1"/>
  <c r="AD260" i="32"/>
  <c r="AC265" i="32"/>
  <c r="AC266" i="32"/>
  <c r="AB111" i="32"/>
  <c r="AB99" i="32"/>
  <c r="AB110" i="32"/>
  <c r="AB106" i="32"/>
  <c r="AB103" i="32"/>
  <c r="AA112" i="32"/>
  <c r="AB108" i="32"/>
  <c r="AB105" i="32"/>
  <c r="AB102" i="32"/>
  <c r="AA30" i="32"/>
  <c r="AB104" i="32"/>
  <c r="AB107" i="32"/>
  <c r="AB100" i="32"/>
  <c r="AB101" i="32"/>
  <c r="AB109" i="32"/>
  <c r="Z33" i="32"/>
  <c r="Z34" i="32" s="1"/>
  <c r="AB29" i="32"/>
  <c r="AA43" i="32"/>
  <c r="AA28" i="32"/>
  <c r="AA27" i="32"/>
  <c r="AA164" i="32"/>
  <c r="AA139" i="32"/>
  <c r="AD60" i="32"/>
  <c r="AB131" i="32"/>
  <c r="AB135" i="32"/>
  <c r="AB94" i="32"/>
  <c r="AB75" i="32"/>
  <c r="AB137" i="32"/>
  <c r="AB123" i="32"/>
  <c r="AB138" i="32"/>
  <c r="AB136" i="32"/>
  <c r="AD52" i="32" l="1"/>
  <c r="AF52" i="32" s="1"/>
  <c r="AF374" i="32"/>
  <c r="AD21" i="32"/>
  <c r="AC26" i="32"/>
  <c r="AC24" i="32"/>
  <c r="AC22" i="32"/>
  <c r="AC25" i="32"/>
  <c r="AC23" i="32"/>
  <c r="AD890" i="32"/>
  <c r="AD794" i="32"/>
  <c r="AD760" i="32"/>
  <c r="AD664" i="32"/>
  <c r="AB236" i="32"/>
  <c r="AB237" i="32" s="1"/>
  <c r="AC235" i="32" a="1"/>
  <c r="AC235" i="32" s="1"/>
  <c r="AC234" i="32" a="1"/>
  <c r="AC234" i="32" s="1"/>
  <c r="AD230" i="32" a="1"/>
  <c r="AD230" i="32" s="1"/>
  <c r="AD224" i="32" a="1"/>
  <c r="AD224" i="32" s="1"/>
  <c r="AD229" i="32" a="1"/>
  <c r="AD229" i="32" s="1"/>
  <c r="AD232" i="32" a="1"/>
  <c r="AD232" i="32" s="1"/>
  <c r="AD226" i="32" a="1"/>
  <c r="AD226" i="32" s="1"/>
  <c r="AD233" i="32" a="1"/>
  <c r="AD233" i="32" s="1"/>
  <c r="AD223" i="32" a="1"/>
  <c r="AD223" i="32" s="1"/>
  <c r="AD231" i="32" a="1"/>
  <c r="AD231" i="32" s="1"/>
  <c r="AD228" i="32" a="1"/>
  <c r="AD228" i="32" s="1"/>
  <c r="AD225" i="32" a="1"/>
  <c r="AD225" i="32" s="1"/>
  <c r="AD227" i="32" a="1"/>
  <c r="AD227" i="32" s="1"/>
  <c r="AD244" i="32"/>
  <c r="AD220" i="32"/>
  <c r="AA53" i="32"/>
  <c r="AC299" i="32"/>
  <c r="AC313" i="32" s="1"/>
  <c r="AC303" i="32"/>
  <c r="AD292" i="32"/>
  <c r="AD306" i="32" s="1"/>
  <c r="AD297" i="32"/>
  <c r="AD311" i="32" s="1"/>
  <c r="AD604" i="32" s="1"/>
  <c r="AD508" i="32" s="1"/>
  <c r="AD289" i="32"/>
  <c r="AD290" i="32"/>
  <c r="AD304" i="32" s="1"/>
  <c r="AD294" i="32"/>
  <c r="AD308" i="32" s="1"/>
  <c r="AD293" i="32"/>
  <c r="AD307" i="32" s="1"/>
  <c r="AD298" i="32"/>
  <c r="AD312" i="32" s="1"/>
  <c r="AD605" i="32" s="1"/>
  <c r="AD509" i="32" s="1"/>
  <c r="AD291" i="32"/>
  <c r="AD305" i="32" s="1"/>
  <c r="AD296" i="32"/>
  <c r="AD310" i="32" s="1"/>
  <c r="AD603" i="32" s="1"/>
  <c r="AD507" i="32" s="1"/>
  <c r="AD295" i="32"/>
  <c r="AD309" i="32" s="1"/>
  <c r="AD282" i="32" a="1"/>
  <c r="AD282" i="32" s="1"/>
  <c r="AD281" i="32" a="1"/>
  <c r="AD281" i="32" s="1"/>
  <c r="AD280" i="32" a="1"/>
  <c r="AD280" i="32" s="1"/>
  <c r="AD277" i="32" a="1"/>
  <c r="AD277" i="32" s="1"/>
  <c r="AD279" i="32" a="1"/>
  <c r="AD279" i="32" s="1"/>
  <c r="AC278" i="32"/>
  <c r="AC283" i="32" s="1"/>
  <c r="AC264" i="32"/>
  <c r="AD262" i="32" a="1"/>
  <c r="AD262" i="32" s="1"/>
  <c r="AD261" i="32" a="1"/>
  <c r="AD261" i="32" s="1"/>
  <c r="AD620" i="32"/>
  <c r="AD524" i="32" s="1"/>
  <c r="AD330" i="32"/>
  <c r="AD332" i="32" s="1"/>
  <c r="AD263" i="32"/>
  <c r="AC534" i="32"/>
  <c r="AC598" i="32"/>
  <c r="AD506" i="32"/>
  <c r="AC630" i="32"/>
  <c r="AD82" i="32" a="1"/>
  <c r="AD82" i="32" s="1"/>
  <c r="AD90" i="32" a="1"/>
  <c r="AD90" i="32" s="1"/>
  <c r="AB383" i="32"/>
  <c r="AB51" i="32" s="1"/>
  <c r="AB32" i="32" s="1"/>
  <c r="AC271" i="32"/>
  <c r="AD324" i="32"/>
  <c r="AD617" i="32" s="1"/>
  <c r="AD521" i="32" s="1"/>
  <c r="AD333" i="32"/>
  <c r="AD626" i="32" s="1"/>
  <c r="AD530" i="32" s="1"/>
  <c r="AD128" i="32" a="1"/>
  <c r="AD128" i="32" s="1"/>
  <c r="AD93" i="32" a="1"/>
  <c r="AD93" i="32" s="1"/>
  <c r="AD86" i="32" a="1"/>
  <c r="AD86" i="32" s="1"/>
  <c r="AD81" i="32" a="1"/>
  <c r="AD81" i="32" s="1"/>
  <c r="AD129" i="32" a="1"/>
  <c r="AD129" i="32" s="1"/>
  <c r="AD127" i="32" a="1"/>
  <c r="AD127" i="32" s="1"/>
  <c r="AD91" i="32" a="1"/>
  <c r="AD91" i="32" s="1"/>
  <c r="AD122" i="32" a="1"/>
  <c r="AD122" i="32" s="1"/>
  <c r="AD119" i="32" a="1"/>
  <c r="AD119" i="32" s="1"/>
  <c r="AD121" i="32" a="1"/>
  <c r="AD121" i="32" s="1"/>
  <c r="AD89" i="32" a="1"/>
  <c r="AD89" i="32" s="1"/>
  <c r="AD130" i="32" a="1"/>
  <c r="AD130" i="32" s="1"/>
  <c r="AD120" i="32" a="1"/>
  <c r="AD120" i="32" s="1"/>
  <c r="AD92" i="32" a="1"/>
  <c r="AD92" i="32" s="1"/>
  <c r="AD63" i="32" a="1"/>
  <c r="AD63" i="32" s="1"/>
  <c r="AD74" i="32" a="1"/>
  <c r="AD74" i="32" s="1"/>
  <c r="AD72" i="32" a="1"/>
  <c r="AD72" i="32" s="1"/>
  <c r="AD69" i="32" a="1"/>
  <c r="AD69" i="32" s="1"/>
  <c r="AD67" i="32" a="1"/>
  <c r="AD67" i="32" s="1"/>
  <c r="AD88" i="32" a="1"/>
  <c r="AD88" i="32" s="1"/>
  <c r="AD80" i="32" a="1"/>
  <c r="AD80" i="32" s="1"/>
  <c r="AD83" i="32" a="1"/>
  <c r="AD83" i="32" s="1"/>
  <c r="AD79" i="32" a="1"/>
  <c r="AD79" i="32" s="1"/>
  <c r="AD64" i="32" a="1"/>
  <c r="AD64" i="32" s="1"/>
  <c r="AD73" i="32" a="1"/>
  <c r="AD73" i="32" s="1"/>
  <c r="AD66" i="32" a="1"/>
  <c r="AD66" i="32" s="1"/>
  <c r="AD85" i="32" a="1"/>
  <c r="AD85" i="32" s="1"/>
  <c r="AD68" i="32" a="1"/>
  <c r="AD68" i="32" s="1"/>
  <c r="AD62" i="32" a="1"/>
  <c r="AD62" i="32" s="1"/>
  <c r="AD61" i="32" a="1"/>
  <c r="AD61" i="32" s="1"/>
  <c r="AD87" i="32" a="1"/>
  <c r="AD87" i="32" s="1"/>
  <c r="AD84" i="32" a="1"/>
  <c r="AD84" i="32" s="1"/>
  <c r="AD71" i="32" a="1"/>
  <c r="AD71" i="32" s="1"/>
  <c r="AD65" i="32" a="1"/>
  <c r="AD65" i="32" s="1"/>
  <c r="AD70" i="32" a="1"/>
  <c r="AD70" i="32" s="1"/>
  <c r="AD245" i="32"/>
  <c r="AD238" i="32"/>
  <c r="AD266" i="32"/>
  <c r="AD265" i="32"/>
  <c r="AC111" i="32"/>
  <c r="AC99" i="32"/>
  <c r="AC106" i="32"/>
  <c r="AC107" i="32"/>
  <c r="AB112" i="32"/>
  <c r="AC98" i="32"/>
  <c r="AC101" i="32"/>
  <c r="AC105" i="32"/>
  <c r="AC103" i="32"/>
  <c r="AC102" i="32"/>
  <c r="AC108" i="32"/>
  <c r="AC104" i="32"/>
  <c r="AC110" i="32"/>
  <c r="AC109" i="32"/>
  <c r="AC100" i="32"/>
  <c r="AB27" i="32"/>
  <c r="AA33" i="32"/>
  <c r="AA34" i="32" s="1"/>
  <c r="AB30" i="32"/>
  <c r="AB43" i="32"/>
  <c r="AB28" i="32"/>
  <c r="AC29" i="32"/>
  <c r="AB164" i="32"/>
  <c r="AB139" i="32"/>
  <c r="AC137" i="32"/>
  <c r="AC123" i="32"/>
  <c r="AC75" i="32"/>
  <c r="AC138" i="32"/>
  <c r="AC136" i="32"/>
  <c r="AC131" i="32"/>
  <c r="AC135" i="32"/>
  <c r="AC94" i="32"/>
  <c r="AD26" i="32" l="1"/>
  <c r="AF26" i="32" s="1"/>
  <c r="AD22" i="32"/>
  <c r="AF22" i="32" s="1"/>
  <c r="AD24" i="32"/>
  <c r="AF24" i="32" s="1"/>
  <c r="AD25" i="32"/>
  <c r="AF25" i="32" s="1"/>
  <c r="AD23" i="32"/>
  <c r="AF23" i="32" s="1"/>
  <c r="AC236" i="32"/>
  <c r="AC237" i="32" s="1"/>
  <c r="AD235" i="32" a="1"/>
  <c r="AD235" i="32" s="1"/>
  <c r="AD234" i="32" a="1"/>
  <c r="AD234" i="32" s="1"/>
  <c r="AB53" i="32"/>
  <c r="AD299" i="32"/>
  <c r="AD313" i="32" s="1"/>
  <c r="AD303" i="32"/>
  <c r="AD278" i="32"/>
  <c r="AD283" i="32" s="1"/>
  <c r="AD264" i="32"/>
  <c r="AD598" i="32"/>
  <c r="AD534" i="32"/>
  <c r="AD630" i="32"/>
  <c r="AC383" i="32"/>
  <c r="AC51" i="32" s="1"/>
  <c r="AC32" i="32" s="1"/>
  <c r="AD102" i="32"/>
  <c r="AD271" i="32"/>
  <c r="AD108" i="32"/>
  <c r="AD109" i="32"/>
  <c r="AD110" i="32"/>
  <c r="AD104" i="32"/>
  <c r="AD98" i="32"/>
  <c r="AD105" i="32"/>
  <c r="AD103" i="32"/>
  <c r="AD99" i="32"/>
  <c r="AD107" i="32"/>
  <c r="AD100" i="32"/>
  <c r="AD101" i="32"/>
  <c r="AD106" i="32"/>
  <c r="AC112" i="32"/>
  <c r="AD111" i="32"/>
  <c r="AB33" i="32"/>
  <c r="AB34" i="32" s="1"/>
  <c r="AC139" i="32"/>
  <c r="AC30" i="32"/>
  <c r="AC43" i="32"/>
  <c r="AD30" i="32"/>
  <c r="AD29" i="32"/>
  <c r="AF29" i="32" s="1"/>
  <c r="AC28" i="32"/>
  <c r="AC27" i="32"/>
  <c r="AC164" i="32"/>
  <c r="AD123" i="32"/>
  <c r="AD75" i="32"/>
  <c r="AD137" i="32"/>
  <c r="AD94" i="32"/>
  <c r="AD138" i="32"/>
  <c r="AD136" i="32"/>
  <c r="AD131" i="32"/>
  <c r="AD135" i="32"/>
  <c r="AF30" i="32" l="1"/>
  <c r="AD236" i="32"/>
  <c r="AD237" i="32" s="1"/>
  <c r="AC53" i="32"/>
  <c r="AD383" i="32"/>
  <c r="AD27" i="32"/>
  <c r="AF27" i="32" s="1"/>
  <c r="AD112" i="32"/>
  <c r="AD28" i="32"/>
  <c r="AF28" i="32" s="1"/>
  <c r="AC33" i="32"/>
  <c r="AC34" i="32" s="1"/>
  <c r="AD43" i="32"/>
  <c r="AF43" i="32" s="1"/>
  <c r="AD139" i="32"/>
  <c r="AD164" i="32"/>
  <c r="AD51" i="32" l="1"/>
  <c r="AF383" i="32"/>
  <c r="AD53" i="32"/>
  <c r="AF53" i="32" s="1"/>
  <c r="AD32" i="32" l="1"/>
  <c r="AF51" i="32"/>
  <c r="AF32" i="32" l="1"/>
  <c r="AD33" i="32"/>
  <c r="AD34" i="32" l="1"/>
  <c r="AF34" i="32" s="1"/>
  <c r="AF33" i="3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<sst xmlns="http://schemas.openxmlformats.org/spreadsheetml/2006/main" count="7832" uniqueCount="933">
  <si>
    <t>RESOLVE Results Viewer</t>
  </si>
  <si>
    <t>Result Type</t>
  </si>
  <si>
    <t>Group Name</t>
  </si>
  <si>
    <t>Results Types</t>
  </si>
  <si>
    <t>Cost</t>
  </si>
  <si>
    <t>Fuel Burn</t>
  </si>
  <si>
    <t>AnnualEnergyStandard</t>
  </si>
  <si>
    <t>AnnualEmissionsTarget</t>
  </si>
  <si>
    <t>PlanningReserveMargin</t>
  </si>
  <si>
    <t>Lists</t>
  </si>
  <si>
    <t>Arizona_Li_Battery</t>
  </si>
  <si>
    <t>Arizona_Solar</t>
  </si>
  <si>
    <t>Arizona_Wind</t>
  </si>
  <si>
    <t>Baja_California_Wind</t>
  </si>
  <si>
    <t>BANC_CCGT</t>
  </si>
  <si>
    <t>BANC_Peaker</t>
  </si>
  <si>
    <t>CAISO_Advanced_CCGT</t>
  </si>
  <si>
    <t>CAISO_Aero_CT</t>
  </si>
  <si>
    <t>CAISO_Baseline_Li_Battery</t>
  </si>
  <si>
    <t>CAISO_Biomass_for_CAISO</t>
  </si>
  <si>
    <t>CAISO_Biomass_for_Other</t>
  </si>
  <si>
    <t>CAISO_BTM_Li_Battery</t>
  </si>
  <si>
    <t>CAISO_CCGT1</t>
  </si>
  <si>
    <t>CAISO_CCGT2</t>
  </si>
  <si>
    <t>CAISO_CHP</t>
  </si>
  <si>
    <t>CAISO_Coal</t>
  </si>
  <si>
    <t>CAISO_Existing_Pumped_Storage</t>
  </si>
  <si>
    <t>CAISO_Geothermal_for_CAISO</t>
  </si>
  <si>
    <t>CAISO_Geothermal_for_Other</t>
  </si>
  <si>
    <t>CAISO_Hydro</t>
  </si>
  <si>
    <t>CAISO_New_BTM_Li_Battery</t>
  </si>
  <si>
    <t>CAISO_New_Flow_Battery</t>
  </si>
  <si>
    <t>CAISO_Nuclear</t>
  </si>
  <si>
    <t>CAISO_Peaker1</t>
  </si>
  <si>
    <t>CAISO_Peaker2</t>
  </si>
  <si>
    <t>CAISO_Reciprocating_Engine</t>
  </si>
  <si>
    <t>CAISO_Shed_DR_Existing</t>
  </si>
  <si>
    <t>CAISO_Shed_DR_Tranche1</t>
  </si>
  <si>
    <t>CAISO_Shed_DR_Tranche2</t>
  </si>
  <si>
    <t>CAISO_Shed_DR_Tranche3</t>
  </si>
  <si>
    <t>CAISO_Shed_DR_Tranche4</t>
  </si>
  <si>
    <t>CAISO_Shed_DR_Tranche5</t>
  </si>
  <si>
    <t>CAISO_Shed_DR_Tranche6</t>
  </si>
  <si>
    <t>CAISO_Shed_DR_Tranche7</t>
  </si>
  <si>
    <t>CAISO_Shed_DR_Tranche8</t>
  </si>
  <si>
    <t>CAISO_Small_Hydro_for_CAISO</t>
  </si>
  <si>
    <t>CAISO_Small_Hydro_for_Other</t>
  </si>
  <si>
    <t>CAISO_Solar_for_CAISO</t>
  </si>
  <si>
    <t>CAISO_Solar_for_Other</t>
  </si>
  <si>
    <t>CAISO_ST</t>
  </si>
  <si>
    <t>CAISO_Wind_for_CAISO</t>
  </si>
  <si>
    <t>CAISO_Wind_for_Other</t>
  </si>
  <si>
    <t>Carrizo_Wind</t>
  </si>
  <si>
    <t>Central_Valley_North_Los_Banos_Wind</t>
  </si>
  <si>
    <t>Customer_PV</t>
  </si>
  <si>
    <t>Distributed_Solar</t>
  </si>
  <si>
    <t>Greater_Imperial_Geothermal</t>
  </si>
  <si>
    <t>Greater_Kramer_Li_Battery</t>
  </si>
  <si>
    <t>Greater_Kramer_Solar</t>
  </si>
  <si>
    <t>Greater_LA_Li_Battery</t>
  </si>
  <si>
    <t>Greater_LA_Solar</t>
  </si>
  <si>
    <t>Humboldt_Bay_Offshore_Wind</t>
  </si>
  <si>
    <t>Humboldt_Wind</t>
  </si>
  <si>
    <t>Idaho_Wind</t>
  </si>
  <si>
    <t>IID_CCGT</t>
  </si>
  <si>
    <t>IID_Peaker</t>
  </si>
  <si>
    <t>Imperial_Li_Battery</t>
  </si>
  <si>
    <t>Imperial_Solar</t>
  </si>
  <si>
    <t>InState_Biomass</t>
  </si>
  <si>
    <t>Inyokern_North_Kramer_Geothermal</t>
  </si>
  <si>
    <t>Kern_Greater_Carrizo_Wind</t>
  </si>
  <si>
    <t>LDWP_CCGT</t>
  </si>
  <si>
    <t>LDWP_Coal</t>
  </si>
  <si>
    <t>LDWP_Peaker</t>
  </si>
  <si>
    <t>LDWP_ST</t>
  </si>
  <si>
    <t>Morro_Bay_Offshore_Wind</t>
  </si>
  <si>
    <t>New_Mexico_Wind</t>
  </si>
  <si>
    <t>Northern_California_Geothermal</t>
  </si>
  <si>
    <t>Northern_California_Li_Battery</t>
  </si>
  <si>
    <t>Northern_California_Solar</t>
  </si>
  <si>
    <t>Northern_California_Wind</t>
  </si>
  <si>
    <t>NW_CCGT</t>
  </si>
  <si>
    <t>NW_Coal</t>
  </si>
  <si>
    <t>NW_Ext_Tx_Wind</t>
  </si>
  <si>
    <t>NW_Hydro</t>
  </si>
  <si>
    <t>NW_Hydro_for_CAISO</t>
  </si>
  <si>
    <t>NW_Peaker</t>
  </si>
  <si>
    <t>Pacific_Northwest_Geothermal</t>
  </si>
  <si>
    <t>Pacific_Northwest_Wind</t>
  </si>
  <si>
    <t>Riverside_East_Pumped_Storage</t>
  </si>
  <si>
    <t>Riverside_Li_Battery</t>
  </si>
  <si>
    <t>Riverside_Palm_Springs_Geothermal</t>
  </si>
  <si>
    <t>Riverside_Palm_Springs_Wind</t>
  </si>
  <si>
    <t>Riverside_Solar</t>
  </si>
  <si>
    <t>Riverside_West_Pumped_Storage</t>
  </si>
  <si>
    <t>San_Diego_Li_Battery</t>
  </si>
  <si>
    <t>San_Diego_Pumped_Storage</t>
  </si>
  <si>
    <t>Solano_Geothermal</t>
  </si>
  <si>
    <t>Solano_Wind</t>
  </si>
  <si>
    <t>Southern_Nevada_Geothermal</t>
  </si>
  <si>
    <t>Southern_Nevada_Wind</t>
  </si>
  <si>
    <t>Southern_NV_Eldorado_Li_Battery</t>
  </si>
  <si>
    <t>Southern_NV_Eldorado_Solar</t>
  </si>
  <si>
    <t>Southern_PGAE_Li_Battery</t>
  </si>
  <si>
    <t>Southern_PGAE_Solar</t>
  </si>
  <si>
    <t>SW_CCGT</t>
  </si>
  <si>
    <t>SW_Coal</t>
  </si>
  <si>
    <t>SW_Ext_Tx_Wind</t>
  </si>
  <si>
    <t>SW_Peaker</t>
  </si>
  <si>
    <t>SW_ST</t>
  </si>
  <si>
    <t>Tehachapi_Li_Battery</t>
  </si>
  <si>
    <t>Tehachapi_Pumped_Storage</t>
  </si>
  <si>
    <t>Tehachapi_Solar</t>
  </si>
  <si>
    <t>Tehachapi_Wind</t>
  </si>
  <si>
    <t>Utah_Wind</t>
  </si>
  <si>
    <t>Wyoming_Wind</t>
  </si>
  <si>
    <t>Component</t>
  </si>
  <si>
    <t>Deliverability</t>
  </si>
  <si>
    <t>Solar</t>
  </si>
  <si>
    <t>Wind</t>
  </si>
  <si>
    <t>Biomass</t>
  </si>
  <si>
    <t>Geothermal</t>
  </si>
  <si>
    <t>Hydro</t>
  </si>
  <si>
    <t>Shed DR</t>
  </si>
  <si>
    <t>BTM Li Battery</t>
  </si>
  <si>
    <t>Flow Battery</t>
  </si>
  <si>
    <t>Customer PV</t>
  </si>
  <si>
    <t>Offshore Wind</t>
  </si>
  <si>
    <t>CAISO</t>
  </si>
  <si>
    <t>CAISO_NW_Hydro</t>
  </si>
  <si>
    <t>System Costs</t>
  </si>
  <si>
    <t>Build &amp; Dispatch</t>
  </si>
  <si>
    <t>Baseline Thermal</t>
  </si>
  <si>
    <t>New Thermal</t>
  </si>
  <si>
    <t>Total Revenue Requirement</t>
  </si>
  <si>
    <t>Total Resource Cost</t>
  </si>
  <si>
    <t>New CAISO Transmission Upgrades</t>
  </si>
  <si>
    <t>System Build</t>
  </si>
  <si>
    <t>Imports &amp; Exports</t>
  </si>
  <si>
    <t>Total</t>
  </si>
  <si>
    <t>BANC</t>
  </si>
  <si>
    <t>IID</t>
  </si>
  <si>
    <t>LDWP</t>
  </si>
  <si>
    <t>NW</t>
  </si>
  <si>
    <t>SW</t>
  </si>
  <si>
    <t>Coal</t>
  </si>
  <si>
    <t>System Dispatch</t>
  </si>
  <si>
    <t>Gross Load</t>
  </si>
  <si>
    <t>Nuclear</t>
  </si>
  <si>
    <t>CHP</t>
  </si>
  <si>
    <t>Fossil Gas</t>
  </si>
  <si>
    <t>Battery Storage</t>
  </si>
  <si>
    <t>Pumped Storage</t>
  </si>
  <si>
    <t>Curtailment</t>
  </si>
  <si>
    <r>
      <t>Annual Energy</t>
    </r>
    <r>
      <rPr>
        <sz val="10"/>
        <color theme="0"/>
        <rFont val="Arial"/>
        <family val="2"/>
      </rPr>
      <t xml:space="preserve"> (TWh)</t>
    </r>
  </si>
  <si>
    <r>
      <t>Total Nameplate Capacity</t>
    </r>
    <r>
      <rPr>
        <sz val="10"/>
        <color theme="0"/>
        <rFont val="Arial"/>
        <family val="2"/>
      </rPr>
      <t xml:space="preserve"> (GW)</t>
    </r>
  </si>
  <si>
    <t>Storage Build</t>
  </si>
  <si>
    <t xml:space="preserve">Li Battery </t>
  </si>
  <si>
    <r>
      <t xml:space="preserve">Selected Storage Duration </t>
    </r>
    <r>
      <rPr>
        <sz val="10"/>
        <color theme="0"/>
        <rFont val="Arial"/>
        <family val="2"/>
      </rPr>
      <t>(hr)</t>
    </r>
  </si>
  <si>
    <t>Storage Build Detail</t>
  </si>
  <si>
    <t>Weighted Average Duration</t>
  </si>
  <si>
    <t>Gross Imports</t>
  </si>
  <si>
    <t>Gross Exports</t>
  </si>
  <si>
    <t>Total Gen &amp; Imports</t>
  </si>
  <si>
    <r>
      <t>Selected Storage Power</t>
    </r>
    <r>
      <rPr>
        <sz val="10"/>
        <color theme="0"/>
        <rFont val="Arial"/>
        <family val="2"/>
      </rPr>
      <t xml:space="preserve"> (GW)</t>
    </r>
  </si>
  <si>
    <r>
      <t>Selected Storage Energy</t>
    </r>
    <r>
      <rPr>
        <sz val="10"/>
        <color theme="0"/>
        <rFont val="Arial"/>
        <family val="2"/>
      </rPr>
      <t xml:space="preserve"> (GWh)</t>
    </r>
  </si>
  <si>
    <r>
      <t xml:space="preserve">Total Costs </t>
    </r>
    <r>
      <rPr>
        <sz val="10"/>
        <color theme="0"/>
        <rFont val="Arial"/>
        <family val="2"/>
      </rPr>
      <t>($ million)</t>
    </r>
  </si>
  <si>
    <t>Storage</t>
  </si>
  <si>
    <t>Renewables</t>
  </si>
  <si>
    <r>
      <t xml:space="preserve">Modeled Variable Operating &amp; Fuel Costs </t>
    </r>
    <r>
      <rPr>
        <sz val="10"/>
        <color theme="0"/>
        <rFont val="Arial"/>
        <family val="2"/>
      </rPr>
      <t>($ million)</t>
    </r>
  </si>
  <si>
    <t>Gas Capacity Not Retained</t>
  </si>
  <si>
    <t>Unspecified Imports</t>
  </si>
  <si>
    <t>Regional Exports</t>
  </si>
  <si>
    <t>Results Grouping:</t>
  </si>
  <si>
    <r>
      <t>Baseline Nameplate Capacity</t>
    </r>
    <r>
      <rPr>
        <sz val="10"/>
        <color theme="0"/>
        <rFont val="Arial"/>
        <family val="2"/>
      </rPr>
      <t xml:space="preserve"> (GW)</t>
    </r>
  </si>
  <si>
    <t>Planning Reserve Margin &amp; ELCCs</t>
  </si>
  <si>
    <t>Firm (NQC)</t>
  </si>
  <si>
    <t>ELCC</t>
  </si>
  <si>
    <t>CCGT</t>
  </si>
  <si>
    <t>Peaker</t>
  </si>
  <si>
    <t>Steam Turbine</t>
  </si>
  <si>
    <t>Hydro (small + large)</t>
  </si>
  <si>
    <t>1-in-2 Peak Load</t>
  </si>
  <si>
    <t>Target PRM</t>
  </si>
  <si>
    <t>Achieved PRM</t>
  </si>
  <si>
    <t>Target PRM (%)</t>
  </si>
  <si>
    <t>PRM Adjustments (MW)</t>
  </si>
  <si>
    <t>Modeled Target PRM (MW)</t>
  </si>
  <si>
    <t>Solar Capacity Factor for Marginal ELCC (assumed Southern PG&amp;E Solar)</t>
  </si>
  <si>
    <t>Wind Capacity Factor for Marginal ELCC (assumes Tehapachi Wind)</t>
  </si>
  <si>
    <t>Marginal Solar ELCC</t>
  </si>
  <si>
    <t>Marginal Wind ELCC</t>
  </si>
  <si>
    <t>Marginal 4-hour Storage ELCC</t>
  </si>
  <si>
    <t>Marginal ELCC Metrics</t>
  </si>
  <si>
    <t>CAISO BTM CHP</t>
  </si>
  <si>
    <t>Unspecified Import Emissions</t>
  </si>
  <si>
    <t>CAISO Emissions</t>
  </si>
  <si>
    <t>Total GHG Abatement Cost</t>
  </si>
  <si>
    <r>
      <t xml:space="preserve">Total RESOLVE Footprint Emissions </t>
    </r>
    <r>
      <rPr>
        <sz val="10"/>
        <color theme="0"/>
        <rFont val="Arial"/>
        <family val="2"/>
      </rPr>
      <t>(Most of WECC)</t>
    </r>
  </si>
  <si>
    <t>RPS &amp; SB100 Target</t>
  </si>
  <si>
    <t>RPS Target</t>
  </si>
  <si>
    <t>Retail Sales</t>
  </si>
  <si>
    <t>Pumping Loads</t>
  </si>
  <si>
    <t>Retail Sales (grossed up for T&amp;D losses)</t>
  </si>
  <si>
    <t>RPS Bank Spent</t>
  </si>
  <si>
    <t>Non-Modeled RPS Renewables (AESO wind, mainly)</t>
  </si>
  <si>
    <t>Delivered RPS Renewables</t>
  </si>
  <si>
    <t>Scheduled Curtailment</t>
  </si>
  <si>
    <t>Non-Modeled</t>
  </si>
  <si>
    <t>Modeled</t>
  </si>
  <si>
    <t>CAISO Transmission Deliverability Upgrades</t>
  </si>
  <si>
    <t>Regional Transmission Paths</t>
  </si>
  <si>
    <t>Based on custom constraints</t>
  </si>
  <si>
    <t>Policy:</t>
  </si>
  <si>
    <t>Unserved Energy</t>
  </si>
  <si>
    <t>Overgeneration</t>
  </si>
  <si>
    <t>RPS-eligible generation by resource/policy</t>
  </si>
  <si>
    <t>report loads by zone, with T&amp;D loss adjustment factors</t>
  </si>
  <si>
    <t>Ignoring RPS-eligible fuels for now</t>
  </si>
  <si>
    <t>See I this aligns with RPS adjustment in inputs</t>
  </si>
  <si>
    <t>Achieved RPS</t>
  </si>
  <si>
    <t>Generation Costs</t>
  </si>
  <si>
    <t>Transmission Costs</t>
  </si>
  <si>
    <t>Distribution Costs</t>
  </si>
  <si>
    <t>Customer Costs</t>
  </si>
  <si>
    <t>Other Costs</t>
  </si>
  <si>
    <t>Interpreter_Win</t>
  </si>
  <si>
    <t>Interpreter_Mac</t>
  </si>
  <si>
    <t>PYTHONPATH</t>
  </si>
  <si>
    <t>Conda Path</t>
  </si>
  <si>
    <t>Conda Env</t>
  </si>
  <si>
    <t>new-modeling-toolkit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</si>
  <si>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</si>
  <si>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</si>
  <si>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</si>
  <si>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</si>
  <si>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</si>
  <si>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</si>
  <si>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</si>
  <si>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</si>
  <si>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</si>
  <si>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Cases with Results</t>
  </si>
  <si>
    <t>New DR</t>
  </si>
  <si>
    <r>
      <t xml:space="preserve">Gross Imports </t>
    </r>
    <r>
      <rPr>
        <sz val="10"/>
        <color theme="0"/>
        <rFont val="Arial"/>
        <family val="2"/>
      </rPr>
      <t>(TWh)</t>
    </r>
  </si>
  <si>
    <r>
      <t xml:space="preserve">Gross Exports </t>
    </r>
    <r>
      <rPr>
        <sz val="10"/>
        <color theme="0"/>
        <rFont val="Arial"/>
        <family val="2"/>
      </rPr>
      <t>(TWh)</t>
    </r>
  </si>
  <si>
    <r>
      <t xml:space="preserve">Gross Import Energy Cost </t>
    </r>
    <r>
      <rPr>
        <sz val="10"/>
        <color theme="0"/>
        <rFont val="Arial"/>
        <family val="2"/>
      </rPr>
      <t>($ million)</t>
    </r>
  </si>
  <si>
    <r>
      <t xml:space="preserve">Unspecified Import Carbon Allowance Cost </t>
    </r>
    <r>
      <rPr>
        <sz val="10"/>
        <color theme="0"/>
        <rFont val="Arial"/>
        <family val="2"/>
      </rPr>
      <t>($ million)</t>
    </r>
  </si>
  <si>
    <t>CARB Floor Carbon Price ($/tonne)</t>
  </si>
  <si>
    <t xml:space="preserve">Unspecified Import Rate: </t>
  </si>
  <si>
    <r>
      <t xml:space="preserve">RPS Target </t>
    </r>
    <r>
      <rPr>
        <sz val="9"/>
        <color theme="1"/>
        <rFont val="Arial"/>
        <family val="2"/>
        <scheme val="minor"/>
      </rPr>
      <t>(TWh)</t>
    </r>
  </si>
  <si>
    <t>Zone</t>
  </si>
  <si>
    <t>BANC_to_CAISO</t>
  </si>
  <si>
    <t>IID_to_CAISO</t>
  </si>
  <si>
    <t>LDWP_to_CAISO</t>
  </si>
  <si>
    <t>NW_to_CAISO</t>
  </si>
  <si>
    <t>NW_to_CAISO_Unspecified</t>
  </si>
  <si>
    <t>SW_to_CAISO</t>
  </si>
  <si>
    <t>Colorado_River_500_230_group</t>
  </si>
  <si>
    <t>Contra_Costa_Delta_Switchyard_230_group</t>
  </si>
  <si>
    <t>Delevan_Cortina_230_group</t>
  </si>
  <si>
    <t>Devers_Red_Bluff_group</t>
  </si>
  <si>
    <t>East_of_Miguel_group</t>
  </si>
  <si>
    <t>Eldorado_500_230_group</t>
  </si>
  <si>
    <t>Encina_San_Luis_Rey_group</t>
  </si>
  <si>
    <t>Gates_500_230_Transformer_group</t>
  </si>
  <si>
    <t>Gates_Arco_Midway_230_group</t>
  </si>
  <si>
    <t>Gates_Panoche_230_group</t>
  </si>
  <si>
    <t>GLW_VEA_group</t>
  </si>
  <si>
    <t>Greater_LA_group</t>
  </si>
  <si>
    <t>Humboldt_Trinity_115_group</t>
  </si>
  <si>
    <t>Imperial_Valley_group</t>
  </si>
  <si>
    <t>Internal_San_Diego_group</t>
  </si>
  <si>
    <t>Los_Banos_500_230_Transformer_group</t>
  </si>
  <si>
    <t>Los_Banos_Gates_500_OPDS_group</t>
  </si>
  <si>
    <t>Lugo_Transformer_group</t>
  </si>
  <si>
    <t>Mohave_Eldorado_500_group</t>
  </si>
  <si>
    <t>Morro_Bay_Templeton_230_group</t>
  </si>
  <si>
    <t>Moss_Landing_Los_Banos_230_OPDS_group</t>
  </si>
  <si>
    <t>San_Luis_Rey_San_Onofre_group</t>
  </si>
  <si>
    <t>Serrano_Alberhill_group</t>
  </si>
  <si>
    <t>Silvergate_Bay_Boulevard_group</t>
  </si>
  <si>
    <t>South_Kramer_Victor_group</t>
  </si>
  <si>
    <t>South_Kramer_Victor_Lugo_group</t>
  </si>
  <si>
    <t>Tehachapi_Antelope_group</t>
  </si>
  <si>
    <t>Tesla_Westley_230_group</t>
  </si>
  <si>
    <t>GHG</t>
  </si>
  <si>
    <t>Rest of WECC Emissions</t>
  </si>
  <si>
    <t>RPS</t>
  </si>
  <si>
    <t>System RA</t>
  </si>
  <si>
    <r>
      <t>Zonal Unserved Energy or Overgeneration</t>
    </r>
    <r>
      <rPr>
        <sz val="10"/>
        <color theme="0"/>
        <rFont val="Arial"/>
        <family val="2"/>
      </rPr>
      <t xml:space="preserve"> (TWh)</t>
    </r>
  </si>
  <si>
    <r>
      <t xml:space="preserve">Selected CAISO Transmission Upgrades </t>
    </r>
    <r>
      <rPr>
        <sz val="10"/>
        <color theme="0"/>
        <rFont val="Arial"/>
        <family val="2"/>
      </rPr>
      <t>(MW)</t>
    </r>
  </si>
  <si>
    <r>
      <t xml:space="preserve">Total GHG Abatement Cost </t>
    </r>
    <r>
      <rPr>
        <sz val="9"/>
        <color theme="1"/>
        <rFont val="Arial"/>
        <family val="2"/>
        <scheme val="minor"/>
      </rPr>
      <t>($/tonne)</t>
    </r>
  </si>
  <si>
    <r>
      <t xml:space="preserve">Emissions Constraint Dual </t>
    </r>
    <r>
      <rPr>
        <sz val="9"/>
        <color theme="1"/>
        <rFont val="Arial"/>
        <family val="2"/>
        <scheme val="minor"/>
      </rPr>
      <t>($/tonne)</t>
    </r>
  </si>
  <si>
    <r>
      <t xml:space="preserve">PRM Constraint Dual </t>
    </r>
    <r>
      <rPr>
        <sz val="9"/>
        <color theme="1"/>
        <rFont val="Arial"/>
        <family val="2"/>
        <scheme val="minor"/>
      </rPr>
      <t>($/kW-year)</t>
    </r>
  </si>
  <si>
    <r>
      <t xml:space="preserve">RPS Constraint Dual </t>
    </r>
    <r>
      <rPr>
        <sz val="9"/>
        <color theme="1"/>
        <rFont val="Arial"/>
        <family val="2"/>
        <scheme val="minor"/>
      </rPr>
      <t>($/MWh)</t>
    </r>
  </si>
  <si>
    <r>
      <t xml:space="preserve">Achieved RPS </t>
    </r>
    <r>
      <rPr>
        <sz val="9"/>
        <color theme="1"/>
        <rFont val="Arial"/>
        <family val="2"/>
        <scheme val="minor"/>
      </rPr>
      <t>(GWh)</t>
    </r>
  </si>
  <si>
    <r>
      <t xml:space="preserve">Emissions Target </t>
    </r>
    <r>
      <rPr>
        <sz val="9"/>
        <color theme="1"/>
        <rFont val="Arial"/>
        <family val="2"/>
        <scheme val="minor"/>
      </rPr>
      <t>(tonnes)</t>
    </r>
  </si>
  <si>
    <r>
      <t xml:space="preserve">Achieved PRM </t>
    </r>
    <r>
      <rPr>
        <sz val="9"/>
        <color theme="1"/>
        <rFont val="Arial"/>
        <family val="2"/>
        <scheme val="minor"/>
      </rPr>
      <t>(MW)</t>
    </r>
  </si>
  <si>
    <r>
      <t xml:space="preserve">Total (UCAP) Capacity </t>
    </r>
    <r>
      <rPr>
        <sz val="9"/>
        <color theme="1"/>
        <rFont val="Arial"/>
        <family val="2"/>
        <scheme val="minor"/>
      </rPr>
      <t>(MW)</t>
    </r>
  </si>
  <si>
    <r>
      <t xml:space="preserve">Total Fuel Burn </t>
    </r>
    <r>
      <rPr>
        <sz val="10"/>
        <color theme="0"/>
        <rFont val="Arial"/>
        <family val="2"/>
      </rPr>
      <t>(TBtu/year)</t>
    </r>
  </si>
  <si>
    <r>
      <t xml:space="preserve">Average Emissions Factors </t>
    </r>
    <r>
      <rPr>
        <sz val="10"/>
        <color theme="0"/>
        <rFont val="Arial"/>
        <family val="2"/>
      </rPr>
      <t>(tonnes/MWh)</t>
    </r>
  </si>
  <si>
    <r>
      <t xml:space="preserve">Emissions by Resource </t>
    </r>
    <r>
      <rPr>
        <sz val="10"/>
        <color theme="0"/>
        <rFont val="Arial"/>
        <family val="2"/>
      </rPr>
      <t>(tonnes)</t>
    </r>
  </si>
  <si>
    <r>
      <t>Selected &amp; Retired Nameplate Capacity</t>
    </r>
    <r>
      <rPr>
        <sz val="10"/>
        <color theme="0"/>
        <rFont val="Arial"/>
        <family val="2"/>
      </rPr>
      <t xml:space="preserve"> (GW)</t>
    </r>
  </si>
  <si>
    <r>
      <t xml:space="preserve">CAISO Transmission Upgrade Costs </t>
    </r>
    <r>
      <rPr>
        <sz val="10"/>
        <color theme="0"/>
        <rFont val="Arial"/>
        <family val="2"/>
      </rPr>
      <t>($ million)</t>
    </r>
  </si>
  <si>
    <t>Distributed_Wind</t>
  </si>
  <si>
    <t>Cape_Mendocino_Offshore_Wind</t>
  </si>
  <si>
    <t>Del_Norte_Offshore_Wind</t>
  </si>
  <si>
    <t>Diablo_Canyon_Offshore_Wind</t>
  </si>
  <si>
    <t xml:space="preserve">CAISO Renewable Build by Location </t>
  </si>
  <si>
    <r>
      <t xml:space="preserve">Nameplate Capacity </t>
    </r>
    <r>
      <rPr>
        <sz val="10"/>
        <color theme="0"/>
        <rFont val="Arial"/>
        <family val="2"/>
      </rPr>
      <t>(MW)</t>
    </r>
  </si>
  <si>
    <t>Fossil Resource Detail</t>
  </si>
  <si>
    <t>On-Peak Deliverability Constraints</t>
  </si>
  <si>
    <r>
      <t xml:space="preserve">Total Effective (Existing + Upgrades) Transmission Capacity </t>
    </r>
    <r>
      <rPr>
        <sz val="10"/>
        <color theme="0"/>
        <rFont val="Arial"/>
        <family val="2"/>
      </rPr>
      <t>(MW)</t>
    </r>
  </si>
  <si>
    <r>
      <t xml:space="preserve">Existing Effective Transmission Capacity </t>
    </r>
    <r>
      <rPr>
        <sz val="10"/>
        <color theme="0"/>
        <rFont val="Arial"/>
        <family val="2"/>
      </rPr>
      <t>(MW)</t>
    </r>
  </si>
  <si>
    <r>
      <t xml:space="preserve">Upgraded Effective Transmission Capacity </t>
    </r>
    <r>
      <rPr>
        <sz val="10"/>
        <color theme="0"/>
        <rFont val="Arial"/>
        <family val="2"/>
      </rPr>
      <t>(MW)</t>
    </r>
  </si>
  <si>
    <t>_deliverable_peak_highest</t>
  </si>
  <si>
    <t>Custom Constraint Group</t>
  </si>
  <si>
    <t>Custom Constraint</t>
  </si>
  <si>
    <t>Model Formulation Variable</t>
  </si>
  <si>
    <t>Index 1</t>
  </si>
  <si>
    <t>Index 2</t>
  </si>
  <si>
    <t>caiso-deliverability</t>
  </si>
  <si>
    <t>Colorado_River_500_230_deliverable_peak_highest</t>
  </si>
  <si>
    <t>Operational_Capacity_In_Model_Year</t>
  </si>
  <si>
    <t>Colorado_River_500_230_deliverable_peak_secondary</t>
  </si>
  <si>
    <t>Colorado_River_500_230_offpeak</t>
  </si>
  <si>
    <t>Contra_Costa_Delta_Switchyard_230_deliverable_peak_highest</t>
  </si>
  <si>
    <t>Contra_Costa_Delta_Switchyard_230_deliverable_peak_secondary</t>
  </si>
  <si>
    <t>Contra_Costa_Delta_Switchyard_230_offpeak</t>
  </si>
  <si>
    <t>Delevan_Cortina_230_deliverable_peak_highest</t>
  </si>
  <si>
    <t>Delevan_Cortina_230_deliverable_peak_secondary</t>
  </si>
  <si>
    <t>Delevan_Cortina_230_offpeak</t>
  </si>
  <si>
    <t>Devers_Red_Bluff_deliverable_peak_highest</t>
  </si>
  <si>
    <t>Devers_Red_Bluff_deliverable_peak_secondary</t>
  </si>
  <si>
    <t>Devers_Red_Bluff_offpeak</t>
  </si>
  <si>
    <t>East_of_Miguel_deliverable_peak_highest</t>
  </si>
  <si>
    <t>East_of_Miguel_deliverable_peak_secondary</t>
  </si>
  <si>
    <t>East_of_Miguel_offpeak</t>
  </si>
  <si>
    <t>Eldorado_500_230_deliverable_peak_highest</t>
  </si>
  <si>
    <t>Eldorado_500_230_deliverable_peak_secondary</t>
  </si>
  <si>
    <t>Eldorado_500_230_offpeak</t>
  </si>
  <si>
    <t>Encina_San_Luis_Rey_deliverable_peak_highest</t>
  </si>
  <si>
    <t>Encina_San_Luis_Rey_deliverable_peak_secondary</t>
  </si>
  <si>
    <t>Encina_San_Luis_Rey_offpeak</t>
  </si>
  <si>
    <t>Gates_500_230_Transformer_deliverable_peak_highest</t>
  </si>
  <si>
    <t>Gates_500_230_Transformer_deliverable_peak_secondary</t>
  </si>
  <si>
    <t>Gates_500_230_Transformer_offpeak</t>
  </si>
  <si>
    <t>Gates_Arco_Midway_230_deliverable_peak_highest</t>
  </si>
  <si>
    <t>Gates_Arco_Midway_230_deliverable_peak_secondary</t>
  </si>
  <si>
    <t>Gates_Arco_Midway_230_offpeak</t>
  </si>
  <si>
    <t>Gates_Panoche_230_deliverable_peak_highest</t>
  </si>
  <si>
    <t>Gates_Panoche_230_deliverable_peak_secondary</t>
  </si>
  <si>
    <t>Gates_Panoche_230_offpeak</t>
  </si>
  <si>
    <t>GLW_VEA_deliverable_peak_highest</t>
  </si>
  <si>
    <t>GLW_VEA_deliverable_peak_secondary</t>
  </si>
  <si>
    <t>GLW_VEA_offpeak</t>
  </si>
  <si>
    <t>Greater_LA_deliverable_peak_highest</t>
  </si>
  <si>
    <t>Greater_LA_deliverable_peak_secondary</t>
  </si>
  <si>
    <t>Greater_LA_offpeak</t>
  </si>
  <si>
    <t>Humboldt_Trinity_115_deliverable_peak_highest</t>
  </si>
  <si>
    <t>Humboldt_Trinity_115_deliverable_peak_secondary</t>
  </si>
  <si>
    <t>Humboldt_Trinity_115_offpeak</t>
  </si>
  <si>
    <t>Imperial_Valley_deliverable_peak_highest</t>
  </si>
  <si>
    <t>Imperial_Valley_deliverable_peak_secondary</t>
  </si>
  <si>
    <t>Imperial_Valley_offpeak</t>
  </si>
  <si>
    <t>Internal_San_Diego_deliverable_peak_highest</t>
  </si>
  <si>
    <t>Internal_San_Diego_deliverable_peak_secondary</t>
  </si>
  <si>
    <t>Internal_San_Diego_offpeak</t>
  </si>
  <si>
    <t>Los_Banos_500_230_Transformer_deliverable_peak_highest</t>
  </si>
  <si>
    <t>Los_Banos_500_230_Transformer_deliverable_peak_secondary</t>
  </si>
  <si>
    <t>Los_Banos_500_230_Transformer_offpeak</t>
  </si>
  <si>
    <t>Los_Banos_Gates_500_OPDS_deliverable_peak_highest</t>
  </si>
  <si>
    <t>Los_Banos_Gates_500_OPDS_deliverable_peak_secondary</t>
  </si>
  <si>
    <t>Los_Banos_Gates_500_OPDS_offpeak</t>
  </si>
  <si>
    <t>Lugo_Transformer_deliverable_peak_highest</t>
  </si>
  <si>
    <t>Lugo_Transformer_deliverable_peak_secondary</t>
  </si>
  <si>
    <t>Lugo_Transformer_offpeak</t>
  </si>
  <si>
    <t>Mohave_Eldorado_500_deliverable_peak_highest</t>
  </si>
  <si>
    <t>Mohave_Eldorado_500_deliverable_peak_secondary</t>
  </si>
  <si>
    <t>Mohave_Eldorado_500_offpeak</t>
  </si>
  <si>
    <t>Morro_Bay_Templeton_230_deliverable_peak_highest</t>
  </si>
  <si>
    <t>Morro_Bay_Templeton_230_deliverable_peak_secondary</t>
  </si>
  <si>
    <t>Morro_Bay_Templeton_230_offpeak</t>
  </si>
  <si>
    <t>Moss_Landing_Los_Banos_230_OPDS_deliverable_peak_highest</t>
  </si>
  <si>
    <t>Moss_Landing_Los_Banos_230_OPDS_deliverable_peak_secondary</t>
  </si>
  <si>
    <t>Moss_Landing_Los_Banos_230_OPDS_offpeak</t>
  </si>
  <si>
    <t>San_Luis_Rey_San_Onofre_deliverable_peak_highest</t>
  </si>
  <si>
    <t>San_Luis_Rey_San_Onofre_deliverable_peak_secondary</t>
  </si>
  <si>
    <t>San_Luis_Rey_San_Onofre_offpeak</t>
  </si>
  <si>
    <t>Serrano_Alberhill_deliverable_peak_highest</t>
  </si>
  <si>
    <t>Serrano_Alberhill_deliverable_peak_secondary</t>
  </si>
  <si>
    <t>Serrano_Alberhill_offpeak</t>
  </si>
  <si>
    <t>Silvergate_Bay_Boulevard_deliverable_peak_highest</t>
  </si>
  <si>
    <t>Silvergate_Bay_Boulevard_deliverable_peak_secondary</t>
  </si>
  <si>
    <t>Silvergate_Bay_Boulevard_offpeak</t>
  </si>
  <si>
    <t>South_Kramer_Victor_deliverable_peak_highest</t>
  </si>
  <si>
    <t>South_Kramer_Victor_deliverable_peak_secondary</t>
  </si>
  <si>
    <t>South_Kramer_Victor_Lugo_deliverable_peak_highest</t>
  </si>
  <si>
    <t>South_Kramer_Victor_Lugo_deliverable_peak_secondary</t>
  </si>
  <si>
    <t>South_Kramer_Victor_Lugo_offpeak</t>
  </si>
  <si>
    <t>South_Kramer_Victor_offpeak</t>
  </si>
  <si>
    <t>Tehachapi_Antelope_deliverable_peak_highest</t>
  </si>
  <si>
    <t>Tehachapi_Antelope_deliverable_peak_secondary</t>
  </si>
  <si>
    <t>Tehachapi_Antelope_offpeak</t>
  </si>
  <si>
    <t>Tesla_Westley_230_deliverable_peak_highest</t>
  </si>
  <si>
    <t>Tesla_Westley_230_deliverable_peak_secondary</t>
  </si>
  <si>
    <t>Tesla_Westley_230_offpeak</t>
  </si>
  <si>
    <t>Secondary Deliverability Constraints</t>
  </si>
  <si>
    <t>_deliverable_peak_secondary</t>
  </si>
  <si>
    <t>Off-Peak Deliverability Constraints</t>
  </si>
  <si>
    <t>_offpeak</t>
  </si>
  <si>
    <r>
      <t xml:space="preserve">Effective Transmission Capacity Utilized </t>
    </r>
    <r>
      <rPr>
        <sz val="10"/>
        <color theme="0"/>
        <rFont val="Arial"/>
        <family val="2"/>
      </rPr>
      <t>(MW)</t>
    </r>
  </si>
  <si>
    <t>New Assets (New CAISO Tx Upgrades)</t>
  </si>
  <si>
    <r>
      <t xml:space="preserve">Gross Export Energy Revenue </t>
    </r>
    <r>
      <rPr>
        <sz val="10"/>
        <color theme="0"/>
        <rFont val="Arial"/>
        <family val="2"/>
      </rPr>
      <t>($ million)</t>
    </r>
  </si>
  <si>
    <t>38MMT-PSP-benchmarking-updated-constraints/2022-05-31 19-58-47</t>
  </si>
  <si>
    <t>Pivoted</t>
  </si>
  <si>
    <t>Components</t>
  </si>
  <si>
    <t>Generator Emissions</t>
  </si>
  <si>
    <t>WECC Emissions</t>
  </si>
  <si>
    <r>
      <t xml:space="preserve">Total Generation from Thermal Resources </t>
    </r>
    <r>
      <rPr>
        <sz val="10"/>
        <color theme="0"/>
        <rFont val="Arial"/>
        <family val="2"/>
      </rPr>
      <t>(TWh/year)</t>
    </r>
  </si>
  <si>
    <r>
      <t>Average Heat Rate</t>
    </r>
    <r>
      <rPr>
        <sz val="10"/>
        <color theme="0"/>
        <rFont val="Arial"/>
        <family val="2"/>
      </rPr>
      <t xml:space="preserve"> (MMBtu/MWh)</t>
    </r>
  </si>
  <si>
    <t>Custom Reporting?</t>
  </si>
  <si>
    <t>Yes</t>
  </si>
  <si>
    <t>Solar-Wind Surface</t>
  </si>
  <si>
    <t>Storage Curve</t>
  </si>
  <si>
    <t>Component ↔ Results Group Mappings</t>
  </si>
  <si>
    <t>Zones to Aggregate</t>
  </si>
  <si>
    <t>Results Reporting Groups</t>
  </si>
  <si>
    <t>Reporting Controls</t>
  </si>
  <si>
    <r>
      <t xml:space="preserve">CAISO Transmission Upgrades </t>
    </r>
    <r>
      <rPr>
        <sz val="10"/>
        <color theme="0"/>
        <rFont val="Arial"/>
        <family val="2"/>
      </rPr>
      <t>(% of Upgrade Potential)</t>
    </r>
  </si>
  <si>
    <t>Modeled Capital &amp; Fixed Costs ($ million)</t>
  </si>
  <si>
    <t>Created by</t>
  </si>
  <si>
    <t>Cell Style Legend</t>
  </si>
  <si>
    <t>Cells in this Scenario Tool are color-coded to indicate intent:</t>
  </si>
  <si>
    <t>User Inputs</t>
  </si>
  <si>
    <t>Dropdown User Inputs</t>
  </si>
  <si>
    <t>Calculations</t>
  </si>
  <si>
    <t>Table Headers</t>
  </si>
  <si>
    <t>Table Index</t>
  </si>
  <si>
    <t>Table Sub-Headers</t>
  </si>
  <si>
    <t>Instructions</t>
  </si>
  <si>
    <t>Instructions for this Scenario Tool can be found at:</t>
  </si>
  <si>
    <t>Excel Compatibility</t>
  </si>
  <si>
    <r>
      <t xml:space="preserve">The Scenario Tool should work for Excel 365 or Excel 2021, as it uses "dynamic array" formulas, such as </t>
    </r>
    <r>
      <rPr>
        <sz val="9"/>
        <color theme="1"/>
        <rFont val="Consolas"/>
        <family val="2"/>
      </rPr>
      <t>FILTER</t>
    </r>
    <r>
      <rPr>
        <sz val="9"/>
        <color theme="1"/>
        <rFont val="Arial"/>
        <family val="2"/>
      </rPr>
      <t xml:space="preserve"> and </t>
    </r>
    <r>
      <rPr>
        <sz val="9"/>
        <color theme="1"/>
        <rFont val="Consolas"/>
        <family val="2"/>
      </rPr>
      <t>UNIQUE</t>
    </r>
  </si>
  <si>
    <t>Calculations (different formulas)</t>
  </si>
  <si>
    <t>https://e3-.github.io/new-modeling-toolkit/resolve/results_viewing</t>
  </si>
  <si>
    <t>Results Dashboard</t>
  </si>
  <si>
    <t>Emissions Target</t>
  </si>
  <si>
    <t>Asset</t>
  </si>
  <si>
    <t>Capital Cost</t>
  </si>
  <si>
    <t>Resource</t>
  </si>
  <si>
    <t>Fixed Cost</t>
  </si>
  <si>
    <t>Variable Operating &amp; Fuel Cost</t>
  </si>
  <si>
    <t>Hurdle Costs</t>
  </si>
  <si>
    <t>Transmission</t>
  </si>
  <si>
    <t>38MMT-PSP-benchmarking-force-build/2022-05-24 09-39-54</t>
  </si>
  <si>
    <t>38MMT-PSP-benchmarking-force-build/2022-05-26 12-03-45</t>
  </si>
  <si>
    <t>38MMT-PSP-benchmarking-force-build/2022-05-26 13-10-13</t>
  </si>
  <si>
    <t>38MMT-PSP-benchmarking-force-build/2022-05-26 18-23-17</t>
  </si>
  <si>
    <t>38MMT-PSP-benchmarking-force-build/2022-05-26 20-22-57</t>
  </si>
  <si>
    <t>38MMT-PSP-benchmarking-force-build/2022-05-26 22-49-46</t>
  </si>
  <si>
    <t>38MMT-PSP-benchmarking-force-build/2022-05-27 09-19-22</t>
  </si>
  <si>
    <t>38MMT-PSP-benchmarking-force-build/2022-05-29 15-18-27</t>
  </si>
  <si>
    <t>38MMT-PSP-benchmarking-force-psp/2022-05-30 14-58-42</t>
  </si>
  <si>
    <t>38MMT-PSP-benchmarking-updated-constraints/2022-05-30 14-44-18</t>
  </si>
  <si>
    <t>38MMT-PSP-benchmarking-updated-constraints/2022-05-30 14-51-18</t>
  </si>
  <si>
    <t>38MMT-PSP-benchmarking-updated-constraints/2022-05-30 17-21-43</t>
  </si>
  <si>
    <t>38MMT-PSP-benchmarking-updated-constraints/2022-05-30 21-55-01</t>
  </si>
  <si>
    <t>38MMT-PSP-benchmarking-updated-constraints/2022-05-30 23-27-27</t>
  </si>
  <si>
    <t>38MMT-PSP-benchmarking-updated-constraints/2022-05-30 23-37-45</t>
  </si>
  <si>
    <t>38MMT-PSP-benchmarking-updated-constraints/2022-05-31 07-44-16</t>
  </si>
  <si>
    <t>38MMT-PSP-benchmarking-updated-constraints/2022-05-31 08-08-42</t>
  </si>
  <si>
    <t>38MMT-PSP-benchmarking-updated-constraints/2022-05-31 11-58-27</t>
  </si>
  <si>
    <t>38MMT-PSP-benchmarking-updated-constraints/2022-05-31 14-56-14</t>
  </si>
  <si>
    <t>38MMT-PSP-benchmarking-updated-constraints/2022-05-31 17-59-14</t>
  </si>
  <si>
    <t>38MMT-PSP-benchmarking-updated-constraints/2022-06-02 13-03-30</t>
  </si>
  <si>
    <t>38MMT-PSP-benchmarking-updated-constraints/2022-06-02 13-08-56</t>
  </si>
  <si>
    <t>38MMT-PSP-benchmarking-updated-constraints/2022-06-02 13-49-02</t>
  </si>
  <si>
    <t>38MMT-PSP-benchmarking-updated-constraints/2022-06-02 13-59-23</t>
  </si>
  <si>
    <t>38MMT-PSP-benchmarking-updated-constraints/2022-06-02 17-00-43</t>
  </si>
  <si>
    <t>38MMT-PSP-benchmarking-updated-constraints/2022-06-02 17-32-23</t>
  </si>
  <si>
    <t>38MMT-PSP-benchmarking-updated-constraints/2022-06-09 07-48-05</t>
  </si>
  <si>
    <t>38MMT-PSP-benchmarking-updated-constraints/2022-06-09 07-51-22</t>
  </si>
  <si>
    <t>38MMT-PSP-benchmarking/2022-04-23 22-40-13</t>
  </si>
  <si>
    <t>38MMT-PSP-benchmarking/2022-04-23 22-52-39</t>
  </si>
  <si>
    <t>38MMT-PSP-benchmarking/2022-04-24 16-09-11</t>
  </si>
  <si>
    <t>38MMT-PSP-benchmarking/2022-04-24 17-06-20</t>
  </si>
  <si>
    <t>38MMT-PSP-benchmarking/2022-04-24 17-35-44</t>
  </si>
  <si>
    <t>38MMT-PSP-benchmarking/2022-04-24 17-46-36</t>
  </si>
  <si>
    <t>38MMT-PSP-benchmarking/2022-04-26 09-05-27</t>
  </si>
  <si>
    <t>38MMT-PSP-benchmarking/2022-04-26 10-02-56</t>
  </si>
  <si>
    <t>38MMT-PSP-benchmarking/2022-04-26 13-26-05</t>
  </si>
  <si>
    <t>38MMT-PSP-benchmarking/2022-04-26 16-58-56</t>
  </si>
  <si>
    <t>38MMT-PSP-benchmarking/2022-04-28 10-41-15</t>
  </si>
  <si>
    <t>38MMT-PSP-benchmarking/2022-04-28 10-51-36</t>
  </si>
  <si>
    <t>38MMT-PSP-benchmarking/2022-04-28 11-15-25</t>
  </si>
  <si>
    <t>38MMT-PSP-benchmarking/2022-04-28 12-29-39</t>
  </si>
  <si>
    <t>38MMT-PSP-benchmarking/2022-04-28 12-45-31</t>
  </si>
  <si>
    <t>38MMT-PSP-benchmarking/2022-04-29 08-28-36</t>
  </si>
  <si>
    <t>38MMT-PSP-benchmarking/2022-04-29 12-09-22</t>
  </si>
  <si>
    <t>38MMT-PSP-benchmarking/2022-05-05 10-26-43</t>
  </si>
  <si>
    <t>38MMT-PSP-benchmarking/2022-05-05 10-53-01</t>
  </si>
  <si>
    <t>38MMT-PSP-benchmarking/2022-05-05 11-49-20</t>
  </si>
  <si>
    <t>38MMT-PSP-benchmarking/2022-05-05 12-19-21</t>
  </si>
  <si>
    <t>38MMT-PSP-benchmarking/2022-05-05 12-31-30</t>
  </si>
  <si>
    <t>38MMT-PSP-benchmarking/2022-05-05 13-54-46</t>
  </si>
  <si>
    <t>38MMT-PSP-benchmarking/2022-05-05 13-59-12</t>
  </si>
  <si>
    <t>38MMT-PSP-benchmarking/2022-05-05 14-23-36</t>
  </si>
  <si>
    <t>38MMT-PSP-benchmarking/2022-05-05 14-46-14</t>
  </si>
  <si>
    <t>38MMT-PSP-benchmarking/2022-05-06 08-27-42</t>
  </si>
  <si>
    <t>38MMT-PSP-benchmarking/2022-05-08 09-51-51</t>
  </si>
  <si>
    <t>38MMT-PSP-benchmarking/2022-05-08 10-02-04</t>
  </si>
  <si>
    <t>38MMT-PSP-benchmarking/2022-05-08 10-24-52</t>
  </si>
  <si>
    <t>38MMT-PSP-benchmarking/2022-05-08 10-34-31</t>
  </si>
  <si>
    <t>38MMT-PSP-benchmarking/2022-05-08 11-01-29</t>
  </si>
  <si>
    <t>38MMT-PSP-benchmarking/2022-05-08 11-25-23</t>
  </si>
  <si>
    <t>38MMT-PSP-benchmarking/2022-05-08 12-35-12</t>
  </si>
  <si>
    <t>38MMT-PSP-benchmarking/2022-05-08 12-54-22</t>
  </si>
  <si>
    <t>38MMT-PSP-benchmarking/2022-05-08 13-03-59</t>
  </si>
  <si>
    <t>38MMT-PSP-benchmarking/2022-05-08 13-17-11</t>
  </si>
  <si>
    <t>38MMT-PSP-benchmarking/2022-05-08 14-11-45</t>
  </si>
  <si>
    <t>38MMT-PSP-benchmarking/2022-05-08 14-29-22</t>
  </si>
  <si>
    <t>38MMT-PSP-benchmarking/2022-05-08 14-32-07</t>
  </si>
  <si>
    <t>38MMT-PSP-benchmarking/2022-05-08 15-03-27</t>
  </si>
  <si>
    <t>38MMT-PSP-benchmarking/2022-05-08 15-15-39</t>
  </si>
  <si>
    <t>38MMT-PSP-benchmarking/2022-05-08 15-35-12</t>
  </si>
  <si>
    <t>38MMT-PSP-benchmarking/2022-05-08 16-03-24</t>
  </si>
  <si>
    <t>38MMT-PSP-benchmarking/2022-05-08 18-09-34</t>
  </si>
  <si>
    <t>38MMT-PSP-benchmarking/2022-05-08 22-27-41</t>
  </si>
  <si>
    <t>38MMT-PSP-benchmarking/2022-05-08 22-36-15</t>
  </si>
  <si>
    <t>38MMT-PSP-benchmarking/2022-05-08 22-44-21</t>
  </si>
  <si>
    <t>38MMT-PSP-benchmarking/2022-05-08 22-49-20</t>
  </si>
  <si>
    <t>38MMT-PSP-benchmarking/2022-05-08 22-55-39</t>
  </si>
  <si>
    <t>38MMT-PSP-benchmarking/2022-05-09 08-40-10</t>
  </si>
  <si>
    <t>38MMT-PSP-benchmarking/2022-05-09 09-26-41</t>
  </si>
  <si>
    <t>38MMT-PSP-benchmarking/2022-05-09 09-30-41</t>
  </si>
  <si>
    <t>38MMT-PSP-benchmarking/2022-05-09 09-58-43</t>
  </si>
  <si>
    <t>38MMT-PSP-benchmarking/2022-05-09 13-07-38</t>
  </si>
  <si>
    <t>38MMT-PSP-benchmarking/2022-05-09 13-46-22</t>
  </si>
  <si>
    <t>38MMT-PSP-benchmarking/2022-05-09 15-40-41</t>
  </si>
  <si>
    <t>38MMT-PSP-benchmarking/2022-05-10 09-08-51</t>
  </si>
  <si>
    <t>38MMT-PSP-benchmarking/2022-05-10 09-23-26</t>
  </si>
  <si>
    <t>38MMT-PSP-benchmarking/2022-05-10 11-32-00</t>
  </si>
  <si>
    <t>38MMT-PSP-benchmarking/2022-05-10 14-43-26</t>
  </si>
  <si>
    <t>38MMT-PSP-benchmarking/2022-05-10 14-59-18</t>
  </si>
  <si>
    <t>38MMT-PSP-benchmarking/2022-05-11 10-08-48</t>
  </si>
  <si>
    <t>38MMT-PSP-benchmarking/2022-05-11 11-00-18</t>
  </si>
  <si>
    <t>38MMT-PSP-benchmarking/2022-05-11 11-30-45</t>
  </si>
  <si>
    <t>38MMT-exact-psp-build/2022-06-08 13-13-22</t>
  </si>
  <si>
    <t>38MMT-exact-psp-build/2022-06-08 14-03-20</t>
  </si>
  <si>
    <t>38MMT-one-year/2022-06-09 07-37-24</t>
  </si>
  <si>
    <t>38MMT-one-year/2022-06-09 07-41-16</t>
  </si>
  <si>
    <t>38MMT-psp-renewables-deliverability-ccgt/2022-06-06 22-41-45</t>
  </si>
  <si>
    <t>38MMT-psp-renewables-deliverability/2022-06-06 21-29-57</t>
  </si>
  <si>
    <t>38MMT-small/2022-06-07 08-38-21</t>
  </si>
  <si>
    <t>38MMT/2022-06-05 22-12-23</t>
  </si>
  <si>
    <t>38MMT/2022-06-05 22-38-57</t>
  </si>
  <si>
    <t>38MMT/2022-06-06 08-10-12</t>
  </si>
  <si>
    <t>38MMT/2022-06-06 17-32-16</t>
  </si>
  <si>
    <t>38MMT/2022-06-08 19-37-09</t>
  </si>
  <si>
    <t>CPUC_IRP/2022-04-12 10-42-19</t>
  </si>
  <si>
    <t>test/2022-04-04 15-45-24</t>
  </si>
  <si>
    <t>test/2022-04-12 10-41-29</t>
  </si>
  <si>
    <t>test/2022-04-12 11-15-41</t>
  </si>
  <si>
    <t>test/2022-04-13 13-53-23</t>
  </si>
  <si>
    <t>test/2022-04-13 13-55-05</t>
  </si>
  <si>
    <t>test/2022-04-16 17-15-26</t>
  </si>
  <si>
    <t>test/2022-04-16 17-18-31</t>
  </si>
  <si>
    <t>test/2022-04-16 17-20-20</t>
  </si>
  <si>
    <t>test/2022-04-21 17-56-27</t>
  </si>
  <si>
    <t>test/2022-04-21 17-58-38</t>
  </si>
  <si>
    <t>test/2022-04-21 18-01-54</t>
  </si>
  <si>
    <t>test/2022-04-21 18-08-54</t>
  </si>
  <si>
    <t>test/2022-04-21 18-31-34</t>
  </si>
  <si>
    <t>test/2022-04-21 18-40-55</t>
  </si>
  <si>
    <t>test/2022-04-21 19-13-30</t>
  </si>
  <si>
    <t>test/2022-04-21 19-28-15</t>
  </si>
  <si>
    <t>test/2022-04-23 14-32-21</t>
  </si>
  <si>
    <t>test/2022-04-28 15-38-12</t>
  </si>
  <si>
    <t>test/2022-04-28 15-44-00</t>
  </si>
  <si>
    <t>test/2022-05-02 17-28-47</t>
  </si>
  <si>
    <t>test/2022-05-03 11-28-17</t>
  </si>
  <si>
    <t>test/2022-05-03 11-32-29</t>
  </si>
  <si>
    <t>test/2022-05-03 11-32-47</t>
  </si>
  <si>
    <t>test/2022-05-03 11-33-04</t>
  </si>
  <si>
    <t>test/2022-05-03 11-36-30</t>
  </si>
  <si>
    <t>test/2022-05-03 11-36-47</t>
  </si>
  <si>
    <t>test/2022-05-03 11-39-23</t>
  </si>
  <si>
    <t>test/2022-05-03 11-40-12</t>
  </si>
  <si>
    <t>test/2022-05-03 11-40-28</t>
  </si>
  <si>
    <t>test/2022-05-15 14-58-44</t>
  </si>
  <si>
    <t>test/2022-05-20 11-35-26</t>
  </si>
  <si>
    <t>test/2022-05-20 11-44-01</t>
  </si>
  <si>
    <t>test/2022-05-20 11-44-42</t>
  </si>
  <si>
    <t>test/2022-05-20 11-54-32</t>
  </si>
  <si>
    <t>test/2022-05-22 17-09-47</t>
  </si>
  <si>
    <t>test/2022-05-25 10-52-35</t>
  </si>
  <si>
    <t>test/2022-05-25 11-07-16</t>
  </si>
  <si>
    <t>test/2022-05-25 11-09-07</t>
  </si>
  <si>
    <t>test/2022-05-25 11-27-45</t>
  </si>
  <si>
    <t>test/2022-05-30 16-46-54</t>
  </si>
  <si>
    <t>test/2022-05-30 16-47-29</t>
  </si>
  <si>
    <t>test/2022-06-02 11-22-14</t>
  </si>
  <si>
    <t>test/2022-06-02 11-30-00</t>
  </si>
  <si>
    <t>test/2022-06-02 12-41-40</t>
  </si>
  <si>
    <t>test/2022-06-02 12-46-20</t>
  </si>
  <si>
    <t>test/2022-06-02 12-59-35</t>
  </si>
  <si>
    <t>test/2022-06-02 13-02-00</t>
  </si>
  <si>
    <t>test/2022-06-02 16-11-17</t>
  </si>
  <si>
    <t>test/2022-06-02 16-57-46</t>
  </si>
  <si>
    <t>test/2022-06-02 17-29-18</t>
  </si>
  <si>
    <t>test/2022-06-02 17-30-43</t>
  </si>
  <si>
    <t>test/2022-06-03 14-11-17</t>
  </si>
  <si>
    <t>test/2022-06-03 14-13-21</t>
  </si>
  <si>
    <t>test/2022-06-08 08-49-45</t>
  </si>
  <si>
    <t>Modeled Year Discount Factors</t>
  </si>
  <si>
    <t>NPV</t>
  </si>
  <si>
    <r>
      <t xml:space="preserve">Objective Function Components </t>
    </r>
    <r>
      <rPr>
        <sz val="10"/>
        <color theme="0"/>
        <rFont val="Arial"/>
        <family val="2"/>
      </rPr>
      <t>($ million)</t>
    </r>
  </si>
  <si>
    <t>New Assets (CAISO Tx Upgrades)</t>
  </si>
  <si>
    <t>Objective Function Value</t>
  </si>
  <si>
    <t>2. Select Case to View</t>
  </si>
  <si>
    <t>C:\Users\yuchi\Anaconda3\envs\new-modeling-toolkit\python.exe</t>
  </si>
  <si>
    <t>20220725_48p_AP_Uigenerated/2022-07-28 16-04-00</t>
  </si>
  <si>
    <t>20220725_48p_AP_Uigenerated/2022-08-09 18-43-02</t>
  </si>
  <si>
    <t>38MMT-2045-8760-hour-low-hydro/2022-07-12 16-44-37</t>
  </si>
  <si>
    <t>38MMT-2045-8760-hour/2022-07-12 14-05-34</t>
  </si>
  <si>
    <t>Model Year</t>
  </si>
  <si>
    <t>Planned Capacity (MW)</t>
  </si>
  <si>
    <t>New Build Capacity (MW)</t>
  </si>
  <si>
    <t>Operational Capacity (MW)</t>
  </si>
  <si>
    <t>Potential (MW)</t>
  </si>
  <si>
    <t>Capital Cost ($)</t>
  </si>
  <si>
    <t>Fixed O&amp;M Cost ($)</t>
  </si>
  <si>
    <t>Policy</t>
  </si>
  <si>
    <t>Target (Units)</t>
  </si>
  <si>
    <t>Target Adjustment (Units)</t>
  </si>
  <si>
    <t>Dual Value ($/Unit)</t>
  </si>
  <si>
    <t>Fuel</t>
  </si>
  <si>
    <t>Annual Fuel Consumption (MMBtu)</t>
  </si>
  <si>
    <t>CA_Coal</t>
  </si>
  <si>
    <t>CA_Natural_Gas</t>
  </si>
  <si>
    <t>NW_Natural_Gas</t>
  </si>
  <si>
    <t>SW_Natural_Gas</t>
  </si>
  <si>
    <t>Uranium</t>
  </si>
  <si>
    <t>BANC_Biomass_for_Other</t>
  </si>
  <si>
    <t>BANC_Geothermal_for_Other</t>
  </si>
  <si>
    <t>BANC_Hydro</t>
  </si>
  <si>
    <t>BANC_Small_Hydro_for_CAISO</t>
  </si>
  <si>
    <t>BANC_Small_Hydro_for_Other</t>
  </si>
  <si>
    <t>BANC_Solar_for_Other</t>
  </si>
  <si>
    <t>BANC_Wind_for_Other</t>
  </si>
  <si>
    <t>IID_Biomass_for_Other</t>
  </si>
  <si>
    <t>IID_Geothermal_for_CAISO</t>
  </si>
  <si>
    <t>IID_Geothermal_for_Other</t>
  </si>
  <si>
    <t>IID_Hydro</t>
  </si>
  <si>
    <t>IID_Small_Hydro_for_Other</t>
  </si>
  <si>
    <t>IID_Solar_for_CAISO</t>
  </si>
  <si>
    <t>IID_Solar_for_Other</t>
  </si>
  <si>
    <t>IID_Wind_for_Other</t>
  </si>
  <si>
    <t>LDWP_Biomass_for_Other</t>
  </si>
  <si>
    <t>LDWP_Geothermal_for_Other</t>
  </si>
  <si>
    <t>LDWP_Hydro</t>
  </si>
  <si>
    <t>LDWP_Nuclear</t>
  </si>
  <si>
    <t>LDWP_Small_Hydro_for_Other</t>
  </si>
  <si>
    <t>LDWP_Solar_for_Other</t>
  </si>
  <si>
    <t>LDWP_Wind_for_CAISO</t>
  </si>
  <si>
    <t>LDWP_Wind_for_Other</t>
  </si>
  <si>
    <t>NW_Biomass_for_CAISO</t>
  </si>
  <si>
    <t>NW_Biomass_for_Other</t>
  </si>
  <si>
    <t>NW_Geothermal_for_CAISO</t>
  </si>
  <si>
    <t>NW_Geothermal_for_Other</t>
  </si>
  <si>
    <t>NW_Nuclear</t>
  </si>
  <si>
    <t>NW_Small_Hydro_for_CAISO</t>
  </si>
  <si>
    <t>NW_Small_Hydro_for_Other</t>
  </si>
  <si>
    <t>NW_Solar_for_Other</t>
  </si>
  <si>
    <t>NW_Wind_for_CAISO</t>
  </si>
  <si>
    <t>NW_Wind_for_Other</t>
  </si>
  <si>
    <t>SW_Biomass_for_Other</t>
  </si>
  <si>
    <t>SW_Geothermal_for_Other</t>
  </si>
  <si>
    <t>SW_Hydro</t>
  </si>
  <si>
    <t>SW_Nuclear</t>
  </si>
  <si>
    <t>SW_Small_Hydro_for_Other</t>
  </si>
  <si>
    <t>SW_Solar_for_CAISO</t>
  </si>
  <si>
    <t>SW_Solar_for_Other</t>
  </si>
  <si>
    <t>SW_Wind_for_CAISO</t>
  </si>
  <si>
    <t>SW_Wind_for_Other</t>
  </si>
  <si>
    <t>Retired Capacity (MW)</t>
  </si>
  <si>
    <t>Planned Capacity (MWh)</t>
  </si>
  <si>
    <t>New Build Capacity (MWh)</t>
  </si>
  <si>
    <t>Retired Capacity (MWh)</t>
  </si>
  <si>
    <t>Operational Capacity (MWh)</t>
  </si>
  <si>
    <t>Gross Increase Load (MWh)</t>
  </si>
  <si>
    <t>Gross Provide Power (MWh)</t>
  </si>
  <si>
    <t>Net Generation (MWh)</t>
  </si>
  <si>
    <t>Curtailed Energy (MWh)</t>
  </si>
  <si>
    <t>Number of Starts</t>
  </si>
  <si>
    <t>Number of Shutdowns</t>
  </si>
  <si>
    <t>Variable Cost ($)</t>
  </si>
  <si>
    <t>Fuel Cost ($)</t>
  </si>
  <si>
    <t>Curtailment Cost ($)</t>
  </si>
  <si>
    <t>Start Cost ($)</t>
  </si>
  <si>
    <t>Shutdown Cost ($)</t>
  </si>
  <si>
    <t>Transmission Path</t>
  </si>
  <si>
    <t>Zone From</t>
  </si>
  <si>
    <t>Zone To</t>
  </si>
  <si>
    <t>Forward Hurdle Cost ($)</t>
  </si>
  <si>
    <t>Reverse Hurdle Cost ($)</t>
  </si>
  <si>
    <t>Forward Flow Value (To Zone) ($)</t>
  </si>
  <si>
    <t>Forward Flow Value (From Zone) ($)</t>
  </si>
  <si>
    <t>Reverse Flow Value (To Zone) ($)</t>
  </si>
  <si>
    <t>Reverse Flow Value (From Zone) ($)</t>
  </si>
  <si>
    <t>Gross Reverse Flow (MWh)</t>
  </si>
  <si>
    <t>Gross Forward Flow (MWh)</t>
  </si>
  <si>
    <t>IID_to_BANC</t>
  </si>
  <si>
    <t>IID_to_LDWP</t>
  </si>
  <si>
    <t>NW_to_BANC</t>
  </si>
  <si>
    <t>NW_to_LDWP</t>
  </si>
  <si>
    <t>NW_to_SW</t>
  </si>
  <si>
    <t>SW_to_BANC</t>
  </si>
  <si>
    <t>SW_to_IID</t>
  </si>
  <si>
    <t>SW_to_LDWP</t>
  </si>
  <si>
    <t>Unserved Energy (MWh)</t>
  </si>
  <si>
    <t>Overgeneration (MWh)</t>
  </si>
  <si>
    <t>Gross Imports (MWh)</t>
  </si>
  <si>
    <t>Gross Exports (MWh)</t>
  </si>
  <si>
    <t>Net Imports (MWh)</t>
  </si>
  <si>
    <t>Input Load (MWh)</t>
  </si>
  <si>
    <t>Annual Policy Contribution (MWh)</t>
  </si>
  <si>
    <t>Reliability Capacity (MW)</t>
  </si>
  <si>
    <t>NQC (MW)</t>
  </si>
  <si>
    <t>CUSTOM_CONSTRAINTS</t>
  </si>
  <si>
    <t>Lower Bound</t>
  </si>
  <si>
    <t>Body</t>
  </si>
  <si>
    <t>Upper Bound</t>
  </si>
  <si>
    <t>Dual</t>
  </si>
  <si>
    <t>Expression</t>
  </si>
  <si>
    <t>build-limits_NoEnergyOnly_HumboldtOffshoreWind.2045</t>
  </si>
  <si>
    <t>(Operational_Planned_Capacity_In_Model_Year[Humboldt_Bay_Offshore_Wind,2045] + Operational_New_Capacity_By_Vintage_In_Model_Year[Humboldt_Bay_Offshore_Wind,2045,2045])*-1.0 + Reliability_Capacity_In_Model_Year[System RA,Humboldt_Bay_Offshore_Wind,2045]  ==  0.0</t>
  </si>
  <si>
    <t>build-limits_NoEnergyOnly_MorroBayOffshoreWind.2045</t>
  </si>
  <si>
    <t>(Operational_Planned_Capacity_In_Model_Year[Morro_Bay_Offshore_Wind,2045] + Operational_New_Capacity_By_Vintage_In_Model_Year[Morro_Bay_Offshore_Wind,2045,2045])*-1.0 + Reliability_Capacity_In_Model_Year[System RA,Morro_Bay_Offshore_Wind,2045]  ==  0.0</t>
  </si>
  <si>
    <t>build-limits_NoEnergyOnly_NewMexicoWind.2045</t>
  </si>
  <si>
    <t>(Operational_Planned_Capacity_In_Model_Year[New_Mexico_Wind,2045] + Operational_New_Capacity_By_Vintage_In_Model_Year[New_Mexico_Wind,2045,2045])*-1.0 + Reliability_Capacity_In_Model_Year[System RA,New_Mexico_Wind,2045]  ==  0.0</t>
  </si>
  <si>
    <t>build-limits_NoEnergyOnly_WyomingWind.2045</t>
  </si>
  <si>
    <t>(Operational_Planned_Capacity_In_Model_Year[Wyoming_Wind,2045] + Operational_New_Capacity_By_Vintage_In_Model_Year[Wyoming_Wind,2045,2045])*-1.0 + Reliability_Capacity_In_Model_Year[System RA,Wyoming_Wind,2045]  ==  0.0</t>
  </si>
  <si>
    <t>caiso-deliverability_Colorado_River_500_230_deliverable_peak_highest.2045</t>
  </si>
  <si>
    <t>(Operational_Planned_Capacity_In_Model_Year[Colorado_River_500_230_group,2045] + Operational_New_Capacity_By_Vintage_In_Model_Year[Colorado_River_500_230_group,2045,2045])*-1.0 + Reliability_Capacity_In_Model_Year[System RA,Riverside_Palm_Springs_Geothermal,2045] + 0.607378563*Reliability_Capacity_In_Model_Year[System RA,Riverside_Palm_Springs_Wind,2045]  &lt;=  1490.0</t>
  </si>
  <si>
    <t>caiso-deliverability_Colorado_River_500_230_deliverable_peak_secondary.2045</t>
  </si>
  <si>
    <t>(Operational_Planned_Capacity_In_Model_Year[Colorado_River_500_230_group,2045] + Operational_New_Capacity_By_Vintage_In_Model_Year[Colorado_River_500_230_group,2045,2045])*-1.0 + Reliability_Capacity_In_Model_Year[System RA,Riverside_Palm_Springs_Geothermal,2045] + 0.226812821*Reliability_Capacity_In_Model_Year[System RA,Riverside_Palm_Springs_Wind,2045]  &lt;=  1490.0</t>
  </si>
  <si>
    <t>caiso-deliverability_Colorado_River_500_230_offpeak.2045</t>
  </si>
  <si>
    <t>(Operational_Planned_Capacity_In_Model_Year[Colorado_River_500_230_group,2045] + Operational_New_Capacity_By_Vintage_In_Model_Year[Colorado_River_500_230_group,2045,2045])*-1.0 + Operational_New_Capacity_By_Vintage_In_Model_Year[Riverside_Palm_Springs_Geothermal,2045,2045] + 0.0*0.479796352  &lt;=  1739.0</t>
  </si>
  <si>
    <t>caiso-deliverability_Contra_Costa_Delta_Switchyard_230_deliverable_peak_highest.2045</t>
  </si>
  <si>
    <t>(Operational_Planned_Capacity_In_Model_Year[Contra_Costa_Delta_Switchyard_230_group,2045] + Operational_New_Capacity_By_Vintage_In_Model_Year[Contra_Costa_Delta_Switchyard_230_group,2045,2045])*-1.0 + 0.649053205*Reliability_Capacity_In_Model_Year[System RA,NW_Ext_Tx_Wind,2045] + Reliability_Capacity_In_Model_Year[System RA,Solano_Geothermal,2045] + 0.665*Reliability_Capacity_In_Model_Year[System RA,Solano_Wind,2045]  &lt;=  1523.0</t>
  </si>
  <si>
    <t>caiso-deliverability_Contra_Costa_Delta_Switchyard_230_deliverable_peak_secondary.2045</t>
  </si>
  <si>
    <t>(Operational_Planned_Capacity_In_Model_Year[Contra_Costa_Delta_Switchyard_230_group,2045] + Operational_New_Capacity_By_Vintage_In_Model_Year[Contra_Costa_Delta_Switchyard_230_group,2045,2045])*-1.0 + 0.159091237*Reliability_Capacity_In_Model_Year[System RA,NW_Ext_Tx_Wind,2045] + Reliability_Capacity_In_Model_Year[System RA,Solano_Geothermal,2045] + 0.163*Reliability_Capacity_In_Model_Year[System RA,Solano_Wind,2045]  &lt;=  1523.0</t>
  </si>
  <si>
    <t>caiso-deliverability_Contra_Costa_Delta_Switchyard_230_offpeak.2045</t>
  </si>
  <si>
    <t>Operational_New_Capacity_By_Vintage_In_Model_Year[NW_Ext_Tx_Wind,2045,2045]*0.624652709 + Operational_New_Capacity_By_Vintage_In_Model_Year[Solano_Geothermal,2045,2045] + Operational_New_Capacity_By_Vintage_In_Model_Year[Solano_Wind,2045,2045]*0.64  &lt;=  1523.0</t>
  </si>
  <si>
    <t>caiso-deliverability_Delevan_Cortina_230_deliverable_peak_highest.2045</t>
  </si>
  <si>
    <t>(Operational_Planned_Capacity_In_Model_Year[Delevan_Cortina_230_group,2045] + Operational_New_Capacity_By_Vintage_In_Model_Year[Delevan_Cortina_230_group,2045,2045])*-1.0 + (Operational_Planned_Capacity_In_Model_Year[Northern_California_Li_Battery,2045] + Operational_New_Capacity_By_Vintage_In_Model_Year[Northern_California_Li_Battery,2045,2045]) + Reliability_Capacity_In_Model_Year[System RA,Humboldt_Bay_Offshore_Wind,2045] + 0.665*Reliability_Capacity_In_Model_Year[System RA,Humboldt_Wind,2045] + Reliability_Capacity_In_Model_Year[System RA,Northern_California_Geothermal,2045] + 0.1*Reliability_Capacity_In_Model_Year[System RA,Northern_California_Solar,2045] + 0.665*Reliability_Capacity_In_Model_Year[System RA,Northern_California_Wind,2045] + 0.649053205*Reliability_Capacity_In_Model_Year[System RA,NW_Ext_Tx_Wind,2045] + Reliability_Capacity_In_Model_Year[System RA,Solano_Geothermal,2045] + 0.665*Reliability_Capacity_In_Model_Year[System RA,Solano_Wind,2045]  &lt;=  454.0</t>
  </si>
  <si>
    <t>caiso-deliverability_Delevan_Cortina_230_deliverable_peak_secondary.2045</t>
  </si>
  <si>
    <t>(Operational_Planned_Capacity_In_Model_Year[Delevan_Cortina_230_group,2045] + Operational_New_Capacity_By_Vintage_In_Model_Year[Delevan_Cortina_230_group,2045,2045])*-1.0 + (Operational_Planned_Capacity_In_Model_Year[Northern_California_Li_Battery,2045] + Operational_New_Capacity_By_Vintage_In_Model_Year[Northern_California_Li_Battery,2045,2045]) + 0.296158341*Reliability_Capacity_In_Model_Year[System RA,Humboldt_Bay_Offshore_Wind,2045] + 0.163*Reliability_Capacity_In_Model_Year[System RA,Humboldt_Wind,2045] + Reliability_Capacity_In_Model_Year[System RA,Northern_California_Geothermal,2045] + 0.556*Reliability_Capacity_In_Model_Year[System RA,Northern_California_Solar,2045] + 0.163*Reliability_Capacity_In_Model_Year[System RA,Northern_California_Wind,2045] + 0.159091237*Reliability_Capacity_In_Model_Year[System RA,NW_Ext_Tx_Wind,2045] + Reliability_Capacity_In_Model_Year[System RA,Solano_Geothermal,2045] + 0.163*Reliability_Capacity_In_Model_Year[System RA,Solano_Wind,2045]  &lt;=  454.0</t>
  </si>
  <si>
    <t>caiso-deliverability_Delevan_Cortina_230_offpeak.2045</t>
  </si>
  <si>
    <t>Operational_New_Capacity_By_Vintage_In_Model_Year[Humboldt_Bay_Offshore_Wind,2045,2045] + Operational_New_Capacity_By_Vintage_In_Model_Year[Humboldt_Wind,2045,2045]*0.64 + Operational_New_Capacity_By_Vintage_In_Model_Year[Northern_California_Geothermal,2045,2045] + Operational_New_Capacity_By_Vintage_In_Model_Year[Northern_California_Li_Battery,2045,2045]*-1.0 + Operational_New_Capacity_By_Vintage_In_Model_Year[Northern_California_Solar,2045,2045]*0.68 + Operational_New_Capacity_By_Vintage_In_Model_Year[Northern_California_Wind,2045,2045]*0.64 + Operational_New_Capacity_By_Vintage_In_Model_Year[NW_Ext_Tx_Wind,2045,2045]*0.624652709 + Operational_New_Capacity_By_Vintage_In_Model_Year[Solano_Geothermal,2045,2045] + Operational_New_Capacity_By_Vintage_In_Model_Year[Solano_Wind,2045,2045]*0.64  &lt;=  795.0</t>
  </si>
  <si>
    <t>caiso-deliverability_Devers_Red_Bluff_deliverable_peak_highest.2045</t>
  </si>
  <si>
    <t>(Operational_Planned_Capacity_In_Model_Year[Arizona_Li_Battery,2045] + Operational_New_Capacity_By_Vintage_In_Model_Year[Arizona_Li_Battery,2045,2045]) + (Operational_Planned_Capacity_In_Model_Year[Devers_Red_Bluff_group,2045] + Operational_New_Capacity_By_Vintage_In_Model_Year[Devers_Red_Bluff_group,2045,2045])*-1.0 + (Operational_Planned_Capacity_In_Model_Year[Riverside_East_Pumped_Storage,2045] + Operational_New_Capacity_By_Vintage_In_Model_Year[Riverside_East_Pumped_Storage,2045,2045]) + 0.106*Reliability_Capacity_In_Model_Year[System RA,Arizona_Solar,2045] + 0.788194293*Reliability_Capacity_In_Model_Year[System RA,New_Mexico_Wind,2045] + Reliability_Capacity_In_Model_Year[System RA,Riverside_Palm_Springs_Geothermal,2045] + 0.607378563*Reliability_Capacity_In_Model_Year[System RA,Riverside_Palm_Springs_Wind,2045] + 0.647122475*Reliability_Capacity_In_Model_Year[System RA,SW_Ext_Tx_Wind,2045]  &lt;=  5400.0</t>
  </si>
  <si>
    <t>caiso-deliverability_Devers_Red_Bluff_deliverable_peak_secondary.2045</t>
  </si>
  <si>
    <t>(Operational_Planned_Capacity_In_Model_Year[Arizona_Li_Battery,2045] + Operational_New_Capacity_By_Vintage_In_Model_Year[Arizona_Li_Battery,2045,2045]) + (Operational_Planned_Capacity_In_Model_Year[Devers_Red_Bluff_group,2045] + Operational_New_Capacity_By_Vintage_In_Model_Year[Devers_Red_Bluff_group,2045,2045])*-1.0 + (Operational_Planned_Capacity_In_Model_Year[Riverside_East_Pumped_Storage,2045] + Operational_New_Capacity_By_Vintage_In_Model_Year[Riverside_East_Pumped_Storage,2045,2045]) + 0.427*Reliability_Capacity_In_Model_Year[System RA,Arizona_Solar,2045] + 0.294334673*Reliability_Capacity_In_Model_Year[System RA,New_Mexico_Wind,2045] + Reliability_Capacity_In_Model_Year[System RA,Riverside_Palm_Springs_Geothermal,2045] + 0.226812821*Reliability_Capacity_In_Model_Year[System RA,Riverside_Palm_Springs_Wind,2045] + 0.241654353*Reliability_Capacity_In_Model_Year[System RA,SW_Ext_Tx_Wind,2045]  &lt;=  5400.0</t>
  </si>
  <si>
    <t>caiso-deliverability_Devers_Red_Bluff_offpeak.2045</t>
  </si>
  <si>
    <t>(Operational_Planned_Capacity_In_Model_Year[Devers_Red_Bluff_group,2045] + Operational_New_Capacity_By_Vintage_In_Model_Year[Devers_Red_Bluff_group,2045,2045])*-0.60516129 + Operational_New_Capacity_By_Vintage_In_Model_Year[Arizona_Li_Battery,2045,2045]*-1.0 + Operational_New_Capacity_By_Vintage_In_Model_Year[Arizona_Solar,2045,2045]*0.77 + Operational_New_Capacity_By_Vintage_In_Model_Year[New_Mexico_Wind,2045,2045]*0.622631039 + Operational_New_Capacity_By_Vintage_In_Model_Year[Riverside_East_Pumped_Storage,2045,2045]*-1.0 + Operational_New_Capacity_By_Vintage_In_Model_Year[Riverside_Palm_Springs_Geothermal,2045,2045] + 0.0*0.479796352 + Operational_New_Capacity_By_Vintage_In_Model_Year[SW_Ext_Tx_Wind,2045,2045]*0.511191901  &lt;=  5820.0</t>
  </si>
  <si>
    <t>caiso-deliverability_East_of_Miguel_deliverable_peak_highest.2045</t>
  </si>
  <si>
    <t>(Operational_Planned_Capacity_In_Model_Year[Arizona_Li_Battery,2045] + Operational_New_Capacity_By_Vintage_In_Model_Year[Arizona_Li_Battery,2045,2045]) + (Operational_Planned_Capacity_In_Model_Year[East_of_Miguel_group,2045] + Operational_New_Capacity_By_Vintage_In_Model_Year[East_of_Miguel_group,2045,2045])*-1.0 + (Operational_Planned_Capacity_In_Model_Year[Imperial_Li_Battery,2045] + Operational_New_Capacity_By_Vintage_In_Model_Year[Imperial_Li_Battery,2045,2045]) + 0.106*Reliability_Capacity_In_Model_Year[System RA,Arizona_Solar,2045] + 0.337*Reliability_Capacity_In_Model_Year[System RA,Baja_California_Wind,2045] + Reliability_Capacity_In_Model_Year[System RA,Greater_Imperial_Geothermal,2045] + 0.106*Reliability_Capacity_In_Model_Year[System RA,Imperial_Solar,2045] + 0.788194293*Reliability_Capacity_In_Model_Year[System RA,New_Mexico_Wind,2045] + 0.647122475*Reliability_Capacity_In_Model_Year[System RA,SW_Ext_Tx_Wind,2045]  &lt;=  731.0</t>
  </si>
  <si>
    <t>caiso-deliverability_East_of_Miguel_deliverable_peak_secondary.2045</t>
  </si>
  <si>
    <t>(Operational_Planned_Capacity_In_Model_Year[Arizona_Li_Battery,2045] + Operational_New_Capacity_By_Vintage_In_Model_Year[Arizona_Li_Battery,2045,2045]) + (Operational_Planned_Capacity_In_Model_Year[East_of_Miguel_group,2045] + Operational_New_Capacity_By_Vintage_In_Model_Year[East_of_Miguel_group,2045,2045])*-1.0 + (Operational_Planned_Capacity_In_Model_Year[Imperial_Li_Battery,2045] + Operational_New_Capacity_By_Vintage_In_Model_Year[Imperial_Li_Battery,2045,2045]) + 0.427*Reliability_Capacity_In_Model_Year[System RA,Arizona_Solar,2045] + 0.112*Reliability_Capacity_In_Model_Year[System RA,Baja_California_Wind,2045] + Reliability_Capacity_In_Model_Year[System RA,Greater_Imperial_Geothermal,2045] + 0.427*Reliability_Capacity_In_Model_Year[System RA,Imperial_Solar,2045] + 0.294334673*Reliability_Capacity_In_Model_Year[System RA,New_Mexico_Wind,2045] + 0.241654353*Reliability_Capacity_In_Model_Year[System RA,SW_Ext_Tx_Wind,2045]  &lt;=  731.0</t>
  </si>
  <si>
    <t>caiso-deliverability_East_of_Miguel_offpeak.2045</t>
  </si>
  <si>
    <t>(Operational_Planned_Capacity_In_Model_Year[East_of_Miguel_group,2045] + Operational_New_Capacity_By_Vintage_In_Model_Year[East_of_Miguel_group,2045,2045])*-0.667847025 + Operational_New_Capacity_By_Vintage_In_Model_Year[Arizona_Li_Battery,2045,2045]*-1.0 + Operational_New_Capacity_By_Vintage_In_Model_Year[Arizona_Solar,2045,2045]*0.77 + Operational_New_Capacity_By_Vintage_In_Model_Year[Baja_California_Wind,2045,2045]*0.44 + Operational_New_Capacity_By_Vintage_In_Model_Year[Greater_Imperial_Geothermal,2045,2045] + Operational_New_Capacity_By_Vintage_In_Model_Year[Imperial_Li_Battery,2045,2045]*-1.0 + Operational_New_Capacity_By_Vintage_In_Model_Year[Imperial_Solar,2045,2045]*0.77 + Operational_New_Capacity_By_Vintage_In_Model_Year[New_Mexico_Wind,2045,2045]*0.622631039 + Operational_New_Capacity_By_Vintage_In_Model_Year[SW_Ext_Tx_Wind,2045,2045]*0.511191901  &lt;=  950.0</t>
  </si>
  <si>
    <t>caiso-deliverability_Eldorado_500_230_deliverable_peak_highest.2045</t>
  </si>
  <si>
    <t>(Operational_Planned_Capacity_In_Model_Year[Eldorado_500_230_group,2045] + Operational_New_Capacity_By_Vintage_In_Model_Year[Eldorado_500_230_group,2045,2045])*-1.0 + (Operational_Planned_Capacity_In_Model_Year[Southern_NV_Eldorado_Li_Battery,2045] + Operational_New_Capacity_By_Vintage_In_Model_Year[Southern_NV_Eldorado_Li_Battery,2045,2045]) + Reliability_Capacity_In_Model_Year[System RA,Southern_Nevada_Geothermal,2045] + 0.557*Reliability_Capacity_In_Model_Year[System RA,Southern_Nevada_Wind,2045] + 0.106*Reliability_Capacity_In_Model_Year[System RA,Southern_NV_Eldorado_Solar,2045]  &lt;=  3360.0</t>
  </si>
  <si>
    <t>caiso-deliverability_Eldorado_500_230_deliverable_peak_secondary.2045</t>
  </si>
  <si>
    <t>(Operational_Planned_Capacity_In_Model_Year[Eldorado_500_230_group,2045] + Operational_New_Capacity_By_Vintage_In_Model_Year[Eldorado_500_230_group,2045,2045])*-1.0 + (Operational_Planned_Capacity_In_Model_Year[Southern_NV_Eldorado_Li_Battery,2045] + Operational_New_Capacity_By_Vintage_In_Model_Year[Southern_NV_Eldorado_Li_Battery,2045,2045]) + Reliability_Capacity_In_Model_Year[System RA,Southern_Nevada_Geothermal,2045] + 0.208*Reliability_Capacity_In_Model_Year[System RA,Southern_Nevada_Wind,2045] + 0.427*Reliability_Capacity_In_Model_Year[System RA,Southern_NV_Eldorado_Solar,2045]  &lt;=  3360.0</t>
  </si>
  <si>
    <t>caiso-deliverability_Eldorado_500_230_offpeak.2045</t>
  </si>
  <si>
    <t>Operational_New_Capacity_By_Vintage_In_Model_Year[Southern_Nevada_Geothermal,2045,2045] + Operational_New_Capacity_By_Vintage_In_Model_Year[Southern_Nevada_Wind,2045,2045]*0.44 + Operational_New_Capacity_By_Vintage_In_Model_Year[Southern_NV_Eldorado_Li_Battery,2045,2045]*-1.0 + Operational_New_Capacity_By_Vintage_In_Model_Year[Southern_NV_Eldorado_Solar,2045,2045]*0.77  &lt;=  3360.0</t>
  </si>
  <si>
    <t>caiso-deliverability_Encina_San_Luis_Rey_deliverable_peak_highest.2045</t>
  </si>
  <si>
    <t>(Operational_Planned_Capacity_In_Model_Year[Encina_San_Luis_Rey_group,2045] + Operational_New_Capacity_By_Vintage_In_Model_Year[Encina_San_Luis_Rey_group,2045,2045])*-1.0 + (Operational_Planned_Capacity_In_Model_Year[Imperial_Li_Battery,2045] + Operational_New_Capacity_By_Vintage_In_Model_Year[Imperial_Li_Battery,2045,2045]) + (Operational_Planned_Capacity_In_Model_Year[San_Diego_Li_Battery,2045] + Operational_New_Capacity_By_Vintage_In_Model_Year[San_Diego_Li_Battery,2045,2045]) + (Operational_Planned_Capacity_In_Model_Year[San_Diego_Pumped_Storage,2045] + Operational_New_Capacity_By_Vintage_In_Model_Year[San_Diego_Pumped_Storage,2045,2045]) + 0.337*Reliability_Capacity_In_Model_Year[System RA,Baja_California_Wind,2045] + Reliability_Capacity_In_Model_Year[System RA,Greater_Imperial_Geothermal,2045] + 0.106*Reliability_Capacity_In_Model_Year[System RA,Imperial_Solar,2045]  &lt;=  2901.0</t>
  </si>
  <si>
    <t>caiso-deliverability_Encina_San_Luis_Rey_deliverable_peak_secondary.2045</t>
  </si>
  <si>
    <t>(Operational_Planned_Capacity_In_Model_Year[Encina_San_Luis_Rey_group,2045] + Operational_New_Capacity_By_Vintage_In_Model_Year[Encina_San_Luis_Rey_group,2045,2045])*-1.0 + (Operational_Planned_Capacity_In_Model_Year[Imperial_Li_Battery,2045] + Operational_New_Capacity_By_Vintage_In_Model_Year[Imperial_Li_Battery,2045,2045]) + (Operational_Planned_Capacity_In_Model_Year[San_Diego_Li_Battery,2045] + Operational_New_Capacity_By_Vintage_In_Model_Year[San_Diego_Li_Battery,2045,2045]) + (Operational_Planned_Capacity_In_Model_Year[San_Diego_Pumped_Storage,2045] + Operational_New_Capacity_By_Vintage_In_Model_Year[San_Diego_Pumped_Storage,2045,2045]) + 0.112*Reliability_Capacity_In_Model_Year[System RA,Baja_California_Wind,2045] + Reliability_Capacity_In_Model_Year[System RA,Greater_Imperial_Geothermal,2045] + 0.427*Reliability_Capacity_In_Model_Year[System RA,Imperial_Solar,2045]  &lt;=  2901.0</t>
  </si>
  <si>
    <t>caiso-deliverability_Encina_San_Luis_Rey_offpeak.2045</t>
  </si>
  <si>
    <t>Operational_New_Capacity_By_Vintage_In_Model_Year[Baja_California_Wind,2045,2045]*0.44 + Operational_New_Capacity_By_Vintage_In_Model_Year[Greater_Imperial_Geothermal,2045,2045] + Operational_New_Capacity_By_Vintage_In_Model_Year[Imperial_Li_Battery,2045,2045]*-1.0 + Operational_New_Capacity_By_Vintage_In_Model_Year[Imperial_Solar,2045,2045]*0.77 + Operational_New_Capacity_By_Vintage_In_Model_Year[San_Diego_Li_Battery,2045,2045]*-1.0 + Operational_New_Capacity_By_Vintage_In_Model_Year[San_Diego_Pumped_Storage,2045,2045]*-1.0  &lt;=  3035.0</t>
  </si>
  <si>
    <t>caiso-deliverability_Gates_500_230_Transformer_deliverable_peak_highest.2045</t>
  </si>
  <si>
    <t>(Operational_Planned_Capacity_In_Model_Year[Gates_500_230_Transformer_group,2045] + Operational_New_Capacity_By_Vintage_In_Model_Year[Gates_500_230_Transformer_group,2045,2045])*-1.0 + 0.665*Reliability_Capacity_In_Model_Year[System RA,Carrizo_Wind,2045] + 0.665*Reliability_Capacity_In_Model_Year[System RA,Central_Valley_North_Los_Banos_Wind,2045] + 0.665*Reliability_Capacity_In_Model_Year[System RA,Kern_Greater_Carrizo_Wind,2045] + Reliability_Capacity_In_Model_Year[System RA,Morro_Bay_Offshore_Wind,2045]  &lt;=  3151.0</t>
  </si>
  <si>
    <t>caiso-deliverability_Gates_500_230_Transformer_deliverable_peak_secondary.2045</t>
  </si>
  <si>
    <t>(Operational_Planned_Capacity_In_Model_Year[Gates_500_230_Transformer_group,2045] + Operational_New_Capacity_By_Vintage_In_Model_Year[Gates_500_230_Transformer_group,2045,2045])*-1.0 + 0.163*Reliability_Capacity_In_Model_Year[System RA,Carrizo_Wind,2045] + 0.163*Reliability_Capacity_In_Model_Year[System RA,Central_Valley_North_Los_Banos_Wind,2045] + 0.163*Reliability_Capacity_In_Model_Year[System RA,Kern_Greater_Carrizo_Wind,2045] + 0.256287329*Reliability_Capacity_In_Model_Year[System RA,Morro_Bay_Offshore_Wind,2045]  &lt;=  3151.0</t>
  </si>
  <si>
    <t>caiso-deliverability_Gates_500_230_Transformer_offpeak.2045</t>
  </si>
  <si>
    <t>(Operational_Planned_Capacity_In_Model_Year[Gates_500_230_Transformer_group,2045] + Operational_New_Capacity_By_Vintage_In_Model_Year[Gates_500_230_Transformer_group,2045,2045])*-0.21648327 + Operational_New_Capacity_By_Vintage_In_Model_Year[Carrizo_Wind,2045,2045]*0.44 + Operational_New_Capacity_By_Vintage_In_Model_Year[Central_Valley_North_Los_Banos_Wind,2045,2045]*0.44 + Operational_New_Capacity_By_Vintage_In_Model_Year[Kern_Greater_Carrizo_Wind,2045,2045]*0.44 + Operational_New_Capacity_By_Vintage_In_Model_Year[Morro_Bay_Offshore_Wind,2045,2045]*0.691818558  &lt;=  3279.0</t>
  </si>
  <si>
    <t>caiso-deliverability_Gates_Arco_Midway_230_deliverable_peak_highest.2045</t>
  </si>
  <si>
    <t>(Operational_Planned_Capacity_In_Model_Year[Gates_Arco_Midway_230_group,2045] + Operational_New_Capacity_By_Vintage_In_Model_Year[Gates_Arco_Midway_230_group,2045,2045])*-1.0 + 0.665*Reliability_Capacity_In_Model_Year[System RA,Carrizo_Wind,2045] + 0.665*Reliability_Capacity_In_Model_Year[System RA,Kern_Greater_Carrizo_Wind,2045] + Reliability_Capacity_In_Model_Year[System RA,Morro_Bay_Offshore_Wind,2045]  &lt;=  1431.0</t>
  </si>
  <si>
    <t>caiso-deliverability_Gates_Arco_Midway_230_deliverable_peak_secondary.2045</t>
  </si>
  <si>
    <t>(Operational_Planned_Capacity_In_Model_Year[Gates_Arco_Midway_230_group,2045] + Operational_New_Capacity_By_Vintage_In_Model_Year[Gates_Arco_Midway_230_group,2045,2045])*-1.0 + 0.163*Reliability_Capacity_In_Model_Year[System RA,Carrizo_Wind,2045] + 0.163*Reliability_Capacity_In_Model_Year[System RA,Kern_Greater_Carrizo_Wind,2045] + 0.256287329*Reliability_Capacity_In_Model_Year[System RA,Morro_Bay_Offshore_Wind,2045]  &lt;=  1431.0</t>
  </si>
  <si>
    <t>caiso-deliverability_Gates_Arco_Midway_230_offpeak.2045</t>
  </si>
  <si>
    <t>Operational_New_Capacity_By_Vintage_In_Model_Year[Carrizo_Wind,2045,2045]*0.44 + Operational_New_Capacity_By_Vintage_In_Model_Year[Kern_Greater_Carrizo_Wind,2045,2045]*0.44 + Operational_New_Capacity_By_Vintage_In_Model_Year[Morro_Bay_Offshore_Wind,2045,2045]*0.691818558  &lt;=  2568.0</t>
  </si>
  <si>
    <t>caiso-deliverability_Gates_Panoche_230_deliverable_peak_highest.2045</t>
  </si>
  <si>
    <t>(Operational_Planned_Capacity_In_Model_Year[Gates_Panoche_230_group,2045] + Operational_New_Capacity_By_Vintage_In_Model_Year[Gates_Panoche_230_group,2045,2045])*-1.0 + (Operational_Planned_Capacity_In_Model_Year[Southern_PGAE_Li_Battery,2045] + Operational_New_Capacity_By_Vintage_In_Model_Year[Southern_PGAE_Li_Battery,2045,2045]) + 0.665*Reliability_Capacity_In_Model_Year[System RA,Carrizo_Wind,2045] + Reliability_Capacity_In_Model_Year[System RA,Morro_Bay_Offshore_Wind,2045] + 0.1*Reliability_Capacity_In_Model_Year[System RA,Southern_PGAE_Solar,2045]  &lt;=  10830.0</t>
  </si>
  <si>
    <t>caiso-deliverability_Gates_Panoche_230_deliverable_peak_secondary.2045</t>
  </si>
  <si>
    <t>(Operational_Planned_Capacity_In_Model_Year[Gates_Panoche_230_group,2045] + Operational_New_Capacity_By_Vintage_In_Model_Year[Gates_Panoche_230_group,2045,2045])*-1.0 + (Operational_Planned_Capacity_In_Model_Year[Southern_PGAE_Li_Battery,2045] + Operational_New_Capacity_By_Vintage_In_Model_Year[Southern_PGAE_Li_Battery,2045,2045]) + 0.163*Reliability_Capacity_In_Model_Year[System RA,Carrizo_Wind,2045] + 0.256287329*Reliability_Capacity_In_Model_Year[System RA,Morro_Bay_Offshore_Wind,2045] + 0.556*Reliability_Capacity_In_Model_Year[System RA,Southern_PGAE_Solar,2045]  &lt;=  10830.0</t>
  </si>
  <si>
    <t>caiso-deliverability_Gates_Panoche_230_offpeak.2045</t>
  </si>
  <si>
    <t>Operational_New_Capacity_By_Vintage_In_Model_Year[Carrizo_Wind,2045,2045]*0.44 + Operational_New_Capacity_By_Vintage_In_Model_Year[Morro_Bay_Offshore_Wind,2045,2045]*0.691818558 + Operational_New_Capacity_By_Vintage_In_Model_Year[Southern_PGAE_Li_Battery,2045,2045]*-1.0 + Operational_New_Capacity_By_Vintage_In_Model_Year[Southern_PGAE_Solar,2045,2045]*0.79  &lt;=  10830.0</t>
  </si>
  <si>
    <t>caiso-deliverability_GLW_VEA_deliverable_peak_highest.2045</t>
  </si>
  <si>
    <t>(Operational_Planned_Capacity_In_Model_Year[GLW_VEA_group,2045] + Operational_New_Capacity_By_Vintage_In_Model_Year[GLW_VEA_group,2045,2045])*-1.0 + Reliability_Capacity_In_Model_Year[System RA,Southern_Nevada_Geothermal,2045] + 0.557*Reliability_Capacity_In_Model_Year[System RA,Southern_Nevada_Wind,2045]  &lt;=  300.0</t>
  </si>
  <si>
    <t>caiso-deliverability_GLW_VEA_deliverable_peak_secondary.2045</t>
  </si>
  <si>
    <t>(Operational_Planned_Capacity_In_Model_Year[GLW_VEA_group,2045] + Operational_New_Capacity_By_Vintage_In_Model_Year[GLW_VEA_group,2045,2045])*-1.0 + Reliability_Capacity_In_Model_Year[System RA,Southern_Nevada_Geothermal,2045] + 0.208*Reliability_Capacity_In_Model_Year[System RA,Southern_Nevada_Wind,2045]  &lt;=  300.0</t>
  </si>
  <si>
    <t>caiso-deliverability_GLW_VEA_offpeak.2045</t>
  </si>
  <si>
    <t>(Operational_Planned_Capacity_In_Model_Year[GLW_VEA_group,2045] + Operational_New_Capacity_By_Vintage_In_Model_Year[GLW_VEA_group,2045,2045])*-1.11 + Operational_New_Capacity_By_Vintage_In_Model_Year[Southern_Nevada_Geothermal,2045,2045] + Operational_New_Capacity_By_Vintage_In_Model_Year[Southern_Nevada_Wind,2045,2045]*0.44  &lt;=  269.0</t>
  </si>
  <si>
    <t>caiso-deliverability_Greater_LA_deliverable_peak_highest.2045</t>
  </si>
  <si>
    <t>(Operational_Planned_Capacity_In_Model_Year[Greater_LA_group,2045] + Operational_New_Capacity_By_Vintage_In_Model_Year[Greater_LA_group,2045,2045])*-1.0 + (Operational_Planned_Capacity_In_Model_Year[Greater_LA_Li_Battery,2045] + Operational_New_Capacity_By_Vintage_In_Model_Year[Greater_LA_Li_Battery,2045,2045]) + (Operational_Planned_Capacity_In_Model_Year[Riverside_West_Pumped_Storage,2045] + Operational_New_Capacity_By_Vintage_In_Model_Year[Riverside_West_Pumped_Storage,2045,2045]) + 0.106*Reliability_Capacity_In_Model_Year[System RA,Greater_LA_Solar,2045]  &lt;=  7241.0</t>
  </si>
  <si>
    <t>caiso-deliverability_Greater_LA_deliverable_peak_secondary.2045</t>
  </si>
  <si>
    <t>(Operational_Planned_Capacity_In_Model_Year[Greater_LA_group,2045] + Operational_New_Capacity_By_Vintage_In_Model_Year[Greater_LA_group,2045,2045])*-1.0 + (Operational_Planned_Capacity_In_Model_Year[Greater_LA_Li_Battery,2045] + Operational_New_Capacity_By_Vintage_In_Model_Year[Greater_LA_Li_Battery,2045,2045]) + (Operational_Planned_Capacity_In_Model_Year[Riverside_West_Pumped_Storage,2045] + Operational_New_Capacity_By_Vintage_In_Model_Year[Riverside_West_Pumped_Storage,2045,2045]) + 0.427*Reliability_Capacity_In_Model_Year[System RA,Greater_LA_Solar,2045]  &lt;=  7241.0</t>
  </si>
  <si>
    <t>caiso-deliverability_Greater_LA_offpeak.2045</t>
  </si>
  <si>
    <t>(Operational_Planned_Capacity_In_Model_Year[Greater_LA_group,2045] + Operational_New_Capacity_By_Vintage_In_Model_Year[Greater_LA_group,2045,2045])*-1.0 + Operational_New_Capacity_By_Vintage_In_Model_Year[Greater_LA_Li_Battery,2045,2045]*-1.0 + Operational_New_Capacity_By_Vintage_In_Model_Year[Greater_LA_Solar,2045,2045]*0.77 + Operational_New_Capacity_By_Vintage_In_Model_Year[Riverside_West_Pumped_Storage,2045,2045]*-1.0  &lt;=  7241.0</t>
  </si>
  <si>
    <t>caiso-deliverability_Humboldt_Trinity_115_deliverable_peak_highest.2045</t>
  </si>
  <si>
    <t>(Operational_Planned_Capacity_In_Model_Year[Humboldt_Trinity_115_group,2045] + Operational_New_Capacity_By_Vintage_In_Model_Year[Humboldt_Trinity_115_group,2045,2045])*-1.0 + Reliability_Capacity_In_Model_Year[System RA,Humboldt_Bay_Offshore_Wind,2045] + 0.665*Reliability_Capacity_In_Model_Year[System RA,Humboldt_Wind,2045]  &lt;=  20.52</t>
  </si>
  <si>
    <t>caiso-deliverability_Humboldt_Trinity_115_deliverable_peak_secondary.2045</t>
  </si>
  <si>
    <t>(Operational_Planned_Capacity_In_Model_Year[Humboldt_Trinity_115_group,2045] + Operational_New_Capacity_By_Vintage_In_Model_Year[Humboldt_Trinity_115_group,2045,2045])*-1.0 + 0.296158341*Reliability_Capacity_In_Model_Year[System RA,Humboldt_Bay_Offshore_Wind,2045] + 0.163*Reliability_Capacity_In_Model_Year[System RA,Humboldt_Wind,2045]  &lt;=  20.52</t>
  </si>
  <si>
    <t>caiso-deliverability_Humboldt_Trinity_115_offpeak.2045</t>
  </si>
  <si>
    <t>Operational_New_Capacity_By_Vintage_In_Model_Year[Humboldt_Bay_Offshore_Wind,2045,2045] + Operational_New_Capacity_By_Vintage_In_Model_Year[Humboldt_Wind,2045,2045]*0.64  &lt;=  63.0</t>
  </si>
  <si>
    <t>caiso-deliverability_Imperial_Valley_deliverable_peak_highest.2045</t>
  </si>
  <si>
    <t>(Operational_Planned_Capacity_In_Model_Year[Imperial_Li_Battery,2045] + Operational_New_Capacity_By_Vintage_In_Model_Year[Imperial_Li_Battery,2045,2045]) + (Operational_Planned_Capacity_In_Model_Year[Imperial_Valley_group,2045] + Operational_New_Capacity_By_Vintage_In_Model_Year[Imperial_Valley_group,2045,2045])*-1.0 + Reliability_Capacity_In_Model_Year[System RA,Greater_Imperial_Geothermal,2045] + 0.106*Reliability_Capacity_In_Model_Year[System RA,Imperial_Solar,2045]  &lt;=  1959.0</t>
  </si>
  <si>
    <t>caiso-deliverability_Imperial_Valley_deliverable_peak_secondary.2045</t>
  </si>
  <si>
    <t>(Operational_Planned_Capacity_In_Model_Year[Imperial_Li_Battery,2045] + Operational_New_Capacity_By_Vintage_In_Model_Year[Imperial_Li_Battery,2045,2045]) + (Operational_Planned_Capacity_In_Model_Year[Imperial_Valley_group,2045] + Operational_New_Capacity_By_Vintage_In_Model_Year[Imperial_Valley_group,2045,2045])*-1.0 + Reliability_Capacity_In_Model_Year[System RA,Greater_Imperial_Geothermal,2045] + 0.427*Reliability_Capacity_In_Model_Year[System RA,Imperial_Solar,2045]  &lt;=  1959.0</t>
  </si>
  <si>
    <t>caiso-deliverability_Imperial_Valley_offpeak.2045</t>
  </si>
  <si>
    <t>Operational_New_Capacity_By_Vintage_In_Model_Year[Greater_Imperial_Geothermal,2045,2045] + Operational_New_Capacity_By_Vintage_In_Model_Year[Imperial_Li_Battery,2045,2045]*-1.0 + Operational_New_Capacity_By_Vintage_In_Model_Year[Imperial_Solar,2045,2045]*0.77  &lt;=  1959.0</t>
  </si>
  <si>
    <t>caiso-deliverability_Internal_San_Diego_deliverable_peak_highest.2045</t>
  </si>
  <si>
    <t>(Operational_Planned_Capacity_In_Model_Year[Imperial_Li_Battery,2045] + Operational_New_Capacity_By_Vintage_In_Model_Year[Imperial_Li_Battery,2045,2045]) + (Operational_Planned_Capacity_In_Model_Year[Internal_San_Diego_group,2045] + Operational_New_Capacity_By_Vintage_In_Model_Year[Internal_San_Diego_group,2045,2045])*-1.0 + (Operational_Planned_Capacity_In_Model_Year[San_Diego_Li_Battery,2045] + Operational_New_Capacity_By_Vintage_In_Model_Year[San_Diego_Li_Battery,2045,2045]) + (Operational_Planned_Capacity_In_Model_Year[San_Diego_Pumped_Storage,2045] + Operational_New_Capacity_By_Vintage_In_Model_Year[San_Diego_Pumped_Storage,2045,2045]) + 0.337*Reliability_Capacity_In_Model_Year[System RA,Baja_California_Wind,2045] + Reliability_Capacity_In_Model_Year[System RA,Greater_Imperial_Geothermal,2045] + 0.106*Reliability_Capacity_In_Model_Year[System RA,Imperial_Solar,2045]  &lt;=  968.0</t>
  </si>
  <si>
    <t>caiso-deliverability_Internal_San_Diego_deliverable_peak_secondary.2045</t>
  </si>
  <si>
    <t>(Operational_Planned_Capacity_In_Model_Year[Imperial_Li_Battery,2045] + Operational_New_Capacity_By_Vintage_In_Model_Year[Imperial_Li_Battery,2045,2045]) + (Operational_Planned_Capacity_In_Model_Year[Internal_San_Diego_group,2045] + Operational_New_Capacity_By_Vintage_In_Model_Year[Internal_San_Diego_group,2045,2045])*-1.0 + (Operational_Planned_Capacity_In_Model_Year[San_Diego_Li_Battery,2045] + Operational_New_Capacity_By_Vintage_In_Model_Year[San_Diego_Li_Battery,2045,2045]) + (Operational_Planned_Capacity_In_Model_Year[San_Diego_Pumped_Storage,2045] + Operational_New_Capacity_By_Vintage_In_Model_Year[San_Diego_Pumped_Storage,2045,2045]) + 0.112*Reliability_Capacity_In_Model_Year[System RA,Baja_California_Wind,2045] + Reliability_Capacity_In_Model_Year[System RA,Greater_Imperial_Geothermal,2045] + 0.427*Reliability_Capacity_In_Model_Year[System RA,Imperial_Solar,2045]  &lt;=  968.0</t>
  </si>
  <si>
    <t>caiso-deliverability_Internal_San_Diego_offpeak.2045</t>
  </si>
  <si>
    <t>(Operational_Planned_Capacity_In_Model_Year[Internal_San_Diego_group,2045] + Operational_New_Capacity_By_Vintage_In_Model_Year[Internal_San_Diego_group,2045,2045])*-0.132559265 + Operational_New_Capacity_By_Vintage_In_Model_Year[Baja_California_Wind,2045,2045]*0.44 + Operational_New_Capacity_By_Vintage_In_Model_Year[Greater_Imperial_Geothermal,2045,2045] + Operational_New_Capacity_By_Vintage_In_Model_Year[Imperial_Li_Battery,2045,2045]*-1.0 + Operational_New_Capacity_By_Vintage_In_Model_Year[Imperial_Solar,2045,2045]*0.77 + Operational_New_Capacity_By_Vintage_In_Model_Year[San_Diego_Li_Battery,2045,2045]*-1.0 + Operational_New_Capacity_By_Vintage_In_Model_Year[San_Diego_Pumped_Storage,2045,2045]*-1.0  &lt;=  290.0</t>
  </si>
  <si>
    <t>caiso-deliverability_Los_Banos_500_230_Transformer_deliverable_peak_highest.2045</t>
  </si>
  <si>
    <t>(Operational_Planned_Capacity_In_Model_Year[Los_Banos_500_230_Transformer_group,2045] + Operational_New_Capacity_By_Vintage_In_Model_Year[Los_Banos_500_230_Transformer_group,2045,2045])*-1.0 + 0.665*Reliability_Capacity_In_Model_Year[System RA,Central_Valley_North_Los_Banos_Wind,2045]  &lt;=  1127.0</t>
  </si>
  <si>
    <t>caiso-deliverability_Los_Banos_500_230_Transformer_deliverable_peak_secondary.2045</t>
  </si>
  <si>
    <t>(Operational_Planned_Capacity_In_Model_Year[Los_Banos_500_230_Transformer_group,2045] + Operational_New_Capacity_By_Vintage_In_Model_Year[Los_Banos_500_230_Transformer_group,2045,2045])*-1.0 + 0.163*Reliability_Capacity_In_Model_Year[System RA,Central_Valley_North_Los_Banos_Wind,2045]  &lt;=  1127.0</t>
  </si>
  <si>
    <t>caiso-deliverability_Los_Banos_500_230_Transformer_offpeak.2045</t>
  </si>
  <si>
    <t>Operational_New_Capacity_By_Vintage_In_Model_Year[Central_Valley_North_Los_Banos_Wind,2045,2045]*0.44  &lt;=  2534.0</t>
  </si>
  <si>
    <t>caiso-deliverability_Los_Banos_Gates_500_OPDS_deliverable_peak_highest.2045</t>
  </si>
  <si>
    <t>0.665*Reliability_Capacity_In_Model_Year[System RA,Carrizo_Wind,2045] + 0.665*Reliability_Capacity_In_Model_Year[System RA,Kern_Greater_Carrizo_Wind,2045]  &lt;=  1273.0</t>
  </si>
  <si>
    <t>caiso-deliverability_Los_Banos_Gates_500_OPDS_deliverable_peak_secondary.2045</t>
  </si>
  <si>
    <t>0.163*Reliability_Capacity_In_Model_Year[System RA,Carrizo_Wind,2045] + 0.163*Reliability_Capacity_In_Model_Year[System RA,Kern_Greater_Carrizo_Wind,2045]  &lt;=  1273.0</t>
  </si>
  <si>
    <t>caiso-deliverability_Los_Banos_Gates_500_OPDS_offpeak.2045</t>
  </si>
  <si>
    <t>(Operational_Planned_Capacity_In_Model_Year[Los_Banos_Gates_500_OPDS_group,2045] + Operational_New_Capacity_By_Vintage_In_Model_Year[Los_Banos_Gates_500_OPDS_group,2045,2045])*-1.0 + Operational_New_Capacity_By_Vintage_In_Model_Year[Carrizo_Wind,2045,2045]*0.44 + Operational_New_Capacity_By_Vintage_In_Model_Year[Kern_Greater_Carrizo_Wind,2045,2045]*0.44  &lt;=  2425.0</t>
  </si>
  <si>
    <t>caiso-deliverability_Lugo_Transformer_deliverable_peak_highest.2045</t>
  </si>
  <si>
    <t>(Operational_Planned_Capacity_In_Model_Year[Greater_Kramer_Li_Battery,2045] + Operational_New_Capacity_By_Vintage_In_Model_Year[Greater_Kramer_Li_Battery,2045,2045]) + (Operational_Planned_Capacity_In_Model_Year[Lugo_Transformer_group,2045] + Operational_New_Capacity_By_Vintage_In_Model_Year[Lugo_Transformer_group,2045,2045])*-1.0 + 0.106*Reliability_Capacity_In_Model_Year[System RA,Greater_Kramer_Solar,2045] + Reliability_Capacity_In_Model_Year[System RA,Inyokern_North_Kramer_Geothermal,2045]  &lt;=  1576.0</t>
  </si>
  <si>
    <t>caiso-deliverability_Lugo_Transformer_deliverable_peak_secondary.2045</t>
  </si>
  <si>
    <t>(Operational_Planned_Capacity_In_Model_Year[Greater_Kramer_Li_Battery,2045] + Operational_New_Capacity_By_Vintage_In_Model_Year[Greater_Kramer_Li_Battery,2045,2045]) + (Operational_Planned_Capacity_In_Model_Year[Lugo_Transformer_group,2045] + Operational_New_Capacity_By_Vintage_In_Model_Year[Lugo_Transformer_group,2045,2045])*-1.0 + 0.427*Reliability_Capacity_In_Model_Year[System RA,Greater_Kramer_Solar,2045] + Reliability_Capacity_In_Model_Year[System RA,Inyokern_North_Kramer_Geothermal,2045]  &lt;=  1576.0</t>
  </si>
  <si>
    <t>caiso-deliverability_Lugo_Transformer_offpeak.2045</t>
  </si>
  <si>
    <t>Operational_New_Capacity_By_Vintage_In_Model_Year[Greater_Kramer_Li_Battery,2045,2045]*-1.0 + Operational_New_Capacity_By_Vintage_In_Model_Year[Greater_Kramer_Solar,2045,2045]*0.77 + Operational_New_Capacity_By_Vintage_In_Model_Year[Inyokern_North_Kramer_Geothermal,2045,2045]  &lt;=  1619.0</t>
  </si>
  <si>
    <t>caiso-deliverability_Mohave_Eldorado_500_deliverable_peak_highest.2045</t>
  </si>
  <si>
    <t>0.791809513*Reliability_Capacity_In_Model_Year[System RA,Wyoming_Wind,2045]  &lt;=  1560.0</t>
  </si>
  <si>
    <t>caiso-deliverability_Mohave_Eldorado_500_deliverable_peak_secondary.2045</t>
  </si>
  <si>
    <t>0.295684702*Reliability_Capacity_In_Model_Year[System RA,Wyoming_Wind,2045]  &lt;=  1560.0</t>
  </si>
  <si>
    <t>caiso-deliverability_Mohave_Eldorado_500_offpeak.2045</t>
  </si>
  <si>
    <t>Operational_New_Capacity_By_Vintage_In_Model_Year[Wyoming_Wind,2045,2045]*0.625486869  &lt;=  1560.0</t>
  </si>
  <si>
    <t>caiso-deliverability_Morro_Bay_Templeton_230_deliverable_peak_highest.2045</t>
  </si>
  <si>
    <t>(Operational_Planned_Capacity_In_Model_Year[Morro_Bay_Templeton_230_group,2045] + Operational_New_Capacity_By_Vintage_In_Model_Year[Morro_Bay_Templeton_230_group,2045,2045])*-1.0 + 0.665*Reliability_Capacity_In_Model_Year[System RA,Carrizo_Wind,2045] + 0.665*Reliability_Capacity_In_Model_Year[System RA,Central_Valley_North_Los_Banos_Wind,2045] + 0.665*Reliability_Capacity_In_Model_Year[System RA,Kern_Greater_Carrizo_Wind,2045] + Reliability_Capacity_In_Model_Year[System RA,Morro_Bay_Offshore_Wind,2045]  &lt;=  1707.56</t>
  </si>
  <si>
    <t>caiso-deliverability_Morro_Bay_Templeton_230_deliverable_peak_secondary.2045</t>
  </si>
  <si>
    <t>(Operational_Planned_Capacity_In_Model_Year[Morro_Bay_Templeton_230_group,2045] + Operational_New_Capacity_By_Vintage_In_Model_Year[Morro_Bay_Templeton_230_group,2045,2045])*-1.0 + 0.163*Reliability_Capacity_In_Model_Year[System RA,Carrizo_Wind,2045] + 0.163*Reliability_Capacity_In_Model_Year[System RA,Central_Valley_North_Los_Banos_Wind,2045] + 0.163*Reliability_Capacity_In_Model_Year[System RA,Kern_Greater_Carrizo_Wind,2045] + 0.256287329*Reliability_Capacity_In_Model_Year[System RA,Morro_Bay_Offshore_Wind,2045]  &lt;=  1707.56</t>
  </si>
  <si>
    <t>caiso-deliverability_Morro_Bay_Templeton_230_offpeak.2045</t>
  </si>
  <si>
    <t>Operational_New_Capacity_By_Vintage_In_Model_Year[Carrizo_Wind,2045,2045]*0.44 + Operational_New_Capacity_By_Vintage_In_Model_Year[Central_Valley_North_Los_Banos_Wind,2045,2045]*0.44 + Operational_New_Capacity_By_Vintage_In_Model_Year[Kern_Greater_Carrizo_Wind,2045,2045]*0.44 + Operational_New_Capacity_By_Vintage_In_Model_Year[Morro_Bay_Offshore_Wind,2045,2045]*0.691818558  &lt;=  1903.0</t>
  </si>
  <si>
    <t>caiso-deliverability_Moss_Landing_Los_Banos_230_OPDS_deliverable_peak_highest.2045</t>
  </si>
  <si>
    <t>0.665*Reliability_Capacity_In_Model_Year[System RA,Carrizo_Wind,2045] + 0.665*Reliability_Capacity_In_Model_Year[System RA,Central_Valley_North_Los_Banos_Wind,2045] + 0.665*Reliability_Capacity_In_Model_Year[System RA,Kern_Greater_Carrizo_Wind,2045]  &lt;=  1611.0</t>
  </si>
  <si>
    <t>caiso-deliverability_Moss_Landing_Los_Banos_230_OPDS_deliverable_peak_secondary.2045</t>
  </si>
  <si>
    <t>0.163*Reliability_Capacity_In_Model_Year[System RA,Carrizo_Wind,2045] + 0.163*Reliability_Capacity_In_Model_Year[System RA,Central_Valley_North_Los_Banos_Wind,2045] + 0.163*Reliability_Capacity_In_Model_Year[System RA,Kern_Greater_Carrizo_Wind,2045]  &lt;=  1611.0</t>
  </si>
  <si>
    <t>caiso-deliverability_Moss_Landing_Los_Banos_230_OPDS_offpeak.2045</t>
  </si>
  <si>
    <t>(Operational_Planned_Capacity_In_Model_Year[Moss_Landing_Los_Banos_230_OPDS_group,2045] + Operational_New_Capacity_By_Vintage_In_Model_Year[Moss_Landing_Los_Banos_230_OPDS_group,2045,2045])*-1.0 + Operational_New_Capacity_By_Vintage_In_Model_Year[Carrizo_Wind,2045,2045]*0.44 + Operational_New_Capacity_By_Vintage_In_Model_Year[Central_Valley_North_Los_Banos_Wind,2045,2045]*0.44 + Operational_New_Capacity_By_Vintage_In_Model_Year[Kern_Greater_Carrizo_Wind,2045,2045]*0.44  &lt;=  3102.0</t>
  </si>
  <si>
    <t>caiso-deliverability_San_Luis_Rey_San_Onofre_deliverable_peak_highest.2045</t>
  </si>
  <si>
    <t>(Operational_Planned_Capacity_In_Model_Year[Imperial_Li_Battery,2045] + Operational_New_Capacity_By_Vintage_In_Model_Year[Imperial_Li_Battery,2045,2045]) + (Operational_Planned_Capacity_In_Model_Year[San_Diego_Li_Battery,2045] + Operational_New_Capacity_By_Vintage_In_Model_Year[San_Diego_Li_Battery,2045,2045]) + (Operational_Planned_Capacity_In_Model_Year[San_Diego_Pumped_Storage,2045] + Operational_New_Capacity_By_Vintage_In_Model_Year[San_Diego_Pumped_Storage,2045,2045]) + (Operational_Planned_Capacity_In_Model_Year[San_Luis_Rey_San_Onofre_group,2045] + Operational_New_Capacity_By_Vintage_In_Model_Year[San_Luis_Rey_San_Onofre_group,2045,2045])*-1.0 + 0.337*Reliability_Capacity_In_Model_Year[System RA,Baja_California_Wind,2045] + Reliability_Capacity_In_Model_Year[System RA,Greater_Imperial_Geothermal,2045] + 0.106*Reliability_Capacity_In_Model_Year[System RA,Imperial_Solar,2045]  &lt;=  1748.0</t>
  </si>
  <si>
    <t>caiso-deliverability_San_Luis_Rey_San_Onofre_deliverable_peak_secondary.2045</t>
  </si>
  <si>
    <t>(Operational_Planned_Capacity_In_Model_Year[Imperial_Li_Battery,2045] + Operational_New_Capacity_By_Vintage_In_Model_Year[Imperial_Li_Battery,2045,2045]) + (Operational_Planned_Capacity_In_Model_Year[San_Diego_Li_Battery,2045] + Operational_New_Capacity_By_Vintage_In_Model_Year[San_Diego_Li_Battery,2045,2045]) + (Operational_Planned_Capacity_In_Model_Year[San_Diego_Pumped_Storage,2045] + Operational_New_Capacity_By_Vintage_In_Model_Year[San_Diego_Pumped_Storage,2045,2045]) + (Operational_Planned_Capacity_In_Model_Year[San_Luis_Rey_San_Onofre_group,2045] + Operational_New_Capacity_By_Vintage_In_Model_Year[San_Luis_Rey_San_Onofre_group,2045,2045])*-1.0 + 0.112*Reliability_Capacity_In_Model_Year[System RA,Baja_California_Wind,2045] + Reliability_Capacity_In_Model_Year[System RA,Greater_Imperial_Geothermal,2045] + 0.427*Reliability_Capacity_In_Model_Year[System RA,Imperial_Solar,2045]  &lt;=  1748.0</t>
  </si>
  <si>
    <t>caiso-deliverability_San_Luis_Rey_San_Onofre_offpeak.2045</t>
  </si>
  <si>
    <t>Operational_New_Capacity_By_Vintage_In_Model_Year[Baja_California_Wind,2045,2045]*0.44 + Operational_New_Capacity_By_Vintage_In_Model_Year[Greater_Imperial_Geothermal,2045,2045] + Operational_New_Capacity_By_Vintage_In_Model_Year[Imperial_Li_Battery,2045,2045]*-1.0 + Operational_New_Capacity_By_Vintage_In_Model_Year[Imperial_Solar,2045,2045]*0.77 + Operational_New_Capacity_By_Vintage_In_Model_Year[San_Diego_Li_Battery,2045,2045]*-1.0 + Operational_New_Capacity_By_Vintage_In_Model_Year[San_Diego_Pumped_Storage,2045,2045]*-1.0  &lt;=  3281.0</t>
  </si>
  <si>
    <t>caiso-deliverability_Serrano_Alberhill_deliverable_peak_highest.2045</t>
  </si>
  <si>
    <t>(Operational_Planned_Capacity_In_Model_Year[Arizona_Li_Battery,2045] + Operational_New_Capacity_By_Vintage_In_Model_Year[Arizona_Li_Battery,2045,2045]) + (Operational_Planned_Capacity_In_Model_Year[Imperial_Li_Battery,2045] + Operational_New_Capacity_By_Vintage_In_Model_Year[Imperial_Li_Battery,2045,2045]) + (Operational_Planned_Capacity_In_Model_Year[Riverside_East_Pumped_Storage,2045] + Operational_New_Capacity_By_Vintage_In_Model_Year[Riverside_East_Pumped_Storage,2045,2045]) + (Operational_Planned_Capacity_In_Model_Year[Riverside_Li_Battery,2045] + Operational_New_Capacity_By_Vintage_In_Model_Year[Riverside_Li_Battery,2045,2045]) + (Operational_Planned_Capacity_In_Model_Year[Serrano_Alberhill_group,2045] + Operational_New_Capacity_By_Vintage_In_Model_Year[Serrano_Alberhill_group,2045,2045])*-1.0 + 0.106*Reliability_Capacity_In_Model_Year[System RA,Arizona_Solar,2045] + Reliability_Capacity_In_Model_Year[System RA,Greater_Imperial_Geothermal,2045] + 0.106*Reliability_Capacity_In_Model_Year[System RA,Imperial_Solar,2045] + 0.788194293*Reliability_Capacity_In_Model_Year[System RA,New_Mexico_Wind,2045] + Reliability_Capacity_In_Model_Year[System RA,Riverside_Palm_Springs_Geothermal,2045] + 0.607378563*Reliability_Capacity_In_Model_Year[System RA,Riverside_Palm_Springs_Wind,2045] + 0.106*Reliability_Capacity_In_Model_Year[System RA,Riverside_Solar,2045] + 0.647122475*Reliability_Capacity_In_Model_Year[System RA,SW_Ext_Tx_Wind,2045]  &lt;=  5700.0</t>
  </si>
  <si>
    <t>caiso-deliverability_Serrano_Alberhill_deliverable_peak_secondary.2045</t>
  </si>
  <si>
    <t>(Operational_Planned_Capacity_In_Model_Year[Arizona_Li_Battery,2045] + Operational_New_Capacity_By_Vintage_In_Model_Year[Arizona_Li_Battery,2045,2045]) + (Operational_Planned_Capacity_In_Model_Year[Imperial_Li_Battery,2045] + Operational_New_Capacity_By_Vintage_In_Model_Year[Imperial_Li_Battery,2045,2045]) + (Operational_Planned_Capacity_In_Model_Year[Riverside_East_Pumped_Storage,2045] + Operational_New_Capacity_By_Vintage_In_Model_Year[Riverside_East_Pumped_Storage,2045,2045]) + (Operational_Planned_Capacity_In_Model_Year[Riverside_Li_Battery,2045] + Operational_New_Capacity_By_Vintage_In_Model_Year[Riverside_Li_Battery,2045,2045]) + (Operational_Planned_Capacity_In_Model_Year[Serrano_Alberhill_group,2045] + Operational_New_Capacity_By_Vintage_In_Model_Year[Serrano_Alberhill_group,2045,2045])*-1.0 + 0.427*Reliability_Capacity_In_Model_Year[System RA,Arizona_Solar,2045] + Reliability_Capacity_In_Model_Year[System RA,Greater_Imperial_Geothermal,2045] + 0.427*Reliability_Capacity_In_Model_Year[System RA,Imperial_Solar,2045] + 0.294334673*Reliability_Capacity_In_Model_Year[System RA,New_Mexico_Wind,2045] + Reliability_Capacity_In_Model_Year[System RA,Riverside_Palm_Springs_Geothermal,2045] + 0.226812821*Reliability_Capacity_In_Model_Year[System RA,Riverside_Palm_Springs_Wind,2045] + 0.427*Reliability_Capacity_In_Model_Year[System RA,Riverside_Solar,2045] + 0.241654353*Reliability_Capacity_In_Model_Year[System RA,SW_Ext_Tx_Wind,2045]  &lt;=  5700.0</t>
  </si>
  <si>
    <t>caiso-deliverability_Serrano_Alberhill_offpeak.2045</t>
  </si>
  <si>
    <t>Operational_New_Capacity_By_Vintage_In_Model_Year[Arizona_Li_Battery,2045,2045]*-1.0 + Operational_New_Capacity_By_Vintage_In_Model_Year[Arizona_Solar,2045,2045]*0.77 + Operational_New_Capacity_By_Vintage_In_Model_Year[Greater_Imperial_Geothermal,2045,2045] + Operational_New_Capacity_By_Vintage_In_Model_Year[Imperial_Li_Battery,2045,2045]*-1.0 + Operational_New_Capacity_By_Vintage_In_Model_Year[Imperial_Solar,2045,2045]*0.77 + Operational_New_Capacity_By_Vintage_In_Model_Year[New_Mexico_Wind,2045,2045]*0.622631039 + Operational_New_Capacity_By_Vintage_In_Model_Year[Riverside_East_Pumped_Storage,2045,2045]*-1.0 + Operational_New_Capacity_By_Vintage_In_Model_Year[Riverside_Li_Battery,2045,2045]*-1.0 + Operational_New_Capacity_By_Vintage_In_Model_Year[Riverside_Palm_Springs_Geothermal,2045,2045] + 0.0*0.479796352 + Operational_New_Capacity_By_Vintage_In_Model_Year[Riverside_Solar,2045,2045]*0.77 + Operational_New_Capacity_By_Vintage_In_Model_Year[SW_Ext_Tx_Wind,2045,2045]*0.511191901  &lt;=  11800.0</t>
  </si>
  <si>
    <t>caiso-deliverability_Silvergate_Bay_Boulevard_deliverable_peak_highest.2045</t>
  </si>
  <si>
    <t>(Operational_Planned_Capacity_In_Model_Year[Imperial_Li_Battery,2045] + Operational_New_Capacity_By_Vintage_In_Model_Year[Imperial_Li_Battery,2045,2045]) + (Operational_Planned_Capacity_In_Model_Year[San_Diego_Li_Battery,2045] + Operational_New_Capacity_By_Vintage_In_Model_Year[San_Diego_Li_Battery,2045,2045]) + (Operational_Planned_Capacity_In_Model_Year[Silvergate_Bay_Boulevard_group,2045] + Operational_New_Capacity_By_Vintage_In_Model_Year[Silvergate_Bay_Boulevard_group,2045,2045])*-1.0 + 0.337*Reliability_Capacity_In_Model_Year[System RA,Baja_California_Wind,2045] + Reliability_Capacity_In_Model_Year[System RA,Greater_Imperial_Geothermal,2045] + 0.106*Reliability_Capacity_In_Model_Year[System RA,Imperial_Solar,2045]  &lt;=  1202.0</t>
  </si>
  <si>
    <t>caiso-deliverability_Silvergate_Bay_Boulevard_deliverable_peak_secondary.2045</t>
  </si>
  <si>
    <t>(Operational_Planned_Capacity_In_Model_Year[Imperial_Li_Battery,2045] + Operational_New_Capacity_By_Vintage_In_Model_Year[Imperial_Li_Battery,2045,2045]) + (Operational_Planned_Capacity_In_Model_Year[San_Diego_Li_Battery,2045] + Operational_New_Capacity_By_Vintage_In_Model_Year[San_Diego_Li_Battery,2045,2045]) + (Operational_Planned_Capacity_In_Model_Year[Silvergate_Bay_Boulevard_group,2045] + Operational_New_Capacity_By_Vintage_In_Model_Year[Silvergate_Bay_Boulevard_group,2045,2045])*-1.0 + 0.112*Reliability_Capacity_In_Model_Year[System RA,Baja_California_Wind,2045] + Reliability_Capacity_In_Model_Year[System RA,Greater_Imperial_Geothermal,2045] + 0.427*Reliability_Capacity_In_Model_Year[System RA,Imperial_Solar,2045]  &lt;=  1202.0</t>
  </si>
  <si>
    <t>caiso-deliverability_Silvergate_Bay_Boulevard_offpeak.2045</t>
  </si>
  <si>
    <t>Operational_New_Capacity_By_Vintage_In_Model_Year[Baja_California_Wind,2045,2045]*0.69 + Operational_New_Capacity_By_Vintage_In_Model_Year[Greater_Imperial_Geothermal,2045,2045] + Operational_New_Capacity_By_Vintage_In_Model_Year[Imperial_Li_Battery,2045,2045]*-1.0 + Operational_New_Capacity_By_Vintage_In_Model_Year[Imperial_Solar,2045,2045]*0.68 + Operational_New_Capacity_By_Vintage_In_Model_Year[San_Diego_Li_Battery,2045,2045]*-1.0  &lt;=  2163.0</t>
  </si>
  <si>
    <t>caiso-deliverability_South_Kramer_Victor_deliverable_peak_highest.2045</t>
  </si>
  <si>
    <t>(Operational_Planned_Capacity_In_Model_Year[South_Kramer_Victor_group,2045] + Operational_New_Capacity_By_Vintage_In_Model_Year[South_Kramer_Victor_group,2045,2045])*-1.0 + Reliability_Capacity_In_Model_Year[System RA,Inyokern_North_Kramer_Geothermal,2045]  &lt;=  826.0</t>
  </si>
  <si>
    <t>caiso-deliverability_South_Kramer_Victor_deliverable_peak_secondary.2045</t>
  </si>
  <si>
    <t>caiso-deliverability_South_Kramer_Victor_Lugo_deliverable_peak_highest.2045</t>
  </si>
  <si>
    <t>(Operational_Planned_Capacity_In_Model_Year[South_Kramer_Victor_Lugo_group,2045] + Operational_New_Capacity_By_Vintage_In_Model_Year[South_Kramer_Victor_Lugo_group,2045,2045])*-1.0 + Reliability_Capacity_In_Model_Year[System RA,Inyokern_North_Kramer_Geothermal,2045]  &lt;=  1156.0</t>
  </si>
  <si>
    <t>caiso-deliverability_South_Kramer_Victor_Lugo_deliverable_peak_secondary.2045</t>
  </si>
  <si>
    <t>caiso-deliverability_South_Kramer_Victor_Lugo_offpeak.2045</t>
  </si>
  <si>
    <t>Operational_New_Capacity_By_Vintage_In_Model_Year[Inyokern_North_Kramer_Geothermal,2045,2045]  &lt;=  1311.0</t>
  </si>
  <si>
    <t>caiso-deliverability_South_Kramer_Victor_offpeak.2045</t>
  </si>
  <si>
    <t>(Operational_Planned_Capacity_In_Model_Year[South_Kramer_Victor_group,2045] + Operational_New_Capacity_By_Vintage_In_Model_Year[South_Kramer_Victor_group,2045,2045])*-1.11627907 + Operational_New_Capacity_By_Vintage_In_Model_Year[Inyokern_North_Kramer_Geothermal,2045,2045]  &lt;=  1237.02</t>
  </si>
  <si>
    <t>caiso-deliverability_Tehachapi_Antelope_deliverable_peak_highest.2045</t>
  </si>
  <si>
    <t>(Operational_Planned_Capacity_In_Model_Year[Tehachapi_Antelope_group,2045] + Operational_New_Capacity_By_Vintage_In_Model_Year[Tehachapi_Antelope_group,2045,2045])*-1.0 + (Operational_Planned_Capacity_In_Model_Year[Tehachapi_Li_Battery,2045] + Operational_New_Capacity_By_Vintage_In_Model_Year[Tehachapi_Li_Battery,2045,2045]) + (Operational_Planned_Capacity_In_Model_Year[Tehachapi_Pumped_Storage,2045] + Operational_New_Capacity_By_Vintage_In_Model_Year[Tehachapi_Pumped_Storage,2045,2045]) + 0.106*Reliability_Capacity_In_Model_Year[System RA,Tehachapi_Solar,2045] + 0.665*Reliability_Capacity_In_Model_Year[System RA,Tehachapi_Wind,2045]  &lt;=  4040.0</t>
  </si>
  <si>
    <t>caiso-deliverability_Tehachapi_Antelope_deliverable_peak_secondary.2045</t>
  </si>
  <si>
    <t>(Operational_Planned_Capacity_In_Model_Year[Tehachapi_Antelope_group,2045] + Operational_New_Capacity_By_Vintage_In_Model_Year[Tehachapi_Antelope_group,2045,2045])*-1.0 + (Operational_Planned_Capacity_In_Model_Year[Tehachapi_Li_Battery,2045] + Operational_New_Capacity_By_Vintage_In_Model_Year[Tehachapi_Li_Battery,2045,2045]) + (Operational_Planned_Capacity_In_Model_Year[Tehachapi_Pumped_Storage,2045] + Operational_New_Capacity_By_Vintage_In_Model_Year[Tehachapi_Pumped_Storage,2045,2045]) + 0.427*Reliability_Capacity_In_Model_Year[System RA,Tehachapi_Solar,2045] + 0.163*Reliability_Capacity_In_Model_Year[System RA,Tehachapi_Wind,2045]  &lt;=  4040.0</t>
  </si>
  <si>
    <t>caiso-deliverability_Tehachapi_Antelope_offpeak.2045</t>
  </si>
  <si>
    <t>Operational_New_Capacity_By_Vintage_In_Model_Year[Tehachapi_Li_Battery,2045,2045]*-1.0 + Operational_New_Capacity_By_Vintage_In_Model_Year[Tehachapi_Pumped_Storage,2045,2045]*-1.0 + Operational_New_Capacity_By_Vintage_In_Model_Year[Tehachapi_Solar,2045,2045]*0.77 + Operational_New_Capacity_By_Vintage_In_Model_Year[Tehachapi_Wind,2045,2045]*0.44  &lt;=  5171.0</t>
  </si>
  <si>
    <t>caiso-deliverability_Tesla_Westley_230_deliverable_peak_highest.2045</t>
  </si>
  <si>
    <t>(Operational_Planned_Capacity_In_Model_Year[Tesla_Westley_230_group,2045] + Operational_New_Capacity_By_Vintage_In_Model_Year[Tesla_Westley_230_group,2045,2045])*-1.0 + 0.665*Reliability_Capacity_In_Model_Year[System RA,Central_Valley_North_Los_Banos_Wind,2045]  &lt;=  1098.0</t>
  </si>
  <si>
    <t>caiso-deliverability_Tesla_Westley_230_deliverable_peak_secondary.2045</t>
  </si>
  <si>
    <t>(Operational_Planned_Capacity_In_Model_Year[Tesla_Westley_230_group,2045] + Operational_New_Capacity_By_Vintage_In_Model_Year[Tesla_Westley_230_group,2045,2045])*-1.0 + 0.163*Reliability_Capacity_In_Model_Year[System RA,Central_Valley_North_Los_Banos_Wind,2045]  &lt;=  1098.0</t>
  </si>
  <si>
    <t>caiso-deliverability_Tesla_Westley_230_offpeak.2045</t>
  </si>
  <si>
    <t>Operational_New_Capacity_By_Vintage_In_Model_Year[Central_Valley_North_Los_Banos_Wind,2045,2045]*0.44  &lt;=  1098.0</t>
  </si>
  <si>
    <t>min-duration_Riverside_East_Pumped_Storage.2045</t>
  </si>
  <si>
    <t>0.0  &lt;=  (Operational_Planned_Capacity_In_Model_Year[Riverside_East_Pumped_Storage,2045] + Operational_New_Capacity_By_Vintage_In_Model_Year[Riverside_East_Pumped_Storage,2045,2045])*-12.0 + (Operational_Planned_Storage_In_Model_Year[Riverside_East_Pumped_Storage,2045] + Operational_New_Storage_By_Vintage_In_Model_Year[Riverside_East_Pumped_Storage,2045,2045])</t>
  </si>
  <si>
    <t>min-duration_Riverside_West_Pumped_Storage.2045</t>
  </si>
  <si>
    <t>0.0  &lt;=  (Operational_Planned_Capacity_In_Model_Year[Riverside_West_Pumped_Storage,2045] + Operational_New_Capacity_By_Vintage_In_Model_Year[Riverside_West_Pumped_Storage,2045,2045])*-12.0 + (Operational_Planned_Storage_In_Model_Year[Riverside_West_Pumped_Storage,2045] + Operational_New_Storage_By_Vintage_In_Model_Year[Riverside_West_Pumped_Storage,2045,2045])</t>
  </si>
  <si>
    <t>min-duration_San_Diego_Pumped_Storage.2045</t>
  </si>
  <si>
    <t>0.0  &lt;=  (Operational_Planned_Capacity_In_Model_Year[San_Diego_Pumped_Storage,2045] + Operational_New_Capacity_By_Vintage_In_Model_Year[San_Diego_Pumped_Storage,2045,2045])*-12.0 + (Operational_Planned_Storage_In_Model_Year[San_Diego_Pumped_Storage,2045] + Operational_New_Storage_By_Vintage_In_Model_Year[San_Diego_Pumped_Storage,2045,2045])</t>
  </si>
  <si>
    <t>min-duration_Tehachapi_Pumped_Storage.2045</t>
  </si>
  <si>
    <t>0.0  &lt;=  (Operational_Planned_Capacity_In_Model_Year[Tehachapi_Pumped_Storage,2045] + Operational_New_Capacity_By_Vintage_In_Model_Year[Tehachapi_Pumped_Storage,2045,2045])*-12.0 + (Operational_Planned_Storage_In_Model_Year[Tehachapi_Pumped_Storage,2045] + Operational_New_Storage_By_Vintage_In_Model_Year[Tehachapi_Pumped_Storage,2045,2045])</t>
  </si>
  <si>
    <t>MODEL_YEARS</t>
  </si>
  <si>
    <t>POLICIES_BY_TYPE[prm]</t>
  </si>
  <si>
    <t>ELCC_SURFACE</t>
  </si>
  <si>
    <t>FACETS</t>
  </si>
  <si>
    <t>ELCC_Facet_Value</t>
  </si>
  <si>
    <t>Discount Factor</t>
  </si>
  <si>
    <t>Cost Dollar Year</t>
  </si>
  <si>
    <t>End Effect Years</t>
  </si>
  <si>
    <t>System</t>
  </si>
  <si>
    <t>Non-Modeled Generation Costs ($)</t>
  </si>
  <si>
    <t>Non-Modeled Transmission Costs ($)</t>
  </si>
  <si>
    <t>Non-Modeled Distribution Costs ($)</t>
  </si>
  <si>
    <t>Non-Modeled Customer Costs ($)</t>
  </si>
  <si>
    <t>Non-Modeled Other Costs ($)</t>
  </si>
  <si>
    <t>CPUC IRP System Topology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</si>
</sst>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/yyyy\ hh:mm"/>
    <numFmt numFmtId="165" formatCode="yyyy"/>
    <numFmt numFmtId="166" formatCode="_(* #,##0_);_(* \(#,##0\);_(* &quot;-&quot;??_);_(@_)"/>
    <numFmt numFmtId="167" formatCode="_(* #,##0.0_);_(* \(#,##0.0\);_(* &quot;-&quot;??_);_(@_)"/>
    <numFmt numFmtId="168" formatCode="_(* #,##0.000_);_(* \(#,##0.000\);_(* &quot;-&quot;??_);_(@_)"/>
  </numFmts>
  <fonts count="28" x14ac:knownFonts="1">
    <font>
      <sz val="9"/>
      <color theme="1"/>
      <name val="Arial"/>
      <family val="2"/>
    </font>
    <font>
      <sz val="11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9"/>
      <color theme="1"/>
      <name val="Arial"/>
      <family val="2"/>
    </font>
    <font>
      <sz val="9"/>
      <name val="Arial"/>
      <family val="2"/>
    </font>
    <font>
      <b/>
      <sz val="10"/>
      <color theme="0"/>
      <name val="Arial"/>
      <family val="2"/>
    </font>
    <font>
      <b/>
      <i/>
      <u/>
      <sz val="9"/>
      <color theme="9"/>
      <name val="Arial"/>
      <family val="2"/>
    </font>
    <font>
      <sz val="11"/>
      <color theme="0"/>
      <name val="Arial"/>
      <family val="2"/>
      <scheme val="minor"/>
    </font>
    <font>
      <b/>
      <sz val="14"/>
      <name val="Arial"/>
      <family val="2"/>
      <scheme val="minor"/>
    </font>
    <font>
      <sz val="9"/>
      <name val="Arial"/>
      <family val="2"/>
      <scheme val="minor"/>
    </font>
    <font>
      <i/>
      <sz val="9"/>
      <name val="Arial"/>
      <family val="2"/>
      <scheme val="minor"/>
    </font>
    <font>
      <b/>
      <sz val="9"/>
      <color theme="0"/>
      <name val="Arial"/>
      <family val="2"/>
      <scheme val="minor"/>
    </font>
    <font>
      <sz val="9"/>
      <color rgb="FFE85F31"/>
      <name val="Arial"/>
      <family val="2"/>
      <scheme val="minor"/>
    </font>
    <font>
      <b/>
      <i/>
      <sz val="9"/>
      <color theme="1"/>
      <name val="Arial"/>
      <family val="2"/>
    </font>
    <font>
      <sz val="9"/>
      <color rgb="FF9C0006"/>
      <name val="Arial"/>
      <family val="2"/>
      <scheme val="minor"/>
    </font>
    <font>
      <sz val="9"/>
      <color rgb="FF006100"/>
      <name val="Arial"/>
      <family val="2"/>
      <scheme val="minor"/>
    </font>
    <font>
      <sz val="9"/>
      <color rgb="FF9C5700"/>
      <name val="Arial"/>
      <family val="2"/>
      <scheme val="minor"/>
    </font>
    <font>
      <b/>
      <i/>
      <sz val="9"/>
      <color theme="6" tint="-0.24994659260841701"/>
      <name val="Arial"/>
      <family val="2"/>
      <scheme val="minor"/>
    </font>
    <font>
      <b/>
      <sz val="9"/>
      <color theme="1"/>
      <name val="Arial"/>
      <family val="2"/>
      <scheme val="minor"/>
    </font>
    <font>
      <i/>
      <sz val="9"/>
      <color theme="1" tint="0.499984740745262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b/>
      <i/>
      <sz val="10"/>
      <color theme="3"/>
      <name val="Arial"/>
      <family val="2"/>
      <scheme val="minor"/>
    </font>
    <font>
      <b/>
      <sz val="22"/>
      <color theme="3"/>
      <name val="Arial"/>
      <family val="2"/>
      <scheme val="major"/>
    </font>
    <font>
      <sz val="10"/>
      <color theme="0"/>
      <name val="Arial"/>
      <family val="2"/>
    </font>
    <font>
      <sz val="9"/>
      <color theme="1"/>
      <name val="Arial"/>
      <family val="2"/>
      <scheme val="minor"/>
    </font>
    <font>
      <b/>
      <sz val="9"/>
      <color theme="1"/>
      <name val="Arial"/>
      <family val="2"/>
    </font>
    <font>
      <sz val="9"/>
      <color theme="1"/>
      <name val="Consolas"/>
      <family val="2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59996337778862885"/>
        <bgColor indexed="64"/>
      </patternFill>
    </fill>
  </fills>
  <borders count="11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3" tint="0.39994506668294322"/>
      </bottom>
      <diagonal/>
    </border>
    <border>
      <left/>
      <right/>
      <top/>
      <bottom style="medium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 style="double">
        <color theme="3"/>
      </bottom>
      <diagonal/>
    </border>
    <border>
      <left style="thin">
        <color theme="3"/>
      </left>
      <right/>
      <top/>
      <bottom/>
      <diagonal/>
    </border>
  </borders>
  <cellStyleXfs count="56">
    <xf numFmtId="0" fontId="0" fillId="0" borderId="0">
      <alignment vertical="center"/>
    </xf>
    <xf numFmtId="0" fontId="5" fillId="38" borderId="8" applyNumberFormat="0">
      <alignment vertical="center"/>
    </xf>
    <xf numFmtId="0" fontId="3" fillId="39" borderId="1" applyNumberFormat="0">
      <alignment vertical="center"/>
    </xf>
    <xf numFmtId="0" fontId="4" fillId="0" borderId="1" applyNumberFormat="0">
      <alignment vertical="center"/>
    </xf>
    <xf numFmtId="0" fontId="3" fillId="5" borderId="1" applyAlignment="0">
      <alignment horizontal="left"/>
    </xf>
    <xf numFmtId="9" fontId="2" fillId="0" borderId="0" applyFont="0" applyFill="0" applyBorder="0" applyAlignment="0" applyProtection="0">
      <protection locked="0"/>
    </xf>
    <xf numFmtId="43" fontId="2" fillId="0" borderId="0" applyFont="0" applyFill="0" applyBorder="0" applyAlignment="0" applyProtection="0">
      <protection locked="0"/>
    </xf>
    <xf numFmtId="41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0" fontId="6" fillId="6" borderId="1" applyNumberFormat="0" applyProtection="0">
      <alignment vertical="center"/>
    </xf>
    <xf numFmtId="44" fontId="3" fillId="0" borderId="0" applyFont="0" applyFill="0" applyBorder="0" applyAlignment="0" applyProtection="0">
      <protection locked="0"/>
    </xf>
    <xf numFmtId="0" fontId="23" fillId="0" borderId="7" applyNumberFormat="0" applyAlignment="0"/>
    <xf numFmtId="0" fontId="8" fillId="0" borderId="2" applyNumberFormat="0" applyAlignment="0"/>
    <xf numFmtId="0" fontId="20" fillId="0" borderId="7" applyNumberFormat="0" applyAlignment="0">
      <alignment vertical="center"/>
    </xf>
    <xf numFmtId="0" fontId="21" fillId="0" borderId="5" applyNumberFormat="0" applyAlignment="0"/>
    <xf numFmtId="0" fontId="22" fillId="0" borderId="6" applyNumberFormat="0" applyAlignment="0"/>
    <xf numFmtId="0" fontId="15" fillId="7" borderId="0" applyNumberFormat="0" applyBorder="0" applyProtection="0">
      <alignment vertical="center"/>
    </xf>
    <xf numFmtId="0" fontId="14" fillId="8" borderId="0" applyNumberFormat="0" applyBorder="0" applyProtection="0">
      <alignment vertical="center"/>
    </xf>
    <xf numFmtId="0" fontId="16" fillId="9" borderId="0" applyNumberFormat="0" applyBorder="0" applyProtection="0">
      <alignment vertical="center"/>
    </xf>
    <xf numFmtId="0" fontId="9" fillId="3" borderId="1" applyNumberFormat="0">
      <alignment vertical="center"/>
    </xf>
    <xf numFmtId="0" fontId="10" fillId="2" borderId="1" applyNumberFormat="0">
      <alignment vertical="center"/>
    </xf>
    <xf numFmtId="0" fontId="10" fillId="4" borderId="1" applyNumberFormat="0">
      <alignment vertical="center"/>
    </xf>
    <xf numFmtId="0" fontId="12" fillId="0" borderId="3" applyNumberFormat="0">
      <alignment vertical="center"/>
    </xf>
    <xf numFmtId="0" fontId="11" fillId="10" borderId="4" applyNumberFormat="0">
      <alignment vertical="center"/>
    </xf>
    <xf numFmtId="0" fontId="17" fillId="0" borderId="0" applyNumberFormat="0" applyFill="0" applyBorder="0">
      <alignment vertical="center"/>
    </xf>
    <xf numFmtId="0" fontId="13" fillId="35" borderId="1" applyNumberFormat="0">
      <alignment vertical="center"/>
    </xf>
    <xf numFmtId="0" fontId="19" fillId="0" borderId="0" applyNumberFormat="0" applyFill="0" applyBorder="0" applyAlignment="0"/>
    <xf numFmtId="0" fontId="18" fillId="0" borderId="9" applyNumberFormat="0">
      <alignment vertical="center"/>
    </xf>
    <xf numFmtId="0" fontId="7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7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7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7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7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7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164" fontId="3" fillId="0" borderId="0" applyFont="0" applyFill="0" applyBorder="0" applyProtection="0">
      <alignment vertical="center"/>
      <protection locked="0"/>
    </xf>
    <xf numFmtId="0" fontId="10" fillId="37" borderId="1" applyNumberFormat="0">
      <alignment vertical="center"/>
    </xf>
    <xf numFmtId="0" fontId="9" fillId="36" borderId="1" applyNumberFormat="0">
      <alignment vertical="center"/>
    </xf>
    <xf numFmtId="0" fontId="3" fillId="5" borderId="1">
      <alignment horizontal="center" vertical="center"/>
    </xf>
  </cellStyleXfs>
  <cellXfs count="49">
    <xf numFmtId="0" fontId="0" fillId="0" borderId="0" xfId="0">
      <alignment vertical="center"/>
    </xf>
    <xf numFmtId="0" fontId="23" fillId="0" borderId="7" xfId="11" applyAlignment="1">
      <alignment vertical="center"/>
    </xf>
    <xf numFmtId="0" fontId="5" fillId="38" borderId="8" xfId="1">
      <alignment vertical="center"/>
    </xf>
    <xf numFmtId="0" fontId="9" fillId="36" borderId="1" xfId="54">
      <alignment vertical="center"/>
    </xf>
    <xf numFmtId="0" fontId="4" fillId="0" borderId="1" xfId="3">
      <alignment vertical="center"/>
    </xf>
    <xf numFmtId="0" fontId="9" fillId="3" borderId="1" xfId="19">
      <alignment vertical="center"/>
    </xf>
    <xf numFmtId="0" fontId="8" fillId="0" borderId="2" xfId="12" applyAlignment="1">
      <alignment vertical="center"/>
    </xf>
    <xf numFmtId="165" fontId="3" fillId="5" borderId="1" xfId="4" applyNumberFormat="1" applyAlignment="1">
      <alignment horizontal="center" vertical="center"/>
    </xf>
    <xf numFmtId="0" fontId="3" fillId="39" borderId="1" xfId="2">
      <alignment vertical="center"/>
    </xf>
    <xf numFmtId="0" fontId="18" fillId="0" borderId="9" xfId="27">
      <alignment vertical="center"/>
    </xf>
    <xf numFmtId="166" fontId="4" fillId="0" borderId="1" xfId="6" applyNumberFormat="1" applyFont="1" applyBorder="1" applyAlignment="1" applyProtection="1">
      <alignment vertical="center"/>
    </xf>
    <xf numFmtId="166" fontId="18" fillId="0" borderId="9" xfId="6" applyNumberFormat="1" applyFont="1" applyBorder="1" applyAlignment="1" applyProtection="1">
      <alignment vertical="center"/>
    </xf>
    <xf numFmtId="0" fontId="20" fillId="0" borderId="7" xfId="13">
      <alignment vertical="center"/>
    </xf>
    <xf numFmtId="43" fontId="18" fillId="0" borderId="9" xfId="6" applyFont="1" applyBorder="1" applyAlignment="1" applyProtection="1">
      <alignment vertical="center"/>
    </xf>
    <xf numFmtId="43" fontId="4" fillId="0" borderId="1" xfId="6" applyFont="1" applyBorder="1" applyAlignment="1" applyProtection="1">
      <alignment vertical="center"/>
    </xf>
    <xf numFmtId="0" fontId="19" fillId="0" borderId="0" xfId="26" applyAlignment="1">
      <alignment vertical="center"/>
    </xf>
    <xf numFmtId="166" fontId="10" fillId="4" borderId="1" xfId="6" applyNumberFormat="1" applyFont="1" applyFill="1" applyBorder="1" applyAlignment="1" applyProtection="1">
      <alignment vertical="center"/>
    </xf>
    <xf numFmtId="166" fontId="18" fillId="0" borderId="9" xfId="27" applyNumberFormat="1">
      <alignment vertical="center"/>
    </xf>
    <xf numFmtId="166" fontId="9" fillId="3" borderId="1" xfId="19" applyNumberFormat="1">
      <alignment vertical="center"/>
    </xf>
    <xf numFmtId="43" fontId="9" fillId="3" borderId="1" xfId="6" applyFont="1" applyFill="1" applyBorder="1" applyAlignment="1" applyProtection="1">
      <alignment vertical="center"/>
    </xf>
    <xf numFmtId="43" fontId="0" fillId="0" borderId="0" xfId="0" applyNumberFormat="1">
      <alignment vertical="center"/>
    </xf>
    <xf numFmtId="167" fontId="4" fillId="0" borderId="1" xfId="6" applyNumberFormat="1" applyFont="1" applyBorder="1" applyAlignment="1" applyProtection="1">
      <alignment vertical="center"/>
    </xf>
    <xf numFmtId="167" fontId="18" fillId="0" borderId="9" xfId="6" applyNumberFormat="1" applyFont="1" applyBorder="1" applyAlignment="1" applyProtection="1">
      <alignment vertical="center"/>
    </xf>
    <xf numFmtId="44" fontId="18" fillId="0" borderId="9" xfId="10" applyFont="1" applyBorder="1" applyAlignment="1" applyProtection="1">
      <alignment vertical="center"/>
    </xf>
    <xf numFmtId="166" fontId="4" fillId="0" borderId="1" xfId="3" applyNumberFormat="1">
      <alignment vertical="center"/>
    </xf>
    <xf numFmtId="166" fontId="10" fillId="4" borderId="1" xfId="21" applyNumberFormat="1">
      <alignment vertical="center"/>
    </xf>
    <xf numFmtId="43" fontId="10" fillId="4" borderId="1" xfId="21" applyNumberFormat="1">
      <alignment vertical="center"/>
    </xf>
    <xf numFmtId="0" fontId="5" fillId="38" borderId="10" xfId="1" applyBorder="1">
      <alignment vertical="center"/>
    </xf>
    <xf numFmtId="43" fontId="4" fillId="0" borderId="1" xfId="3" applyNumberFormat="1">
      <alignment vertical="center"/>
    </xf>
    <xf numFmtId="168" fontId="4" fillId="0" borderId="1" xfId="6" applyNumberFormat="1" applyFont="1" applyBorder="1" applyAlignment="1" applyProtection="1">
      <alignment vertical="center"/>
    </xf>
    <xf numFmtId="168" fontId="18" fillId="0" borderId="9" xfId="6" applyNumberFormat="1" applyFont="1" applyBorder="1" applyAlignment="1" applyProtection="1">
      <alignment vertical="center"/>
    </xf>
    <xf numFmtId="0" fontId="23" fillId="0" borderId="7" xfId="1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8" borderId="8" xfId="1" applyAlignment="1">
      <alignment horizontal="center" vertical="center"/>
    </xf>
    <xf numFmtId="0" fontId="4" fillId="0" borderId="1" xfId="3" applyAlignment="1">
      <alignment horizontal="center" vertical="center"/>
    </xf>
    <xf numFmtId="43" fontId="10" fillId="4" borderId="1" xfId="6" applyFont="1" applyFill="1" applyBorder="1" applyAlignment="1" applyProtection="1">
      <alignment vertical="center"/>
    </xf>
    <xf numFmtId="9" fontId="4" fillId="0" borderId="1" xfId="5" applyFont="1" applyBorder="1" applyAlignment="1" applyProtection="1">
      <alignment vertical="center"/>
    </xf>
    <xf numFmtId="0" fontId="9" fillId="36" borderId="1" xfId="54" applyAlignment="1">
      <alignment vertical="center"/>
    </xf>
    <xf numFmtId="0" fontId="26" fillId="0" borderId="0" xfId="0" applyFont="1">
      <alignment vertical="center"/>
    </xf>
    <xf numFmtId="0" fontId="9" fillId="3" borderId="1" xfId="19" applyAlignment="1">
      <alignment horizontal="left" vertical="center"/>
    </xf>
    <xf numFmtId="0" fontId="9" fillId="36" borderId="1" xfId="54" applyAlignment="1">
      <alignment horizontal="left" vertical="center"/>
    </xf>
    <xf numFmtId="0" fontId="10" fillId="4" borderId="1" xfId="21" applyAlignment="1">
      <alignment horizontal="left" vertical="center"/>
    </xf>
    <xf numFmtId="0" fontId="10" fillId="37" borderId="1" xfId="53" applyAlignment="1">
      <alignment horizontal="left" vertical="center"/>
    </xf>
    <xf numFmtId="0" fontId="5" fillId="38" borderId="8" xfId="1" applyAlignment="1">
      <alignment horizontal="left" vertical="center"/>
    </xf>
    <xf numFmtId="0" fontId="3" fillId="39" borderId="1" xfId="2" applyAlignment="1">
      <alignment horizontal="left" vertical="center"/>
    </xf>
    <xf numFmtId="0" fontId="3" fillId="5" borderId="1" xfId="55" applyAlignment="1">
      <alignment horizontal="left" vertical="center"/>
    </xf>
    <xf numFmtId="0" fontId="6" fillId="6" borderId="1" xfId="9">
      <alignment vertical="center"/>
    </xf>
    <xf numFmtId="168" fontId="0" fillId="0" borderId="0" xfId="0" applyNumberFormat="1">
      <alignment vertical="center"/>
    </xf>
    <xf numFmtId="14" fontId="0" fillId="0" borderId="0" xfId="0" applyNumberFormat="1">
      <alignment vertical="center"/>
    </xf>
  </cellXfs>
  <cellStyles count="56">
    <cellStyle name="20% - Accent1" xfId="29" builtinId="30" hidden="1"/>
    <cellStyle name="20% - Accent2" xfId="33" builtinId="34" hidden="1"/>
    <cellStyle name="20% - Accent3" xfId="37" builtinId="38" hidden="1"/>
    <cellStyle name="20% - Accent4" xfId="41" builtinId="42" hidden="1"/>
    <cellStyle name="20% - Accent5" xfId="45" builtinId="46" hidden="1"/>
    <cellStyle name="20% - Accent6" xfId="49" builtinId="50" hidden="1"/>
    <cellStyle name="40% - Accent1" xfId="30" builtinId="31" hidden="1"/>
    <cellStyle name="40% - Accent2" xfId="34" builtinId="35" hidden="1"/>
    <cellStyle name="40% - Accent3" xfId="38" builtinId="39" hidden="1"/>
    <cellStyle name="40% - Accent4" xfId="42" builtinId="43" hidden="1"/>
    <cellStyle name="40% - Accent5" xfId="46" builtinId="47" hidden="1"/>
    <cellStyle name="40% - Accent6" xfId="50" builtinId="51" hidden="1"/>
    <cellStyle name="60% - Accent1" xfId="31" builtinId="32" hidden="1"/>
    <cellStyle name="60% - Accent2" xfId="35" builtinId="36" hidden="1"/>
    <cellStyle name="60% - Accent3" xfId="39" builtinId="40" hidden="1"/>
    <cellStyle name="60% - Accent4" xfId="43" builtinId="44" hidden="1"/>
    <cellStyle name="60% - Accent5" xfId="47" builtinId="48" hidden="1"/>
    <cellStyle name="60% - Accent6" xfId="51" builtinId="52" hidden="1"/>
    <cellStyle name="Accent1" xfId="28" builtinId="29" hidden="1"/>
    <cellStyle name="Accent2" xfId="32" builtinId="33" hidden="1"/>
    <cellStyle name="Accent3" xfId="36" builtinId="37" hidden="1"/>
    <cellStyle name="Accent4" xfId="40" builtinId="41" hidden="1"/>
    <cellStyle name="Accent5" xfId="44" builtinId="45" hidden="1"/>
    <cellStyle name="Accent6" xfId="48" builtinId="49" hidden="1"/>
    <cellStyle name="Bad" xfId="17" builtinId="27" customBuiltin="1"/>
    <cellStyle name="Calculation" xfId="21" builtinId="22" customBuiltin="1"/>
    <cellStyle name="Calculation with Different Formula" xfId="53" xr:uid="{86A69745-C685-4E53-A848-07ABA0DE5447}"/>
    <cellStyle name="Check Cell" xfId="23" builtinId="23" customBuiltin="1"/>
    <cellStyle name="Comma" xfId="6" builtinId="3" customBuiltin="1"/>
    <cellStyle name="Comma [0]" xfId="7" builtinId="6" hidden="1"/>
    <cellStyle name="Currency" xfId="10" builtinId="4" customBuiltin="1"/>
    <cellStyle name="Currency [0]" xfId="8" builtinId="7" hidden="1"/>
    <cellStyle name="Datetime Format" xfId="52" xr:uid="{F8B743EC-3D1E-4EC9-851A-EB90DD1814C6}"/>
    <cellStyle name="Dropdown Input" xfId="54" xr:uid="{070CA8DA-14F5-407A-8D4C-695D910B2800}"/>
    <cellStyle name="Explanatory Text" xfId="26" builtinId="53" customBuiltin="1"/>
    <cellStyle name="Good" xfId="16" builtinId="26" customBuiltin="1"/>
    <cellStyle name="Heading 1" xfId="12" builtinId="16" customBuiltin="1"/>
    <cellStyle name="Heading 2" xfId="13" builtinId="17" customBuiltin="1"/>
    <cellStyle name="Heading 3" xfId="14" builtinId="18" customBuiltin="1"/>
    <cellStyle name="Heading 4" xfId="15" builtinId="19" customBuiltin="1"/>
    <cellStyle name="Hyperlink" xfId="9" builtinId="8" customBuiltin="1"/>
    <cellStyle name="Input" xfId="19" builtinId="20" customBuiltin="1"/>
    <cellStyle name="Linked Cell" xfId="22" builtinId="24" customBuiltin="1"/>
    <cellStyle name="Neutral" xfId="18" builtinId="28" customBuiltin="1"/>
    <cellStyle name="Normal" xfId="0" builtinId="0" customBuiltin="1"/>
    <cellStyle name="Note" xfId="25" builtinId="10" customBuiltin="1"/>
    <cellStyle name="Output" xfId="20" builtinId="21" customBuiltin="1"/>
    <cellStyle name="Percent" xfId="5" builtinId="5" customBuiltin="1"/>
    <cellStyle name="Table Header" xfId="1" xr:uid="{13587C19-EA50-488D-84F7-7E2E20679318}"/>
    <cellStyle name="Table Index" xfId="2" xr:uid="{E94AADE6-6DE4-4E30-ADB3-BBB185426671}"/>
    <cellStyle name="Table Sub-Header" xfId="4" xr:uid="{E6DE962F-309E-449D-AB36-9FD53AC7A115}"/>
    <cellStyle name="Table Sub-Header 2" xfId="55" xr:uid="{F65CF966-3383-C643-BD46-468A5B1B7112}"/>
    <cellStyle name="Table Value" xfId="3" xr:uid="{96588695-D2D5-4DE8-8EA4-3870B7FF2D45}"/>
    <cellStyle name="Title" xfId="11" builtinId="15" customBuiltin="1"/>
    <cellStyle name="Total" xfId="27" builtinId="25" customBuiltin="1"/>
    <cellStyle name="Warning Text" xfId="24" builtinId="11" customBuiltin="1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DE0EC88-2030-4FA3-81F1-541FB30632DE}">
      <tableStyleElement type="wholeTable" dxfId="7"/>
      <tableStyleElement type="headerRow" dxfId="6"/>
    </tableStyle>
  </tableStyles>
  <colors>
    <mruColors>
      <color rgb="FF7030A0"/>
      <color rgb="FFFF66FF"/>
      <color rgb="FFB181DA"/>
      <color rgb="FF008A36"/>
      <color rgb="FF4C0000"/>
      <color rgb="FFDDD9C4"/>
      <color rgb="FFE85F31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Nameplate Capacity </a:t>
            </a:r>
            <a:r>
              <a:rPr lang="en-US"/>
              <a:t>(GW)</a:t>
            </a:r>
          </a:p>
        </c:rich>
      </c:tx>
      <c:layout>
        <c:manualLayout>
          <c:xMode val="edge"/>
          <c:yMode val="edge"/>
          <c:x val="1.7441761427427877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Dashboard!$D$61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DDD9C4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Dashboard!$E$61:$AD$61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0.63500000000000001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BF-E848-AF7E-61A6F1316D6A}"/>
            </c:ext>
          </c:extLst>
        </c:ser>
        <c:ser>
          <c:idx val="1"/>
          <c:order val="1"/>
          <c:tx>
            <c:strRef>
              <c:f>Dashboard!$D$62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Dashboard!$E$62:$AD$62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BF-E848-AF7E-61A6F1316D6A}"/>
            </c:ext>
          </c:extLst>
        </c:ser>
        <c:ser>
          <c:idx val="2"/>
          <c:order val="2"/>
          <c:tx>
            <c:strRef>
              <c:f>Dashboard!$D$63</c:f>
              <c:strCache>
                <c:ptCount val="1"/>
                <c:pt idx="0">
                  <c:v>CHP</c:v>
                </c:pt>
              </c:strCache>
            </c:strRef>
          </c:tx>
          <c:spPr>
            <a:solidFill>
              <a:srgbClr val="4C0000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Dashboard!$E$63:$AD$63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BF-E848-AF7E-61A6F1316D6A}"/>
            </c:ext>
          </c:extLst>
        </c:ser>
        <c:ser>
          <c:idx val="3"/>
          <c:order val="3"/>
          <c:tx>
            <c:strRef>
              <c:f>Dashboard!$D$64</c:f>
              <c:strCache>
                <c:ptCount val="1"/>
                <c:pt idx="0">
                  <c:v>Fossil Gas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Dashboard!$E$64:$AD$64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28.163094300384742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BF-E848-AF7E-61A6F1316D6A}"/>
            </c:ext>
          </c:extLst>
        </c:ser>
        <c:ser>
          <c:idx val="4"/>
          <c:order val="4"/>
          <c:tx>
            <c:strRef>
              <c:f>Dashboard!$D$65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Dashboard!$E$65:$AD$65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1.689740458628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BF-E848-AF7E-61A6F1316D6A}"/>
            </c:ext>
          </c:extLst>
        </c:ser>
        <c:ser>
          <c:idx val="5"/>
          <c:order val="5"/>
          <c:tx>
            <c:strRef>
              <c:f>Dashboard!$D$66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008A36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Dashboard!$E$66:$AD$66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0.80772100000000002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BF-E848-AF7E-61A6F1316D6A}"/>
            </c:ext>
          </c:extLst>
        </c:ser>
        <c:ser>
          <c:idx val="6"/>
          <c:order val="6"/>
          <c:tx>
            <c:strRef>
              <c:f>Dashboard!$D$67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Dashboard!$E$67:$AD$67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10.882867193288643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BF-E848-AF7E-61A6F1316D6A}"/>
            </c:ext>
          </c:extLst>
        </c:ser>
        <c:ser>
          <c:idx val="7"/>
          <c:order val="7"/>
          <c:tx>
            <c:strRef>
              <c:f>Dashboard!$D$68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Dashboard!$E$68:$AD$68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11.98741682314342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BF-E848-AF7E-61A6F1316D6A}"/>
            </c:ext>
          </c:extLst>
        </c:ser>
        <c:ser>
          <c:idx val="8"/>
          <c:order val="8"/>
          <c:tx>
            <c:strRef>
              <c:f>Dashboard!$D$69</c:f>
              <c:strCache>
                <c:ptCount val="1"/>
                <c:pt idx="0">
                  <c:v>Offshore Wind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Dashboard!$E$69:$AD$69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9.5519999999999994E-2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BF-E848-AF7E-61A6F1316D6A}"/>
            </c:ext>
          </c:extLst>
        </c:ser>
        <c:ser>
          <c:idx val="9"/>
          <c:order val="9"/>
          <c:tx>
            <c:strRef>
              <c:f>Dashboard!$D$70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Dashboard!$E$70:$AD$70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81.584861244217137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BF-E848-AF7E-61A6F1316D6A}"/>
            </c:ext>
          </c:extLst>
        </c:ser>
        <c:ser>
          <c:idx val="10"/>
          <c:order val="10"/>
          <c:tx>
            <c:strRef>
              <c:f>Dashboard!$D$71</c:f>
              <c:strCache>
                <c:ptCount val="1"/>
                <c:pt idx="0">
                  <c:v>Customer PV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Dashboard!$E$71:$AD$71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37.373517441210687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ABF-E848-AF7E-61A6F1316D6A}"/>
            </c:ext>
          </c:extLst>
        </c:ser>
        <c:ser>
          <c:idx val="11"/>
          <c:order val="11"/>
          <c:tx>
            <c:strRef>
              <c:f>Dashboard!$D$72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Dashboard!$E$72:$AD$72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43.092322919727785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ABF-E848-AF7E-61A6F1316D6A}"/>
            </c:ext>
          </c:extLst>
        </c:ser>
        <c:ser>
          <c:idx val="12"/>
          <c:order val="12"/>
          <c:tx>
            <c:strRef>
              <c:f>Dashboard!$D$73</c:f>
              <c:strCache>
                <c:ptCount val="1"/>
                <c:pt idx="0">
                  <c:v>Pumped Storage</c:v>
                </c:pt>
              </c:strCache>
            </c:strRef>
          </c:tx>
          <c:spPr>
            <a:solidFill>
              <a:srgbClr val="B181DA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Dashboard!$E$73:$AD$73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1.8985000000000001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ABF-E848-AF7E-61A6F1316D6A}"/>
            </c:ext>
          </c:extLst>
        </c:ser>
        <c:ser>
          <c:idx val="13"/>
          <c:order val="13"/>
          <c:tx>
            <c:strRef>
              <c:f>Dashboard!$D$74</c:f>
              <c:strCache>
                <c:ptCount val="1"/>
                <c:pt idx="0">
                  <c:v>Shed DR</c:v>
                </c:pt>
              </c:strCache>
            </c:strRef>
          </c:tx>
          <c:spPr>
            <a:solidFill>
              <a:srgbClr val="FF66FF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Dashboard!$E$74:$AD$74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2.6357041539999999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ABF-E848-AF7E-61A6F1316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39897248"/>
        <c:axId val="1920170736"/>
      </c:barChart>
      <c:catAx>
        <c:axId val="439897248"/>
        <c:scaling>
          <c:orientation val="minMax"/>
        </c:scaling>
        <c:delete val="0"/>
        <c:axPos val="b"/>
        <c:numFmt formatCode="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0170736"/>
        <c:crosses val="autoZero"/>
        <c:auto val="0"/>
        <c:lblAlgn val="ctr"/>
        <c:lblOffset val="100"/>
        <c:noMultiLvlLbl val="1"/>
      </c:catAx>
      <c:valAx>
        <c:axId val="1920170736"/>
        <c:scaling>
          <c:orientation val="minMax"/>
        </c:scaling>
        <c:delete val="0"/>
        <c:axPos val="l"/>
        <c:numFmt formatCode="_(* #,##0.0_);_(* \(#,##0.0\);_(* &quot;-&quot;??_);_(@_)" sourceLinked="1"/>
        <c:majorTickMark val="out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89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Annual Energy </a:t>
            </a:r>
            <a:r>
              <a:rPr lang="en-US"/>
              <a:t>(TWh)</a:t>
            </a:r>
          </a:p>
        </c:rich>
      </c:tx>
      <c:layout>
        <c:manualLayout>
          <c:xMode val="edge"/>
          <c:yMode val="edge"/>
          <c:x val="1.7441761427427684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Dashboard!$D$147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DDD9C4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Dashboard!$E$147:$AD$147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5.2123998175182482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7A-7F45-82F8-C518151B4CAF}"/>
            </c:ext>
          </c:extLst>
        </c:ser>
        <c:ser>
          <c:idx val="1"/>
          <c:order val="1"/>
          <c:tx>
            <c:strRef>
              <c:f>Dashboard!$D$148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Dashboard!$E$148:$AD$148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7A-7F45-82F8-C518151B4CAF}"/>
            </c:ext>
          </c:extLst>
        </c:ser>
        <c:ser>
          <c:idx val="2"/>
          <c:order val="2"/>
          <c:tx>
            <c:strRef>
              <c:f>Dashboard!$D$149</c:f>
              <c:strCache>
                <c:ptCount val="1"/>
                <c:pt idx="0">
                  <c:v>CHP</c:v>
                </c:pt>
              </c:strCache>
            </c:strRef>
          </c:tx>
          <c:spPr>
            <a:solidFill>
              <a:srgbClr val="4C0000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Dashboard!$E$149:$AD$149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7A-7F45-82F8-C518151B4CAF}"/>
            </c:ext>
          </c:extLst>
        </c:ser>
        <c:ser>
          <c:idx val="3"/>
          <c:order val="3"/>
          <c:tx>
            <c:strRef>
              <c:f>Dashboard!$D$150</c:f>
              <c:strCache>
                <c:ptCount val="1"/>
                <c:pt idx="0">
                  <c:v>Fossil Gas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Dashboard!$E$150:$AD$150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14.856055766346115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7A-7F45-82F8-C518151B4CAF}"/>
            </c:ext>
          </c:extLst>
        </c:ser>
        <c:ser>
          <c:idx val="4"/>
          <c:order val="4"/>
          <c:tx>
            <c:strRef>
              <c:f>Dashboard!$D$151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Dashboard!$E$151:$AD$151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9.4400019880289854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7A-7F45-82F8-C518151B4CAF}"/>
            </c:ext>
          </c:extLst>
        </c:ser>
        <c:ser>
          <c:idx val="5"/>
          <c:order val="5"/>
          <c:tx>
            <c:strRef>
              <c:f>Dashboard!$D$152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008A36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Dashboard!$E$152:$AD$152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4.1469154967999993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7A-7F45-82F8-C518151B4CAF}"/>
            </c:ext>
          </c:extLst>
        </c:ser>
        <c:ser>
          <c:idx val="6"/>
          <c:order val="6"/>
          <c:tx>
            <c:strRef>
              <c:f>Dashboard!$D$153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Dashboard!$E$153:$AD$153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33.615571841102302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7A-7F45-82F8-C518151B4CAF}"/>
            </c:ext>
          </c:extLst>
        </c:ser>
        <c:ser>
          <c:idx val="7"/>
          <c:order val="7"/>
          <c:tx>
            <c:strRef>
              <c:f>Dashboard!$D$154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Dashboard!$E$154:$AD$154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30.865230172582802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67A-7F45-82F8-C518151B4CAF}"/>
            </c:ext>
          </c:extLst>
        </c:ser>
        <c:ser>
          <c:idx val="8"/>
          <c:order val="8"/>
          <c:tx>
            <c:strRef>
              <c:f>Dashboard!$D$155</c:f>
              <c:strCache>
                <c:ptCount val="1"/>
                <c:pt idx="0">
                  <c:v>Offshore Wind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Dashboard!$E$155:$AD$155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0.32290526043095313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67A-7F45-82F8-C518151B4CAF}"/>
            </c:ext>
          </c:extLst>
        </c:ser>
        <c:ser>
          <c:idx val="9"/>
          <c:order val="9"/>
          <c:tx>
            <c:strRef>
              <c:f>Dashboard!$D$156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Dashboard!$E$156:$AD$156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215.74761742837202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67A-7F45-82F8-C518151B4CAF}"/>
            </c:ext>
          </c:extLst>
        </c:ser>
        <c:ser>
          <c:idx val="10"/>
          <c:order val="10"/>
          <c:tx>
            <c:strRef>
              <c:f>Dashboard!$D$157</c:f>
              <c:strCache>
                <c:ptCount val="1"/>
                <c:pt idx="0">
                  <c:v>Customer PV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Dashboard!$E$157:$AD$157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72.304982776073274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67A-7F45-82F8-C518151B4CAF}"/>
            </c:ext>
          </c:extLst>
        </c:ser>
        <c:ser>
          <c:idx val="11"/>
          <c:order val="11"/>
          <c:tx>
            <c:strRef>
              <c:f>Dashboard!$D$158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Dashboard!$E$158:$AD$158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-18.046686760208576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67A-7F45-82F8-C518151B4CAF}"/>
            </c:ext>
          </c:extLst>
        </c:ser>
        <c:ser>
          <c:idx val="12"/>
          <c:order val="12"/>
          <c:tx>
            <c:strRef>
              <c:f>Dashboard!$D$159</c:f>
              <c:strCache>
                <c:ptCount val="1"/>
                <c:pt idx="0">
                  <c:v>Pumped Storage</c:v>
                </c:pt>
              </c:strCache>
            </c:strRef>
          </c:tx>
          <c:spPr>
            <a:solidFill>
              <a:srgbClr val="B181DA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Dashboard!$E$159:$AD$159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-1.1360082375371781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67A-7F45-82F8-C518151B4CAF}"/>
            </c:ext>
          </c:extLst>
        </c:ser>
        <c:ser>
          <c:idx val="13"/>
          <c:order val="13"/>
          <c:tx>
            <c:strRef>
              <c:f>Dashboard!$D$160</c:f>
              <c:strCache>
                <c:ptCount val="1"/>
                <c:pt idx="0">
                  <c:v>Shed DR</c:v>
                </c:pt>
              </c:strCache>
            </c:strRef>
          </c:tx>
          <c:spPr>
            <a:solidFill>
              <a:srgbClr val="FF66FF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Dashboard!$E$160:$AD$160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7A-7F45-82F8-C518151B4CAF}"/>
            </c:ext>
          </c:extLst>
        </c:ser>
        <c:ser>
          <c:idx val="14"/>
          <c:order val="14"/>
          <c:tx>
            <c:strRef>
              <c:f>Dashboard!$D$161</c:f>
              <c:strCache>
                <c:ptCount val="1"/>
                <c:pt idx="0">
                  <c:v>Curtailment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Dashboard!$E$161:$AD$161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-13.224021373090448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67A-7F45-82F8-C518151B4CAF}"/>
            </c:ext>
          </c:extLst>
        </c:ser>
        <c:ser>
          <c:idx val="15"/>
          <c:order val="15"/>
          <c:tx>
            <c:strRef>
              <c:f>Dashboard!$D$162</c:f>
              <c:strCache>
                <c:ptCount val="1"/>
                <c:pt idx="0">
                  <c:v>Gross Imports</c:v>
                </c:pt>
              </c:strCache>
            </c:strRef>
          </c:tx>
          <c:spPr>
            <a:pattFill prst="dkUpDiag">
              <a:fgClr>
                <a:schemeClr val="accent4">
                  <a:lumMod val="80000"/>
                  <a:lumOff val="2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Dashboard!$E$162:$AD$162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15.098503666020891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67A-7F45-82F8-C518151B4CAF}"/>
            </c:ext>
          </c:extLst>
        </c:ser>
        <c:ser>
          <c:idx val="16"/>
          <c:order val="16"/>
          <c:tx>
            <c:strRef>
              <c:f>Dashboard!$D$163</c:f>
              <c:strCache>
                <c:ptCount val="1"/>
                <c:pt idx="0">
                  <c:v>Gross Exports</c:v>
                </c:pt>
              </c:strCache>
            </c:strRef>
          </c:tx>
          <c:spPr>
            <a:pattFill prst="dkUpDiag">
              <a:fgClr>
                <a:schemeClr val="accent5">
                  <a:lumMod val="80000"/>
                  <a:lumOff val="2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Dashboard!$E$163:$AD$163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-19.117684976810782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67A-7F45-82F8-C518151B4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39897248"/>
        <c:axId val="1920170736"/>
      </c:barChart>
      <c:lineChart>
        <c:grouping val="standard"/>
        <c:varyColors val="0"/>
        <c:ser>
          <c:idx val="17"/>
          <c:order val="17"/>
          <c:tx>
            <c:strRef>
              <c:f>Dashboard!$D$164</c:f>
              <c:strCache>
                <c:ptCount val="1"/>
                <c:pt idx="0">
                  <c:v>Total Gen &amp; Imports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15"/>
            <c:spPr>
              <a:solidFill>
                <a:schemeClr val="accent3"/>
              </a:solidFill>
              <a:ln w="9525">
                <a:noFill/>
              </a:ln>
              <a:effectLst/>
            </c:spPr>
          </c:marker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Dashboard!$E$164:$AD$164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363.30980423871915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CD-5443-87F9-B9DE5DFC8726}"/>
            </c:ext>
          </c:extLst>
        </c:ser>
        <c:ser>
          <c:idx val="18"/>
          <c:order val="18"/>
          <c:tx>
            <c:strRef>
              <c:f>Dashboard!$D$165</c:f>
              <c:strCache>
                <c:ptCount val="1"/>
                <c:pt idx="0">
                  <c:v>Gross Load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1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Dashboard!$E$165:$AD$165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363.3098042387191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CD-5443-87F9-B9DE5DFC8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897248"/>
        <c:axId val="1920170736"/>
      </c:lineChart>
      <c:catAx>
        <c:axId val="439897248"/>
        <c:scaling>
          <c:orientation val="minMax"/>
        </c:scaling>
        <c:delete val="0"/>
        <c:axPos val="b"/>
        <c:numFmt formatCode="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0170736"/>
        <c:crosses val="autoZero"/>
        <c:auto val="0"/>
        <c:lblAlgn val="ctr"/>
        <c:lblOffset val="100"/>
        <c:noMultiLvlLbl val="1"/>
      </c:catAx>
      <c:valAx>
        <c:axId val="1920170736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89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Selected Nameplate</a:t>
            </a:r>
            <a:r>
              <a:rPr lang="en-US" b="1" baseline="0"/>
              <a:t> </a:t>
            </a:r>
            <a:r>
              <a:rPr lang="en-US" b="1"/>
              <a:t>Capacity </a:t>
            </a:r>
            <a:r>
              <a:rPr lang="en-US" b="0"/>
              <a:t>(GW)</a:t>
            </a:r>
          </a:p>
        </c:rich>
      </c:tx>
      <c:layout>
        <c:manualLayout>
          <c:xMode val="edge"/>
          <c:yMode val="edge"/>
          <c:x val="1.7441761427427877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Dashboard!$D$79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DDD9C4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Dashboard!$E$79:$AD$79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FDA-2B49-8586-35A3DB64B0CA}"/>
            </c:ext>
          </c:extLst>
        </c:ser>
        <c:ser>
          <c:idx val="1"/>
          <c:order val="1"/>
          <c:tx>
            <c:strRef>
              <c:f>Dashboard!$D$80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Dashboard!$E$80:$AD$80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FDA-2B49-8586-35A3DB64B0CA}"/>
            </c:ext>
          </c:extLst>
        </c:ser>
        <c:ser>
          <c:idx val="2"/>
          <c:order val="2"/>
          <c:tx>
            <c:strRef>
              <c:f>Dashboard!$D$81</c:f>
              <c:strCache>
                <c:ptCount val="1"/>
                <c:pt idx="0">
                  <c:v>CHP</c:v>
                </c:pt>
              </c:strCache>
            </c:strRef>
          </c:tx>
          <c:spPr>
            <a:solidFill>
              <a:srgbClr val="4C0000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Dashboard!$E$81:$AD$81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FDA-2B49-8586-35A3DB64B0CA}"/>
            </c:ext>
          </c:extLst>
        </c:ser>
        <c:ser>
          <c:idx val="3"/>
          <c:order val="3"/>
          <c:tx>
            <c:strRef>
              <c:f>Dashboard!$D$82</c:f>
              <c:strCache>
                <c:ptCount val="1"/>
                <c:pt idx="0">
                  <c:v>Fossil Gas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Dashboard!$E$82:$AD$82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3.4209643003847434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FDA-2B49-8586-35A3DB64B0CA}"/>
            </c:ext>
          </c:extLst>
        </c:ser>
        <c:ser>
          <c:idx val="4"/>
          <c:order val="4"/>
          <c:tx>
            <c:strRef>
              <c:f>Dashboard!$D$83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Dashboard!$E$83:$AD$83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0.10230045862800001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FDA-2B49-8586-35A3DB64B0CA}"/>
            </c:ext>
          </c:extLst>
        </c:ser>
        <c:ser>
          <c:idx val="5"/>
          <c:order val="5"/>
          <c:tx>
            <c:strRef>
              <c:f>Dashboard!$D$84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008A36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Dashboard!$E$84:$AD$84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0FDA-2B49-8586-35A3DB64B0CA}"/>
            </c:ext>
          </c:extLst>
        </c:ser>
        <c:ser>
          <c:idx val="6"/>
          <c:order val="6"/>
          <c:tx>
            <c:strRef>
              <c:f>Dashboard!$D$85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Dashboard!$E$85:$AD$85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0FDA-2B49-8586-35A3DB64B0CA}"/>
            </c:ext>
          </c:extLst>
        </c:ser>
        <c:ser>
          <c:idx val="7"/>
          <c:order val="7"/>
          <c:tx>
            <c:strRef>
              <c:f>Dashboard!$D$86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Dashboard!$E$86:$AD$86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5.0172958231434199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0FDA-2B49-8586-35A3DB64B0CA}"/>
            </c:ext>
          </c:extLst>
        </c:ser>
        <c:ser>
          <c:idx val="8"/>
          <c:order val="8"/>
          <c:tx>
            <c:strRef>
              <c:f>Dashboard!$D$87</c:f>
              <c:strCache>
                <c:ptCount val="1"/>
                <c:pt idx="0">
                  <c:v>Offshore Wind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Dashboard!$E$87:$AD$87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9.5519999999999994E-2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0FDA-2B49-8586-35A3DB64B0CA}"/>
            </c:ext>
          </c:extLst>
        </c:ser>
        <c:ser>
          <c:idx val="9"/>
          <c:order val="9"/>
          <c:tx>
            <c:strRef>
              <c:f>Dashboard!$D$88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Dashboard!$E$88:$AD$88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65.168070244217134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0FDA-2B49-8586-35A3DB64B0CA}"/>
            </c:ext>
          </c:extLst>
        </c:ser>
        <c:ser>
          <c:idx val="10"/>
          <c:order val="10"/>
          <c:tx>
            <c:strRef>
              <c:f>Dashboard!$D$89</c:f>
              <c:strCache>
                <c:ptCount val="1"/>
                <c:pt idx="0">
                  <c:v>Customer PV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Dashboard!$E$89:$AD$89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0FDA-2B49-8586-35A3DB64B0CA}"/>
            </c:ext>
          </c:extLst>
        </c:ser>
        <c:ser>
          <c:idx val="11"/>
          <c:order val="11"/>
          <c:tx>
            <c:strRef>
              <c:f>Dashboard!$D$90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Dashboard!$E$90:$AD$90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38.520878730769695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0FDA-2B49-8586-35A3DB64B0CA}"/>
            </c:ext>
          </c:extLst>
        </c:ser>
        <c:ser>
          <c:idx val="12"/>
          <c:order val="12"/>
          <c:tx>
            <c:strRef>
              <c:f>Dashboard!$D$91</c:f>
              <c:strCache>
                <c:ptCount val="1"/>
                <c:pt idx="0">
                  <c:v>Pumped Storage</c:v>
                </c:pt>
              </c:strCache>
            </c:strRef>
          </c:tx>
          <c:spPr>
            <a:solidFill>
              <a:srgbClr val="B181DA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Dashboard!$E$91:$AD$91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0FDA-2B49-8586-35A3DB64B0CA}"/>
            </c:ext>
          </c:extLst>
        </c:ser>
        <c:ser>
          <c:idx val="13"/>
          <c:order val="13"/>
          <c:tx>
            <c:strRef>
              <c:f>Dashboard!$D$92</c:f>
              <c:strCache>
                <c:ptCount val="1"/>
                <c:pt idx="0">
                  <c:v>Shed DR</c:v>
                </c:pt>
              </c:strCache>
            </c:strRef>
          </c:tx>
          <c:spPr>
            <a:solidFill>
              <a:srgbClr val="FF66FF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Dashboard!$E$92:$AD$92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0.44070415400000001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0FDA-2B49-8586-35A3DB64B0CA}"/>
            </c:ext>
          </c:extLst>
        </c:ser>
        <c:ser>
          <c:idx val="14"/>
          <c:order val="14"/>
          <c:tx>
            <c:strRef>
              <c:f>Dashboard!$D$93</c:f>
              <c:strCache>
                <c:ptCount val="1"/>
                <c:pt idx="0">
                  <c:v>Gas Capacity Not Retained</c:v>
                </c:pt>
              </c:strCache>
            </c:strRef>
          </c:tx>
          <c:spPr>
            <a:pattFill prst="dkUpDiag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Dashboard!$E$93:$AD$93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0FDA-2B49-8586-35A3DB64B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39897248"/>
        <c:axId val="1920170736"/>
      </c:barChart>
      <c:catAx>
        <c:axId val="439897248"/>
        <c:scaling>
          <c:orientation val="minMax"/>
        </c:scaling>
        <c:delete val="0"/>
        <c:axPos val="b"/>
        <c:numFmt formatCode="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0170736"/>
        <c:crosses val="autoZero"/>
        <c:auto val="0"/>
        <c:lblAlgn val="ctr"/>
        <c:lblOffset val="100"/>
        <c:noMultiLvlLbl val="1"/>
      </c:catAx>
      <c:valAx>
        <c:axId val="1920170736"/>
        <c:scaling>
          <c:orientation val="minMax"/>
        </c:scaling>
        <c:delete val="0"/>
        <c:axPos val="l"/>
        <c:numFmt formatCode="_(* #,##0.0_);_(* \(#,##0.0\);_(* &quot;-&quot;??_);_(@_)" sourceLinked="1"/>
        <c:majorTickMark val="out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89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Baseline</a:t>
            </a:r>
            <a:r>
              <a:rPr lang="en-US" b="1" baseline="0"/>
              <a:t> </a:t>
            </a:r>
            <a:r>
              <a:rPr lang="en-US" b="1"/>
              <a:t>Capacity </a:t>
            </a:r>
            <a:r>
              <a:rPr lang="en-US" b="0"/>
              <a:t>(GW)</a:t>
            </a:r>
          </a:p>
        </c:rich>
      </c:tx>
      <c:layout>
        <c:manualLayout>
          <c:xMode val="edge"/>
          <c:yMode val="edge"/>
          <c:x val="1.7441149041355086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Dashboard!$D$98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DDD9C4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Dashboard!$E$98:$AD$98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0.63500000000000001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77-6B47-8E9C-13A892C319F5}"/>
            </c:ext>
          </c:extLst>
        </c:ser>
        <c:ser>
          <c:idx val="1"/>
          <c:order val="1"/>
          <c:tx>
            <c:strRef>
              <c:f>Dashboard!$D$99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Dashboard!$E$99:$AD$99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77-6B47-8E9C-13A892C319F5}"/>
            </c:ext>
          </c:extLst>
        </c:ser>
        <c:ser>
          <c:idx val="2"/>
          <c:order val="2"/>
          <c:tx>
            <c:strRef>
              <c:f>Dashboard!$D$100</c:f>
              <c:strCache>
                <c:ptCount val="1"/>
                <c:pt idx="0">
                  <c:v>CHP</c:v>
                </c:pt>
              </c:strCache>
            </c:strRef>
          </c:tx>
          <c:spPr>
            <a:solidFill>
              <a:srgbClr val="4C0000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Dashboard!$E$100:$AD$100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77-6B47-8E9C-13A892C319F5}"/>
            </c:ext>
          </c:extLst>
        </c:ser>
        <c:ser>
          <c:idx val="3"/>
          <c:order val="3"/>
          <c:tx>
            <c:strRef>
              <c:f>Dashboard!$D$101</c:f>
              <c:strCache>
                <c:ptCount val="1"/>
                <c:pt idx="0">
                  <c:v>Fossil Gas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Dashboard!$E$101:$AD$101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24.74213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77-6B47-8E9C-13A892C319F5}"/>
            </c:ext>
          </c:extLst>
        </c:ser>
        <c:ser>
          <c:idx val="4"/>
          <c:order val="4"/>
          <c:tx>
            <c:strRef>
              <c:f>Dashboard!$D$102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Dashboard!$E$102:$AD$102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1.58744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77-6B47-8E9C-13A892C319F5}"/>
            </c:ext>
          </c:extLst>
        </c:ser>
        <c:ser>
          <c:idx val="5"/>
          <c:order val="5"/>
          <c:tx>
            <c:strRef>
              <c:f>Dashboard!$D$103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008A36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Dashboard!$E$103:$AD$103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0.80772100000000002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C77-6B47-8E9C-13A892C319F5}"/>
            </c:ext>
          </c:extLst>
        </c:ser>
        <c:ser>
          <c:idx val="6"/>
          <c:order val="6"/>
          <c:tx>
            <c:strRef>
              <c:f>Dashboard!$D$104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Dashboard!$E$104:$AD$104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10.882867193288643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77-6B47-8E9C-13A892C319F5}"/>
            </c:ext>
          </c:extLst>
        </c:ser>
        <c:ser>
          <c:idx val="7"/>
          <c:order val="7"/>
          <c:tx>
            <c:strRef>
              <c:f>Dashboard!$D$105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Dashboard!$E$105:$AD$105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6.9701209999999998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C77-6B47-8E9C-13A892C319F5}"/>
            </c:ext>
          </c:extLst>
        </c:ser>
        <c:ser>
          <c:idx val="8"/>
          <c:order val="8"/>
          <c:tx>
            <c:strRef>
              <c:f>Dashboard!$D$106</c:f>
              <c:strCache>
                <c:ptCount val="1"/>
                <c:pt idx="0">
                  <c:v>Offshore Wind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Dashboard!$E$106:$AD$106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C77-6B47-8E9C-13A892C319F5}"/>
            </c:ext>
          </c:extLst>
        </c:ser>
        <c:ser>
          <c:idx val="9"/>
          <c:order val="9"/>
          <c:tx>
            <c:strRef>
              <c:f>Dashboard!$D$107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Dashboard!$E$107:$AD$107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16.416791000000003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C77-6B47-8E9C-13A892C319F5}"/>
            </c:ext>
          </c:extLst>
        </c:ser>
        <c:ser>
          <c:idx val="10"/>
          <c:order val="10"/>
          <c:tx>
            <c:strRef>
              <c:f>Dashboard!$D$108</c:f>
              <c:strCache>
                <c:ptCount val="1"/>
                <c:pt idx="0">
                  <c:v>Customer PV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Dashboard!$E$108:$AD$108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37.373517441210687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C77-6B47-8E9C-13A892C319F5}"/>
            </c:ext>
          </c:extLst>
        </c:ser>
        <c:ser>
          <c:idx val="11"/>
          <c:order val="11"/>
          <c:tx>
            <c:strRef>
              <c:f>Dashboard!$D$109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Dashboard!$E$109:$AD$109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4.5714441889580897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C77-6B47-8E9C-13A892C319F5}"/>
            </c:ext>
          </c:extLst>
        </c:ser>
        <c:ser>
          <c:idx val="12"/>
          <c:order val="12"/>
          <c:tx>
            <c:strRef>
              <c:f>Dashboard!$D$110</c:f>
              <c:strCache>
                <c:ptCount val="1"/>
                <c:pt idx="0">
                  <c:v>Pumped Storage</c:v>
                </c:pt>
              </c:strCache>
            </c:strRef>
          </c:tx>
          <c:spPr>
            <a:solidFill>
              <a:srgbClr val="B181DA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Dashboard!$E$110:$AD$110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1.8985000000000001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C77-6B47-8E9C-13A892C319F5}"/>
            </c:ext>
          </c:extLst>
        </c:ser>
        <c:ser>
          <c:idx val="13"/>
          <c:order val="13"/>
          <c:tx>
            <c:strRef>
              <c:f>Dashboard!$D$111</c:f>
              <c:strCache>
                <c:ptCount val="1"/>
                <c:pt idx="0">
                  <c:v>Shed DR</c:v>
                </c:pt>
              </c:strCache>
            </c:strRef>
          </c:tx>
          <c:spPr>
            <a:solidFill>
              <a:srgbClr val="FF66FF"/>
            </a:solidFill>
            <a:ln>
              <a:noFill/>
            </a:ln>
            <a:effectLst/>
          </c:spPr>
          <c:invertIfNegative val="0"/>
          <c:cat>
            <c:numRef>
              <c:f>Dashboard!$E$60:$AD$60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Dashboard!$E$111:$AD$111</c:f>
              <c:numCache>
                <c:formatCode>_(* #,##0.0_);_(* \(#,##0.0\);_(*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2.1949999999999998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C77-6B47-8E9C-13A892C31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39897248"/>
        <c:axId val="1920170736"/>
      </c:barChart>
      <c:catAx>
        <c:axId val="439897248"/>
        <c:scaling>
          <c:orientation val="minMax"/>
        </c:scaling>
        <c:delete val="0"/>
        <c:axPos val="b"/>
        <c:numFmt formatCode="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0170736"/>
        <c:crosses val="autoZero"/>
        <c:auto val="0"/>
        <c:lblAlgn val="ctr"/>
        <c:lblOffset val="100"/>
        <c:noMultiLvlLbl val="1"/>
      </c:catAx>
      <c:valAx>
        <c:axId val="1920170736"/>
        <c:scaling>
          <c:orientation val="minMax"/>
        </c:scaling>
        <c:delete val="0"/>
        <c:axPos val="l"/>
        <c:numFmt formatCode="_(* #,##0.0_);_(* \(#,##0.0\);_(* &quot;-&quot;??_);_(@_)" sourceLinked="1"/>
        <c:majorTickMark val="out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89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Revenue Requirement </a:t>
            </a:r>
            <a:r>
              <a:rPr lang="en-US"/>
              <a:t>($ million)</a:t>
            </a:r>
          </a:p>
        </c:rich>
      </c:tx>
      <c:layout>
        <c:manualLayout>
          <c:xMode val="edge"/>
          <c:yMode val="edge"/>
          <c:x val="1.7441761427427877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Dashboard!$C$22:$D$22</c:f>
              <c:strCache>
                <c:ptCount val="2"/>
                <c:pt idx="0">
                  <c:v>Non-Modeled</c:v>
                </c:pt>
                <c:pt idx="1">
                  <c:v>Generation Costs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numRef>
              <c:f>Dashboard!$E$21:$AD$21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Dashboard!$E$22:$AD$22</c:f>
              <c:numCache>
                <c:formatCode>_(* #,##0_);_(* \(#,##0\);_(*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10008.152232532317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9A-5B4D-8FF4-947AFAF518AF}"/>
            </c:ext>
          </c:extLst>
        </c:ser>
        <c:ser>
          <c:idx val="1"/>
          <c:order val="1"/>
          <c:tx>
            <c:strRef>
              <c:f>Dashboard!$C$23:$D$23</c:f>
              <c:strCache>
                <c:ptCount val="2"/>
                <c:pt idx="0">
                  <c:v>Non-Modeled</c:v>
                </c:pt>
                <c:pt idx="1">
                  <c:v>Transmission Costs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Dashboard!$E$21:$AD$21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Dashboard!$E$23:$AD$23</c:f>
              <c:numCache>
                <c:formatCode>_(* #,##0_);_(* \(#,##0\);_(*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5117.5016109006438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A-5B4D-8FF4-947AFAF518AF}"/>
            </c:ext>
          </c:extLst>
        </c:ser>
        <c:ser>
          <c:idx val="2"/>
          <c:order val="2"/>
          <c:tx>
            <c:strRef>
              <c:f>Dashboard!$C$24:$D$24</c:f>
              <c:strCache>
                <c:ptCount val="2"/>
                <c:pt idx="0">
                  <c:v>Non-Modeled</c:v>
                </c:pt>
                <c:pt idx="1">
                  <c:v>Distribution Costs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Dashboard!$E$21:$AD$21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Dashboard!$E$24:$AD$24</c:f>
              <c:numCache>
                <c:formatCode>_(* #,##0_);_(* \(#,##0\);_(*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25319.301404030564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9A-5B4D-8FF4-947AFAF518AF}"/>
            </c:ext>
          </c:extLst>
        </c:ser>
        <c:ser>
          <c:idx val="3"/>
          <c:order val="3"/>
          <c:tx>
            <c:strRef>
              <c:f>Dashboard!$C$25:$D$25</c:f>
              <c:strCache>
                <c:ptCount val="2"/>
                <c:pt idx="0">
                  <c:v>Non-Modeled</c:v>
                </c:pt>
                <c:pt idx="1">
                  <c:v>Customer Costs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Dashboard!$E$21:$AD$21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Dashboard!$E$25:$AD$25</c:f>
              <c:numCache>
                <c:formatCode>_(* #,##0_);_(* \(#,##0\);_(*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4398.5926919186295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9A-5B4D-8FF4-947AFAF518AF}"/>
            </c:ext>
          </c:extLst>
        </c:ser>
        <c:ser>
          <c:idx val="4"/>
          <c:order val="4"/>
          <c:tx>
            <c:strRef>
              <c:f>Dashboard!$C$26:$D$26</c:f>
              <c:strCache>
                <c:ptCount val="2"/>
                <c:pt idx="0">
                  <c:v>Non-Modeled</c:v>
                </c:pt>
                <c:pt idx="1">
                  <c:v>Other Costs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Dashboard!$E$21:$AD$21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Dashboard!$E$26:$AD$26</c:f>
              <c:numCache>
                <c:formatCode>_(* #,##0_);_(* \(#,##0\);_(*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1460.9426043505889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9A-5B4D-8FF4-947AFAF518AF}"/>
            </c:ext>
          </c:extLst>
        </c:ser>
        <c:ser>
          <c:idx val="5"/>
          <c:order val="5"/>
          <c:tx>
            <c:strRef>
              <c:f>Dashboard!$C$27:$D$27</c:f>
              <c:strCache>
                <c:ptCount val="2"/>
                <c:pt idx="0">
                  <c:v>Non-Modeled</c:v>
                </c:pt>
                <c:pt idx="1">
                  <c:v>Baseline Thermal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Dashboard!$E$21:$AD$21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Dashboard!$E$27:$AD$27</c:f>
              <c:numCache>
                <c:formatCode>_(* #,##0_);_(* \(#,##0\);_(*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957.28744339732839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D9A-5B4D-8FF4-947AFAF518AF}"/>
            </c:ext>
          </c:extLst>
        </c:ser>
        <c:ser>
          <c:idx val="6"/>
          <c:order val="6"/>
          <c:tx>
            <c:strRef>
              <c:f>Dashboard!$C$28:$D$28</c:f>
              <c:strCache>
                <c:ptCount val="2"/>
                <c:pt idx="0">
                  <c:v>Modeled</c:v>
                </c:pt>
                <c:pt idx="1">
                  <c:v>New Thermal</c:v>
                </c:pt>
              </c:strCache>
            </c:strRef>
          </c:tx>
          <c:spPr>
            <a:pattFill prst="dkUpDiag">
              <a:fgClr>
                <a:schemeClr val="bg1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Dashboard!$E$21:$AD$21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Dashboard!$E$28:$AD$28</c:f>
              <c:numCache>
                <c:formatCode>_(* #,##0_);_(* \(#,##0\);_(*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706.4714611544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9A-5B4D-8FF4-947AFAF518AF}"/>
            </c:ext>
          </c:extLst>
        </c:ser>
        <c:ser>
          <c:idx val="7"/>
          <c:order val="7"/>
          <c:tx>
            <c:strRef>
              <c:f>Dashboard!$C$29:$D$29</c:f>
              <c:strCache>
                <c:ptCount val="2"/>
                <c:pt idx="0">
                  <c:v>Modeled</c:v>
                </c:pt>
                <c:pt idx="1">
                  <c:v>Renewables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Dashboard!$E$21:$AD$21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Dashboard!$E$29:$AD$29</c:f>
              <c:numCache>
                <c:formatCode>_(* #,##0_);_(* \(#,##0\);_(*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4680.1634405651639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D9A-5B4D-8FF4-947AFAF518AF}"/>
            </c:ext>
          </c:extLst>
        </c:ser>
        <c:ser>
          <c:idx val="8"/>
          <c:order val="8"/>
          <c:tx>
            <c:strRef>
              <c:f>Dashboard!$C$30:$D$30</c:f>
              <c:strCache>
                <c:ptCount val="2"/>
                <c:pt idx="0">
                  <c:v>Modeled</c:v>
                </c:pt>
                <c:pt idx="1">
                  <c:v>Storage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Dashboard!$E$21:$AD$21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Dashboard!$E$30:$AD$30</c:f>
              <c:numCache>
                <c:formatCode>_(* #,##0_);_(* \(#,##0\);_(*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3937.079073647049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9A-5B4D-8FF4-947AFAF518AF}"/>
            </c:ext>
          </c:extLst>
        </c:ser>
        <c:ser>
          <c:idx val="9"/>
          <c:order val="9"/>
          <c:tx>
            <c:strRef>
              <c:f>Dashboard!$C$31:$D$31</c:f>
              <c:strCache>
                <c:ptCount val="2"/>
                <c:pt idx="0">
                  <c:v>Modeled</c:v>
                </c:pt>
                <c:pt idx="1">
                  <c:v>New Assets (CAISO Tx Upgrades)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Dashboard!$E$21:$AD$21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Dashboard!$E$31:$AD$31</c:f>
              <c:numCache>
                <c:formatCode>_(* #,##0_);_(* \(#,##0\);_(*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30.997630233999995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9A-5B4D-8FF4-947AFAF518AF}"/>
            </c:ext>
          </c:extLst>
        </c:ser>
        <c:ser>
          <c:idx val="10"/>
          <c:order val="10"/>
          <c:tx>
            <c:strRef>
              <c:f>Dashboard!$C$32:$D$32</c:f>
              <c:strCache>
                <c:ptCount val="2"/>
                <c:pt idx="0">
                  <c:v>Modeled</c:v>
                </c:pt>
                <c:pt idx="1">
                  <c:v>Imports &amp; Exports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Dashboard!$E$21:$AD$21</c:f>
              <c:numCache>
                <c:formatCode>yyyy</c:formatCode>
                <c:ptCount val="13"/>
                <c:pt idx="0">
                  <c:v>43831</c:v>
                </c:pt>
                <c:pt idx="1">
                  <c:v>44197</c:v>
                </c:pt>
                <c:pt idx="2">
                  <c:v>44562</c:v>
                </c:pt>
                <c:pt idx="3">
                  <c:v>44927</c:v>
                </c:pt>
                <c:pt idx="4">
                  <c:v>45292</c:v>
                </c:pt>
                <c:pt idx="5">
                  <c:v>45658</c:v>
                </c:pt>
                <c:pt idx="6">
                  <c:v>46023</c:v>
                </c:pt>
                <c:pt idx="7">
                  <c:v>46753</c:v>
                </c:pt>
                <c:pt idx="8">
                  <c:v>47484</c:v>
                </c:pt>
                <c:pt idx="9">
                  <c:v>48214</c:v>
                </c:pt>
                <c:pt idx="10">
                  <c:v>49310</c:v>
                </c:pt>
                <c:pt idx="11">
                  <c:v>51136</c:v>
                </c:pt>
                <c:pt idx="12">
                  <c:v>52963</c:v>
                </c:pt>
              </c:numCache>
            </c:numRef>
          </c:cat>
          <c:val>
            <c:numRef>
              <c:f>Dashboard!$E$32:$AD$32</c:f>
              <c:numCache>
                <c:formatCode>_(* #,##0_);_(* \(#,##0\);_(*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485.16862954294191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D9A-5B4D-8FF4-947AFAF51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39897248"/>
        <c:axId val="1920170736"/>
      </c:barChart>
      <c:catAx>
        <c:axId val="439897248"/>
        <c:scaling>
          <c:orientation val="minMax"/>
        </c:scaling>
        <c:delete val="0"/>
        <c:axPos val="b"/>
        <c:numFmt formatCode="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0170736"/>
        <c:crosses val="autoZero"/>
        <c:auto val="0"/>
        <c:lblAlgn val="ctr"/>
        <c:lblOffset val="100"/>
        <c:noMultiLvlLbl val="1"/>
      </c:catAx>
      <c:valAx>
        <c:axId val="1920170736"/>
        <c:scaling>
          <c:orientation val="minMax"/>
        </c:scaling>
        <c:delete val="0"/>
        <c:axPos val="l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89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0</xdr:rowOff>
    </xdr:from>
    <xdr:to>
      <xdr:col>1</xdr:col>
      <xdr:colOff>4616814</xdr:colOff>
      <xdr:row>10</xdr:row>
      <xdr:rowOff>38101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FD9F6959-C77A-004D-A782-2FFFC358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17500" y="1066800"/>
          <a:ext cx="4616814" cy="8001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0</xdr:colOff>
      <xdr:row>53</xdr:row>
      <xdr:rowOff>169332</xdr:rowOff>
    </xdr:from>
    <xdr:to>
      <xdr:col>44</xdr:col>
      <xdr:colOff>304800</xdr:colOff>
      <xdr:row>74</xdr:row>
      <xdr:rowOff>50799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E5D4B1B-A278-5C44-8258-8B6AE3108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35</xdr:col>
      <xdr:colOff>0</xdr:colOff>
      <xdr:row>144</xdr:row>
      <xdr:rowOff>0</xdr:rowOff>
    </xdr:from>
    <xdr:to>
      <xdr:col>44</xdr:col>
      <xdr:colOff>347897</xdr:colOff>
      <xdr:row>167</xdr:row>
      <xdr:rowOff>3196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798D36D-5F87-5C46-8D84-E6B3906DA9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33</xdr:col>
      <xdr:colOff>0</xdr:colOff>
      <xdr:row>74</xdr:row>
      <xdr:rowOff>169332</xdr:rowOff>
    </xdr:from>
    <xdr:to>
      <xdr:col>44</xdr:col>
      <xdr:colOff>304800</xdr:colOff>
      <xdr:row>95</xdr:row>
      <xdr:rowOff>84665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39B5F97-60D6-CF46-8EC7-46C8323168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44</xdr:col>
      <xdr:colOff>570786</xdr:colOff>
      <xdr:row>74</xdr:row>
      <xdr:rowOff>169332</xdr:rowOff>
    </xdr:from>
    <xdr:to>
      <xdr:col>54</xdr:col>
      <xdr:colOff>299852</xdr:colOff>
      <xdr:row>95</xdr:row>
      <xdr:rowOff>84665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0FC791B-4898-ED4B-B4E5-9F8349EC18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0</xdr:colOff>
      <xdr:row>19</xdr:row>
      <xdr:rowOff>0</xdr:rowOff>
    </xdr:from>
    <xdr:to>
      <xdr:col>47</xdr:col>
      <xdr:colOff>457200</xdr:colOff>
      <xdr:row>39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80BD321-C663-F942-AD85-FAA0F3EFEB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1058</xdr:colOff>
      <xdr:row>3</xdr:row>
      <xdr:rowOff>0</xdr:rowOff>
    </xdr:from>
    <xdr:to>
      <xdr:col>4</xdr:col>
      <xdr:colOff>0</xdr:colOff>
      <xdr:row>5</xdr:row>
      <xdr:rowOff>15240</xdr:rowOff>
    </xdr:to>
    <xdr:sp macro="[0]!Sheet3.GetResultsFolders" textlink="">
      <xdr:nvSpPr>
        <xdr:cNvPr id="12" name="Rounded Rectangle 11">
          <a:extLst>
            <a:ext uri="{FF2B5EF4-FFF2-40B4-BE49-F238E27FC236}">
              <a16:creationId xmlns:a16="http://schemas.microsoft.com/office/drawing/2014/main" id="{57A6590B-4D39-F945-A83D-01EE7098BCF8}"/>
            </a:ext>
          </a:extLst>
        </xdr:cNvPr>
        <xdr:cNvSpPr/>
      </xdr:nvSpPr>
      <xdr:spPr>
        <a:xfrm>
          <a:off x="2498725" y="677333"/>
          <a:ext cx="2809875" cy="320040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>
              <a:solidFill>
                <a:schemeClr val="tx1"/>
              </a:solidFill>
            </a:rPr>
            <a:t>1. Update Cases List</a:t>
          </a:r>
        </a:p>
      </xdr:txBody>
    </xdr:sp>
    <xdr:clientData/>
  </xdr:twoCellAnchor>
  <xdr:oneCellAnchor>
    <xdr:from>
      <xdr:col>3</xdr:col>
      <xdr:colOff>0</xdr:colOff>
      <xdr:row>9</xdr:row>
      <xdr:rowOff>0</xdr:rowOff>
    </xdr:from>
    <xdr:ext cx="2807208" cy="320040"/>
    <xdr:sp macro="[0]!Sheet1.UpdateResults" textlink="">
      <xdr:nvSpPr>
        <xdr:cNvPr id="15" name="Rounded Rectangle 14">
          <a:extLst>
            <a:ext uri="{FF2B5EF4-FFF2-40B4-BE49-F238E27FC236}">
              <a16:creationId xmlns:a16="http://schemas.microsoft.com/office/drawing/2014/main" id="{F20760BE-D6F6-CE46-8502-762661DC2E17}"/>
            </a:ext>
          </a:extLst>
        </xdr:cNvPr>
        <xdr:cNvSpPr/>
      </xdr:nvSpPr>
      <xdr:spPr>
        <a:xfrm>
          <a:off x="2497667" y="1608667"/>
          <a:ext cx="2807208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accent4">
              <a:lumMod val="40000"/>
              <a:lumOff val="6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>
              <a:solidFill>
                <a:schemeClr val="tx1"/>
              </a:solidFill>
            </a:rPr>
            <a:t>3. Load Summary Results</a:t>
          </a:r>
        </a:p>
      </xdr:txBody>
    </xdr:sp>
    <xdr:clientData/>
  </xdr:oneCellAnchor>
  <xdr:oneCellAnchor>
    <xdr:from>
      <xdr:col>3</xdr:col>
      <xdr:colOff>0</xdr:colOff>
      <xdr:row>12</xdr:row>
      <xdr:rowOff>0</xdr:rowOff>
    </xdr:from>
    <xdr:ext cx="2807208" cy="320040"/>
    <xdr:sp macro="[0]!Sheet1.DashboardSnapshot" textlink="">
      <xdr:nvSpPr>
        <xdr:cNvPr id="16" name="Rounded Rectangle 15">
          <a:extLst>
            <a:ext uri="{FF2B5EF4-FFF2-40B4-BE49-F238E27FC236}">
              <a16:creationId xmlns:a16="http://schemas.microsoft.com/office/drawing/2014/main" id="{9A8E0A99-76C4-3C49-8306-07B838236DCE}"/>
            </a:ext>
          </a:extLst>
        </xdr:cNvPr>
        <xdr:cNvSpPr/>
      </xdr:nvSpPr>
      <xdr:spPr>
        <a:xfrm>
          <a:off x="2489200" y="2057400"/>
          <a:ext cx="2807208" cy="320040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>
              <a:solidFill>
                <a:schemeClr val="tx1"/>
              </a:solidFill>
            </a:rPr>
            <a:t>4. Copy Snapshot of Current Dashboard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0</xdr:rowOff>
    </xdr:from>
    <xdr:ext cx="2286000" cy="375683"/>
    <xdr:sp macro="[0]!Sheet4.ClearDataSheets" textlink="">
      <xdr:nvSpPr>
        <xdr:cNvPr id="2" name="Rounded Rectangle 1">
          <a:extLst>
            <a:ext uri="{FF2B5EF4-FFF2-40B4-BE49-F238E27FC236}">
              <a16:creationId xmlns:a16="http://schemas.microsoft.com/office/drawing/2014/main" id="{172EFA9A-723E-4842-A37D-0C558E7243C8}"/>
            </a:ext>
          </a:extLst>
        </xdr:cNvPr>
        <xdr:cNvSpPr/>
      </xdr:nvSpPr>
      <xdr:spPr>
        <a:xfrm>
          <a:off x="723900" y="609600"/>
          <a:ext cx="2286000" cy="375683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Clear Data Sheets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SOLVE%20Scenario%20To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RESOLVE Settings"/>
      <sheetName val="Temporal Settings"/>
      <sheetName val="Custom Constraints"/>
      <sheetName val="Extras - Hydro"/>
      <sheetName val="System"/>
      <sheetName val="Components →"/>
      <sheetName val="Zones"/>
      <sheetName val="Assets"/>
      <sheetName val="Resources"/>
      <sheetName val="Reserves"/>
      <sheetName val="Fuels"/>
      <sheetName val="Loads"/>
      <sheetName val="Transmission Paths"/>
      <sheetName val="Policies"/>
      <sheetName val="AllToPolicy"/>
      <sheetName val="ELCC"/>
      <sheetName val="Lists"/>
      <sheetName val="Component Inputs"/>
      <sheetName val="xlwings.conf"/>
    </sheetNames>
    <sheetDataSet>
      <sheetData sheetId="0" refreshError="1"/>
      <sheetData sheetId="1" refreshError="1"/>
      <sheetData sheetId="2" refreshError="1"/>
      <sheetData sheetId="3">
        <row r="9">
          <cell r="B9" t="str">
            <v>Left-hand Side Variables</v>
          </cell>
        </row>
        <row r="12">
          <cell r="B12" t="str">
            <v>Custom Constraint Group</v>
          </cell>
          <cell r="C12" t="str">
            <v>Custom Constraint</v>
          </cell>
        </row>
        <row r="13">
          <cell r="B13" t="str">
            <v>build-limits</v>
          </cell>
          <cell r="C13" t="str">
            <v>Battery_AnnualBuild</v>
          </cell>
        </row>
        <row r="14">
          <cell r="B14" t="str">
            <v>build-limits</v>
          </cell>
          <cell r="C14" t="str">
            <v>Battery_AnnualBuild</v>
          </cell>
        </row>
        <row r="15">
          <cell r="B15" t="str">
            <v>build-limits</v>
          </cell>
          <cell r="C15" t="str">
            <v>Battery_AnnualBuild</v>
          </cell>
        </row>
        <row r="16">
          <cell r="B16" t="str">
            <v>build-limits</v>
          </cell>
          <cell r="C16" t="str">
            <v>Battery_AnnualBuild</v>
          </cell>
        </row>
        <row r="17">
          <cell r="B17" t="str">
            <v>build-limits</v>
          </cell>
          <cell r="C17" t="str">
            <v>Battery_AnnualBuild</v>
          </cell>
        </row>
        <row r="18">
          <cell r="B18" t="str">
            <v>build-limits</v>
          </cell>
          <cell r="C18" t="str">
            <v>Battery_AnnualBuild</v>
          </cell>
        </row>
        <row r="19">
          <cell r="B19" t="str">
            <v>build-limits</v>
          </cell>
          <cell r="C19" t="str">
            <v>Battery_AnnualBuild</v>
          </cell>
        </row>
        <row r="20">
          <cell r="B20" t="str">
            <v>build-limits</v>
          </cell>
          <cell r="C20" t="str">
            <v>Battery_AnnualBuild</v>
          </cell>
        </row>
        <row r="21">
          <cell r="B21" t="str">
            <v>build-limits</v>
          </cell>
          <cell r="C21" t="str">
            <v>Battery_AnnualBuild</v>
          </cell>
        </row>
        <row r="22">
          <cell r="B22" t="str">
            <v>build-limits</v>
          </cell>
          <cell r="C22" t="str">
            <v>Battery_AnnualBuild</v>
          </cell>
        </row>
        <row r="23">
          <cell r="B23" t="str">
            <v>build-limits</v>
          </cell>
          <cell r="C23" t="str">
            <v>Battery_AnnualBuild</v>
          </cell>
        </row>
        <row r="24">
          <cell r="B24" t="str">
            <v>build-limits</v>
          </cell>
          <cell r="C24" t="str">
            <v>Battery_AnnualBuild</v>
          </cell>
        </row>
        <row r="25">
          <cell r="B25" t="str">
            <v>build-limits</v>
          </cell>
          <cell r="C25" t="str">
            <v>Battery_MinBuild_MW</v>
          </cell>
        </row>
        <row r="26">
          <cell r="B26" t="str">
            <v>build-limits</v>
          </cell>
          <cell r="C26" t="str">
            <v>Battery_MinBuild_MW</v>
          </cell>
        </row>
        <row r="27">
          <cell r="B27" t="str">
            <v>build-limits</v>
          </cell>
          <cell r="C27" t="str">
            <v>Battery_MinBuild_MW</v>
          </cell>
        </row>
        <row r="28">
          <cell r="B28" t="str">
            <v>build-limits</v>
          </cell>
          <cell r="C28" t="str">
            <v>Battery_MinBuild_MW</v>
          </cell>
        </row>
        <row r="29">
          <cell r="B29" t="str">
            <v>build-limits</v>
          </cell>
          <cell r="C29" t="str">
            <v>Battery_MinBuild_MW</v>
          </cell>
        </row>
        <row r="30">
          <cell r="B30" t="str">
            <v>build-limits</v>
          </cell>
          <cell r="C30" t="str">
            <v>Battery_MinBuild_MW</v>
          </cell>
        </row>
        <row r="31">
          <cell r="B31" t="str">
            <v>build-limits</v>
          </cell>
          <cell r="C31" t="str">
            <v>Battery_MinBuild_MW</v>
          </cell>
        </row>
        <row r="32">
          <cell r="B32" t="str">
            <v>build-limits</v>
          </cell>
          <cell r="C32" t="str">
            <v>Battery_MinBuild_MW</v>
          </cell>
        </row>
        <row r="33">
          <cell r="B33" t="str">
            <v>build-limits</v>
          </cell>
          <cell r="C33" t="str">
            <v>Battery_MinBuild_MW</v>
          </cell>
        </row>
        <row r="34">
          <cell r="B34" t="str">
            <v>build-limits</v>
          </cell>
          <cell r="C34" t="str">
            <v>Battery_MinBuild_MW</v>
          </cell>
        </row>
        <row r="35">
          <cell r="B35" t="str">
            <v>build-limits</v>
          </cell>
          <cell r="C35" t="str">
            <v>Battery_MinBuild_MW</v>
          </cell>
        </row>
        <row r="36">
          <cell r="B36" t="str">
            <v>build-limits</v>
          </cell>
          <cell r="C36" t="str">
            <v>Battery_MinBuild_MWh</v>
          </cell>
        </row>
        <row r="37">
          <cell r="B37" t="str">
            <v>build-limits</v>
          </cell>
          <cell r="C37" t="str">
            <v>Battery_MinBuild_MWh</v>
          </cell>
        </row>
        <row r="38">
          <cell r="B38" t="str">
            <v>build-limits</v>
          </cell>
          <cell r="C38" t="str">
            <v>Battery_MinBuild_MWh</v>
          </cell>
        </row>
        <row r="39">
          <cell r="B39" t="str">
            <v>build-limits</v>
          </cell>
          <cell r="C39" t="str">
            <v>Battery_MinBuild_MWh</v>
          </cell>
        </row>
        <row r="40">
          <cell r="B40" t="str">
            <v>build-limits</v>
          </cell>
          <cell r="C40" t="str">
            <v>Battery_MinBuild_MWh</v>
          </cell>
        </row>
        <row r="41">
          <cell r="B41" t="str">
            <v>build-limits</v>
          </cell>
          <cell r="C41" t="str">
            <v>Battery_MinBuild_MWh</v>
          </cell>
        </row>
        <row r="42">
          <cell r="B42" t="str">
            <v>build-limits</v>
          </cell>
          <cell r="C42" t="str">
            <v>Battery_MinBuild_MWh</v>
          </cell>
        </row>
        <row r="43">
          <cell r="B43" t="str">
            <v>build-limits</v>
          </cell>
          <cell r="C43" t="str">
            <v>Battery_MinBuild_MWh</v>
          </cell>
        </row>
        <row r="44">
          <cell r="B44" t="str">
            <v>build-limits</v>
          </cell>
          <cell r="C44" t="str">
            <v>Battery_MinBuild_MWh</v>
          </cell>
        </row>
        <row r="45">
          <cell r="B45" t="str">
            <v>build-limits</v>
          </cell>
          <cell r="C45" t="str">
            <v>Battery_MinBuild_MWh</v>
          </cell>
        </row>
        <row r="46">
          <cell r="B46" t="str">
            <v>build-limits</v>
          </cell>
          <cell r="C46" t="str">
            <v>Battery_MinBuild_MWh</v>
          </cell>
        </row>
        <row r="47">
          <cell r="B47" t="str">
            <v>build-limits</v>
          </cell>
          <cell r="C47" t="str">
            <v>Biomass_MinBuild_MW</v>
          </cell>
        </row>
        <row r="48">
          <cell r="B48" t="str">
            <v>build-limits</v>
          </cell>
          <cell r="C48" t="str">
            <v>DR_MinBuild_MW</v>
          </cell>
        </row>
        <row r="49">
          <cell r="B49" t="str">
            <v>build-limits</v>
          </cell>
          <cell r="C49" t="str">
            <v>DR_MinBuild_MW</v>
          </cell>
        </row>
        <row r="50">
          <cell r="B50" t="str">
            <v>build-limits</v>
          </cell>
          <cell r="C50" t="str">
            <v>DR_MinBuild_MW</v>
          </cell>
        </row>
        <row r="51">
          <cell r="B51" t="str">
            <v>build-limits</v>
          </cell>
          <cell r="C51" t="str">
            <v>DR_MinBuild_MW</v>
          </cell>
        </row>
        <row r="52">
          <cell r="B52" t="str">
            <v>build-limits</v>
          </cell>
          <cell r="C52" t="str">
            <v>DR_MinBuild_MW</v>
          </cell>
        </row>
        <row r="53">
          <cell r="B53" t="str">
            <v>build-limits</v>
          </cell>
          <cell r="C53" t="str">
            <v>DR_MinBuild_MW</v>
          </cell>
        </row>
        <row r="54">
          <cell r="B54" t="str">
            <v>build-limits</v>
          </cell>
          <cell r="C54" t="str">
            <v>DR_MinBuild_MW</v>
          </cell>
        </row>
        <row r="55">
          <cell r="B55" t="str">
            <v>build-limits</v>
          </cell>
          <cell r="C55" t="str">
            <v>DR_MinBuild_MW</v>
          </cell>
        </row>
        <row r="56">
          <cell r="B56" t="str">
            <v>build-limits</v>
          </cell>
          <cell r="C56" t="str">
            <v>Geo_MinBuild_MW</v>
          </cell>
        </row>
        <row r="57">
          <cell r="B57" t="str">
            <v>build-limits</v>
          </cell>
          <cell r="C57" t="str">
            <v>Geo_MinBuild_MW</v>
          </cell>
        </row>
        <row r="58">
          <cell r="B58" t="str">
            <v>build-limits</v>
          </cell>
          <cell r="C58" t="str">
            <v>Geo_MinBuild_MW</v>
          </cell>
        </row>
        <row r="59">
          <cell r="B59" t="str">
            <v>build-limits</v>
          </cell>
          <cell r="C59" t="str">
            <v>Geo_MinBuild_MW</v>
          </cell>
        </row>
        <row r="60">
          <cell r="B60" t="str">
            <v>build-limits</v>
          </cell>
          <cell r="C60" t="str">
            <v>Geo_MinBuild_MW</v>
          </cell>
        </row>
        <row r="61">
          <cell r="B61" t="str">
            <v>build-limits</v>
          </cell>
          <cell r="C61" t="str">
            <v>Geo_MinBuild_MW</v>
          </cell>
        </row>
        <row r="62">
          <cell r="B62" t="str">
            <v>build-limits</v>
          </cell>
          <cell r="C62" t="str">
            <v>Geo_NQC_MW</v>
          </cell>
        </row>
        <row r="63">
          <cell r="B63" t="str">
            <v>build-limits</v>
          </cell>
          <cell r="C63" t="str">
            <v>Geo_NQC_MW</v>
          </cell>
        </row>
        <row r="64">
          <cell r="B64" t="str">
            <v>build-limits</v>
          </cell>
          <cell r="C64" t="str">
            <v>Geo_NQC_MW</v>
          </cell>
        </row>
        <row r="65">
          <cell r="B65" t="str">
            <v>build-limits</v>
          </cell>
          <cell r="C65" t="str">
            <v>Geo_NQC_MW</v>
          </cell>
        </row>
        <row r="66">
          <cell r="B66" t="str">
            <v>build-limits</v>
          </cell>
          <cell r="C66" t="str">
            <v>Geo_NQC_MW</v>
          </cell>
        </row>
        <row r="67">
          <cell r="B67" t="str">
            <v>build-limits</v>
          </cell>
          <cell r="C67" t="str">
            <v>Geo_NQC_MW</v>
          </cell>
        </row>
        <row r="68">
          <cell r="B68" t="str">
            <v>build-limits</v>
          </cell>
          <cell r="C68" t="str">
            <v>Geo_NQC_MW</v>
          </cell>
        </row>
        <row r="69">
          <cell r="B69" t="str">
            <v>build-limits</v>
          </cell>
          <cell r="C69" t="str">
            <v>LDS_MinBuild_MW</v>
          </cell>
        </row>
        <row r="70">
          <cell r="B70" t="str">
            <v>build-limits</v>
          </cell>
          <cell r="C70" t="str">
            <v>LDS_MinBuild_MW</v>
          </cell>
        </row>
        <row r="71">
          <cell r="B71" t="str">
            <v>build-limits</v>
          </cell>
          <cell r="C71" t="str">
            <v>LDS_MinBuild_MW</v>
          </cell>
        </row>
        <row r="72">
          <cell r="B72" t="str">
            <v>build-limits</v>
          </cell>
          <cell r="C72" t="str">
            <v>LDS_MinBuild_MW</v>
          </cell>
        </row>
        <row r="73">
          <cell r="B73" t="str">
            <v>build-limits</v>
          </cell>
          <cell r="C73" t="str">
            <v>LDS_NQC_MW</v>
          </cell>
        </row>
        <row r="74">
          <cell r="B74" t="str">
            <v>build-limits</v>
          </cell>
          <cell r="C74" t="str">
            <v>LDS_NQC_MW</v>
          </cell>
        </row>
        <row r="75">
          <cell r="B75" t="str">
            <v>build-limits</v>
          </cell>
          <cell r="C75" t="str">
            <v>LDS_NQC_MW</v>
          </cell>
        </row>
        <row r="76">
          <cell r="B76" t="str">
            <v>build-limits</v>
          </cell>
          <cell r="C76" t="str">
            <v>LDS_NQC_MW</v>
          </cell>
        </row>
        <row r="77">
          <cell r="B77" t="str">
            <v>build-limits</v>
          </cell>
          <cell r="C77" t="str">
            <v>NoEnergyOnly_DiabloCanyonOffshoreWind</v>
          </cell>
        </row>
        <row r="78">
          <cell r="B78" t="str">
            <v>build-limits</v>
          </cell>
          <cell r="C78" t="str">
            <v>NoEnergyOnly_DiabloCanyonOffshoreWind</v>
          </cell>
        </row>
        <row r="79">
          <cell r="B79" t="str">
            <v>build-limits</v>
          </cell>
          <cell r="C79" t="str">
            <v>NoEnergyOnly_HumboldtOffshoreWind</v>
          </cell>
        </row>
        <row r="80">
          <cell r="B80" t="str">
            <v>build-limits</v>
          </cell>
          <cell r="C80" t="str">
            <v>NoEnergyOnly_HumboldtOffshoreWind</v>
          </cell>
        </row>
        <row r="81">
          <cell r="B81" t="str">
            <v>build-limits</v>
          </cell>
          <cell r="C81" t="str">
            <v>NoEnergyOnly_MorroBayOffshoreWind</v>
          </cell>
        </row>
        <row r="82">
          <cell r="B82" t="str">
            <v>build-limits</v>
          </cell>
          <cell r="C82" t="str">
            <v>NoEnergyOnly_MorroBayOffshoreWind</v>
          </cell>
        </row>
        <row r="83">
          <cell r="B83" t="str">
            <v>build-limits</v>
          </cell>
          <cell r="C83" t="str">
            <v>NoEnergyOnly_NewMexicoWind</v>
          </cell>
        </row>
        <row r="84">
          <cell r="B84" t="str">
            <v>build-limits</v>
          </cell>
          <cell r="C84" t="str">
            <v>NoEnergyOnly_NewMexicoWind</v>
          </cell>
        </row>
        <row r="85">
          <cell r="B85" t="str">
            <v>build-limits</v>
          </cell>
          <cell r="C85" t="str">
            <v>NoEnergyOnly_WyomingWind</v>
          </cell>
        </row>
        <row r="86">
          <cell r="B86" t="str">
            <v>build-limits</v>
          </cell>
          <cell r="C86" t="str">
            <v>NoEnergyOnly_WyomingWind</v>
          </cell>
        </row>
        <row r="87">
          <cell r="B87" t="str">
            <v>build-limits</v>
          </cell>
          <cell r="C87" t="str">
            <v>OOS_MinBuild_MW</v>
          </cell>
        </row>
        <row r="88">
          <cell r="B88" t="str">
            <v>build-limits</v>
          </cell>
          <cell r="C88" t="str">
            <v>OOS_MinBuild_MW</v>
          </cell>
        </row>
        <row r="89">
          <cell r="B89" t="str">
            <v>build-limits</v>
          </cell>
          <cell r="C89" t="str">
            <v>OSW_MinBuild_MW</v>
          </cell>
        </row>
        <row r="90">
          <cell r="B90" t="str">
            <v>build-limits</v>
          </cell>
          <cell r="C90" t="str">
            <v>OSW_MinBuild_MW</v>
          </cell>
        </row>
        <row r="91">
          <cell r="B91" t="str">
            <v>build-limits</v>
          </cell>
          <cell r="C91" t="str">
            <v>OSW_MinBuild_MW</v>
          </cell>
        </row>
        <row r="92">
          <cell r="B92" t="str">
            <v>build-limits</v>
          </cell>
          <cell r="C92" t="str">
            <v>Solar_AnnualBuild</v>
          </cell>
        </row>
        <row r="93">
          <cell r="B93" t="str">
            <v>build-limits</v>
          </cell>
          <cell r="C93" t="str">
            <v>Solar_AnnualBuild</v>
          </cell>
        </row>
        <row r="94">
          <cell r="B94" t="str">
            <v>build-limits</v>
          </cell>
          <cell r="C94" t="str">
            <v>Solar_AnnualBuild</v>
          </cell>
        </row>
        <row r="95">
          <cell r="B95" t="str">
            <v>build-limits</v>
          </cell>
          <cell r="C95" t="str">
            <v>Solar_AnnualBuild</v>
          </cell>
        </row>
        <row r="96">
          <cell r="B96" t="str">
            <v>build-limits</v>
          </cell>
          <cell r="C96" t="str">
            <v>Solar_AnnualBuild</v>
          </cell>
        </row>
        <row r="97">
          <cell r="B97" t="str">
            <v>build-limits</v>
          </cell>
          <cell r="C97" t="str">
            <v>Solar_AnnualBuild</v>
          </cell>
        </row>
        <row r="98">
          <cell r="B98" t="str">
            <v>build-limits</v>
          </cell>
          <cell r="C98" t="str">
            <v>Solar_AnnualBuild</v>
          </cell>
        </row>
        <row r="99">
          <cell r="B99" t="str">
            <v>build-limits</v>
          </cell>
          <cell r="C99" t="str">
            <v>Solar_AnnualBuild</v>
          </cell>
        </row>
        <row r="100">
          <cell r="B100" t="str">
            <v>build-limits</v>
          </cell>
          <cell r="C100" t="str">
            <v>Solar_AnnualBuild</v>
          </cell>
        </row>
        <row r="101">
          <cell r="B101" t="str">
            <v>build-limits</v>
          </cell>
          <cell r="C101" t="str">
            <v>Solar_AnnualBuild</v>
          </cell>
        </row>
        <row r="102">
          <cell r="B102" t="str">
            <v>build-limits</v>
          </cell>
          <cell r="C102" t="str">
            <v>Solar_ForceBuild_MW</v>
          </cell>
        </row>
        <row r="103">
          <cell r="B103" t="str">
            <v>build-limits</v>
          </cell>
          <cell r="C103" t="str">
            <v>Solar_ForceBuild_MW</v>
          </cell>
        </row>
        <row r="104">
          <cell r="B104" t="str">
            <v>build-limits</v>
          </cell>
          <cell r="C104" t="str">
            <v>Solar_ForceBuild_MW</v>
          </cell>
        </row>
        <row r="105">
          <cell r="B105" t="str">
            <v>build-limits</v>
          </cell>
          <cell r="C105" t="str">
            <v>Solar_ForceBuild_MW</v>
          </cell>
        </row>
        <row r="106">
          <cell r="B106" t="str">
            <v>build-limits</v>
          </cell>
          <cell r="C106" t="str">
            <v>Solar_ForceBuild_MW</v>
          </cell>
        </row>
        <row r="107">
          <cell r="B107" t="str">
            <v>build-limits</v>
          </cell>
          <cell r="C107" t="str">
            <v>Solar_ForceBuild_MW</v>
          </cell>
        </row>
        <row r="108">
          <cell r="B108" t="str">
            <v>build-limits</v>
          </cell>
          <cell r="C108" t="str">
            <v>Solar_ForceBuild_MW</v>
          </cell>
        </row>
        <row r="109">
          <cell r="B109" t="str">
            <v>build-limits</v>
          </cell>
          <cell r="C109" t="str">
            <v>Solar_ForceBuild_MW</v>
          </cell>
        </row>
        <row r="110">
          <cell r="B110" t="str">
            <v>build-limits</v>
          </cell>
          <cell r="C110" t="str">
            <v>Solar_ForceBuild_MW</v>
          </cell>
        </row>
        <row r="111">
          <cell r="B111" t="str">
            <v>build-limits</v>
          </cell>
          <cell r="C111" t="str">
            <v>Solar_ForceBuild_MW</v>
          </cell>
        </row>
        <row r="112">
          <cell r="B112" t="str">
            <v>build-limits</v>
          </cell>
          <cell r="C112" t="str">
            <v>Solar_MinBuild_MW</v>
          </cell>
        </row>
        <row r="113">
          <cell r="B113" t="str">
            <v>build-limits</v>
          </cell>
          <cell r="C113" t="str">
            <v>Solar_MinBuild_MW</v>
          </cell>
        </row>
        <row r="114">
          <cell r="B114" t="str">
            <v>build-limits</v>
          </cell>
          <cell r="C114" t="str">
            <v>Solar_MinBuild_MW</v>
          </cell>
        </row>
        <row r="115">
          <cell r="B115" t="str">
            <v>build-limits</v>
          </cell>
          <cell r="C115" t="str">
            <v>Solar_MinBuild_MW</v>
          </cell>
        </row>
        <row r="116">
          <cell r="B116" t="str">
            <v>build-limits</v>
          </cell>
          <cell r="C116" t="str">
            <v>Solar_MinBuild_MW</v>
          </cell>
        </row>
        <row r="117">
          <cell r="B117" t="str">
            <v>build-limits</v>
          </cell>
          <cell r="C117" t="str">
            <v>Solar_MinBuild_MW</v>
          </cell>
        </row>
        <row r="118">
          <cell r="B118" t="str">
            <v>build-limits</v>
          </cell>
          <cell r="C118" t="str">
            <v>Solar_MinBuild_MW</v>
          </cell>
        </row>
        <row r="119">
          <cell r="B119" t="str">
            <v>build-limits</v>
          </cell>
          <cell r="C119" t="str">
            <v>Solar_MinBuild_MW</v>
          </cell>
        </row>
        <row r="120">
          <cell r="B120" t="str">
            <v>build-limits</v>
          </cell>
          <cell r="C120" t="str">
            <v>Solar_MinBuild_MW</v>
          </cell>
        </row>
        <row r="121">
          <cell r="B121" t="str">
            <v>build-limits</v>
          </cell>
          <cell r="C121" t="str">
            <v>Solar_MinBuild_MW</v>
          </cell>
        </row>
        <row r="122">
          <cell r="B122" t="str">
            <v>build-limits</v>
          </cell>
          <cell r="C122" t="str">
            <v>Wind_MinBuild_MW</v>
          </cell>
        </row>
        <row r="123">
          <cell r="B123" t="str">
            <v>build-limits</v>
          </cell>
          <cell r="C123" t="str">
            <v>Wind_MinBuild_MW</v>
          </cell>
        </row>
        <row r="124">
          <cell r="B124" t="str">
            <v>build-limits</v>
          </cell>
          <cell r="C124" t="str">
            <v>Wind_MinBuild_MW</v>
          </cell>
        </row>
        <row r="125">
          <cell r="B125" t="str">
            <v>build-limits</v>
          </cell>
          <cell r="C125" t="str">
            <v>Wind_MinBuild_MW</v>
          </cell>
        </row>
        <row r="126">
          <cell r="B126" t="str">
            <v>build-limits</v>
          </cell>
          <cell r="C126" t="str">
            <v>Wind_MinBuild_MW</v>
          </cell>
        </row>
        <row r="127">
          <cell r="B127" t="str">
            <v>build-limits</v>
          </cell>
          <cell r="C127" t="str">
            <v>Wind_MinBuild_MW</v>
          </cell>
        </row>
        <row r="128">
          <cell r="B128" t="str">
            <v>build-limits</v>
          </cell>
          <cell r="C128" t="str">
            <v>Wind_MinBuild_MW</v>
          </cell>
        </row>
        <row r="129">
          <cell r="B129" t="str">
            <v>build-limits</v>
          </cell>
          <cell r="C129" t="str">
            <v>Wind_MinBuild_MW</v>
          </cell>
        </row>
        <row r="130">
          <cell r="B130" t="str">
            <v>build-limits</v>
          </cell>
          <cell r="C130" t="str">
            <v>Wind_MinBuild_MW</v>
          </cell>
        </row>
        <row r="131">
          <cell r="B131" t="str">
            <v>build-limits</v>
          </cell>
          <cell r="C131" t="str">
            <v>Wind_MinBuild_MW</v>
          </cell>
        </row>
        <row r="132">
          <cell r="B132" t="str">
            <v>build-limits</v>
          </cell>
          <cell r="C132" t="str">
            <v>Wind_MinBuild_MW</v>
          </cell>
        </row>
        <row r="133">
          <cell r="B133" t="str">
            <v>build-limits</v>
          </cell>
          <cell r="C133" t="str">
            <v>Wind_MinBuild_MW</v>
          </cell>
        </row>
        <row r="134">
          <cell r="B134" t="str">
            <v>build-limits</v>
          </cell>
          <cell r="C134" t="str">
            <v>Wind_MinBuild_MW</v>
          </cell>
        </row>
        <row r="135">
          <cell r="B135" t="str">
            <v>caiso-deliverability</v>
          </cell>
          <cell r="C135" t="str">
            <v>Colorado_River_500_230_deliverable_peak_highest</v>
          </cell>
        </row>
        <row r="136">
          <cell r="B136" t="str">
            <v>caiso-deliverability</v>
          </cell>
          <cell r="C136" t="str">
            <v>Colorado_River_500_230_deliverable_peak_highest</v>
          </cell>
        </row>
        <row r="137">
          <cell r="B137" t="str">
            <v>caiso-deliverability</v>
          </cell>
          <cell r="C137" t="str">
            <v>Colorado_River_500_230_deliverable_peak_highest</v>
          </cell>
        </row>
        <row r="138">
          <cell r="B138" t="str">
            <v>caiso-deliverability</v>
          </cell>
          <cell r="C138" t="str">
            <v>Colorado_River_500_230_deliverable_peak_secondary</v>
          </cell>
        </row>
        <row r="139">
          <cell r="B139" t="str">
            <v>caiso-deliverability</v>
          </cell>
          <cell r="C139" t="str">
            <v>Colorado_River_500_230_deliverable_peak_secondary</v>
          </cell>
        </row>
        <row r="140">
          <cell r="B140" t="str">
            <v>caiso-deliverability</v>
          </cell>
          <cell r="C140" t="str">
            <v>Colorado_River_500_230_deliverable_peak_secondary</v>
          </cell>
        </row>
        <row r="141">
          <cell r="B141" t="str">
            <v>caiso-deliverability</v>
          </cell>
          <cell r="C141" t="str">
            <v>Colorado_River_500_230_offpeak</v>
          </cell>
        </row>
        <row r="142">
          <cell r="B142" t="str">
            <v>caiso-deliverability</v>
          </cell>
          <cell r="C142" t="str">
            <v>Colorado_River_500_230_offpeak</v>
          </cell>
        </row>
        <row r="143">
          <cell r="B143" t="str">
            <v>caiso-deliverability</v>
          </cell>
          <cell r="C143" t="str">
            <v>Colorado_River_500_230_offpeak</v>
          </cell>
        </row>
        <row r="144">
          <cell r="B144" t="str">
            <v>caiso-deliverability</v>
          </cell>
          <cell r="C144" t="str">
            <v>Contra_Costa_Delta_Switchyard_230_deliverable_peak_highest</v>
          </cell>
        </row>
        <row r="145">
          <cell r="B145" t="str">
            <v>caiso-deliverability</v>
          </cell>
          <cell r="C145" t="str">
            <v>Contra_Costa_Delta_Switchyard_230_deliverable_peak_highest</v>
          </cell>
        </row>
        <row r="146">
          <cell r="B146" t="str">
            <v>caiso-deliverability</v>
          </cell>
          <cell r="C146" t="str">
            <v>Contra_Costa_Delta_Switchyard_230_deliverable_peak_highest</v>
          </cell>
        </row>
        <row r="147">
          <cell r="B147" t="str">
            <v>caiso-deliverability</v>
          </cell>
          <cell r="C147" t="str">
            <v>Contra_Costa_Delta_Switchyard_230_deliverable_peak_highest</v>
          </cell>
        </row>
        <row r="148">
          <cell r="B148" t="str">
            <v>caiso-deliverability</v>
          </cell>
          <cell r="C148" t="str">
            <v>Contra_Costa_Delta_Switchyard_230_deliverable_peak_secondary</v>
          </cell>
        </row>
        <row r="149">
          <cell r="B149" t="str">
            <v>caiso-deliverability</v>
          </cell>
          <cell r="C149" t="str">
            <v>Contra_Costa_Delta_Switchyard_230_deliverable_peak_secondary</v>
          </cell>
        </row>
        <row r="150">
          <cell r="B150" t="str">
            <v>caiso-deliverability</v>
          </cell>
          <cell r="C150" t="str">
            <v>Contra_Costa_Delta_Switchyard_230_deliverable_peak_secondary</v>
          </cell>
        </row>
        <row r="151">
          <cell r="B151" t="str">
            <v>caiso-deliverability</v>
          </cell>
          <cell r="C151" t="str">
            <v>Contra_Costa_Delta_Switchyard_230_deliverable_peak_secondary</v>
          </cell>
        </row>
        <row r="152">
          <cell r="B152" t="str">
            <v>caiso-deliverability</v>
          </cell>
          <cell r="C152" t="str">
            <v>Contra_Costa_Delta_Switchyard_230_offpeak</v>
          </cell>
        </row>
        <row r="153">
          <cell r="B153" t="str">
            <v>caiso-deliverability</v>
          </cell>
          <cell r="C153" t="str">
            <v>Contra_Costa_Delta_Switchyard_230_offpeak</v>
          </cell>
        </row>
        <row r="154">
          <cell r="B154" t="str">
            <v>caiso-deliverability</v>
          </cell>
          <cell r="C154" t="str">
            <v>Contra_Costa_Delta_Switchyard_230_offpeak</v>
          </cell>
        </row>
        <row r="155">
          <cell r="B155" t="str">
            <v>caiso-deliverability</v>
          </cell>
          <cell r="C155" t="str">
            <v>Contra_Costa_Delta_Switchyard_230_offpeak</v>
          </cell>
        </row>
        <row r="156">
          <cell r="B156" t="str">
            <v>caiso-deliverability</v>
          </cell>
          <cell r="C156" t="str">
            <v>Delevan_Cortina_230_deliverable_peak_highest</v>
          </cell>
        </row>
        <row r="157">
          <cell r="B157" t="str">
            <v>caiso-deliverability</v>
          </cell>
          <cell r="C157" t="str">
            <v>Delevan_Cortina_230_deliverable_peak_highest</v>
          </cell>
        </row>
        <row r="158">
          <cell r="B158" t="str">
            <v>caiso-deliverability</v>
          </cell>
          <cell r="C158" t="str">
            <v>Delevan_Cortina_230_deliverable_peak_highest</v>
          </cell>
        </row>
        <row r="159">
          <cell r="B159" t="str">
            <v>caiso-deliverability</v>
          </cell>
          <cell r="C159" t="str">
            <v>Delevan_Cortina_230_deliverable_peak_highest</v>
          </cell>
        </row>
        <row r="160">
          <cell r="B160" t="str">
            <v>caiso-deliverability</v>
          </cell>
          <cell r="C160" t="str">
            <v>Delevan_Cortina_230_deliverable_peak_highest</v>
          </cell>
        </row>
        <row r="161">
          <cell r="B161" t="str">
            <v>caiso-deliverability</v>
          </cell>
          <cell r="C161" t="str">
            <v>Delevan_Cortina_230_deliverable_peak_highest</v>
          </cell>
        </row>
        <row r="162">
          <cell r="B162" t="str">
            <v>caiso-deliverability</v>
          </cell>
          <cell r="C162" t="str">
            <v>Delevan_Cortina_230_deliverable_peak_highest</v>
          </cell>
        </row>
        <row r="163">
          <cell r="B163" t="str">
            <v>caiso-deliverability</v>
          </cell>
          <cell r="C163" t="str">
            <v>Delevan_Cortina_230_deliverable_peak_highest</v>
          </cell>
        </row>
        <row r="164">
          <cell r="B164" t="str">
            <v>caiso-deliverability</v>
          </cell>
          <cell r="C164" t="str">
            <v>Delevan_Cortina_230_deliverable_peak_highest</v>
          </cell>
        </row>
        <row r="165">
          <cell r="B165" t="str">
            <v>caiso-deliverability</v>
          </cell>
          <cell r="C165" t="str">
            <v>Delevan_Cortina_230_deliverable_peak_highest</v>
          </cell>
        </row>
        <row r="166">
          <cell r="B166" t="str">
            <v>caiso-deliverability</v>
          </cell>
          <cell r="C166" t="str">
            <v>Delevan_Cortina_230_deliverable_peak_secondary</v>
          </cell>
        </row>
        <row r="167">
          <cell r="B167" t="str">
            <v>caiso-deliverability</v>
          </cell>
          <cell r="C167" t="str">
            <v>Delevan_Cortina_230_deliverable_peak_secondary</v>
          </cell>
        </row>
        <row r="168">
          <cell r="B168" t="str">
            <v>caiso-deliverability</v>
          </cell>
          <cell r="C168" t="str">
            <v>Delevan_Cortina_230_deliverable_peak_secondary</v>
          </cell>
        </row>
        <row r="169">
          <cell r="B169" t="str">
            <v>caiso-deliverability</v>
          </cell>
          <cell r="C169" t="str">
            <v>Delevan_Cortina_230_deliverable_peak_secondary</v>
          </cell>
        </row>
        <row r="170">
          <cell r="B170" t="str">
            <v>caiso-deliverability</v>
          </cell>
          <cell r="C170" t="str">
            <v>Delevan_Cortina_230_deliverable_peak_secondary</v>
          </cell>
        </row>
        <row r="171">
          <cell r="B171" t="str">
            <v>caiso-deliverability</v>
          </cell>
          <cell r="C171" t="str">
            <v>Delevan_Cortina_230_deliverable_peak_secondary</v>
          </cell>
        </row>
        <row r="172">
          <cell r="B172" t="str">
            <v>caiso-deliverability</v>
          </cell>
          <cell r="C172" t="str">
            <v>Delevan_Cortina_230_deliverable_peak_secondary</v>
          </cell>
        </row>
        <row r="173">
          <cell r="B173" t="str">
            <v>caiso-deliverability</v>
          </cell>
          <cell r="C173" t="str">
            <v>Delevan_Cortina_230_deliverable_peak_secondary</v>
          </cell>
        </row>
        <row r="174">
          <cell r="B174" t="str">
            <v>caiso-deliverability</v>
          </cell>
          <cell r="C174" t="str">
            <v>Delevan_Cortina_230_deliverable_peak_secondary</v>
          </cell>
        </row>
        <row r="175">
          <cell r="B175" t="str">
            <v>caiso-deliverability</v>
          </cell>
          <cell r="C175" t="str">
            <v>Delevan_Cortina_230_deliverable_peak_secondary</v>
          </cell>
        </row>
        <row r="176">
          <cell r="B176" t="str">
            <v>caiso-deliverability</v>
          </cell>
          <cell r="C176" t="str">
            <v>Delevan_Cortina_230_offpeak</v>
          </cell>
        </row>
        <row r="177">
          <cell r="B177" t="str">
            <v>caiso-deliverability</v>
          </cell>
          <cell r="C177" t="str">
            <v>Delevan_Cortina_230_offpeak</v>
          </cell>
        </row>
        <row r="178">
          <cell r="B178" t="str">
            <v>caiso-deliverability</v>
          </cell>
          <cell r="C178" t="str">
            <v>Delevan_Cortina_230_offpeak</v>
          </cell>
        </row>
        <row r="179">
          <cell r="B179" t="str">
            <v>caiso-deliverability</v>
          </cell>
          <cell r="C179" t="str">
            <v>Delevan_Cortina_230_offpeak</v>
          </cell>
        </row>
        <row r="180">
          <cell r="B180" t="str">
            <v>caiso-deliverability</v>
          </cell>
          <cell r="C180" t="str">
            <v>Delevan_Cortina_230_offpeak</v>
          </cell>
        </row>
        <row r="181">
          <cell r="B181" t="str">
            <v>caiso-deliverability</v>
          </cell>
          <cell r="C181" t="str">
            <v>Delevan_Cortina_230_offpeak</v>
          </cell>
        </row>
        <row r="182">
          <cell r="B182" t="str">
            <v>caiso-deliverability</v>
          </cell>
          <cell r="C182" t="str">
            <v>Delevan_Cortina_230_offpeak</v>
          </cell>
        </row>
        <row r="183">
          <cell r="B183" t="str">
            <v>caiso-deliverability</v>
          </cell>
          <cell r="C183" t="str">
            <v>Delevan_Cortina_230_offpeak</v>
          </cell>
        </row>
        <row r="184">
          <cell r="B184" t="str">
            <v>caiso-deliverability</v>
          </cell>
          <cell r="C184" t="str">
            <v>Delevan_Cortina_230_offpeak</v>
          </cell>
        </row>
        <row r="185">
          <cell r="B185" t="str">
            <v>caiso-deliverability</v>
          </cell>
          <cell r="C185" t="str">
            <v>Delevan_Cortina_230_offpeak</v>
          </cell>
        </row>
        <row r="186">
          <cell r="B186" t="str">
            <v>caiso-deliverability</v>
          </cell>
          <cell r="C186" t="str">
            <v>Devers_Red_Bluff_deliverable_peak_highest</v>
          </cell>
        </row>
        <row r="187">
          <cell r="B187" t="str">
            <v>caiso-deliverability</v>
          </cell>
          <cell r="C187" t="str">
            <v>Devers_Red_Bluff_deliverable_peak_highest</v>
          </cell>
        </row>
        <row r="188">
          <cell r="B188" t="str">
            <v>caiso-deliverability</v>
          </cell>
          <cell r="C188" t="str">
            <v>Devers_Red_Bluff_deliverable_peak_highest</v>
          </cell>
        </row>
        <row r="189">
          <cell r="B189" t="str">
            <v>caiso-deliverability</v>
          </cell>
          <cell r="C189" t="str">
            <v>Devers_Red_Bluff_deliverable_peak_highest</v>
          </cell>
        </row>
        <row r="190">
          <cell r="B190" t="str">
            <v>caiso-deliverability</v>
          </cell>
          <cell r="C190" t="str">
            <v>Devers_Red_Bluff_deliverable_peak_highest</v>
          </cell>
        </row>
        <row r="191">
          <cell r="B191" t="str">
            <v>caiso-deliverability</v>
          </cell>
          <cell r="C191" t="str">
            <v>Devers_Red_Bluff_deliverable_peak_highest</v>
          </cell>
        </row>
        <row r="192">
          <cell r="B192" t="str">
            <v>caiso-deliverability</v>
          </cell>
          <cell r="C192" t="str">
            <v>Devers_Red_Bluff_deliverable_peak_highest</v>
          </cell>
        </row>
        <row r="193">
          <cell r="B193" t="str">
            <v>caiso-deliverability</v>
          </cell>
          <cell r="C193" t="str">
            <v>Devers_Red_Bluff_deliverable_peak_highest</v>
          </cell>
        </row>
        <row r="194">
          <cell r="B194" t="str">
            <v>caiso-deliverability</v>
          </cell>
          <cell r="C194" t="str">
            <v>Devers_Red_Bluff_deliverable_peak_secondary</v>
          </cell>
        </row>
        <row r="195">
          <cell r="B195" t="str">
            <v>caiso-deliverability</v>
          </cell>
          <cell r="C195" t="str">
            <v>Devers_Red_Bluff_deliverable_peak_secondary</v>
          </cell>
        </row>
        <row r="196">
          <cell r="B196" t="str">
            <v>caiso-deliverability</v>
          </cell>
          <cell r="C196" t="str">
            <v>Devers_Red_Bluff_deliverable_peak_secondary</v>
          </cell>
        </row>
        <row r="197">
          <cell r="B197" t="str">
            <v>caiso-deliverability</v>
          </cell>
          <cell r="C197" t="str">
            <v>Devers_Red_Bluff_deliverable_peak_secondary</v>
          </cell>
        </row>
        <row r="198">
          <cell r="B198" t="str">
            <v>caiso-deliverability</v>
          </cell>
          <cell r="C198" t="str">
            <v>Devers_Red_Bluff_deliverable_peak_secondary</v>
          </cell>
        </row>
        <row r="199">
          <cell r="B199" t="str">
            <v>caiso-deliverability</v>
          </cell>
          <cell r="C199" t="str">
            <v>Devers_Red_Bluff_deliverable_peak_secondary</v>
          </cell>
        </row>
        <row r="200">
          <cell r="B200" t="str">
            <v>caiso-deliverability</v>
          </cell>
          <cell r="C200" t="str">
            <v>Devers_Red_Bluff_deliverable_peak_secondary</v>
          </cell>
        </row>
        <row r="201">
          <cell r="B201" t="str">
            <v>caiso-deliverability</v>
          </cell>
          <cell r="C201" t="str">
            <v>Devers_Red_Bluff_deliverable_peak_secondary</v>
          </cell>
        </row>
        <row r="202">
          <cell r="B202" t="str">
            <v>caiso-deliverability</v>
          </cell>
          <cell r="C202" t="str">
            <v>Devers_Red_Bluff_offpeak</v>
          </cell>
        </row>
        <row r="203">
          <cell r="B203" t="str">
            <v>caiso-deliverability</v>
          </cell>
          <cell r="C203" t="str">
            <v>Devers_Red_Bluff_offpeak</v>
          </cell>
        </row>
        <row r="204">
          <cell r="B204" t="str">
            <v>caiso-deliverability</v>
          </cell>
          <cell r="C204" t="str">
            <v>Devers_Red_Bluff_offpeak</v>
          </cell>
        </row>
        <row r="205">
          <cell r="B205" t="str">
            <v>caiso-deliverability</v>
          </cell>
          <cell r="C205" t="str">
            <v>Devers_Red_Bluff_offpeak</v>
          </cell>
        </row>
        <row r="206">
          <cell r="B206" t="str">
            <v>caiso-deliverability</v>
          </cell>
          <cell r="C206" t="str">
            <v>Devers_Red_Bluff_offpeak</v>
          </cell>
        </row>
        <row r="207">
          <cell r="B207" t="str">
            <v>caiso-deliverability</v>
          </cell>
          <cell r="C207" t="str">
            <v>Devers_Red_Bluff_offpeak</v>
          </cell>
        </row>
        <row r="208">
          <cell r="B208" t="str">
            <v>caiso-deliverability</v>
          </cell>
          <cell r="C208" t="str">
            <v>Devers_Red_Bluff_offpeak</v>
          </cell>
        </row>
        <row r="209">
          <cell r="B209" t="str">
            <v>caiso-deliverability</v>
          </cell>
          <cell r="C209" t="str">
            <v>Devers_Red_Bluff_offpeak</v>
          </cell>
        </row>
        <row r="210">
          <cell r="B210" t="str">
            <v>caiso-deliverability</v>
          </cell>
          <cell r="C210" t="str">
            <v>East_of_Miguel_deliverable_peak_highest</v>
          </cell>
        </row>
        <row r="211">
          <cell r="B211" t="str">
            <v>caiso-deliverability</v>
          </cell>
          <cell r="C211" t="str">
            <v>East_of_Miguel_deliverable_peak_highest</v>
          </cell>
        </row>
        <row r="212">
          <cell r="B212" t="str">
            <v>caiso-deliverability</v>
          </cell>
          <cell r="C212" t="str">
            <v>East_of_Miguel_deliverable_peak_highest</v>
          </cell>
        </row>
        <row r="213">
          <cell r="B213" t="str">
            <v>caiso-deliverability</v>
          </cell>
          <cell r="C213" t="str">
            <v>East_of_Miguel_deliverable_peak_highest</v>
          </cell>
        </row>
        <row r="214">
          <cell r="B214" t="str">
            <v>caiso-deliverability</v>
          </cell>
          <cell r="C214" t="str">
            <v>East_of_Miguel_deliverable_peak_highest</v>
          </cell>
        </row>
        <row r="215">
          <cell r="B215" t="str">
            <v>caiso-deliverability</v>
          </cell>
          <cell r="C215" t="str">
            <v>East_of_Miguel_deliverable_peak_highest</v>
          </cell>
        </row>
        <row r="216">
          <cell r="B216" t="str">
            <v>caiso-deliverability</v>
          </cell>
          <cell r="C216" t="str">
            <v>East_of_Miguel_deliverable_peak_highest</v>
          </cell>
        </row>
        <row r="217">
          <cell r="B217" t="str">
            <v>caiso-deliverability</v>
          </cell>
          <cell r="C217" t="str">
            <v>East_of_Miguel_deliverable_peak_highest</v>
          </cell>
        </row>
        <row r="218">
          <cell r="B218" t="str">
            <v>caiso-deliverability</v>
          </cell>
          <cell r="C218" t="str">
            <v>East_of_Miguel_deliverable_peak_highest</v>
          </cell>
        </row>
        <row r="219">
          <cell r="B219" t="str">
            <v>caiso-deliverability</v>
          </cell>
          <cell r="C219" t="str">
            <v>East_of_Miguel_deliverable_peak_secondary</v>
          </cell>
        </row>
        <row r="220">
          <cell r="B220" t="str">
            <v>caiso-deliverability</v>
          </cell>
          <cell r="C220" t="str">
            <v>East_of_Miguel_deliverable_peak_secondary</v>
          </cell>
        </row>
        <row r="221">
          <cell r="B221" t="str">
            <v>caiso-deliverability</v>
          </cell>
          <cell r="C221" t="str">
            <v>East_of_Miguel_deliverable_peak_secondary</v>
          </cell>
        </row>
        <row r="222">
          <cell r="B222" t="str">
            <v>caiso-deliverability</v>
          </cell>
          <cell r="C222" t="str">
            <v>East_of_Miguel_deliverable_peak_secondary</v>
          </cell>
        </row>
        <row r="223">
          <cell r="B223" t="str">
            <v>caiso-deliverability</v>
          </cell>
          <cell r="C223" t="str">
            <v>East_of_Miguel_deliverable_peak_secondary</v>
          </cell>
        </row>
        <row r="224">
          <cell r="B224" t="str">
            <v>caiso-deliverability</v>
          </cell>
          <cell r="C224" t="str">
            <v>East_of_Miguel_deliverable_peak_secondary</v>
          </cell>
        </row>
        <row r="225">
          <cell r="B225" t="str">
            <v>caiso-deliverability</v>
          </cell>
          <cell r="C225" t="str">
            <v>East_of_Miguel_deliverable_peak_secondary</v>
          </cell>
        </row>
        <row r="226">
          <cell r="B226" t="str">
            <v>caiso-deliverability</v>
          </cell>
          <cell r="C226" t="str">
            <v>East_of_Miguel_deliverable_peak_secondary</v>
          </cell>
        </row>
        <row r="227">
          <cell r="B227" t="str">
            <v>caiso-deliverability</v>
          </cell>
          <cell r="C227" t="str">
            <v>East_of_Miguel_deliverable_peak_secondary</v>
          </cell>
        </row>
        <row r="228">
          <cell r="B228" t="str">
            <v>caiso-deliverability</v>
          </cell>
          <cell r="C228" t="str">
            <v>East_of_Miguel_offpeak</v>
          </cell>
        </row>
        <row r="229">
          <cell r="B229" t="str">
            <v>caiso-deliverability</v>
          </cell>
          <cell r="C229" t="str">
            <v>East_of_Miguel_offpeak</v>
          </cell>
        </row>
        <row r="230">
          <cell r="B230" t="str">
            <v>caiso-deliverability</v>
          </cell>
          <cell r="C230" t="str">
            <v>East_of_Miguel_offpeak</v>
          </cell>
        </row>
        <row r="231">
          <cell r="B231" t="str">
            <v>caiso-deliverability</v>
          </cell>
          <cell r="C231" t="str">
            <v>East_of_Miguel_offpeak</v>
          </cell>
        </row>
        <row r="232">
          <cell r="B232" t="str">
            <v>caiso-deliverability</v>
          </cell>
          <cell r="C232" t="str">
            <v>East_of_Miguel_offpeak</v>
          </cell>
        </row>
        <row r="233">
          <cell r="B233" t="str">
            <v>caiso-deliverability</v>
          </cell>
          <cell r="C233" t="str">
            <v>East_of_Miguel_offpeak</v>
          </cell>
        </row>
        <row r="234">
          <cell r="B234" t="str">
            <v>caiso-deliverability</v>
          </cell>
          <cell r="C234" t="str">
            <v>East_of_Miguel_offpeak</v>
          </cell>
        </row>
        <row r="235">
          <cell r="B235" t="str">
            <v>caiso-deliverability</v>
          </cell>
          <cell r="C235" t="str">
            <v>East_of_Miguel_offpeak</v>
          </cell>
        </row>
        <row r="236">
          <cell r="B236" t="str">
            <v>caiso-deliverability</v>
          </cell>
          <cell r="C236" t="str">
            <v>East_of_Miguel_offpeak</v>
          </cell>
        </row>
        <row r="237">
          <cell r="B237" t="str">
            <v>caiso-deliverability</v>
          </cell>
          <cell r="C237" t="str">
            <v>Eldorado_500_230_deliverable_peak_highest</v>
          </cell>
        </row>
        <row r="238">
          <cell r="B238" t="str">
            <v>caiso-deliverability</v>
          </cell>
          <cell r="C238" t="str">
            <v>Eldorado_500_230_deliverable_peak_highest</v>
          </cell>
        </row>
        <row r="239">
          <cell r="B239" t="str">
            <v>caiso-deliverability</v>
          </cell>
          <cell r="C239" t="str">
            <v>Eldorado_500_230_deliverable_peak_highest</v>
          </cell>
        </row>
        <row r="240">
          <cell r="B240" t="str">
            <v>caiso-deliverability</v>
          </cell>
          <cell r="C240" t="str">
            <v>Eldorado_500_230_deliverable_peak_highest</v>
          </cell>
        </row>
        <row r="241">
          <cell r="B241" t="str">
            <v>caiso-deliverability</v>
          </cell>
          <cell r="C241" t="str">
            <v>Eldorado_500_230_deliverable_peak_highest</v>
          </cell>
        </row>
        <row r="242">
          <cell r="B242" t="str">
            <v>caiso-deliverability</v>
          </cell>
          <cell r="C242" t="str">
            <v>Eldorado_500_230_deliverable_peak_secondary</v>
          </cell>
        </row>
        <row r="243">
          <cell r="B243" t="str">
            <v>caiso-deliverability</v>
          </cell>
          <cell r="C243" t="str">
            <v>Eldorado_500_230_deliverable_peak_secondary</v>
          </cell>
        </row>
        <row r="244">
          <cell r="B244" t="str">
            <v>caiso-deliverability</v>
          </cell>
          <cell r="C244" t="str">
            <v>Eldorado_500_230_deliverable_peak_secondary</v>
          </cell>
        </row>
        <row r="245">
          <cell r="B245" t="str">
            <v>caiso-deliverability</v>
          </cell>
          <cell r="C245" t="str">
            <v>Eldorado_500_230_deliverable_peak_secondary</v>
          </cell>
        </row>
        <row r="246">
          <cell r="B246" t="str">
            <v>caiso-deliverability</v>
          </cell>
          <cell r="C246" t="str">
            <v>Eldorado_500_230_deliverable_peak_secondary</v>
          </cell>
        </row>
        <row r="247">
          <cell r="B247" t="str">
            <v>caiso-deliverability</v>
          </cell>
          <cell r="C247" t="str">
            <v>Eldorado_500_230_offpeak</v>
          </cell>
        </row>
        <row r="248">
          <cell r="B248" t="str">
            <v>caiso-deliverability</v>
          </cell>
          <cell r="C248" t="str">
            <v>Eldorado_500_230_offpeak</v>
          </cell>
        </row>
        <row r="249">
          <cell r="B249" t="str">
            <v>caiso-deliverability</v>
          </cell>
          <cell r="C249" t="str">
            <v>Eldorado_500_230_offpeak</v>
          </cell>
        </row>
        <row r="250">
          <cell r="B250" t="str">
            <v>caiso-deliverability</v>
          </cell>
          <cell r="C250" t="str">
            <v>Eldorado_500_230_offpeak</v>
          </cell>
        </row>
        <row r="251">
          <cell r="B251" t="str">
            <v>caiso-deliverability</v>
          </cell>
          <cell r="C251" t="str">
            <v>Eldorado_500_230_offpeak</v>
          </cell>
        </row>
        <row r="252">
          <cell r="B252" t="str">
            <v>caiso-deliverability</v>
          </cell>
          <cell r="C252" t="str">
            <v>Encina_San_Luis_Rey_deliverable_peak_highest</v>
          </cell>
        </row>
        <row r="253">
          <cell r="B253" t="str">
            <v>caiso-deliverability</v>
          </cell>
          <cell r="C253" t="str">
            <v>Encina_San_Luis_Rey_deliverable_peak_highest</v>
          </cell>
        </row>
        <row r="254">
          <cell r="B254" t="str">
            <v>caiso-deliverability</v>
          </cell>
          <cell r="C254" t="str">
            <v>Encina_San_Luis_Rey_deliverable_peak_highest</v>
          </cell>
        </row>
        <row r="255">
          <cell r="B255" t="str">
            <v>caiso-deliverability</v>
          </cell>
          <cell r="C255" t="str">
            <v>Encina_San_Luis_Rey_deliverable_peak_highest</v>
          </cell>
        </row>
        <row r="256">
          <cell r="B256" t="str">
            <v>caiso-deliverability</v>
          </cell>
          <cell r="C256" t="str">
            <v>Encina_San_Luis_Rey_deliverable_peak_highest</v>
          </cell>
        </row>
        <row r="257">
          <cell r="B257" t="str">
            <v>caiso-deliverability</v>
          </cell>
          <cell r="C257" t="str">
            <v>Encina_San_Luis_Rey_deliverable_peak_highest</v>
          </cell>
        </row>
        <row r="258">
          <cell r="B258" t="str">
            <v>caiso-deliverability</v>
          </cell>
          <cell r="C258" t="str">
            <v>Encina_San_Luis_Rey_deliverable_peak_highest</v>
          </cell>
        </row>
        <row r="259">
          <cell r="B259" t="str">
            <v>caiso-deliverability</v>
          </cell>
          <cell r="C259" t="str">
            <v>Encina_San_Luis_Rey_deliverable_peak_secondary</v>
          </cell>
        </row>
        <row r="260">
          <cell r="B260" t="str">
            <v>caiso-deliverability</v>
          </cell>
          <cell r="C260" t="str">
            <v>Encina_San_Luis_Rey_deliverable_peak_secondary</v>
          </cell>
        </row>
        <row r="261">
          <cell r="B261" t="str">
            <v>caiso-deliverability</v>
          </cell>
          <cell r="C261" t="str">
            <v>Encina_San_Luis_Rey_deliverable_peak_secondary</v>
          </cell>
        </row>
        <row r="262">
          <cell r="B262" t="str">
            <v>caiso-deliverability</v>
          </cell>
          <cell r="C262" t="str">
            <v>Encina_San_Luis_Rey_deliverable_peak_secondary</v>
          </cell>
        </row>
        <row r="263">
          <cell r="B263" t="str">
            <v>caiso-deliverability</v>
          </cell>
          <cell r="C263" t="str">
            <v>Encina_San_Luis_Rey_deliverable_peak_secondary</v>
          </cell>
        </row>
        <row r="264">
          <cell r="B264" t="str">
            <v>caiso-deliverability</v>
          </cell>
          <cell r="C264" t="str">
            <v>Encina_San_Luis_Rey_deliverable_peak_secondary</v>
          </cell>
        </row>
        <row r="265">
          <cell r="B265" t="str">
            <v>caiso-deliverability</v>
          </cell>
          <cell r="C265" t="str">
            <v>Encina_San_Luis_Rey_deliverable_peak_secondary</v>
          </cell>
        </row>
        <row r="266">
          <cell r="B266" t="str">
            <v>caiso-deliverability</v>
          </cell>
          <cell r="C266" t="str">
            <v>Encina_San_Luis_Rey_offpeak</v>
          </cell>
        </row>
        <row r="267">
          <cell r="B267" t="str">
            <v>caiso-deliverability</v>
          </cell>
          <cell r="C267" t="str">
            <v>Encina_San_Luis_Rey_offpeak</v>
          </cell>
        </row>
        <row r="268">
          <cell r="B268" t="str">
            <v>caiso-deliverability</v>
          </cell>
          <cell r="C268" t="str">
            <v>Encina_San_Luis_Rey_offpeak</v>
          </cell>
        </row>
        <row r="269">
          <cell r="B269" t="str">
            <v>caiso-deliverability</v>
          </cell>
          <cell r="C269" t="str">
            <v>Encina_San_Luis_Rey_offpeak</v>
          </cell>
        </row>
        <row r="270">
          <cell r="B270" t="str">
            <v>caiso-deliverability</v>
          </cell>
          <cell r="C270" t="str">
            <v>Encina_San_Luis_Rey_offpeak</v>
          </cell>
        </row>
        <row r="271">
          <cell r="B271" t="str">
            <v>caiso-deliverability</v>
          </cell>
          <cell r="C271" t="str">
            <v>Encina_San_Luis_Rey_offpeak</v>
          </cell>
        </row>
        <row r="272">
          <cell r="B272" t="str">
            <v>caiso-deliverability</v>
          </cell>
          <cell r="C272" t="str">
            <v>Encina_San_Luis_Rey_offpeak</v>
          </cell>
        </row>
        <row r="273">
          <cell r="B273" t="str">
            <v>caiso-deliverability</v>
          </cell>
          <cell r="C273" t="str">
            <v>Gates_500_230_Transformer_deliverable_peak_highest</v>
          </cell>
        </row>
        <row r="274">
          <cell r="B274" t="str">
            <v>caiso-deliverability</v>
          </cell>
          <cell r="C274" t="str">
            <v>Gates_500_230_Transformer_deliverable_peak_highest</v>
          </cell>
        </row>
        <row r="275">
          <cell r="B275" t="str">
            <v>caiso-deliverability</v>
          </cell>
          <cell r="C275" t="str">
            <v>Gates_500_230_Transformer_deliverable_peak_highest</v>
          </cell>
        </row>
        <row r="276">
          <cell r="B276" t="str">
            <v>caiso-deliverability</v>
          </cell>
          <cell r="C276" t="str">
            <v>Gates_500_230_Transformer_deliverable_peak_highest</v>
          </cell>
        </row>
        <row r="277">
          <cell r="B277" t="str">
            <v>caiso-deliverability</v>
          </cell>
          <cell r="C277" t="str">
            <v>Gates_500_230_Transformer_deliverable_peak_highest</v>
          </cell>
        </row>
        <row r="278">
          <cell r="B278" t="str">
            <v>caiso-deliverability</v>
          </cell>
          <cell r="C278" t="str">
            <v>Gates_500_230_Transformer_deliverable_peak_secondary</v>
          </cell>
        </row>
        <row r="279">
          <cell r="B279" t="str">
            <v>caiso-deliverability</v>
          </cell>
          <cell r="C279" t="str">
            <v>Gates_500_230_Transformer_deliverable_peak_secondary</v>
          </cell>
        </row>
        <row r="280">
          <cell r="B280" t="str">
            <v>caiso-deliverability</v>
          </cell>
          <cell r="C280" t="str">
            <v>Gates_500_230_Transformer_deliverable_peak_secondary</v>
          </cell>
        </row>
        <row r="281">
          <cell r="B281" t="str">
            <v>caiso-deliverability</v>
          </cell>
          <cell r="C281" t="str">
            <v>Gates_500_230_Transformer_deliverable_peak_secondary</v>
          </cell>
        </row>
        <row r="282">
          <cell r="B282" t="str">
            <v>caiso-deliverability</v>
          </cell>
          <cell r="C282" t="str">
            <v>Gates_500_230_Transformer_deliverable_peak_secondary</v>
          </cell>
        </row>
        <row r="283">
          <cell r="B283" t="str">
            <v>caiso-deliverability</v>
          </cell>
          <cell r="C283" t="str">
            <v>Gates_500_230_Transformer_offpeak</v>
          </cell>
        </row>
        <row r="284">
          <cell r="B284" t="str">
            <v>caiso-deliverability</v>
          </cell>
          <cell r="C284" t="str">
            <v>Gates_500_230_Transformer_offpeak</v>
          </cell>
        </row>
        <row r="285">
          <cell r="B285" t="str">
            <v>caiso-deliverability</v>
          </cell>
          <cell r="C285" t="str">
            <v>Gates_500_230_Transformer_offpeak</v>
          </cell>
        </row>
        <row r="286">
          <cell r="B286" t="str">
            <v>caiso-deliverability</v>
          </cell>
          <cell r="C286" t="str">
            <v>Gates_500_230_Transformer_offpeak</v>
          </cell>
        </row>
        <row r="287">
          <cell r="B287" t="str">
            <v>caiso-deliverability</v>
          </cell>
          <cell r="C287" t="str">
            <v>Gates_500_230_Transformer_offpeak</v>
          </cell>
        </row>
        <row r="288">
          <cell r="B288" t="str">
            <v>caiso-deliverability</v>
          </cell>
          <cell r="C288" t="str">
            <v>Gates_Arco_Midway_230_deliverable_peak_highest</v>
          </cell>
        </row>
        <row r="289">
          <cell r="B289" t="str">
            <v>caiso-deliverability</v>
          </cell>
          <cell r="C289" t="str">
            <v>Gates_Arco_Midway_230_deliverable_peak_highest</v>
          </cell>
        </row>
        <row r="290">
          <cell r="B290" t="str">
            <v>caiso-deliverability</v>
          </cell>
          <cell r="C290" t="str">
            <v>Gates_Arco_Midway_230_deliverable_peak_highest</v>
          </cell>
        </row>
        <row r="291">
          <cell r="B291" t="str">
            <v>caiso-deliverability</v>
          </cell>
          <cell r="C291" t="str">
            <v>Gates_Arco_Midway_230_deliverable_peak_highest</v>
          </cell>
        </row>
        <row r="292">
          <cell r="B292" t="str">
            <v>caiso-deliverability</v>
          </cell>
          <cell r="C292" t="str">
            <v>Gates_Arco_Midway_230_deliverable_peak_secondary</v>
          </cell>
        </row>
        <row r="293">
          <cell r="B293" t="str">
            <v>caiso-deliverability</v>
          </cell>
          <cell r="C293" t="str">
            <v>Gates_Arco_Midway_230_deliverable_peak_secondary</v>
          </cell>
        </row>
        <row r="294">
          <cell r="B294" t="str">
            <v>caiso-deliverability</v>
          </cell>
          <cell r="C294" t="str">
            <v>Gates_Arco_Midway_230_deliverable_peak_secondary</v>
          </cell>
        </row>
        <row r="295">
          <cell r="B295" t="str">
            <v>caiso-deliverability</v>
          </cell>
          <cell r="C295" t="str">
            <v>Gates_Arco_Midway_230_deliverable_peak_secondary</v>
          </cell>
        </row>
        <row r="296">
          <cell r="B296" t="str">
            <v>caiso-deliverability</v>
          </cell>
          <cell r="C296" t="str">
            <v>Gates_Arco_Midway_230_offpeak</v>
          </cell>
        </row>
        <row r="297">
          <cell r="B297" t="str">
            <v>caiso-deliverability</v>
          </cell>
          <cell r="C297" t="str">
            <v>Gates_Arco_Midway_230_offpeak</v>
          </cell>
        </row>
        <row r="298">
          <cell r="B298" t="str">
            <v>caiso-deliverability</v>
          </cell>
          <cell r="C298" t="str">
            <v>Gates_Arco_Midway_230_offpeak</v>
          </cell>
        </row>
        <row r="299">
          <cell r="B299" t="str">
            <v>caiso-deliverability</v>
          </cell>
          <cell r="C299" t="str">
            <v>Gates_Arco_Midway_230_offpeak</v>
          </cell>
        </row>
        <row r="300">
          <cell r="B300" t="str">
            <v>caiso-deliverability</v>
          </cell>
          <cell r="C300" t="str">
            <v>Gates_Panoche_230_deliverable_peak_highest</v>
          </cell>
        </row>
        <row r="301">
          <cell r="B301" t="str">
            <v>caiso-deliverability</v>
          </cell>
          <cell r="C301" t="str">
            <v>Gates_Panoche_230_deliverable_peak_highest</v>
          </cell>
        </row>
        <row r="302">
          <cell r="B302" t="str">
            <v>caiso-deliverability</v>
          </cell>
          <cell r="C302" t="str">
            <v>Gates_Panoche_230_deliverable_peak_highest</v>
          </cell>
        </row>
        <row r="303">
          <cell r="B303" t="str">
            <v>caiso-deliverability</v>
          </cell>
          <cell r="C303" t="str">
            <v>Gates_Panoche_230_deliverable_peak_highest</v>
          </cell>
        </row>
        <row r="304">
          <cell r="B304" t="str">
            <v>caiso-deliverability</v>
          </cell>
          <cell r="C304" t="str">
            <v>Gates_Panoche_230_deliverable_peak_highest</v>
          </cell>
        </row>
        <row r="305">
          <cell r="B305" t="str">
            <v>caiso-deliverability</v>
          </cell>
          <cell r="C305" t="str">
            <v>Gates_Panoche_230_deliverable_peak_highest</v>
          </cell>
        </row>
        <row r="306">
          <cell r="B306" t="str">
            <v>caiso-deliverability</v>
          </cell>
          <cell r="C306" t="str">
            <v>Gates_Panoche_230_deliverable_peak_secondary</v>
          </cell>
        </row>
        <row r="307">
          <cell r="B307" t="str">
            <v>caiso-deliverability</v>
          </cell>
          <cell r="C307" t="str">
            <v>Gates_Panoche_230_deliverable_peak_secondary</v>
          </cell>
        </row>
        <row r="308">
          <cell r="B308" t="str">
            <v>caiso-deliverability</v>
          </cell>
          <cell r="C308" t="str">
            <v>Gates_Panoche_230_deliverable_peak_secondary</v>
          </cell>
        </row>
        <row r="309">
          <cell r="B309" t="str">
            <v>caiso-deliverability</v>
          </cell>
          <cell r="C309" t="str">
            <v>Gates_Panoche_230_deliverable_peak_secondary</v>
          </cell>
        </row>
        <row r="310">
          <cell r="B310" t="str">
            <v>caiso-deliverability</v>
          </cell>
          <cell r="C310" t="str">
            <v>Gates_Panoche_230_deliverable_peak_secondary</v>
          </cell>
        </row>
        <row r="311">
          <cell r="B311" t="str">
            <v>caiso-deliverability</v>
          </cell>
          <cell r="C311" t="str">
            <v>Gates_Panoche_230_deliverable_peak_secondary</v>
          </cell>
        </row>
        <row r="312">
          <cell r="B312" t="str">
            <v>caiso-deliverability</v>
          </cell>
          <cell r="C312" t="str">
            <v>Gates_Panoche_230_offpeak</v>
          </cell>
        </row>
        <row r="313">
          <cell r="B313" t="str">
            <v>caiso-deliverability</v>
          </cell>
          <cell r="C313" t="str">
            <v>Gates_Panoche_230_offpeak</v>
          </cell>
        </row>
        <row r="314">
          <cell r="B314" t="str">
            <v>caiso-deliverability</v>
          </cell>
          <cell r="C314" t="str">
            <v>Gates_Panoche_230_offpeak</v>
          </cell>
        </row>
        <row r="315">
          <cell r="B315" t="str">
            <v>caiso-deliverability</v>
          </cell>
          <cell r="C315" t="str">
            <v>Gates_Panoche_230_offpeak</v>
          </cell>
        </row>
        <row r="316">
          <cell r="B316" t="str">
            <v>caiso-deliverability</v>
          </cell>
          <cell r="C316" t="str">
            <v>Gates_Panoche_230_offpeak</v>
          </cell>
        </row>
        <row r="317">
          <cell r="B317" t="str">
            <v>caiso-deliverability</v>
          </cell>
          <cell r="C317" t="str">
            <v>Gates_Panoche_230_offpeak</v>
          </cell>
        </row>
        <row r="318">
          <cell r="B318" t="str">
            <v>caiso-deliverability</v>
          </cell>
          <cell r="C318" t="str">
            <v>GLW_VEA_deliverable_peak_highest</v>
          </cell>
        </row>
        <row r="319">
          <cell r="B319" t="str">
            <v>caiso-deliverability</v>
          </cell>
          <cell r="C319" t="str">
            <v>GLW_VEA_deliverable_peak_highest</v>
          </cell>
        </row>
        <row r="320">
          <cell r="B320" t="str">
            <v>caiso-deliverability</v>
          </cell>
          <cell r="C320" t="str">
            <v>GLW_VEA_deliverable_peak_highest</v>
          </cell>
        </row>
        <row r="321">
          <cell r="B321" t="str">
            <v>caiso-deliverability</v>
          </cell>
          <cell r="C321" t="str">
            <v>GLW_VEA_deliverable_peak_secondary</v>
          </cell>
        </row>
        <row r="322">
          <cell r="B322" t="str">
            <v>caiso-deliverability</v>
          </cell>
          <cell r="C322" t="str">
            <v>GLW_VEA_deliverable_peak_secondary</v>
          </cell>
        </row>
        <row r="323">
          <cell r="B323" t="str">
            <v>caiso-deliverability</v>
          </cell>
          <cell r="C323" t="str">
            <v>GLW_VEA_deliverable_peak_secondary</v>
          </cell>
        </row>
        <row r="324">
          <cell r="B324" t="str">
            <v>caiso-deliverability</v>
          </cell>
          <cell r="C324" t="str">
            <v>GLW_VEA_offpeak</v>
          </cell>
        </row>
        <row r="325">
          <cell r="B325" t="str">
            <v>caiso-deliverability</v>
          </cell>
          <cell r="C325" t="str">
            <v>GLW_VEA_offpeak</v>
          </cell>
        </row>
        <row r="326">
          <cell r="B326" t="str">
            <v>caiso-deliverability</v>
          </cell>
          <cell r="C326" t="str">
            <v>GLW_VEA_offpeak</v>
          </cell>
        </row>
        <row r="327">
          <cell r="B327" t="str">
            <v>caiso-deliverability</v>
          </cell>
          <cell r="C327" t="str">
            <v>Greater_LA_deliverable_peak_highest</v>
          </cell>
        </row>
        <row r="328">
          <cell r="B328" t="str">
            <v>caiso-deliverability</v>
          </cell>
          <cell r="C328" t="str">
            <v>Greater_LA_deliverable_peak_highest</v>
          </cell>
        </row>
        <row r="329">
          <cell r="B329" t="str">
            <v>caiso-deliverability</v>
          </cell>
          <cell r="C329" t="str">
            <v>Greater_LA_deliverable_peak_highest</v>
          </cell>
        </row>
        <row r="330">
          <cell r="B330" t="str">
            <v>caiso-deliverability</v>
          </cell>
          <cell r="C330" t="str">
            <v>Greater_LA_deliverable_peak_highest</v>
          </cell>
        </row>
        <row r="331">
          <cell r="B331" t="str">
            <v>caiso-deliverability</v>
          </cell>
          <cell r="C331" t="str">
            <v>Greater_LA_deliverable_peak_secondary</v>
          </cell>
        </row>
        <row r="332">
          <cell r="B332" t="str">
            <v>caiso-deliverability</v>
          </cell>
          <cell r="C332" t="str">
            <v>Greater_LA_deliverable_peak_secondary</v>
          </cell>
        </row>
        <row r="333">
          <cell r="B333" t="str">
            <v>caiso-deliverability</v>
          </cell>
          <cell r="C333" t="str">
            <v>Greater_LA_deliverable_peak_secondary</v>
          </cell>
        </row>
        <row r="334">
          <cell r="B334" t="str">
            <v>caiso-deliverability</v>
          </cell>
          <cell r="C334" t="str">
            <v>Greater_LA_deliverable_peak_secondary</v>
          </cell>
        </row>
        <row r="335">
          <cell r="B335" t="str">
            <v>caiso-deliverability</v>
          </cell>
          <cell r="C335" t="str">
            <v>Greater_LA_offpeak</v>
          </cell>
        </row>
        <row r="336">
          <cell r="B336" t="str">
            <v>caiso-deliverability</v>
          </cell>
          <cell r="C336" t="str">
            <v>Greater_LA_offpeak</v>
          </cell>
        </row>
        <row r="337">
          <cell r="B337" t="str">
            <v>caiso-deliverability</v>
          </cell>
          <cell r="C337" t="str">
            <v>Greater_LA_offpeak</v>
          </cell>
        </row>
        <row r="338">
          <cell r="B338" t="str">
            <v>caiso-deliverability</v>
          </cell>
          <cell r="C338" t="str">
            <v>Greater_LA_offpeak</v>
          </cell>
        </row>
        <row r="339">
          <cell r="B339" t="str">
            <v>caiso-deliverability</v>
          </cell>
          <cell r="C339" t="str">
            <v>Humboldt_Trinity_115_deliverable_peak_highest</v>
          </cell>
        </row>
        <row r="340">
          <cell r="B340" t="str">
            <v>caiso-deliverability</v>
          </cell>
          <cell r="C340" t="str">
            <v>Humboldt_Trinity_115_deliverable_peak_highest</v>
          </cell>
        </row>
        <row r="341">
          <cell r="B341" t="str">
            <v>caiso-deliverability</v>
          </cell>
          <cell r="C341" t="str">
            <v>Humboldt_Trinity_115_deliverable_peak_highest</v>
          </cell>
        </row>
        <row r="342">
          <cell r="B342" t="str">
            <v>caiso-deliverability</v>
          </cell>
          <cell r="C342" t="str">
            <v>Humboldt_Trinity_115_deliverable_peak_secondary</v>
          </cell>
        </row>
        <row r="343">
          <cell r="B343" t="str">
            <v>caiso-deliverability</v>
          </cell>
          <cell r="C343" t="str">
            <v>Humboldt_Trinity_115_deliverable_peak_secondary</v>
          </cell>
        </row>
        <row r="344">
          <cell r="B344" t="str">
            <v>caiso-deliverability</v>
          </cell>
          <cell r="C344" t="str">
            <v>Humboldt_Trinity_115_deliverable_peak_secondary</v>
          </cell>
        </row>
        <row r="345">
          <cell r="B345" t="str">
            <v>caiso-deliverability</v>
          </cell>
          <cell r="C345" t="str">
            <v>Humboldt_Trinity_115_offpeak</v>
          </cell>
        </row>
        <row r="346">
          <cell r="B346" t="str">
            <v>caiso-deliverability</v>
          </cell>
          <cell r="C346" t="str">
            <v>Humboldt_Trinity_115_offpeak</v>
          </cell>
        </row>
        <row r="347">
          <cell r="B347" t="str">
            <v>caiso-deliverability</v>
          </cell>
          <cell r="C347" t="str">
            <v>Humboldt_Trinity_115_offpeak</v>
          </cell>
        </row>
        <row r="348">
          <cell r="B348" t="str">
            <v>caiso-deliverability</v>
          </cell>
          <cell r="C348" t="str">
            <v>Imperial_Valley_deliverable_peak_highest</v>
          </cell>
        </row>
        <row r="349">
          <cell r="B349" t="str">
            <v>caiso-deliverability</v>
          </cell>
          <cell r="C349" t="str">
            <v>Imperial_Valley_deliverable_peak_highest</v>
          </cell>
        </row>
        <row r="350">
          <cell r="B350" t="str">
            <v>caiso-deliverability</v>
          </cell>
          <cell r="C350" t="str">
            <v>Imperial_Valley_deliverable_peak_highest</v>
          </cell>
        </row>
        <row r="351">
          <cell r="B351" t="str">
            <v>caiso-deliverability</v>
          </cell>
          <cell r="C351" t="str">
            <v>Imperial_Valley_deliverable_peak_highest</v>
          </cell>
        </row>
        <row r="352">
          <cell r="B352" t="str">
            <v>caiso-deliverability</v>
          </cell>
          <cell r="C352" t="str">
            <v>Imperial_Valley_deliverable_peak_secondary</v>
          </cell>
        </row>
        <row r="353">
          <cell r="B353" t="str">
            <v>caiso-deliverability</v>
          </cell>
          <cell r="C353" t="str">
            <v>Imperial_Valley_deliverable_peak_secondary</v>
          </cell>
        </row>
        <row r="354">
          <cell r="B354" t="str">
            <v>caiso-deliverability</v>
          </cell>
          <cell r="C354" t="str">
            <v>Imperial_Valley_deliverable_peak_secondary</v>
          </cell>
        </row>
        <row r="355">
          <cell r="B355" t="str">
            <v>caiso-deliverability</v>
          </cell>
          <cell r="C355" t="str">
            <v>Imperial_Valley_deliverable_peak_secondary</v>
          </cell>
        </row>
        <row r="356">
          <cell r="B356" t="str">
            <v>caiso-deliverability</v>
          </cell>
          <cell r="C356" t="str">
            <v>Imperial_Valley_offpeak</v>
          </cell>
        </row>
        <row r="357">
          <cell r="B357" t="str">
            <v>caiso-deliverability</v>
          </cell>
          <cell r="C357" t="str">
            <v>Imperial_Valley_offpeak</v>
          </cell>
        </row>
        <row r="358">
          <cell r="B358" t="str">
            <v>caiso-deliverability</v>
          </cell>
          <cell r="C358" t="str">
            <v>Imperial_Valley_offpeak</v>
          </cell>
        </row>
        <row r="359">
          <cell r="B359" t="str">
            <v>caiso-deliverability</v>
          </cell>
          <cell r="C359" t="str">
            <v>Imperial_Valley_offpeak</v>
          </cell>
        </row>
        <row r="360">
          <cell r="B360" t="str">
            <v>caiso-deliverability</v>
          </cell>
          <cell r="C360" t="str">
            <v>Internal_San_Diego_deliverable_peak_highest</v>
          </cell>
        </row>
        <row r="361">
          <cell r="B361" t="str">
            <v>caiso-deliverability</v>
          </cell>
          <cell r="C361" t="str">
            <v>Internal_San_Diego_deliverable_peak_highest</v>
          </cell>
        </row>
        <row r="362">
          <cell r="B362" t="str">
            <v>caiso-deliverability</v>
          </cell>
          <cell r="C362" t="str">
            <v>Internal_San_Diego_deliverable_peak_highest</v>
          </cell>
        </row>
        <row r="363">
          <cell r="B363" t="str">
            <v>caiso-deliverability</v>
          </cell>
          <cell r="C363" t="str">
            <v>Internal_San_Diego_deliverable_peak_highest</v>
          </cell>
        </row>
        <row r="364">
          <cell r="B364" t="str">
            <v>caiso-deliverability</v>
          </cell>
          <cell r="C364" t="str">
            <v>Internal_San_Diego_deliverable_peak_highest</v>
          </cell>
        </row>
        <row r="365">
          <cell r="B365" t="str">
            <v>caiso-deliverability</v>
          </cell>
          <cell r="C365" t="str">
            <v>Internal_San_Diego_deliverable_peak_highest</v>
          </cell>
        </row>
        <row r="366">
          <cell r="B366" t="str">
            <v>caiso-deliverability</v>
          </cell>
          <cell r="C366" t="str">
            <v>Internal_San_Diego_deliverable_peak_highest</v>
          </cell>
        </row>
        <row r="367">
          <cell r="B367" t="str">
            <v>caiso-deliverability</v>
          </cell>
          <cell r="C367" t="str">
            <v>Internal_San_Diego_deliverable_peak_secondary</v>
          </cell>
        </row>
        <row r="368">
          <cell r="B368" t="str">
            <v>caiso-deliverability</v>
          </cell>
          <cell r="C368" t="str">
            <v>Internal_San_Diego_deliverable_peak_secondary</v>
          </cell>
        </row>
        <row r="369">
          <cell r="B369" t="str">
            <v>caiso-deliverability</v>
          </cell>
          <cell r="C369" t="str">
            <v>Internal_San_Diego_deliverable_peak_secondary</v>
          </cell>
        </row>
        <row r="370">
          <cell r="B370" t="str">
            <v>caiso-deliverability</v>
          </cell>
          <cell r="C370" t="str">
            <v>Internal_San_Diego_deliverable_peak_secondary</v>
          </cell>
        </row>
        <row r="371">
          <cell r="B371" t="str">
            <v>caiso-deliverability</v>
          </cell>
          <cell r="C371" t="str">
            <v>Internal_San_Diego_deliverable_peak_secondary</v>
          </cell>
        </row>
        <row r="372">
          <cell r="B372" t="str">
            <v>caiso-deliverability</v>
          </cell>
          <cell r="C372" t="str">
            <v>Internal_San_Diego_deliverable_peak_secondary</v>
          </cell>
        </row>
        <row r="373">
          <cell r="B373" t="str">
            <v>caiso-deliverability</v>
          </cell>
          <cell r="C373" t="str">
            <v>Internal_San_Diego_deliverable_peak_secondary</v>
          </cell>
        </row>
        <row r="374">
          <cell r="B374" t="str">
            <v>caiso-deliverability</v>
          </cell>
          <cell r="C374" t="str">
            <v>Internal_San_Diego_offpeak</v>
          </cell>
        </row>
        <row r="375">
          <cell r="B375" t="str">
            <v>caiso-deliverability</v>
          </cell>
          <cell r="C375" t="str">
            <v>Internal_San_Diego_offpeak</v>
          </cell>
        </row>
        <row r="376">
          <cell r="B376" t="str">
            <v>caiso-deliverability</v>
          </cell>
          <cell r="C376" t="str">
            <v>Internal_San_Diego_offpeak</v>
          </cell>
        </row>
        <row r="377">
          <cell r="B377" t="str">
            <v>caiso-deliverability</v>
          </cell>
          <cell r="C377" t="str">
            <v>Internal_San_Diego_offpeak</v>
          </cell>
        </row>
        <row r="378">
          <cell r="B378" t="str">
            <v>caiso-deliverability</v>
          </cell>
          <cell r="C378" t="str">
            <v>Internal_San_Diego_offpeak</v>
          </cell>
        </row>
        <row r="379">
          <cell r="B379" t="str">
            <v>caiso-deliverability</v>
          </cell>
          <cell r="C379" t="str">
            <v>Internal_San_Diego_offpeak</v>
          </cell>
        </row>
        <row r="380">
          <cell r="B380" t="str">
            <v>caiso-deliverability</v>
          </cell>
          <cell r="C380" t="str">
            <v>Internal_San_Diego_offpeak</v>
          </cell>
        </row>
        <row r="381">
          <cell r="B381" t="str">
            <v>caiso-deliverability</v>
          </cell>
          <cell r="C381" t="str">
            <v>Los_Banos_500_230_Transformer_deliverable_peak_highest</v>
          </cell>
        </row>
        <row r="382">
          <cell r="B382" t="str">
            <v>caiso-deliverability</v>
          </cell>
          <cell r="C382" t="str">
            <v>Los_Banos_500_230_Transformer_deliverable_peak_highest</v>
          </cell>
        </row>
        <row r="383">
          <cell r="B383" t="str">
            <v>caiso-deliverability</v>
          </cell>
          <cell r="C383" t="str">
            <v>Los_Banos_500_230_Transformer_deliverable_peak_secondary</v>
          </cell>
        </row>
        <row r="384">
          <cell r="B384" t="str">
            <v>caiso-deliverability</v>
          </cell>
          <cell r="C384" t="str">
            <v>Los_Banos_500_230_Transformer_deliverable_peak_secondary</v>
          </cell>
        </row>
        <row r="385">
          <cell r="B385" t="str">
            <v>caiso-deliverability</v>
          </cell>
          <cell r="C385" t="str">
            <v>Los_Banos_500_230_Transformer_offpeak</v>
          </cell>
        </row>
        <row r="386">
          <cell r="B386" t="str">
            <v>caiso-deliverability</v>
          </cell>
          <cell r="C386" t="str">
            <v>Los_Banos_500_230_Transformer_offpeak</v>
          </cell>
        </row>
        <row r="387">
          <cell r="B387" t="str">
            <v>caiso-deliverability</v>
          </cell>
          <cell r="C387" t="str">
            <v>Los_Banos_Gates_500_OPDS_deliverable_peak_highest</v>
          </cell>
        </row>
        <row r="388">
          <cell r="B388" t="str">
            <v>caiso-deliverability</v>
          </cell>
          <cell r="C388" t="str">
            <v>Los_Banos_Gates_500_OPDS_deliverable_peak_highest</v>
          </cell>
        </row>
        <row r="389">
          <cell r="B389" t="str">
            <v>caiso-deliverability</v>
          </cell>
          <cell r="C389" t="str">
            <v>Los_Banos_Gates_500_OPDS_deliverable_peak_highest</v>
          </cell>
        </row>
        <row r="390">
          <cell r="B390" t="str">
            <v>caiso-deliverability</v>
          </cell>
          <cell r="C390" t="str">
            <v>Los_Banos_Gates_500_OPDS_deliverable_peak_secondary</v>
          </cell>
        </row>
        <row r="391">
          <cell r="B391" t="str">
            <v>caiso-deliverability</v>
          </cell>
          <cell r="C391" t="str">
            <v>Los_Banos_Gates_500_OPDS_deliverable_peak_secondary</v>
          </cell>
        </row>
        <row r="392">
          <cell r="B392" t="str">
            <v>caiso-deliverability</v>
          </cell>
          <cell r="C392" t="str">
            <v>Los_Banos_Gates_500_OPDS_deliverable_peak_secondary</v>
          </cell>
        </row>
        <row r="393">
          <cell r="B393" t="str">
            <v>caiso-deliverability</v>
          </cell>
          <cell r="C393" t="str">
            <v>Los_Banos_Gates_500_OPDS_offpeak</v>
          </cell>
        </row>
        <row r="394">
          <cell r="B394" t="str">
            <v>caiso-deliverability</v>
          </cell>
          <cell r="C394" t="str">
            <v>Los_Banos_Gates_500_OPDS_offpeak</v>
          </cell>
        </row>
        <row r="395">
          <cell r="B395" t="str">
            <v>caiso-deliverability</v>
          </cell>
          <cell r="C395" t="str">
            <v>Los_Banos_Gates_500_OPDS_offpeak</v>
          </cell>
        </row>
        <row r="396">
          <cell r="B396" t="str">
            <v>caiso-deliverability</v>
          </cell>
          <cell r="C396" t="str">
            <v>Lugo_Transformer_deliverable_peak_highest</v>
          </cell>
        </row>
        <row r="397">
          <cell r="B397" t="str">
            <v>caiso-deliverability</v>
          </cell>
          <cell r="C397" t="str">
            <v>Lugo_Transformer_deliverable_peak_highest</v>
          </cell>
        </row>
        <row r="398">
          <cell r="B398" t="str">
            <v>caiso-deliverability</v>
          </cell>
          <cell r="C398" t="str">
            <v>Lugo_Transformer_deliverable_peak_highest</v>
          </cell>
        </row>
        <row r="399">
          <cell r="B399" t="str">
            <v>caiso-deliverability</v>
          </cell>
          <cell r="C399" t="str">
            <v>Lugo_Transformer_deliverable_peak_highest</v>
          </cell>
        </row>
        <row r="400">
          <cell r="B400" t="str">
            <v>caiso-deliverability</v>
          </cell>
          <cell r="C400" t="str">
            <v>Lugo_Transformer_deliverable_peak_secondary</v>
          </cell>
        </row>
        <row r="401">
          <cell r="B401" t="str">
            <v>caiso-deliverability</v>
          </cell>
          <cell r="C401" t="str">
            <v>Lugo_Transformer_deliverable_peak_secondary</v>
          </cell>
        </row>
        <row r="402">
          <cell r="B402" t="str">
            <v>caiso-deliverability</v>
          </cell>
          <cell r="C402" t="str">
            <v>Lugo_Transformer_deliverable_peak_secondary</v>
          </cell>
        </row>
        <row r="403">
          <cell r="B403" t="str">
            <v>caiso-deliverability</v>
          </cell>
          <cell r="C403" t="str">
            <v>Lugo_Transformer_deliverable_peak_secondary</v>
          </cell>
        </row>
        <row r="404">
          <cell r="B404" t="str">
            <v>caiso-deliverability</v>
          </cell>
          <cell r="C404" t="str">
            <v>Lugo_Transformer_offpeak</v>
          </cell>
        </row>
        <row r="405">
          <cell r="B405" t="str">
            <v>caiso-deliverability</v>
          </cell>
          <cell r="C405" t="str">
            <v>Lugo_Transformer_offpeak</v>
          </cell>
        </row>
        <row r="406">
          <cell r="B406" t="str">
            <v>caiso-deliverability</v>
          </cell>
          <cell r="C406" t="str">
            <v>Lugo_Transformer_offpeak</v>
          </cell>
        </row>
        <row r="407">
          <cell r="B407" t="str">
            <v>caiso-deliverability</v>
          </cell>
          <cell r="C407" t="str">
            <v>Lugo_Transformer_offpeak</v>
          </cell>
        </row>
        <row r="408">
          <cell r="B408" t="str">
            <v>caiso-deliverability</v>
          </cell>
          <cell r="C408" t="str">
            <v>Mohave_Eldorado_500_deliverable_peak_highest</v>
          </cell>
        </row>
        <row r="409">
          <cell r="B409" t="str">
            <v>caiso-deliverability</v>
          </cell>
          <cell r="C409" t="str">
            <v>Mohave_Eldorado_500_deliverable_peak_highest</v>
          </cell>
        </row>
        <row r="410">
          <cell r="B410" t="str">
            <v>caiso-deliverability</v>
          </cell>
          <cell r="C410" t="str">
            <v>Mohave_Eldorado_500_deliverable_peak_secondary</v>
          </cell>
        </row>
        <row r="411">
          <cell r="B411" t="str">
            <v>caiso-deliverability</v>
          </cell>
          <cell r="C411" t="str">
            <v>Mohave_Eldorado_500_deliverable_peak_secondary</v>
          </cell>
        </row>
        <row r="412">
          <cell r="B412" t="str">
            <v>caiso-deliverability</v>
          </cell>
          <cell r="C412" t="str">
            <v>Mohave_Eldorado_500_offpeak</v>
          </cell>
        </row>
        <row r="413">
          <cell r="B413" t="str">
            <v>caiso-deliverability</v>
          </cell>
          <cell r="C413" t="str">
            <v>Mohave_Eldorado_500_offpeak</v>
          </cell>
        </row>
        <row r="414">
          <cell r="B414" t="str">
            <v>caiso-deliverability</v>
          </cell>
          <cell r="C414" t="str">
            <v>Morro_Bay_Templeton_230_deliverable_peak_highest</v>
          </cell>
        </row>
        <row r="415">
          <cell r="B415" t="str">
            <v>caiso-deliverability</v>
          </cell>
          <cell r="C415" t="str">
            <v>Morro_Bay_Templeton_230_deliverable_peak_highest</v>
          </cell>
        </row>
        <row r="416">
          <cell r="B416" t="str">
            <v>caiso-deliverability</v>
          </cell>
          <cell r="C416" t="str">
            <v>Morro_Bay_Templeton_230_deliverable_peak_highest</v>
          </cell>
        </row>
        <row r="417">
          <cell r="B417" t="str">
            <v>caiso-deliverability</v>
          </cell>
          <cell r="C417" t="str">
            <v>Morro_Bay_Templeton_230_deliverable_peak_highest</v>
          </cell>
        </row>
        <row r="418">
          <cell r="B418" t="str">
            <v>caiso-deliverability</v>
          </cell>
          <cell r="C418" t="str">
            <v>Morro_Bay_Templeton_230_deliverable_peak_highest</v>
          </cell>
        </row>
        <row r="419">
          <cell r="B419" t="str">
            <v>caiso-deliverability</v>
          </cell>
          <cell r="C419" t="str">
            <v>Morro_Bay_Templeton_230_deliverable_peak_secondary</v>
          </cell>
        </row>
        <row r="420">
          <cell r="B420" t="str">
            <v>caiso-deliverability</v>
          </cell>
          <cell r="C420" t="str">
            <v>Morro_Bay_Templeton_230_deliverable_peak_secondary</v>
          </cell>
        </row>
        <row r="421">
          <cell r="B421" t="str">
            <v>caiso-deliverability</v>
          </cell>
          <cell r="C421" t="str">
            <v>Morro_Bay_Templeton_230_deliverable_peak_secondary</v>
          </cell>
        </row>
        <row r="422">
          <cell r="B422" t="str">
            <v>caiso-deliverability</v>
          </cell>
          <cell r="C422" t="str">
            <v>Morro_Bay_Templeton_230_deliverable_peak_secondary</v>
          </cell>
        </row>
        <row r="423">
          <cell r="B423" t="str">
            <v>caiso-deliverability</v>
          </cell>
          <cell r="C423" t="str">
            <v>Morro_Bay_Templeton_230_deliverable_peak_secondary</v>
          </cell>
        </row>
        <row r="424">
          <cell r="B424" t="str">
            <v>caiso-deliverability</v>
          </cell>
          <cell r="C424" t="str">
            <v>Morro_Bay_Templeton_230_offpeak</v>
          </cell>
        </row>
        <row r="425">
          <cell r="B425" t="str">
            <v>caiso-deliverability</v>
          </cell>
          <cell r="C425" t="str">
            <v>Morro_Bay_Templeton_230_offpeak</v>
          </cell>
        </row>
        <row r="426">
          <cell r="B426" t="str">
            <v>caiso-deliverability</v>
          </cell>
          <cell r="C426" t="str">
            <v>Morro_Bay_Templeton_230_offpeak</v>
          </cell>
        </row>
        <row r="427">
          <cell r="B427" t="str">
            <v>caiso-deliverability</v>
          </cell>
          <cell r="C427" t="str">
            <v>Morro_Bay_Templeton_230_offpeak</v>
          </cell>
        </row>
        <row r="428">
          <cell r="B428" t="str">
            <v>caiso-deliverability</v>
          </cell>
          <cell r="C428" t="str">
            <v>Morro_Bay_Templeton_230_offpeak</v>
          </cell>
        </row>
        <row r="429">
          <cell r="B429" t="str">
            <v>caiso-deliverability</v>
          </cell>
          <cell r="C429" t="str">
            <v>Moss_Landing_Los_Banos_230_OPDS_deliverable_peak_highest</v>
          </cell>
        </row>
        <row r="430">
          <cell r="B430" t="str">
            <v>caiso-deliverability</v>
          </cell>
          <cell r="C430" t="str">
            <v>Moss_Landing_Los_Banos_230_OPDS_deliverable_peak_highest</v>
          </cell>
        </row>
        <row r="431">
          <cell r="B431" t="str">
            <v>caiso-deliverability</v>
          </cell>
          <cell r="C431" t="str">
            <v>Moss_Landing_Los_Banos_230_OPDS_deliverable_peak_highest</v>
          </cell>
        </row>
        <row r="432">
          <cell r="B432" t="str">
            <v>caiso-deliverability</v>
          </cell>
          <cell r="C432" t="str">
            <v>Moss_Landing_Los_Banos_230_OPDS_deliverable_peak_highest</v>
          </cell>
        </row>
        <row r="433">
          <cell r="B433" t="str">
            <v>caiso-deliverability</v>
          </cell>
          <cell r="C433" t="str">
            <v>Moss_Landing_Los_Banos_230_OPDS_deliverable_peak_secondary</v>
          </cell>
        </row>
        <row r="434">
          <cell r="B434" t="str">
            <v>caiso-deliverability</v>
          </cell>
          <cell r="C434" t="str">
            <v>Moss_Landing_Los_Banos_230_OPDS_deliverable_peak_secondary</v>
          </cell>
        </row>
        <row r="435">
          <cell r="B435" t="str">
            <v>caiso-deliverability</v>
          </cell>
          <cell r="C435" t="str">
            <v>Moss_Landing_Los_Banos_230_OPDS_deliverable_peak_secondary</v>
          </cell>
        </row>
        <row r="436">
          <cell r="B436" t="str">
            <v>caiso-deliverability</v>
          </cell>
          <cell r="C436" t="str">
            <v>Moss_Landing_Los_Banos_230_OPDS_deliverable_peak_secondary</v>
          </cell>
        </row>
        <row r="437">
          <cell r="B437" t="str">
            <v>caiso-deliverability</v>
          </cell>
          <cell r="C437" t="str">
            <v>Moss_Landing_Los_Banos_230_OPDS_offpeak</v>
          </cell>
        </row>
        <row r="438">
          <cell r="B438" t="str">
            <v>caiso-deliverability</v>
          </cell>
          <cell r="C438" t="str">
            <v>Moss_Landing_Los_Banos_230_OPDS_offpeak</v>
          </cell>
        </row>
        <row r="439">
          <cell r="B439" t="str">
            <v>caiso-deliverability</v>
          </cell>
          <cell r="C439" t="str">
            <v>Moss_Landing_Los_Banos_230_OPDS_offpeak</v>
          </cell>
        </row>
        <row r="440">
          <cell r="B440" t="str">
            <v>caiso-deliverability</v>
          </cell>
          <cell r="C440" t="str">
            <v>Moss_Landing_Los_Banos_230_OPDS_offpeak</v>
          </cell>
        </row>
        <row r="441">
          <cell r="B441" t="str">
            <v>caiso-deliverability</v>
          </cell>
          <cell r="C441" t="str">
            <v>San_Luis_Rey_San_Onofre_deliverable_peak_highest</v>
          </cell>
        </row>
        <row r="442">
          <cell r="B442" t="str">
            <v>caiso-deliverability</v>
          </cell>
          <cell r="C442" t="str">
            <v>San_Luis_Rey_San_Onofre_deliverable_peak_highest</v>
          </cell>
        </row>
        <row r="443">
          <cell r="B443" t="str">
            <v>caiso-deliverability</v>
          </cell>
          <cell r="C443" t="str">
            <v>San_Luis_Rey_San_Onofre_deliverable_peak_highest</v>
          </cell>
        </row>
        <row r="444">
          <cell r="B444" t="str">
            <v>caiso-deliverability</v>
          </cell>
          <cell r="C444" t="str">
            <v>San_Luis_Rey_San_Onofre_deliverable_peak_highest</v>
          </cell>
        </row>
        <row r="445">
          <cell r="B445" t="str">
            <v>caiso-deliverability</v>
          </cell>
          <cell r="C445" t="str">
            <v>San_Luis_Rey_San_Onofre_deliverable_peak_highest</v>
          </cell>
        </row>
        <row r="446">
          <cell r="B446" t="str">
            <v>caiso-deliverability</v>
          </cell>
          <cell r="C446" t="str">
            <v>San_Luis_Rey_San_Onofre_deliverable_peak_highest</v>
          </cell>
        </row>
        <row r="447">
          <cell r="B447" t="str">
            <v>caiso-deliverability</v>
          </cell>
          <cell r="C447" t="str">
            <v>San_Luis_Rey_San_Onofre_deliverable_peak_highest</v>
          </cell>
        </row>
        <row r="448">
          <cell r="B448" t="str">
            <v>caiso-deliverability</v>
          </cell>
          <cell r="C448" t="str">
            <v>San_Luis_Rey_San_Onofre_deliverable_peak_secondary</v>
          </cell>
        </row>
        <row r="449">
          <cell r="B449" t="str">
            <v>caiso-deliverability</v>
          </cell>
          <cell r="C449" t="str">
            <v>San_Luis_Rey_San_Onofre_deliverable_peak_secondary</v>
          </cell>
        </row>
        <row r="450">
          <cell r="B450" t="str">
            <v>caiso-deliverability</v>
          </cell>
          <cell r="C450" t="str">
            <v>San_Luis_Rey_San_Onofre_deliverable_peak_secondary</v>
          </cell>
        </row>
        <row r="451">
          <cell r="B451" t="str">
            <v>caiso-deliverability</v>
          </cell>
          <cell r="C451" t="str">
            <v>San_Luis_Rey_San_Onofre_deliverable_peak_secondary</v>
          </cell>
        </row>
        <row r="452">
          <cell r="B452" t="str">
            <v>caiso-deliverability</v>
          </cell>
          <cell r="C452" t="str">
            <v>San_Luis_Rey_San_Onofre_deliverable_peak_secondary</v>
          </cell>
        </row>
        <row r="453">
          <cell r="B453" t="str">
            <v>caiso-deliverability</v>
          </cell>
          <cell r="C453" t="str">
            <v>San_Luis_Rey_San_Onofre_deliverable_peak_secondary</v>
          </cell>
        </row>
        <row r="454">
          <cell r="B454" t="str">
            <v>caiso-deliverability</v>
          </cell>
          <cell r="C454" t="str">
            <v>San_Luis_Rey_San_Onofre_deliverable_peak_secondary</v>
          </cell>
        </row>
        <row r="455">
          <cell r="B455" t="str">
            <v>caiso-deliverability</v>
          </cell>
          <cell r="C455" t="str">
            <v>San_Luis_Rey_San_Onofre_offpeak</v>
          </cell>
        </row>
        <row r="456">
          <cell r="B456" t="str">
            <v>caiso-deliverability</v>
          </cell>
          <cell r="C456" t="str">
            <v>San_Luis_Rey_San_Onofre_offpeak</v>
          </cell>
        </row>
        <row r="457">
          <cell r="B457" t="str">
            <v>caiso-deliverability</v>
          </cell>
          <cell r="C457" t="str">
            <v>San_Luis_Rey_San_Onofre_offpeak</v>
          </cell>
        </row>
        <row r="458">
          <cell r="B458" t="str">
            <v>caiso-deliverability</v>
          </cell>
          <cell r="C458" t="str">
            <v>San_Luis_Rey_San_Onofre_offpeak</v>
          </cell>
        </row>
        <row r="459">
          <cell r="B459" t="str">
            <v>caiso-deliverability</v>
          </cell>
          <cell r="C459" t="str">
            <v>San_Luis_Rey_San_Onofre_offpeak</v>
          </cell>
        </row>
        <row r="460">
          <cell r="B460" t="str">
            <v>caiso-deliverability</v>
          </cell>
          <cell r="C460" t="str">
            <v>San_Luis_Rey_San_Onofre_offpeak</v>
          </cell>
        </row>
        <row r="461">
          <cell r="B461" t="str">
            <v>caiso-deliverability</v>
          </cell>
          <cell r="C461" t="str">
            <v>San_Luis_Rey_San_Onofre_offpeak</v>
          </cell>
        </row>
        <row r="462">
          <cell r="B462" t="str">
            <v>caiso-deliverability</v>
          </cell>
          <cell r="C462" t="str">
            <v>Serrano_Alberhill_deliverable_peak_highest</v>
          </cell>
        </row>
        <row r="463">
          <cell r="B463" t="str">
            <v>caiso-deliverability</v>
          </cell>
          <cell r="C463" t="str">
            <v>Serrano_Alberhill_deliverable_peak_highest</v>
          </cell>
        </row>
        <row r="464">
          <cell r="B464" t="str">
            <v>caiso-deliverability</v>
          </cell>
          <cell r="C464" t="str">
            <v>Serrano_Alberhill_deliverable_peak_highest</v>
          </cell>
        </row>
        <row r="465">
          <cell r="B465" t="str">
            <v>caiso-deliverability</v>
          </cell>
          <cell r="C465" t="str">
            <v>Serrano_Alberhill_deliverable_peak_highest</v>
          </cell>
        </row>
        <row r="466">
          <cell r="B466" t="str">
            <v>caiso-deliverability</v>
          </cell>
          <cell r="C466" t="str">
            <v>Serrano_Alberhill_deliverable_peak_highest</v>
          </cell>
        </row>
        <row r="467">
          <cell r="B467" t="str">
            <v>caiso-deliverability</v>
          </cell>
          <cell r="C467" t="str">
            <v>Serrano_Alberhill_deliverable_peak_highest</v>
          </cell>
        </row>
        <row r="468">
          <cell r="B468" t="str">
            <v>caiso-deliverability</v>
          </cell>
          <cell r="C468" t="str">
            <v>Serrano_Alberhill_deliverable_peak_highest</v>
          </cell>
        </row>
        <row r="469">
          <cell r="B469" t="str">
            <v>caiso-deliverability</v>
          </cell>
          <cell r="C469" t="str">
            <v>Serrano_Alberhill_deliverable_peak_highest</v>
          </cell>
        </row>
        <row r="470">
          <cell r="B470" t="str">
            <v>caiso-deliverability</v>
          </cell>
          <cell r="C470" t="str">
            <v>Serrano_Alberhill_deliverable_peak_highest</v>
          </cell>
        </row>
        <row r="471">
          <cell r="B471" t="str">
            <v>caiso-deliverability</v>
          </cell>
          <cell r="C471" t="str">
            <v>Serrano_Alberhill_deliverable_peak_highest</v>
          </cell>
        </row>
        <row r="472">
          <cell r="B472" t="str">
            <v>caiso-deliverability</v>
          </cell>
          <cell r="C472" t="str">
            <v>Serrano_Alberhill_deliverable_peak_highest</v>
          </cell>
        </row>
        <row r="473">
          <cell r="B473" t="str">
            <v>caiso-deliverability</v>
          </cell>
          <cell r="C473" t="str">
            <v>Serrano_Alberhill_deliverable_peak_highest</v>
          </cell>
        </row>
        <row r="474">
          <cell r="B474" t="str">
            <v>caiso-deliverability</v>
          </cell>
          <cell r="C474" t="str">
            <v>Serrano_Alberhill_deliverable_peak_highest</v>
          </cell>
        </row>
        <row r="475">
          <cell r="B475" t="str">
            <v>caiso-deliverability</v>
          </cell>
          <cell r="C475" t="str">
            <v>Serrano_Alberhill_deliverable_peak_secondary</v>
          </cell>
        </row>
        <row r="476">
          <cell r="B476" t="str">
            <v>caiso-deliverability</v>
          </cell>
          <cell r="C476" t="str">
            <v>Serrano_Alberhill_deliverable_peak_secondary</v>
          </cell>
        </row>
        <row r="477">
          <cell r="B477" t="str">
            <v>caiso-deliverability</v>
          </cell>
          <cell r="C477" t="str">
            <v>Serrano_Alberhill_deliverable_peak_secondary</v>
          </cell>
        </row>
        <row r="478">
          <cell r="B478" t="str">
            <v>caiso-deliverability</v>
          </cell>
          <cell r="C478" t="str">
            <v>Serrano_Alberhill_deliverable_peak_secondary</v>
          </cell>
        </row>
        <row r="479">
          <cell r="B479" t="str">
            <v>caiso-deliverability</v>
          </cell>
          <cell r="C479" t="str">
            <v>Serrano_Alberhill_deliverable_peak_secondary</v>
          </cell>
        </row>
        <row r="480">
          <cell r="B480" t="str">
            <v>caiso-deliverability</v>
          </cell>
          <cell r="C480" t="str">
            <v>Serrano_Alberhill_deliverable_peak_secondary</v>
          </cell>
        </row>
        <row r="481">
          <cell r="B481" t="str">
            <v>caiso-deliverability</v>
          </cell>
          <cell r="C481" t="str">
            <v>Serrano_Alberhill_deliverable_peak_secondary</v>
          </cell>
        </row>
        <row r="482">
          <cell r="B482" t="str">
            <v>caiso-deliverability</v>
          </cell>
          <cell r="C482" t="str">
            <v>Serrano_Alberhill_deliverable_peak_secondary</v>
          </cell>
        </row>
        <row r="483">
          <cell r="B483" t="str">
            <v>caiso-deliverability</v>
          </cell>
          <cell r="C483" t="str">
            <v>Serrano_Alberhill_deliverable_peak_secondary</v>
          </cell>
        </row>
        <row r="484">
          <cell r="B484" t="str">
            <v>caiso-deliverability</v>
          </cell>
          <cell r="C484" t="str">
            <v>Serrano_Alberhill_deliverable_peak_secondary</v>
          </cell>
        </row>
        <row r="485">
          <cell r="B485" t="str">
            <v>caiso-deliverability</v>
          </cell>
          <cell r="C485" t="str">
            <v>Serrano_Alberhill_deliverable_peak_secondary</v>
          </cell>
        </row>
        <row r="486">
          <cell r="B486" t="str">
            <v>caiso-deliverability</v>
          </cell>
          <cell r="C486" t="str">
            <v>Serrano_Alberhill_deliverable_peak_secondary</v>
          </cell>
        </row>
        <row r="487">
          <cell r="B487" t="str">
            <v>caiso-deliverability</v>
          </cell>
          <cell r="C487" t="str">
            <v>Serrano_Alberhill_deliverable_peak_secondary</v>
          </cell>
        </row>
        <row r="488">
          <cell r="B488" t="str">
            <v>caiso-deliverability</v>
          </cell>
          <cell r="C488" t="str">
            <v>Serrano_Alberhill_offpeak</v>
          </cell>
        </row>
        <row r="489">
          <cell r="B489" t="str">
            <v>caiso-deliverability</v>
          </cell>
          <cell r="C489" t="str">
            <v>Serrano_Alberhill_offpeak</v>
          </cell>
        </row>
        <row r="490">
          <cell r="B490" t="str">
            <v>caiso-deliverability</v>
          </cell>
          <cell r="C490" t="str">
            <v>Serrano_Alberhill_offpeak</v>
          </cell>
        </row>
        <row r="491">
          <cell r="B491" t="str">
            <v>caiso-deliverability</v>
          </cell>
          <cell r="C491" t="str">
            <v>Serrano_Alberhill_offpeak</v>
          </cell>
        </row>
        <row r="492">
          <cell r="B492" t="str">
            <v>caiso-deliverability</v>
          </cell>
          <cell r="C492" t="str">
            <v>Serrano_Alberhill_offpeak</v>
          </cell>
        </row>
        <row r="493">
          <cell r="B493" t="str">
            <v>caiso-deliverability</v>
          </cell>
          <cell r="C493" t="str">
            <v>Serrano_Alberhill_offpeak</v>
          </cell>
        </row>
        <row r="494">
          <cell r="B494" t="str">
            <v>caiso-deliverability</v>
          </cell>
          <cell r="C494" t="str">
            <v>Serrano_Alberhill_offpeak</v>
          </cell>
        </row>
        <row r="495">
          <cell r="B495" t="str">
            <v>caiso-deliverability</v>
          </cell>
          <cell r="C495" t="str">
            <v>Serrano_Alberhill_offpeak</v>
          </cell>
        </row>
        <row r="496">
          <cell r="B496" t="str">
            <v>caiso-deliverability</v>
          </cell>
          <cell r="C496" t="str">
            <v>Serrano_Alberhill_offpeak</v>
          </cell>
        </row>
        <row r="497">
          <cell r="B497" t="str">
            <v>caiso-deliverability</v>
          </cell>
          <cell r="C497" t="str">
            <v>Serrano_Alberhill_offpeak</v>
          </cell>
        </row>
        <row r="498">
          <cell r="B498" t="str">
            <v>caiso-deliverability</v>
          </cell>
          <cell r="C498" t="str">
            <v>Serrano_Alberhill_offpeak</v>
          </cell>
        </row>
        <row r="499">
          <cell r="B499" t="str">
            <v>caiso-deliverability</v>
          </cell>
          <cell r="C499" t="str">
            <v>Serrano_Alberhill_offpeak</v>
          </cell>
        </row>
        <row r="500">
          <cell r="B500" t="str">
            <v>caiso-deliverability</v>
          </cell>
          <cell r="C500" t="str">
            <v>Serrano_Alberhill_offpeak</v>
          </cell>
        </row>
        <row r="501">
          <cell r="B501" t="str">
            <v>caiso-deliverability</v>
          </cell>
          <cell r="C501" t="str">
            <v>Silvergate_Bay_Boulevard_deliverable_peak_highest</v>
          </cell>
        </row>
        <row r="502">
          <cell r="B502" t="str">
            <v>caiso-deliverability</v>
          </cell>
          <cell r="C502" t="str">
            <v>Silvergate_Bay_Boulevard_deliverable_peak_highest</v>
          </cell>
        </row>
        <row r="503">
          <cell r="B503" t="str">
            <v>caiso-deliverability</v>
          </cell>
          <cell r="C503" t="str">
            <v>Silvergate_Bay_Boulevard_deliverable_peak_highest</v>
          </cell>
        </row>
        <row r="504">
          <cell r="B504" t="str">
            <v>caiso-deliverability</v>
          </cell>
          <cell r="C504" t="str">
            <v>Silvergate_Bay_Boulevard_deliverable_peak_highest</v>
          </cell>
        </row>
        <row r="505">
          <cell r="B505" t="str">
            <v>caiso-deliverability</v>
          </cell>
          <cell r="C505" t="str">
            <v>Silvergate_Bay_Boulevard_deliverable_peak_highest</v>
          </cell>
        </row>
        <row r="506">
          <cell r="B506" t="str">
            <v>caiso-deliverability</v>
          </cell>
          <cell r="C506" t="str">
            <v>Silvergate_Bay_Boulevard_deliverable_peak_highest</v>
          </cell>
        </row>
        <row r="507">
          <cell r="B507" t="str">
            <v>caiso-deliverability</v>
          </cell>
          <cell r="C507" t="str">
            <v>Silvergate_Bay_Boulevard_deliverable_peak_secondary</v>
          </cell>
        </row>
        <row r="508">
          <cell r="B508" t="str">
            <v>caiso-deliverability</v>
          </cell>
          <cell r="C508" t="str">
            <v>Silvergate_Bay_Boulevard_deliverable_peak_secondary</v>
          </cell>
        </row>
        <row r="509">
          <cell r="B509" t="str">
            <v>caiso-deliverability</v>
          </cell>
          <cell r="C509" t="str">
            <v>Silvergate_Bay_Boulevard_deliverable_peak_secondary</v>
          </cell>
        </row>
        <row r="510">
          <cell r="B510" t="str">
            <v>caiso-deliverability</v>
          </cell>
          <cell r="C510" t="str">
            <v>Silvergate_Bay_Boulevard_deliverable_peak_secondary</v>
          </cell>
        </row>
        <row r="511">
          <cell r="B511" t="str">
            <v>caiso-deliverability</v>
          </cell>
          <cell r="C511" t="str">
            <v>Silvergate_Bay_Boulevard_deliverable_peak_secondary</v>
          </cell>
        </row>
        <row r="512">
          <cell r="B512" t="str">
            <v>caiso-deliverability</v>
          </cell>
          <cell r="C512" t="str">
            <v>Silvergate_Bay_Boulevard_deliverable_peak_secondary</v>
          </cell>
        </row>
        <row r="513">
          <cell r="B513" t="str">
            <v>caiso-deliverability</v>
          </cell>
          <cell r="C513" t="str">
            <v>Silvergate_Bay_Boulevard_offpeak</v>
          </cell>
        </row>
        <row r="514">
          <cell r="B514" t="str">
            <v>caiso-deliverability</v>
          </cell>
          <cell r="C514" t="str">
            <v>Silvergate_Bay_Boulevard_offpeak</v>
          </cell>
        </row>
        <row r="515">
          <cell r="B515" t="str">
            <v>caiso-deliverability</v>
          </cell>
          <cell r="C515" t="str">
            <v>Silvergate_Bay_Boulevard_offpeak</v>
          </cell>
        </row>
        <row r="516">
          <cell r="B516" t="str">
            <v>caiso-deliverability</v>
          </cell>
          <cell r="C516" t="str">
            <v>Silvergate_Bay_Boulevard_offpeak</v>
          </cell>
        </row>
        <row r="517">
          <cell r="B517" t="str">
            <v>caiso-deliverability</v>
          </cell>
          <cell r="C517" t="str">
            <v>Silvergate_Bay_Boulevard_offpeak</v>
          </cell>
        </row>
        <row r="518">
          <cell r="B518" t="str">
            <v>caiso-deliverability</v>
          </cell>
          <cell r="C518" t="str">
            <v>Silvergate_Bay_Boulevard_offpeak</v>
          </cell>
        </row>
        <row r="519">
          <cell r="B519" t="str">
            <v>caiso-deliverability</v>
          </cell>
          <cell r="C519" t="str">
            <v>South_Kramer_Victor_deliverable_peak_highest</v>
          </cell>
        </row>
        <row r="520">
          <cell r="B520" t="str">
            <v>caiso-deliverability</v>
          </cell>
          <cell r="C520" t="str">
            <v>South_Kramer_Victor_deliverable_peak_highest</v>
          </cell>
        </row>
        <row r="521">
          <cell r="B521" t="str">
            <v>caiso-deliverability</v>
          </cell>
          <cell r="C521" t="str">
            <v>South_Kramer_Victor_deliverable_peak_secondary</v>
          </cell>
        </row>
        <row r="522">
          <cell r="B522" t="str">
            <v>caiso-deliverability</v>
          </cell>
          <cell r="C522" t="str">
            <v>South_Kramer_Victor_deliverable_peak_secondary</v>
          </cell>
        </row>
        <row r="523">
          <cell r="B523" t="str">
            <v>caiso-deliverability</v>
          </cell>
          <cell r="C523" t="str">
            <v>South_Kramer_Victor_Lugo_deliverable_peak_highest</v>
          </cell>
        </row>
        <row r="524">
          <cell r="B524" t="str">
            <v>caiso-deliverability</v>
          </cell>
          <cell r="C524" t="str">
            <v>South_Kramer_Victor_Lugo_deliverable_peak_highest</v>
          </cell>
        </row>
        <row r="525">
          <cell r="B525" t="str">
            <v>caiso-deliverability</v>
          </cell>
          <cell r="C525" t="str">
            <v>South_Kramer_Victor_Lugo_deliverable_peak_secondary</v>
          </cell>
        </row>
        <row r="526">
          <cell r="B526" t="str">
            <v>caiso-deliverability</v>
          </cell>
          <cell r="C526" t="str">
            <v>South_Kramer_Victor_Lugo_deliverable_peak_secondary</v>
          </cell>
        </row>
        <row r="527">
          <cell r="B527" t="str">
            <v>caiso-deliverability</v>
          </cell>
          <cell r="C527" t="str">
            <v>South_Kramer_Victor_Lugo_offpeak</v>
          </cell>
        </row>
        <row r="528">
          <cell r="B528" t="str">
            <v>caiso-deliverability</v>
          </cell>
          <cell r="C528" t="str">
            <v>South_Kramer_Victor_Lugo_offpeak</v>
          </cell>
        </row>
        <row r="529">
          <cell r="B529" t="str">
            <v>caiso-deliverability</v>
          </cell>
          <cell r="C529" t="str">
            <v>South_Kramer_Victor_offpeak</v>
          </cell>
        </row>
        <row r="530">
          <cell r="B530" t="str">
            <v>caiso-deliverability</v>
          </cell>
          <cell r="C530" t="str">
            <v>South_Kramer_Victor_offpeak</v>
          </cell>
        </row>
        <row r="531">
          <cell r="B531" t="str">
            <v>caiso-deliverability</v>
          </cell>
          <cell r="C531" t="str">
            <v>Tehachapi_Antelope_deliverable_peak_highest</v>
          </cell>
        </row>
        <row r="532">
          <cell r="B532" t="str">
            <v>caiso-deliverability</v>
          </cell>
          <cell r="C532" t="str">
            <v>Tehachapi_Antelope_deliverable_peak_highest</v>
          </cell>
        </row>
        <row r="533">
          <cell r="B533" t="str">
            <v>caiso-deliverability</v>
          </cell>
          <cell r="C533" t="str">
            <v>Tehachapi_Antelope_deliverable_peak_highest</v>
          </cell>
        </row>
        <row r="534">
          <cell r="B534" t="str">
            <v>caiso-deliverability</v>
          </cell>
          <cell r="C534" t="str">
            <v>Tehachapi_Antelope_deliverable_peak_highest</v>
          </cell>
        </row>
        <row r="535">
          <cell r="B535" t="str">
            <v>caiso-deliverability</v>
          </cell>
          <cell r="C535" t="str">
            <v>Tehachapi_Antelope_deliverable_peak_highest</v>
          </cell>
        </row>
        <row r="536">
          <cell r="B536" t="str">
            <v>caiso-deliverability</v>
          </cell>
          <cell r="C536" t="str">
            <v>Tehachapi_Antelope_deliverable_peak_secondary</v>
          </cell>
        </row>
        <row r="537">
          <cell r="B537" t="str">
            <v>caiso-deliverability</v>
          </cell>
          <cell r="C537" t="str">
            <v>Tehachapi_Antelope_deliverable_peak_secondary</v>
          </cell>
        </row>
        <row r="538">
          <cell r="B538" t="str">
            <v>caiso-deliverability</v>
          </cell>
          <cell r="C538" t="str">
            <v>Tehachapi_Antelope_deliverable_peak_secondary</v>
          </cell>
        </row>
        <row r="539">
          <cell r="B539" t="str">
            <v>caiso-deliverability</v>
          </cell>
          <cell r="C539" t="str">
            <v>Tehachapi_Antelope_deliverable_peak_secondary</v>
          </cell>
        </row>
        <row r="540">
          <cell r="B540" t="str">
            <v>caiso-deliverability</v>
          </cell>
          <cell r="C540" t="str">
            <v>Tehachapi_Antelope_deliverable_peak_secondary</v>
          </cell>
        </row>
        <row r="541">
          <cell r="B541" t="str">
            <v>caiso-deliverability</v>
          </cell>
          <cell r="C541" t="str">
            <v>Tehachapi_Antelope_offpeak</v>
          </cell>
        </row>
        <row r="542">
          <cell r="B542" t="str">
            <v>caiso-deliverability</v>
          </cell>
          <cell r="C542" t="str">
            <v>Tehachapi_Antelope_offpeak</v>
          </cell>
        </row>
        <row r="543">
          <cell r="B543" t="str">
            <v>caiso-deliverability</v>
          </cell>
          <cell r="C543" t="str">
            <v>Tehachapi_Antelope_offpeak</v>
          </cell>
        </row>
        <row r="544">
          <cell r="B544" t="str">
            <v>caiso-deliverability</v>
          </cell>
          <cell r="C544" t="str">
            <v>Tehachapi_Antelope_offpeak</v>
          </cell>
        </row>
        <row r="545">
          <cell r="B545" t="str">
            <v>caiso-deliverability</v>
          </cell>
          <cell r="C545" t="str">
            <v>Tehachapi_Antelope_offpeak</v>
          </cell>
        </row>
        <row r="546">
          <cell r="B546" t="str">
            <v>caiso-deliverability</v>
          </cell>
          <cell r="C546" t="str">
            <v>Tesla_Westley_230_deliverable_peak_highest</v>
          </cell>
        </row>
        <row r="547">
          <cell r="B547" t="str">
            <v>caiso-deliverability</v>
          </cell>
          <cell r="C547" t="str">
            <v>Tesla_Westley_230_deliverable_peak_highest</v>
          </cell>
        </row>
        <row r="548">
          <cell r="B548" t="str">
            <v>caiso-deliverability</v>
          </cell>
          <cell r="C548" t="str">
            <v>Tesla_Westley_230_deliverable_peak_secondary</v>
          </cell>
        </row>
        <row r="549">
          <cell r="B549" t="str">
            <v>caiso-deliverability</v>
          </cell>
          <cell r="C549" t="str">
            <v>Tesla_Westley_230_deliverable_peak_secondary</v>
          </cell>
        </row>
        <row r="550">
          <cell r="B550" t="str">
            <v>caiso-deliverability</v>
          </cell>
          <cell r="C550" t="str">
            <v>Tesla_Westley_230_offpeak</v>
          </cell>
        </row>
        <row r="551">
          <cell r="B551" t="str">
            <v>caiso-deliverability</v>
          </cell>
          <cell r="C551" t="str">
            <v>Tesla_Westley_230_offpeak</v>
          </cell>
        </row>
        <row r="552">
          <cell r="B552" t="str">
            <v>min-duration</v>
          </cell>
          <cell r="C552" t="str">
            <v>Riverside_East_Pumped_Storage</v>
          </cell>
        </row>
        <row r="553">
          <cell r="B553" t="str">
            <v>min-duration</v>
          </cell>
          <cell r="C553" t="str">
            <v>Riverside_East_Pumped_Storage</v>
          </cell>
        </row>
        <row r="554">
          <cell r="B554" t="str">
            <v>min-duration</v>
          </cell>
          <cell r="C554" t="str">
            <v>Riverside_West_Pumped_Storage</v>
          </cell>
        </row>
        <row r="555">
          <cell r="B555" t="str">
            <v>min-duration</v>
          </cell>
          <cell r="C555" t="str">
            <v>Riverside_West_Pumped_Storage</v>
          </cell>
        </row>
        <row r="556">
          <cell r="B556" t="str">
            <v>min-duration</v>
          </cell>
          <cell r="C556" t="str">
            <v>San_Diego_Pumped_Storage</v>
          </cell>
        </row>
        <row r="557">
          <cell r="B557" t="str">
            <v>min-duration</v>
          </cell>
          <cell r="C557" t="str">
            <v>San_Diego_Pumped_Storage</v>
          </cell>
        </row>
        <row r="558">
          <cell r="B558" t="str">
            <v>min-duration</v>
          </cell>
          <cell r="C558" t="str">
            <v>Tehachapi_Pumped_Storage</v>
          </cell>
        </row>
        <row r="559">
          <cell r="B559" t="str">
            <v>min-duration</v>
          </cell>
          <cell r="C559" t="str">
            <v>Tehachapi_Pumped_Storage</v>
          </cell>
        </row>
      </sheetData>
      <sheetData sheetId="4" refreshError="1"/>
      <sheetData sheetId="5">
        <row r="5">
          <cell r="B5" t="str">
            <v>CPUC IRP System Topology</v>
          </cell>
        </row>
        <row r="16">
          <cell r="B16" t="str">
            <v>AnnualEmissionsTarget</v>
          </cell>
          <cell r="C16" t="str">
            <v>GHG</v>
          </cell>
          <cell r="E16" t="str">
            <v>AllToPolicy</v>
          </cell>
          <cell r="F16" t="str">
            <v>Arizona_Li_Battery</v>
          </cell>
          <cell r="G16" t="str">
            <v>System RA</v>
          </cell>
        </row>
        <row r="17">
          <cell r="B17" t="str">
            <v>AnnualEnergyStandard</v>
          </cell>
          <cell r="C17" t="str">
            <v>RPS</v>
          </cell>
          <cell r="E17" t="str">
            <v>AllToPolicy</v>
          </cell>
          <cell r="F17" t="str">
            <v>Arizona_Solar</v>
          </cell>
          <cell r="G17" t="str">
            <v>System RA</v>
          </cell>
        </row>
        <row r="18">
          <cell r="B18" t="str">
            <v>Asset</v>
          </cell>
          <cell r="C18" t="str">
            <v>Colorado_River_500_230_group</v>
          </cell>
          <cell r="E18" t="str">
            <v>AllToPolicy</v>
          </cell>
          <cell r="F18" t="str">
            <v>Arizona_Solar</v>
          </cell>
          <cell r="G18" t="str">
            <v>RPS</v>
          </cell>
        </row>
        <row r="19">
          <cell r="B19" t="str">
            <v>Asset</v>
          </cell>
          <cell r="C19" t="str">
            <v>Contra_Costa_Delta_Switchyard_230_group</v>
          </cell>
          <cell r="E19" t="str">
            <v>AllToPolicy</v>
          </cell>
          <cell r="F19" t="str">
            <v>Arizona_Wind</v>
          </cell>
          <cell r="G19" t="str">
            <v>RPS</v>
          </cell>
        </row>
        <row r="20">
          <cell r="B20" t="str">
            <v>Asset</v>
          </cell>
          <cell r="C20" t="str">
            <v>Delevan_Cortina_230_group</v>
          </cell>
          <cell r="E20" t="str">
            <v>AllToPolicy</v>
          </cell>
          <cell r="F20" t="str">
            <v>Arizona_Wind</v>
          </cell>
          <cell r="G20" t="str">
            <v>System RA</v>
          </cell>
        </row>
        <row r="21">
          <cell r="B21" t="str">
            <v>Asset</v>
          </cell>
          <cell r="C21" t="str">
            <v>Devers_Red_Bluff_group</v>
          </cell>
          <cell r="E21" t="str">
            <v>AllToPolicy</v>
          </cell>
          <cell r="F21" t="str">
            <v>Baja_California_Wind</v>
          </cell>
          <cell r="G21" t="str">
            <v>System RA</v>
          </cell>
        </row>
        <row r="22">
          <cell r="B22" t="str">
            <v>Asset</v>
          </cell>
          <cell r="C22" t="str">
            <v>East_of_Miguel_group</v>
          </cell>
          <cell r="E22" t="str">
            <v>AllToPolicy</v>
          </cell>
          <cell r="F22" t="str">
            <v>Baja_California_Wind</v>
          </cell>
          <cell r="G22" t="str">
            <v>RPS</v>
          </cell>
        </row>
        <row r="23">
          <cell r="B23" t="str">
            <v>Asset</v>
          </cell>
          <cell r="C23" t="str">
            <v>Eldorado_500_230_group</v>
          </cell>
          <cell r="E23" t="str">
            <v>AllToPolicy</v>
          </cell>
          <cell r="F23" t="str">
            <v>BANC_Small_Hydro_for_CAISO</v>
          </cell>
          <cell r="G23" t="str">
            <v>RPS</v>
          </cell>
        </row>
        <row r="24">
          <cell r="B24" t="str">
            <v>Asset</v>
          </cell>
          <cell r="C24" t="str">
            <v>Encina_San_Luis_Rey_group</v>
          </cell>
          <cell r="E24" t="str">
            <v>AllToPolicy</v>
          </cell>
          <cell r="F24" t="str">
            <v>BANC_to_CAISO</v>
          </cell>
          <cell r="G24" t="str">
            <v>GHG</v>
          </cell>
        </row>
        <row r="25">
          <cell r="B25" t="str">
            <v>Asset</v>
          </cell>
          <cell r="C25" t="str">
            <v>Gates_500_230_Transformer_group</v>
          </cell>
          <cell r="E25" t="str">
            <v>AllToPolicy</v>
          </cell>
          <cell r="F25" t="str">
            <v>CA_Coal</v>
          </cell>
          <cell r="G25" t="str">
            <v>GHG</v>
          </cell>
        </row>
        <row r="26">
          <cell r="B26" t="str">
            <v>Asset</v>
          </cell>
          <cell r="C26" t="str">
            <v>Gates_Arco_Midway_230_group</v>
          </cell>
          <cell r="E26" t="str">
            <v>AllToPolicy</v>
          </cell>
          <cell r="F26" t="str">
            <v>CA_Natural_Gas</v>
          </cell>
          <cell r="G26" t="str">
            <v>GHG</v>
          </cell>
        </row>
        <row r="27">
          <cell r="B27" t="str">
            <v>Asset</v>
          </cell>
          <cell r="C27" t="str">
            <v>Gates_Panoche_230_group</v>
          </cell>
          <cell r="E27" t="str">
            <v>AllToPolicy</v>
          </cell>
          <cell r="F27" t="str">
            <v>CAISO_Advanced_CCGT</v>
          </cell>
          <cell r="G27" t="str">
            <v>GHG</v>
          </cell>
        </row>
        <row r="28">
          <cell r="B28" t="str">
            <v>Asset</v>
          </cell>
          <cell r="C28" t="str">
            <v>GLW_VEA_group</v>
          </cell>
          <cell r="E28" t="str">
            <v>AllToPolicy</v>
          </cell>
          <cell r="F28" t="str">
            <v>CAISO_Advanced_CCGT</v>
          </cell>
          <cell r="G28" t="str">
            <v>System RA</v>
          </cell>
        </row>
        <row r="29">
          <cell r="B29" t="str">
            <v>Asset</v>
          </cell>
          <cell r="C29" t="str">
            <v>Greater_LA_group</v>
          </cell>
          <cell r="E29" t="str">
            <v>AllToPolicy</v>
          </cell>
          <cell r="F29" t="str">
            <v>CAISO_Aero_CT</v>
          </cell>
          <cell r="G29" t="str">
            <v>GHG</v>
          </cell>
        </row>
        <row r="30">
          <cell r="B30" t="str">
            <v>Asset</v>
          </cell>
          <cell r="C30" t="str">
            <v>Humboldt_Trinity_115_group</v>
          </cell>
          <cell r="E30" t="str">
            <v>AllToPolicy</v>
          </cell>
          <cell r="F30" t="str">
            <v>CAISO_Aero_CT</v>
          </cell>
          <cell r="G30" t="str">
            <v>System RA</v>
          </cell>
        </row>
        <row r="31">
          <cell r="B31" t="str">
            <v>Asset</v>
          </cell>
          <cell r="C31" t="str">
            <v>Imperial_Valley_group</v>
          </cell>
          <cell r="E31" t="str">
            <v>AllToPolicy</v>
          </cell>
          <cell r="F31" t="str">
            <v>CAISO_Baseline_Li_Battery</v>
          </cell>
          <cell r="G31" t="str">
            <v>System RA</v>
          </cell>
        </row>
        <row r="32">
          <cell r="B32" t="str">
            <v>Asset</v>
          </cell>
          <cell r="C32" t="str">
            <v>Internal_San_Diego_group</v>
          </cell>
          <cell r="E32" t="str">
            <v>AllToPolicy</v>
          </cell>
          <cell r="F32" t="str">
            <v>CAISO_Biomass_for_CAISO</v>
          </cell>
          <cell r="G32" t="str">
            <v>RPS</v>
          </cell>
        </row>
        <row r="33">
          <cell r="B33" t="str">
            <v>Asset</v>
          </cell>
          <cell r="C33" t="str">
            <v>Los_Banos_500_230_Transformer_group</v>
          </cell>
          <cell r="E33" t="str">
            <v>AllToPolicy</v>
          </cell>
          <cell r="F33" t="str">
            <v>CAISO_Biomass_for_CAISO</v>
          </cell>
          <cell r="G33" t="str">
            <v>System RA</v>
          </cell>
        </row>
        <row r="34">
          <cell r="B34" t="str">
            <v>Asset</v>
          </cell>
          <cell r="C34" t="str">
            <v>Los_Banos_Gates_500_OPDS_group</v>
          </cell>
          <cell r="E34" t="str">
            <v>AllToPolicy</v>
          </cell>
          <cell r="F34" t="str">
            <v>CAISO_Biomass_for_Other</v>
          </cell>
          <cell r="G34" t="str">
            <v>System RA</v>
          </cell>
        </row>
        <row r="35">
          <cell r="B35" t="str">
            <v>Asset</v>
          </cell>
          <cell r="C35" t="str">
            <v>Lugo_Transformer_group</v>
          </cell>
          <cell r="E35" t="str">
            <v>AllToPolicy</v>
          </cell>
          <cell r="F35" t="str">
            <v>CAISO_BTM_Li_Battery</v>
          </cell>
          <cell r="G35" t="str">
            <v>System RA</v>
          </cell>
        </row>
        <row r="36">
          <cell r="B36" t="str">
            <v>Asset</v>
          </cell>
          <cell r="C36" t="str">
            <v>Mohave_Eldorado_500_group</v>
          </cell>
          <cell r="E36" t="str">
            <v>AllToPolicy</v>
          </cell>
          <cell r="F36" t="str">
            <v>CAISO_CCGT1</v>
          </cell>
          <cell r="G36" t="str">
            <v>GHG</v>
          </cell>
        </row>
        <row r="37">
          <cell r="B37" t="str">
            <v>Asset</v>
          </cell>
          <cell r="C37" t="str">
            <v>Morro_Bay_Templeton_230_group</v>
          </cell>
          <cell r="E37" t="str">
            <v>AllToPolicy</v>
          </cell>
          <cell r="F37" t="str">
            <v>CAISO_CCGT1</v>
          </cell>
          <cell r="G37" t="str">
            <v>System RA</v>
          </cell>
        </row>
        <row r="38">
          <cell r="B38" t="str">
            <v>Asset</v>
          </cell>
          <cell r="C38" t="str">
            <v>Moss_Landing_Los_Banos_230_OPDS_group</v>
          </cell>
          <cell r="E38" t="str">
            <v>AllToPolicy</v>
          </cell>
          <cell r="F38" t="str">
            <v>CAISO_CCGT2</v>
          </cell>
          <cell r="G38" t="str">
            <v>GHG</v>
          </cell>
        </row>
        <row r="39">
          <cell r="B39" t="str">
            <v>Asset</v>
          </cell>
          <cell r="C39" t="str">
            <v>San_Luis_Rey_San_Onofre_group</v>
          </cell>
          <cell r="E39" t="str">
            <v>AllToPolicy</v>
          </cell>
          <cell r="F39" t="str">
            <v>CAISO_CCGT2</v>
          </cell>
          <cell r="G39" t="str">
            <v>System RA</v>
          </cell>
        </row>
        <row r="40">
          <cell r="B40" t="str">
            <v>Asset</v>
          </cell>
          <cell r="C40" t="str">
            <v>Serrano_Alberhill_group</v>
          </cell>
          <cell r="E40" t="str">
            <v>AllToPolicy</v>
          </cell>
          <cell r="F40" t="str">
            <v>CAISO_CHP</v>
          </cell>
          <cell r="G40" t="str">
            <v>GHG</v>
          </cell>
        </row>
        <row r="41">
          <cell r="B41" t="str">
            <v>Asset</v>
          </cell>
          <cell r="C41" t="str">
            <v>Silvergate_Bay_Boulevard_group</v>
          </cell>
          <cell r="E41" t="str">
            <v>AllToPolicy</v>
          </cell>
          <cell r="F41" t="str">
            <v>CAISO_CHP</v>
          </cell>
          <cell r="G41" t="str">
            <v>System RA</v>
          </cell>
        </row>
        <row r="42">
          <cell r="B42" t="str">
            <v>Asset</v>
          </cell>
          <cell r="C42" t="str">
            <v>South_Kramer_Victor_group</v>
          </cell>
          <cell r="E42" t="str">
            <v>AllToPolicy</v>
          </cell>
          <cell r="F42" t="str">
            <v>CAISO_Coal</v>
          </cell>
          <cell r="G42" t="str">
            <v>GHG</v>
          </cell>
        </row>
        <row r="43">
          <cell r="B43" t="str">
            <v>Asset</v>
          </cell>
          <cell r="C43" t="str">
            <v>South_Kramer_Victor_Lugo_group</v>
          </cell>
          <cell r="E43" t="str">
            <v>AllToPolicy</v>
          </cell>
          <cell r="F43" t="str">
            <v>CAISO_Coal</v>
          </cell>
          <cell r="G43" t="str">
            <v>System RA</v>
          </cell>
        </row>
        <row r="44">
          <cell r="B44" t="str">
            <v>Asset</v>
          </cell>
          <cell r="C44" t="str">
            <v>Tehachapi_Antelope_group</v>
          </cell>
          <cell r="E44" t="str">
            <v>AllToPolicy</v>
          </cell>
          <cell r="F44" t="str">
            <v>CAISO_Existing_Pumped_Storage</v>
          </cell>
          <cell r="G44" t="str">
            <v>System RA</v>
          </cell>
        </row>
        <row r="45">
          <cell r="B45" t="str">
            <v>Asset</v>
          </cell>
          <cell r="C45" t="str">
            <v>Tesla_Westley_230_group</v>
          </cell>
          <cell r="E45" t="str">
            <v>AllToPolicy</v>
          </cell>
          <cell r="F45" t="str">
            <v>CAISO_Geothermal_for_CAISO</v>
          </cell>
          <cell r="G45" t="str">
            <v>RPS</v>
          </cell>
        </row>
        <row r="46">
          <cell r="B46" t="str">
            <v>CandidateFuel</v>
          </cell>
          <cell r="C46" t="str">
            <v>CA_Coal</v>
          </cell>
          <cell r="E46" t="str">
            <v>AllToPolicy</v>
          </cell>
          <cell r="F46" t="str">
            <v>CAISO_Geothermal_for_CAISO</v>
          </cell>
          <cell r="G46" t="str">
            <v>System RA</v>
          </cell>
        </row>
        <row r="47">
          <cell r="B47" t="str">
            <v>CandidateFuel</v>
          </cell>
          <cell r="C47" t="str">
            <v>CA_Natural_Gas</v>
          </cell>
          <cell r="E47" t="str">
            <v>AllToPolicy</v>
          </cell>
          <cell r="F47" t="str">
            <v>CAISO_Geothermal_for_Other</v>
          </cell>
          <cell r="G47" t="str">
            <v>System RA</v>
          </cell>
        </row>
        <row r="48">
          <cell r="B48" t="str">
            <v>CandidateFuel</v>
          </cell>
          <cell r="C48" t="str">
            <v>Coal</v>
          </cell>
          <cell r="E48" t="str">
            <v>AllToPolicy</v>
          </cell>
          <cell r="F48" t="str">
            <v>CAISO_Hydro</v>
          </cell>
          <cell r="G48" t="str">
            <v>System RA</v>
          </cell>
        </row>
        <row r="49">
          <cell r="B49" t="str">
            <v>CandidateFuel</v>
          </cell>
          <cell r="C49" t="str">
            <v>NW_Natural_Gas</v>
          </cell>
          <cell r="E49" t="str">
            <v>AllToPolicy</v>
          </cell>
          <cell r="F49" t="str">
            <v>CAISO_New_BTM_Li_Battery</v>
          </cell>
          <cell r="G49" t="str">
            <v>System RA</v>
          </cell>
        </row>
        <row r="50">
          <cell r="B50" t="str">
            <v>CandidateFuel</v>
          </cell>
          <cell r="C50" t="str">
            <v>SW_Natural_Gas</v>
          </cell>
          <cell r="E50" t="str">
            <v>AllToPolicy</v>
          </cell>
          <cell r="F50" t="str">
            <v>CAISO_New_Flow_Battery</v>
          </cell>
          <cell r="G50" t="str">
            <v>System RA</v>
          </cell>
        </row>
        <row r="51">
          <cell r="B51" t="str">
            <v>CandidateFuel</v>
          </cell>
          <cell r="C51" t="str">
            <v>Uranium</v>
          </cell>
          <cell r="E51" t="str">
            <v>AllToPolicy</v>
          </cell>
          <cell r="F51" t="str">
            <v>CAISO_Nuclear</v>
          </cell>
          <cell r="G51" t="str">
            <v>System RA</v>
          </cell>
        </row>
        <row r="52">
          <cell r="B52" t="str">
            <v>ELCCSurface</v>
          </cell>
          <cell r="C52" t="str">
            <v>Solar-Wind Surface</v>
          </cell>
          <cell r="E52" t="str">
            <v>AllToPolicy</v>
          </cell>
          <cell r="F52" t="str">
            <v>CAISO_Peaker1</v>
          </cell>
          <cell r="G52" t="str">
            <v>GHG</v>
          </cell>
        </row>
        <row r="53">
          <cell r="B53" t="str">
            <v>ELCCSurface</v>
          </cell>
          <cell r="C53" t="str">
            <v>Storage Curve</v>
          </cell>
          <cell r="E53" t="str">
            <v>AllToPolicy</v>
          </cell>
          <cell r="F53" t="str">
            <v>CAISO_Peaker1</v>
          </cell>
          <cell r="G53" t="str">
            <v>System RA</v>
          </cell>
        </row>
        <row r="54">
          <cell r="B54" t="str">
            <v>Load</v>
          </cell>
          <cell r="C54" t="str">
            <v>BANC Baseline</v>
          </cell>
          <cell r="E54" t="str">
            <v>AllToPolicy</v>
          </cell>
          <cell r="F54" t="str">
            <v>CAISO_Peaker2</v>
          </cell>
          <cell r="G54" t="str">
            <v>GHG</v>
          </cell>
        </row>
        <row r="55">
          <cell r="B55" t="str">
            <v>Load</v>
          </cell>
          <cell r="C55" t="str">
            <v>IID Baseline</v>
          </cell>
          <cell r="E55" t="str">
            <v>AllToPolicy</v>
          </cell>
          <cell r="F55" t="str">
            <v>CAISO_Peaker2</v>
          </cell>
          <cell r="G55" t="str">
            <v>System RA</v>
          </cell>
        </row>
        <row r="56">
          <cell r="B56" t="str">
            <v>Load</v>
          </cell>
          <cell r="C56" t="str">
            <v>LDWP Baseline</v>
          </cell>
          <cell r="E56" t="str">
            <v>AllToPolicy</v>
          </cell>
          <cell r="F56" t="str">
            <v>CAISO_Reciprocating_Engine</v>
          </cell>
          <cell r="G56" t="str">
            <v>GHG</v>
          </cell>
        </row>
        <row r="57">
          <cell r="B57" t="str">
            <v>Load</v>
          </cell>
          <cell r="C57" t="str">
            <v>NW Baseline</v>
          </cell>
          <cell r="E57" t="str">
            <v>AllToPolicy</v>
          </cell>
          <cell r="F57" t="str">
            <v>CAISO_Reciprocating_Engine</v>
          </cell>
          <cell r="G57" t="str">
            <v>System RA</v>
          </cell>
        </row>
        <row r="58">
          <cell r="B58" t="str">
            <v>Load</v>
          </cell>
          <cell r="C58" t="str">
            <v>SW Baseline</v>
          </cell>
          <cell r="E58" t="str">
            <v>AllToPolicy</v>
          </cell>
          <cell r="F58" t="str">
            <v>CAISO_Shed_DR_Existing</v>
          </cell>
          <cell r="G58" t="str">
            <v>System RA</v>
          </cell>
        </row>
        <row r="59">
          <cell r="B59" t="str">
            <v>Load</v>
          </cell>
          <cell r="C59" t="str">
            <v>CAISO Baseline</v>
          </cell>
          <cell r="E59" t="str">
            <v>AllToPolicy</v>
          </cell>
          <cell r="F59" t="str">
            <v>CAISO_Shed_DR_Tranche1</v>
          </cell>
          <cell r="G59" t="str">
            <v>System RA</v>
          </cell>
        </row>
        <row r="60">
          <cell r="B60" t="str">
            <v>Load</v>
          </cell>
          <cell r="C60" t="str">
            <v>Light-Duty EVs</v>
          </cell>
          <cell r="E60" t="str">
            <v>AllToPolicy</v>
          </cell>
          <cell r="F60" t="str">
            <v>CAISO_Shed_DR_Tranche2</v>
          </cell>
          <cell r="G60" t="str">
            <v>System RA</v>
          </cell>
        </row>
        <row r="61">
          <cell r="B61" t="str">
            <v>Load</v>
          </cell>
          <cell r="C61" t="str">
            <v>Electric Buses</v>
          </cell>
          <cell r="E61" t="str">
            <v>AllToPolicy</v>
          </cell>
          <cell r="F61" t="str">
            <v>CAISO_Shed_DR_Tranche3</v>
          </cell>
          <cell r="G61" t="str">
            <v>System RA</v>
          </cell>
        </row>
        <row r="62">
          <cell r="B62" t="str">
            <v>Load</v>
          </cell>
          <cell r="C62" t="str">
            <v>Other Medium and Heavy-Duty EVs</v>
          </cell>
          <cell r="E62" t="str">
            <v>AllToPolicy</v>
          </cell>
          <cell r="F62" t="str">
            <v>CAISO_Shed_DR_Tranche4</v>
          </cell>
          <cell r="G62" t="str">
            <v>System RA</v>
          </cell>
        </row>
        <row r="63">
          <cell r="B63" t="str">
            <v>Load</v>
          </cell>
          <cell r="C63" t="str">
            <v>Other Transport Electrification</v>
          </cell>
          <cell r="E63" t="str">
            <v>AllToPolicy</v>
          </cell>
          <cell r="F63" t="str">
            <v>CAISO_Shed_DR_Tranche5</v>
          </cell>
          <cell r="G63" t="str">
            <v>System RA</v>
          </cell>
        </row>
        <row r="64">
          <cell r="B64" t="str">
            <v>Load</v>
          </cell>
          <cell r="C64" t="str">
            <v>Residential Space Heating</v>
          </cell>
          <cell r="E64" t="str">
            <v>AllToPolicy</v>
          </cell>
          <cell r="F64" t="str">
            <v>CAISO_Shed_DR_Tranche6</v>
          </cell>
          <cell r="G64" t="str">
            <v>System RA</v>
          </cell>
        </row>
        <row r="65">
          <cell r="B65" t="str">
            <v>Load</v>
          </cell>
          <cell r="C65" t="str">
            <v>Residential Water Heating</v>
          </cell>
          <cell r="E65" t="str">
            <v>AllToPolicy</v>
          </cell>
          <cell r="F65" t="str">
            <v>CAISO_Shed_DR_Tranche7</v>
          </cell>
          <cell r="G65" t="str">
            <v>System RA</v>
          </cell>
        </row>
        <row r="66">
          <cell r="B66" t="str">
            <v>Load</v>
          </cell>
          <cell r="C66" t="str">
            <v>Residential Cooking</v>
          </cell>
          <cell r="E66" t="str">
            <v>AllToPolicy</v>
          </cell>
          <cell r="F66" t="str">
            <v>CAISO_Shed_DR_Tranche8</v>
          </cell>
          <cell r="G66" t="str">
            <v>System RA</v>
          </cell>
        </row>
        <row r="67">
          <cell r="B67" t="str">
            <v>Load</v>
          </cell>
          <cell r="C67" t="str">
            <v>Residential Clothes Drying</v>
          </cell>
          <cell r="E67" t="str">
            <v>AllToPolicy</v>
          </cell>
          <cell r="F67" t="str">
            <v>CAISO_Small_Hydro_for_CAISO</v>
          </cell>
          <cell r="G67" t="str">
            <v>RPS</v>
          </cell>
        </row>
        <row r="68">
          <cell r="B68" t="str">
            <v>Load</v>
          </cell>
          <cell r="C68" t="str">
            <v>Commercial Space Heating</v>
          </cell>
          <cell r="E68" t="str">
            <v>AllToPolicy</v>
          </cell>
          <cell r="F68" t="str">
            <v>CAISO_Small_Hydro_for_CAISO</v>
          </cell>
          <cell r="G68" t="str">
            <v>System RA</v>
          </cell>
        </row>
        <row r="69">
          <cell r="B69" t="str">
            <v>Load</v>
          </cell>
          <cell r="C69" t="str">
            <v>Commercial Water Heating</v>
          </cell>
          <cell r="E69" t="str">
            <v>AllToPolicy</v>
          </cell>
          <cell r="F69" t="str">
            <v>CAISO_Small_Hydro_for_Other</v>
          </cell>
          <cell r="G69" t="str">
            <v>System RA</v>
          </cell>
        </row>
        <row r="70">
          <cell r="B70" t="str">
            <v>Load</v>
          </cell>
          <cell r="C70" t="str">
            <v>Commercial Cooking</v>
          </cell>
          <cell r="E70" t="str">
            <v>AllToPolicy</v>
          </cell>
          <cell r="F70" t="str">
            <v>CAISO_Solar_for_CAISO</v>
          </cell>
          <cell r="G70" t="str">
            <v>RPS</v>
          </cell>
        </row>
        <row r="71">
          <cell r="B71" t="str">
            <v>Load</v>
          </cell>
          <cell r="C71" t="str">
            <v>Energy Efficiency</v>
          </cell>
          <cell r="E71" t="str">
            <v>AllToPolicy</v>
          </cell>
          <cell r="F71" t="str">
            <v>CAISO_Solar_for_CAISO</v>
          </cell>
          <cell r="G71" t="str">
            <v>System RA</v>
          </cell>
        </row>
        <row r="72">
          <cell r="B72" t="str">
            <v>Load</v>
          </cell>
          <cell r="C72" t="str">
            <v>BTM CHP</v>
          </cell>
          <cell r="E72" t="str">
            <v>AllToPolicy</v>
          </cell>
          <cell r="F72" t="str">
            <v>CAISO_Solar_for_Other</v>
          </cell>
          <cell r="G72" t="str">
            <v>System RA</v>
          </cell>
        </row>
        <row r="73">
          <cell r="B73" t="str">
            <v>Load</v>
          </cell>
          <cell r="C73" t="str">
            <v>Non-PV Non-CHP Self Gen</v>
          </cell>
          <cell r="E73" t="str">
            <v>AllToPolicy</v>
          </cell>
          <cell r="F73" t="str">
            <v>CAISO_ST</v>
          </cell>
          <cell r="G73" t="str">
            <v>System RA</v>
          </cell>
        </row>
        <row r="74">
          <cell r="B74" t="str">
            <v>Load</v>
          </cell>
          <cell r="C74" t="str">
            <v>TOU Effects</v>
          </cell>
          <cell r="E74" t="str">
            <v>AllToPolicy</v>
          </cell>
          <cell r="F74" t="str">
            <v>CAISO_ST</v>
          </cell>
          <cell r="G74" t="str">
            <v>GHG</v>
          </cell>
        </row>
        <row r="75">
          <cell r="B75" t="str">
            <v>PlanningReserveMargin</v>
          </cell>
          <cell r="C75" t="str">
            <v>System RA</v>
          </cell>
          <cell r="E75" t="str">
            <v>AllToPolicy</v>
          </cell>
          <cell r="F75" t="str">
            <v>CAISO_Wind_for_CAISO</v>
          </cell>
          <cell r="G75" t="str">
            <v>RPS</v>
          </cell>
        </row>
        <row r="76">
          <cell r="B76" t="str">
            <v>Reserve</v>
          </cell>
          <cell r="C76" t="str">
            <v>downward_lf_reserves_mw</v>
          </cell>
          <cell r="E76" t="str">
            <v>AllToPolicy</v>
          </cell>
          <cell r="F76" t="str">
            <v>CAISO_Wind_for_CAISO</v>
          </cell>
          <cell r="G76" t="str">
            <v>System RA</v>
          </cell>
        </row>
        <row r="77">
          <cell r="B77" t="str">
            <v>Reserve</v>
          </cell>
          <cell r="C77" t="str">
            <v>downward_reg_mw</v>
          </cell>
          <cell r="E77" t="str">
            <v>AllToPolicy</v>
          </cell>
          <cell r="F77" t="str">
            <v>CAISO_Wind_for_Other</v>
          </cell>
          <cell r="G77" t="str">
            <v>System RA</v>
          </cell>
        </row>
        <row r="78">
          <cell r="B78" t="str">
            <v>Reserve</v>
          </cell>
          <cell r="C78" t="str">
            <v>freq_resp_total_req_mw</v>
          </cell>
          <cell r="E78" t="str">
            <v>AllToPolicy</v>
          </cell>
          <cell r="F78" t="str">
            <v>Carrizo_Wind</v>
          </cell>
          <cell r="G78" t="str">
            <v>RPS</v>
          </cell>
        </row>
        <row r="79">
          <cell r="B79" t="str">
            <v>Reserve</v>
          </cell>
          <cell r="C79" t="str">
            <v>spin_reserve_req_mw</v>
          </cell>
          <cell r="E79" t="str">
            <v>AllToPolicy</v>
          </cell>
          <cell r="F79" t="str">
            <v>Carrizo_Wind</v>
          </cell>
          <cell r="G79" t="str">
            <v>System RA</v>
          </cell>
        </row>
        <row r="80">
          <cell r="B80" t="str">
            <v>Reserve</v>
          </cell>
          <cell r="C80" t="str">
            <v>upward_lf_reserves_mw</v>
          </cell>
          <cell r="E80" t="str">
            <v>AllToPolicy</v>
          </cell>
          <cell r="F80" t="str">
            <v>Central_Valley_North_Los_Banos_Wind</v>
          </cell>
          <cell r="G80" t="str">
            <v>RPS</v>
          </cell>
        </row>
        <row r="81">
          <cell r="B81" t="str">
            <v>Reserve</v>
          </cell>
          <cell r="C81" t="str">
            <v>upward_reg_mw</v>
          </cell>
          <cell r="E81" t="str">
            <v>AllToPolicy</v>
          </cell>
          <cell r="F81" t="str">
            <v>Central_Valley_North_Los_Banos_Wind</v>
          </cell>
          <cell r="G81" t="str">
            <v>System RA</v>
          </cell>
        </row>
        <row r="82">
          <cell r="B82" t="str">
            <v>Resource</v>
          </cell>
          <cell r="C82" t="str">
            <v>Arizona_Li_Battery</v>
          </cell>
          <cell r="E82" t="str">
            <v>AllToPolicy</v>
          </cell>
          <cell r="F82" t="str">
            <v>Customer_PV</v>
          </cell>
          <cell r="G82" t="str">
            <v>System RA</v>
          </cell>
        </row>
        <row r="83">
          <cell r="B83" t="str">
            <v>Resource</v>
          </cell>
          <cell r="C83" t="str">
            <v>Arizona_Solar</v>
          </cell>
          <cell r="E83" t="str">
            <v>AllToPolicy</v>
          </cell>
          <cell r="F83" t="str">
            <v>Distributed_Solar</v>
          </cell>
          <cell r="G83" t="str">
            <v>RPS</v>
          </cell>
        </row>
        <row r="84">
          <cell r="B84" t="str">
            <v>Resource</v>
          </cell>
          <cell r="C84" t="str">
            <v>Arizona_Wind</v>
          </cell>
          <cell r="E84" t="str">
            <v>AllToPolicy</v>
          </cell>
          <cell r="F84" t="str">
            <v>Distributed_Solar</v>
          </cell>
          <cell r="G84" t="str">
            <v>System RA</v>
          </cell>
        </row>
        <row r="85">
          <cell r="B85" t="str">
            <v>Resource</v>
          </cell>
          <cell r="C85" t="str">
            <v>Baja_California_Wind</v>
          </cell>
          <cell r="E85" t="str">
            <v>AllToPolicy</v>
          </cell>
          <cell r="F85" t="str">
            <v>Greater_Imperial_Geothermal</v>
          </cell>
          <cell r="G85" t="str">
            <v>RPS</v>
          </cell>
        </row>
        <row r="86">
          <cell r="B86" t="str">
            <v>Resource</v>
          </cell>
          <cell r="C86" t="str">
            <v>BANC_Biomass_for_Other</v>
          </cell>
          <cell r="E86" t="str">
            <v>AllToPolicy</v>
          </cell>
          <cell r="F86" t="str">
            <v>Greater_Imperial_Geothermal</v>
          </cell>
          <cell r="G86" t="str">
            <v>System RA</v>
          </cell>
        </row>
        <row r="87">
          <cell r="B87" t="str">
            <v>Resource</v>
          </cell>
          <cell r="C87" t="str">
            <v>BANC_CCGT</v>
          </cell>
          <cell r="E87" t="str">
            <v>AllToPolicy</v>
          </cell>
          <cell r="F87" t="str">
            <v>Greater_Kramer_Li_Battery</v>
          </cell>
          <cell r="G87" t="str">
            <v>System RA</v>
          </cell>
        </row>
        <row r="88">
          <cell r="B88" t="str">
            <v>Resource</v>
          </cell>
          <cell r="C88" t="str">
            <v>BANC_Geothermal_for_Other</v>
          </cell>
          <cell r="E88" t="str">
            <v>AllToPolicy</v>
          </cell>
          <cell r="F88" t="str">
            <v>Greater_Kramer_Solar</v>
          </cell>
          <cell r="G88" t="str">
            <v>System RA</v>
          </cell>
        </row>
        <row r="89">
          <cell r="B89" t="str">
            <v>Resource</v>
          </cell>
          <cell r="C89" t="str">
            <v>BANC_Hydro</v>
          </cell>
          <cell r="E89" t="str">
            <v>AllToPolicy</v>
          </cell>
          <cell r="F89" t="str">
            <v>Greater_Kramer_Solar</v>
          </cell>
          <cell r="G89" t="str">
            <v>RPS</v>
          </cell>
        </row>
        <row r="90">
          <cell r="B90" t="str">
            <v>Resource</v>
          </cell>
          <cell r="C90" t="str">
            <v>BANC_Peaker</v>
          </cell>
          <cell r="E90" t="str">
            <v>AllToPolicy</v>
          </cell>
          <cell r="F90" t="str">
            <v>Greater_LA_Li_Battery</v>
          </cell>
          <cell r="G90" t="str">
            <v>System RA</v>
          </cell>
        </row>
        <row r="91">
          <cell r="B91" t="str">
            <v>Resource</v>
          </cell>
          <cell r="C91" t="str">
            <v>BANC_Small_Hydro_for_CAISO</v>
          </cell>
          <cell r="E91" t="str">
            <v>AllToPolicy</v>
          </cell>
          <cell r="F91" t="str">
            <v>Greater_LA_Solar</v>
          </cell>
          <cell r="G91" t="str">
            <v>System RA</v>
          </cell>
        </row>
        <row r="92">
          <cell r="B92" t="str">
            <v>Resource</v>
          </cell>
          <cell r="C92" t="str">
            <v>BANC_Small_Hydro_for_Other</v>
          </cell>
          <cell r="E92" t="str">
            <v>AllToPolicy</v>
          </cell>
          <cell r="F92" t="str">
            <v>Greater_LA_Solar</v>
          </cell>
          <cell r="G92" t="str">
            <v>RPS</v>
          </cell>
        </row>
        <row r="93">
          <cell r="B93" t="str">
            <v>Resource</v>
          </cell>
          <cell r="C93" t="str">
            <v>BANC_Solar_for_Other</v>
          </cell>
          <cell r="E93" t="str">
            <v>AllToPolicy</v>
          </cell>
          <cell r="F93" t="str">
            <v>Humboldt_Bay_Offshore_Wind</v>
          </cell>
          <cell r="G93" t="str">
            <v>System RA</v>
          </cell>
        </row>
        <row r="94">
          <cell r="B94" t="str">
            <v>Resource</v>
          </cell>
          <cell r="C94" t="str">
            <v>BANC_Wind_for_Other</v>
          </cell>
          <cell r="E94" t="str">
            <v>AllToPolicy</v>
          </cell>
          <cell r="F94" t="str">
            <v>Humboldt_Bay_Offshore_Wind</v>
          </cell>
          <cell r="G94" t="str">
            <v>RPS</v>
          </cell>
        </row>
        <row r="95">
          <cell r="B95" t="str">
            <v>Resource</v>
          </cell>
          <cell r="C95" t="str">
            <v>CAISO_Advanced_CCGT</v>
          </cell>
          <cell r="E95" t="str">
            <v>AllToPolicy</v>
          </cell>
          <cell r="F95" t="str">
            <v>Humboldt_Wind</v>
          </cell>
          <cell r="G95" t="str">
            <v>System RA</v>
          </cell>
        </row>
        <row r="96">
          <cell r="B96" t="str">
            <v>Resource</v>
          </cell>
          <cell r="C96" t="str">
            <v>CAISO_Aero_CT</v>
          </cell>
          <cell r="E96" t="str">
            <v>AllToPolicy</v>
          </cell>
          <cell r="F96" t="str">
            <v>Humboldt_Wind</v>
          </cell>
          <cell r="G96" t="str">
            <v>RPS</v>
          </cell>
        </row>
        <row r="97">
          <cell r="B97" t="str">
            <v>Resource</v>
          </cell>
          <cell r="C97" t="str">
            <v>CAISO_Baseline_Li_Battery</v>
          </cell>
          <cell r="E97" t="str">
            <v>AllToPolicy</v>
          </cell>
          <cell r="F97" t="str">
            <v>Idaho_Wind</v>
          </cell>
          <cell r="G97" t="str">
            <v>RPS</v>
          </cell>
        </row>
        <row r="98">
          <cell r="B98" t="str">
            <v>Resource</v>
          </cell>
          <cell r="C98" t="str">
            <v>CAISO_Biomass_for_CAISO</v>
          </cell>
          <cell r="E98" t="str">
            <v>AllToPolicy</v>
          </cell>
          <cell r="F98" t="str">
            <v>Idaho_Wind</v>
          </cell>
          <cell r="G98" t="str">
            <v>System RA</v>
          </cell>
        </row>
        <row r="99">
          <cell r="B99" t="str">
            <v>Resource</v>
          </cell>
          <cell r="C99" t="str">
            <v>CAISO_Biomass_for_Other</v>
          </cell>
          <cell r="E99" t="str">
            <v>AllToPolicy</v>
          </cell>
          <cell r="F99" t="str">
            <v>IID_Geothermal_for_CAISO</v>
          </cell>
          <cell r="G99" t="str">
            <v>RPS</v>
          </cell>
        </row>
        <row r="100">
          <cell r="B100" t="str">
            <v>Resource</v>
          </cell>
          <cell r="C100" t="str">
            <v>CAISO_BTM_Li_Battery</v>
          </cell>
          <cell r="E100" t="str">
            <v>AllToPolicy</v>
          </cell>
          <cell r="F100" t="str">
            <v>IID_Solar_for_CAISO</v>
          </cell>
          <cell r="G100" t="str">
            <v>RPS</v>
          </cell>
        </row>
        <row r="101">
          <cell r="B101" t="str">
            <v>Resource</v>
          </cell>
          <cell r="C101" t="str">
            <v>CAISO_CCGT1</v>
          </cell>
          <cell r="E101" t="str">
            <v>AllToPolicy</v>
          </cell>
          <cell r="F101" t="str">
            <v>IID_to_CAISO</v>
          </cell>
          <cell r="G101" t="str">
            <v>GHG</v>
          </cell>
        </row>
        <row r="102">
          <cell r="B102" t="str">
            <v>Resource</v>
          </cell>
          <cell r="C102" t="str">
            <v>CAISO_CCGT2</v>
          </cell>
          <cell r="E102" t="str">
            <v>AllToPolicy</v>
          </cell>
          <cell r="F102" t="str">
            <v>Imperial_Li_Battery</v>
          </cell>
          <cell r="G102" t="str">
            <v>System RA</v>
          </cell>
        </row>
        <row r="103">
          <cell r="B103" t="str">
            <v>Resource</v>
          </cell>
          <cell r="C103" t="str">
            <v>CAISO_CHP</v>
          </cell>
          <cell r="E103" t="str">
            <v>AllToPolicy</v>
          </cell>
          <cell r="F103" t="str">
            <v>Imperial_Solar</v>
          </cell>
          <cell r="G103" t="str">
            <v>RPS</v>
          </cell>
        </row>
        <row r="104">
          <cell r="B104" t="str">
            <v>Resource</v>
          </cell>
          <cell r="C104" t="str">
            <v>CAISO_Coal</v>
          </cell>
          <cell r="E104" t="str">
            <v>AllToPolicy</v>
          </cell>
          <cell r="F104" t="str">
            <v>Imperial_Solar</v>
          </cell>
          <cell r="G104" t="str">
            <v>System RA</v>
          </cell>
        </row>
        <row r="105">
          <cell r="B105" t="str">
            <v>Resource</v>
          </cell>
          <cell r="C105" t="str">
            <v>CAISO_Existing_Pumped_Storage</v>
          </cell>
          <cell r="E105" t="str">
            <v>AllToPolicy</v>
          </cell>
          <cell r="F105" t="str">
            <v>InState_Biomass</v>
          </cell>
          <cell r="G105" t="str">
            <v>RPS</v>
          </cell>
        </row>
        <row r="106">
          <cell r="B106" t="str">
            <v>Resource</v>
          </cell>
          <cell r="C106" t="str">
            <v>CAISO_Geothermal_for_CAISO</v>
          </cell>
          <cell r="E106" t="str">
            <v>AllToPolicy</v>
          </cell>
          <cell r="F106" t="str">
            <v>InState_Biomass</v>
          </cell>
          <cell r="G106" t="str">
            <v>System RA</v>
          </cell>
        </row>
        <row r="107">
          <cell r="B107" t="str">
            <v>Resource</v>
          </cell>
          <cell r="C107" t="str">
            <v>CAISO_Geothermal_for_Other</v>
          </cell>
          <cell r="E107" t="str">
            <v>AllToPolicy</v>
          </cell>
          <cell r="F107" t="str">
            <v>Inyokern_North_Kramer_Geothermal</v>
          </cell>
          <cell r="G107" t="str">
            <v>RPS</v>
          </cell>
        </row>
        <row r="108">
          <cell r="B108" t="str">
            <v>Resource</v>
          </cell>
          <cell r="C108" t="str">
            <v>CAISO_Hydro</v>
          </cell>
          <cell r="E108" t="str">
            <v>AllToPolicy</v>
          </cell>
          <cell r="F108" t="str">
            <v>Inyokern_North_Kramer_Geothermal</v>
          </cell>
          <cell r="G108" t="str">
            <v>System RA</v>
          </cell>
        </row>
        <row r="109">
          <cell r="B109" t="str">
            <v>Resource</v>
          </cell>
          <cell r="C109" t="str">
            <v>CAISO_New_BTM_Li_Battery</v>
          </cell>
          <cell r="E109" t="str">
            <v>AllToPolicy</v>
          </cell>
          <cell r="F109" t="str">
            <v>Kern_Greater_Carrizo_Wind</v>
          </cell>
          <cell r="G109" t="str">
            <v>System RA</v>
          </cell>
        </row>
        <row r="110">
          <cell r="B110" t="str">
            <v>Resource</v>
          </cell>
          <cell r="C110" t="str">
            <v>CAISO_New_Flow_Battery</v>
          </cell>
          <cell r="E110" t="str">
            <v>AllToPolicy</v>
          </cell>
          <cell r="F110" t="str">
            <v>Kern_Greater_Carrizo_Wind</v>
          </cell>
          <cell r="G110" t="str">
            <v>RPS</v>
          </cell>
        </row>
        <row r="111">
          <cell r="B111" t="str">
            <v>Resource</v>
          </cell>
          <cell r="C111" t="str">
            <v>CAISO_Nuclear</v>
          </cell>
          <cell r="E111" t="str">
            <v>AllToPolicy</v>
          </cell>
          <cell r="F111" t="str">
            <v>LDWP_to_CAISO</v>
          </cell>
          <cell r="G111" t="str">
            <v>GHG</v>
          </cell>
        </row>
        <row r="112">
          <cell r="B112" t="str">
            <v>Resource</v>
          </cell>
          <cell r="C112" t="str">
            <v>CAISO_Peaker1</v>
          </cell>
          <cell r="E112" t="str">
            <v>AllToPolicy</v>
          </cell>
          <cell r="F112" t="str">
            <v>LDWP_Wind_for_CAISO</v>
          </cell>
          <cell r="G112" t="str">
            <v>RPS</v>
          </cell>
        </row>
        <row r="113">
          <cell r="B113" t="str">
            <v>Resource</v>
          </cell>
          <cell r="C113" t="str">
            <v>CAISO_Peaker2</v>
          </cell>
          <cell r="E113" t="str">
            <v>AllToPolicy</v>
          </cell>
          <cell r="F113" t="str">
            <v>Morro_Bay_Offshore_Wind</v>
          </cell>
          <cell r="G113" t="str">
            <v>System RA</v>
          </cell>
        </row>
        <row r="114">
          <cell r="B114" t="str">
            <v>Resource</v>
          </cell>
          <cell r="C114" t="str">
            <v>CAISO_Reciprocating_Engine</v>
          </cell>
          <cell r="E114" t="str">
            <v>AllToPolicy</v>
          </cell>
          <cell r="F114" t="str">
            <v>Morro_Bay_Offshore_Wind</v>
          </cell>
          <cell r="G114" t="str">
            <v>RPS</v>
          </cell>
        </row>
        <row r="115">
          <cell r="B115" t="str">
            <v>Resource</v>
          </cell>
          <cell r="C115" t="str">
            <v>CAISO_Shed_DR_Existing</v>
          </cell>
          <cell r="E115" t="str">
            <v>AllToPolicy</v>
          </cell>
          <cell r="F115" t="str">
            <v>New_Mexico_Wind</v>
          </cell>
          <cell r="G115" t="str">
            <v>System RA</v>
          </cell>
        </row>
        <row r="116">
          <cell r="B116" t="str">
            <v>Resource</v>
          </cell>
          <cell r="C116" t="str">
            <v>CAISO_Shed_DR_Tranche1</v>
          </cell>
          <cell r="E116" t="str">
            <v>AllToPolicy</v>
          </cell>
          <cell r="F116" t="str">
            <v>New_Mexico_Wind</v>
          </cell>
          <cell r="G116" t="str">
            <v>RPS</v>
          </cell>
        </row>
        <row r="117">
          <cell r="B117" t="str">
            <v>Resource</v>
          </cell>
          <cell r="C117" t="str">
            <v>CAISO_Shed_DR_Tranche2</v>
          </cell>
          <cell r="E117" t="str">
            <v>AllToPolicy</v>
          </cell>
          <cell r="F117" t="str">
            <v>Northern_California_Geothermal</v>
          </cell>
          <cell r="G117" t="str">
            <v>RPS</v>
          </cell>
        </row>
        <row r="118">
          <cell r="B118" t="str">
            <v>Resource</v>
          </cell>
          <cell r="C118" t="str">
            <v>CAISO_Shed_DR_Tranche3</v>
          </cell>
          <cell r="E118" t="str">
            <v>AllToPolicy</v>
          </cell>
          <cell r="F118" t="str">
            <v>Northern_California_Geothermal</v>
          </cell>
          <cell r="G118" t="str">
            <v>System RA</v>
          </cell>
        </row>
        <row r="119">
          <cell r="B119" t="str">
            <v>Resource</v>
          </cell>
          <cell r="C119" t="str">
            <v>CAISO_Shed_DR_Tranche4</v>
          </cell>
          <cell r="E119" t="str">
            <v>AllToPolicy</v>
          </cell>
          <cell r="F119" t="str">
            <v>Northern_California_Li_Battery</v>
          </cell>
          <cell r="G119" t="str">
            <v>System RA</v>
          </cell>
        </row>
        <row r="120">
          <cell r="B120" t="str">
            <v>Resource</v>
          </cell>
          <cell r="C120" t="str">
            <v>CAISO_Shed_DR_Tranche5</v>
          </cell>
          <cell r="E120" t="str">
            <v>AllToPolicy</v>
          </cell>
          <cell r="F120" t="str">
            <v>Northern_California_Solar</v>
          </cell>
          <cell r="G120" t="str">
            <v>RPS</v>
          </cell>
        </row>
        <row r="121">
          <cell r="B121" t="str">
            <v>Resource</v>
          </cell>
          <cell r="C121" t="str">
            <v>CAISO_Shed_DR_Tranche6</v>
          </cell>
          <cell r="E121" t="str">
            <v>AllToPolicy</v>
          </cell>
          <cell r="F121" t="str">
            <v>Northern_California_Solar</v>
          </cell>
          <cell r="G121" t="str">
            <v>System RA</v>
          </cell>
        </row>
        <row r="122">
          <cell r="B122" t="str">
            <v>Resource</v>
          </cell>
          <cell r="C122" t="str">
            <v>CAISO_Shed_DR_Tranche7</v>
          </cell>
          <cell r="E122" t="str">
            <v>AllToPolicy</v>
          </cell>
          <cell r="F122" t="str">
            <v>Northern_California_Wind</v>
          </cell>
          <cell r="G122" t="str">
            <v>System RA</v>
          </cell>
        </row>
        <row r="123">
          <cell r="B123" t="str">
            <v>Resource</v>
          </cell>
          <cell r="C123" t="str">
            <v>CAISO_Shed_DR_Tranche8</v>
          </cell>
          <cell r="E123" t="str">
            <v>AllToPolicy</v>
          </cell>
          <cell r="F123" t="str">
            <v>Northern_California_Wind</v>
          </cell>
          <cell r="G123" t="str">
            <v>RPS</v>
          </cell>
        </row>
        <row r="124">
          <cell r="B124" t="str">
            <v>Resource</v>
          </cell>
          <cell r="C124" t="str">
            <v>CAISO_Small_Hydro_for_CAISO</v>
          </cell>
          <cell r="E124" t="str">
            <v>AllToPolicy</v>
          </cell>
          <cell r="F124" t="str">
            <v>NW_Biomass_for_CAISO</v>
          </cell>
          <cell r="G124" t="str">
            <v>RPS</v>
          </cell>
        </row>
        <row r="125">
          <cell r="B125" t="str">
            <v>Resource</v>
          </cell>
          <cell r="C125" t="str">
            <v>CAISO_Small_Hydro_for_Other</v>
          </cell>
          <cell r="E125" t="str">
            <v>AllToPolicy</v>
          </cell>
          <cell r="F125" t="str">
            <v>NW_Ext_Tx_Wind</v>
          </cell>
          <cell r="G125" t="str">
            <v>RPS</v>
          </cell>
        </row>
        <row r="126">
          <cell r="B126" t="str">
            <v>Resource</v>
          </cell>
          <cell r="C126" t="str">
            <v>CAISO_Solar_for_CAISO</v>
          </cell>
          <cell r="E126" t="str">
            <v>AllToPolicy</v>
          </cell>
          <cell r="F126" t="str">
            <v>NW_Ext_Tx_Wind</v>
          </cell>
          <cell r="G126" t="str">
            <v>System RA</v>
          </cell>
        </row>
        <row r="127">
          <cell r="B127" t="str">
            <v>Resource</v>
          </cell>
          <cell r="C127" t="str">
            <v>CAISO_Solar_for_Other</v>
          </cell>
          <cell r="E127" t="str">
            <v>AllToPolicy</v>
          </cell>
          <cell r="F127" t="str">
            <v>NW_Geothermal_for_CAISO</v>
          </cell>
          <cell r="G127" t="str">
            <v>RPS</v>
          </cell>
        </row>
        <row r="128">
          <cell r="B128" t="str">
            <v>Resource</v>
          </cell>
          <cell r="C128" t="str">
            <v>CAISO_ST</v>
          </cell>
          <cell r="E128" t="str">
            <v>AllToPolicy</v>
          </cell>
          <cell r="F128" t="str">
            <v>NW_Small_Hydro_for_CAISO</v>
          </cell>
          <cell r="G128" t="str">
            <v>RPS</v>
          </cell>
        </row>
        <row r="129">
          <cell r="B129" t="str">
            <v>Resource</v>
          </cell>
          <cell r="C129" t="str">
            <v>CAISO_Wind_for_CAISO</v>
          </cell>
          <cell r="E129" t="str">
            <v>AllToPolicy</v>
          </cell>
          <cell r="F129" t="str">
            <v>NW_to_CAISO_Unspecified</v>
          </cell>
          <cell r="G129" t="str">
            <v>GHG</v>
          </cell>
        </row>
        <row r="130">
          <cell r="B130" t="str">
            <v>Resource</v>
          </cell>
          <cell r="C130" t="str">
            <v>CAISO_Wind_for_Other</v>
          </cell>
          <cell r="E130" t="str">
            <v>AllToPolicy</v>
          </cell>
          <cell r="F130" t="str">
            <v>NW_Wind_for_CAISO</v>
          </cell>
          <cell r="G130" t="str">
            <v>RPS</v>
          </cell>
        </row>
        <row r="131">
          <cell r="B131" t="str">
            <v>Resource</v>
          </cell>
          <cell r="C131" t="str">
            <v>Carrizo_Wind</v>
          </cell>
          <cell r="E131" t="str">
            <v>AllToPolicy</v>
          </cell>
          <cell r="F131" t="str">
            <v>Pacific_Northwest_Geothermal</v>
          </cell>
          <cell r="G131" t="str">
            <v>RPS</v>
          </cell>
        </row>
        <row r="132">
          <cell r="B132" t="str">
            <v>Resource</v>
          </cell>
          <cell r="C132" t="str">
            <v>Central_Valley_North_Los_Banos_Wind</v>
          </cell>
          <cell r="E132" t="str">
            <v>AllToPolicy</v>
          </cell>
          <cell r="F132" t="str">
            <v>Pacific_Northwest_Geothermal</v>
          </cell>
          <cell r="G132" t="str">
            <v>System RA</v>
          </cell>
        </row>
        <row r="133">
          <cell r="B133" t="str">
            <v>Resource</v>
          </cell>
          <cell r="C133" t="str">
            <v>Customer_PV</v>
          </cell>
          <cell r="E133" t="str">
            <v>AllToPolicy</v>
          </cell>
          <cell r="F133" t="str">
            <v>Pacific_Northwest_Wind</v>
          </cell>
          <cell r="G133" t="str">
            <v>System RA</v>
          </cell>
        </row>
        <row r="134">
          <cell r="B134" t="str">
            <v>Resource</v>
          </cell>
          <cell r="C134" t="str">
            <v>Distributed_Solar</v>
          </cell>
          <cell r="E134" t="str">
            <v>AllToPolicy</v>
          </cell>
          <cell r="F134" t="str">
            <v>Pacific_Northwest_Wind</v>
          </cell>
          <cell r="G134" t="str">
            <v>RPS</v>
          </cell>
        </row>
        <row r="135">
          <cell r="B135" t="str">
            <v>Resource</v>
          </cell>
          <cell r="C135" t="str">
            <v>Greater_Imperial_Geothermal</v>
          </cell>
          <cell r="E135" t="str">
            <v>AllToPolicy</v>
          </cell>
          <cell r="F135" t="str">
            <v>Riverside_East_Pumped_Storage</v>
          </cell>
          <cell r="G135" t="str">
            <v>System RA</v>
          </cell>
        </row>
        <row r="136">
          <cell r="B136" t="str">
            <v>Resource</v>
          </cell>
          <cell r="C136" t="str">
            <v>Greater_Kramer_Li_Battery</v>
          </cell>
          <cell r="E136" t="str">
            <v>AllToPolicy</v>
          </cell>
          <cell r="F136" t="str">
            <v>Riverside_Li_Battery</v>
          </cell>
          <cell r="G136" t="str">
            <v>System RA</v>
          </cell>
        </row>
        <row r="137">
          <cell r="B137" t="str">
            <v>Resource</v>
          </cell>
          <cell r="C137" t="str">
            <v>Greater_Kramer_Solar</v>
          </cell>
          <cell r="E137" t="str">
            <v>AllToPolicy</v>
          </cell>
          <cell r="F137" t="str">
            <v>Riverside_Palm_Springs_Geothermal</v>
          </cell>
          <cell r="G137" t="str">
            <v>RPS</v>
          </cell>
        </row>
        <row r="138">
          <cell r="B138" t="str">
            <v>Resource</v>
          </cell>
          <cell r="C138" t="str">
            <v>Greater_LA_Li_Battery</v>
          </cell>
          <cell r="E138" t="str">
            <v>AllToPolicy</v>
          </cell>
          <cell r="F138" t="str">
            <v>Riverside_Palm_Springs_Geothermal</v>
          </cell>
          <cell r="G138" t="str">
            <v>System RA</v>
          </cell>
        </row>
        <row r="139">
          <cell r="B139" t="str">
            <v>Resource</v>
          </cell>
          <cell r="C139" t="str">
            <v>Greater_LA_Solar</v>
          </cell>
          <cell r="E139" t="str">
            <v>AllToPolicy</v>
          </cell>
          <cell r="F139" t="str">
            <v>Riverside_Palm_Springs_Wind</v>
          </cell>
          <cell r="G139" t="str">
            <v>System RA</v>
          </cell>
        </row>
        <row r="140">
          <cell r="B140" t="str">
            <v>Resource</v>
          </cell>
          <cell r="C140" t="str">
            <v>Humboldt_Bay_Offshore_Wind</v>
          </cell>
          <cell r="E140" t="str">
            <v>AllToPolicy</v>
          </cell>
          <cell r="F140" t="str">
            <v>Riverside_Palm_Springs_Wind</v>
          </cell>
          <cell r="G140" t="str">
            <v>RPS</v>
          </cell>
        </row>
        <row r="141">
          <cell r="B141" t="str">
            <v>Resource</v>
          </cell>
          <cell r="C141" t="str">
            <v>Humboldt_Wind</v>
          </cell>
          <cell r="E141" t="str">
            <v>AllToPolicy</v>
          </cell>
          <cell r="F141" t="str">
            <v>Riverside_Solar</v>
          </cell>
          <cell r="G141" t="str">
            <v>RPS</v>
          </cell>
        </row>
        <row r="142">
          <cell r="B142" t="str">
            <v>Resource</v>
          </cell>
          <cell r="C142" t="str">
            <v>Idaho_Wind</v>
          </cell>
          <cell r="E142" t="str">
            <v>AllToPolicy</v>
          </cell>
          <cell r="F142" t="str">
            <v>Riverside_Solar</v>
          </cell>
          <cell r="G142" t="str">
            <v>System RA</v>
          </cell>
        </row>
        <row r="143">
          <cell r="B143" t="str">
            <v>Resource</v>
          </cell>
          <cell r="C143" t="str">
            <v>IID_Biomass_for_Other</v>
          </cell>
          <cell r="E143" t="str">
            <v>AllToPolicy</v>
          </cell>
          <cell r="F143" t="str">
            <v>Riverside_West_Pumped_Storage</v>
          </cell>
          <cell r="G143" t="str">
            <v>System RA</v>
          </cell>
        </row>
        <row r="144">
          <cell r="B144" t="str">
            <v>Resource</v>
          </cell>
          <cell r="C144" t="str">
            <v>IID_CCGT</v>
          </cell>
          <cell r="E144" t="str">
            <v>AllToPolicy</v>
          </cell>
          <cell r="F144" t="str">
            <v>San_Diego_Li_Battery</v>
          </cell>
          <cell r="G144" t="str">
            <v>System RA</v>
          </cell>
        </row>
        <row r="145">
          <cell r="B145" t="str">
            <v>Resource</v>
          </cell>
          <cell r="C145" t="str">
            <v>IID_Geothermal_for_CAISO</v>
          </cell>
          <cell r="E145" t="str">
            <v>AllToPolicy</v>
          </cell>
          <cell r="F145" t="str">
            <v>San_Diego_Pumped_Storage</v>
          </cell>
          <cell r="G145" t="str">
            <v>System RA</v>
          </cell>
        </row>
        <row r="146">
          <cell r="B146" t="str">
            <v>Resource</v>
          </cell>
          <cell r="C146" t="str">
            <v>IID_Geothermal_for_Other</v>
          </cell>
          <cell r="E146" t="str">
            <v>AllToPolicy</v>
          </cell>
          <cell r="F146" t="str">
            <v>Solano_Geothermal</v>
          </cell>
          <cell r="G146" t="str">
            <v>RPS</v>
          </cell>
        </row>
        <row r="147">
          <cell r="B147" t="str">
            <v>Resource</v>
          </cell>
          <cell r="C147" t="str">
            <v>IID_Hydro</v>
          </cell>
          <cell r="E147" t="str">
            <v>AllToPolicy</v>
          </cell>
          <cell r="F147" t="str">
            <v>Solano_Geothermal</v>
          </cell>
          <cell r="G147" t="str">
            <v>System RA</v>
          </cell>
        </row>
        <row r="148">
          <cell r="B148" t="str">
            <v>Resource</v>
          </cell>
          <cell r="C148" t="str">
            <v>IID_Peaker</v>
          </cell>
          <cell r="E148" t="str">
            <v>AllToPolicy</v>
          </cell>
          <cell r="F148" t="str">
            <v>Solano_Wind</v>
          </cell>
          <cell r="G148" t="str">
            <v>System RA</v>
          </cell>
        </row>
        <row r="149">
          <cell r="B149" t="str">
            <v>Resource</v>
          </cell>
          <cell r="C149" t="str">
            <v>IID_Small_Hydro_for_Other</v>
          </cell>
          <cell r="E149" t="str">
            <v>AllToPolicy</v>
          </cell>
          <cell r="F149" t="str">
            <v>Solano_Wind</v>
          </cell>
          <cell r="G149" t="str">
            <v>RPS</v>
          </cell>
        </row>
        <row r="150">
          <cell r="B150" t="str">
            <v>Resource</v>
          </cell>
          <cell r="C150" t="str">
            <v>IID_Solar_for_CAISO</v>
          </cell>
          <cell r="E150" t="str">
            <v>AllToPolicy</v>
          </cell>
          <cell r="F150" t="str">
            <v>Solar-Wind Surface</v>
          </cell>
          <cell r="G150" t="str">
            <v>System RA</v>
          </cell>
        </row>
        <row r="151">
          <cell r="B151" t="str">
            <v>Resource</v>
          </cell>
          <cell r="C151" t="str">
            <v>IID_Solar_for_Other</v>
          </cell>
          <cell r="E151" t="str">
            <v>AllToPolicy</v>
          </cell>
          <cell r="F151" t="str">
            <v>Southern_Nevada_Geothermal</v>
          </cell>
          <cell r="G151" t="str">
            <v>RPS</v>
          </cell>
        </row>
        <row r="152">
          <cell r="B152" t="str">
            <v>Resource</v>
          </cell>
          <cell r="C152" t="str">
            <v>IID_Wind_for_Other</v>
          </cell>
          <cell r="E152" t="str">
            <v>AllToPolicy</v>
          </cell>
          <cell r="F152" t="str">
            <v>Southern_Nevada_Geothermal</v>
          </cell>
          <cell r="G152" t="str">
            <v>System RA</v>
          </cell>
        </row>
        <row r="153">
          <cell r="B153" t="str">
            <v>Resource</v>
          </cell>
          <cell r="C153" t="str">
            <v>Imperial_Li_Battery</v>
          </cell>
          <cell r="E153" t="str">
            <v>AllToPolicy</v>
          </cell>
          <cell r="F153" t="str">
            <v>Southern_Nevada_Wind</v>
          </cell>
          <cell r="G153" t="str">
            <v>RPS</v>
          </cell>
        </row>
        <row r="154">
          <cell r="B154" t="str">
            <v>Resource</v>
          </cell>
          <cell r="C154" t="str">
            <v>Imperial_Solar</v>
          </cell>
          <cell r="E154" t="str">
            <v>AllToPolicy</v>
          </cell>
          <cell r="F154" t="str">
            <v>Southern_Nevada_Wind</v>
          </cell>
          <cell r="G154" t="str">
            <v>System RA</v>
          </cell>
        </row>
        <row r="155">
          <cell r="B155" t="str">
            <v>Resource</v>
          </cell>
          <cell r="C155" t="str">
            <v>InState_Biomass</v>
          </cell>
          <cell r="E155" t="str">
            <v>AllToPolicy</v>
          </cell>
          <cell r="F155" t="str">
            <v>Southern_NV_Eldorado_Li_Battery</v>
          </cell>
          <cell r="G155" t="str">
            <v>System RA</v>
          </cell>
        </row>
        <row r="156">
          <cell r="B156" t="str">
            <v>Resource</v>
          </cell>
          <cell r="C156" t="str">
            <v>Inyokern_North_Kramer_Geothermal</v>
          </cell>
          <cell r="E156" t="str">
            <v>AllToPolicy</v>
          </cell>
          <cell r="F156" t="str">
            <v>Southern_NV_Eldorado_Solar</v>
          </cell>
          <cell r="G156" t="str">
            <v>RPS</v>
          </cell>
        </row>
        <row r="157">
          <cell r="B157" t="str">
            <v>Resource</v>
          </cell>
          <cell r="C157" t="str">
            <v>Kern_Greater_Carrizo_Wind</v>
          </cell>
          <cell r="E157" t="str">
            <v>AllToPolicy</v>
          </cell>
          <cell r="F157" t="str">
            <v>Southern_NV_Eldorado_Solar</v>
          </cell>
          <cell r="G157" t="str">
            <v>System RA</v>
          </cell>
        </row>
        <row r="158">
          <cell r="B158" t="str">
            <v>Resource</v>
          </cell>
          <cell r="C158" t="str">
            <v>LDWP_Biomass_for_Other</v>
          </cell>
          <cell r="E158" t="str">
            <v>AllToPolicy</v>
          </cell>
          <cell r="F158" t="str">
            <v>Southern_PGAE_Li_Battery</v>
          </cell>
          <cell r="G158" t="str">
            <v>System RA</v>
          </cell>
        </row>
        <row r="159">
          <cell r="B159" t="str">
            <v>Resource</v>
          </cell>
          <cell r="C159" t="str">
            <v>LDWP_CCGT</v>
          </cell>
          <cell r="E159" t="str">
            <v>AllToPolicy</v>
          </cell>
          <cell r="F159" t="str">
            <v>Southern_PGAE_Solar</v>
          </cell>
          <cell r="G159" t="str">
            <v>RPS</v>
          </cell>
        </row>
        <row r="160">
          <cell r="B160" t="str">
            <v>Resource</v>
          </cell>
          <cell r="C160" t="str">
            <v>LDWP_Coal</v>
          </cell>
          <cell r="E160" t="str">
            <v>AllToPolicy</v>
          </cell>
          <cell r="F160" t="str">
            <v>Southern_PGAE_Solar</v>
          </cell>
          <cell r="G160" t="str">
            <v>System RA</v>
          </cell>
        </row>
        <row r="161">
          <cell r="B161" t="str">
            <v>Resource</v>
          </cell>
          <cell r="C161" t="str">
            <v>LDWP_Geothermal_for_Other</v>
          </cell>
          <cell r="E161" t="str">
            <v>AllToPolicy</v>
          </cell>
          <cell r="F161" t="str">
            <v>Storage Curve</v>
          </cell>
          <cell r="G161" t="str">
            <v>System RA</v>
          </cell>
        </row>
        <row r="162">
          <cell r="B162" t="str">
            <v>Resource</v>
          </cell>
          <cell r="C162" t="str">
            <v>LDWP_Hydro</v>
          </cell>
          <cell r="E162" t="str">
            <v>AllToPolicy</v>
          </cell>
          <cell r="F162" t="str">
            <v>SW_Ext_Tx_Wind</v>
          </cell>
          <cell r="G162" t="str">
            <v>System RA</v>
          </cell>
        </row>
        <row r="163">
          <cell r="B163" t="str">
            <v>Resource</v>
          </cell>
          <cell r="C163" t="str">
            <v>LDWP_Nuclear</v>
          </cell>
          <cell r="E163" t="str">
            <v>AllToPolicy</v>
          </cell>
          <cell r="F163" t="str">
            <v>SW_Ext_Tx_Wind</v>
          </cell>
          <cell r="G163" t="str">
            <v>RPS</v>
          </cell>
        </row>
        <row r="164">
          <cell r="B164" t="str">
            <v>Resource</v>
          </cell>
          <cell r="C164" t="str">
            <v>LDWP_Peaker</v>
          </cell>
          <cell r="E164" t="str">
            <v>AllToPolicy</v>
          </cell>
          <cell r="F164" t="str">
            <v>SW_Solar_for_CAISO</v>
          </cell>
          <cell r="G164" t="str">
            <v>RPS</v>
          </cell>
        </row>
        <row r="165">
          <cell r="B165" t="str">
            <v>Resource</v>
          </cell>
          <cell r="C165" t="str">
            <v>LDWP_Small_Hydro_for_Other</v>
          </cell>
          <cell r="E165" t="str">
            <v>AllToPolicy</v>
          </cell>
          <cell r="F165" t="str">
            <v>SW_to_CAISO</v>
          </cell>
          <cell r="G165" t="str">
            <v>GHG</v>
          </cell>
        </row>
        <row r="166">
          <cell r="B166" t="str">
            <v>Resource</v>
          </cell>
          <cell r="C166" t="str">
            <v>LDWP_Solar_for_Other</v>
          </cell>
          <cell r="E166" t="str">
            <v>AllToPolicy</v>
          </cell>
          <cell r="F166" t="str">
            <v>SW_Wind_for_CAISO</v>
          </cell>
          <cell r="G166" t="str">
            <v>RPS</v>
          </cell>
        </row>
        <row r="167">
          <cell r="B167" t="str">
            <v>Resource</v>
          </cell>
          <cell r="C167" t="str">
            <v>LDWP_ST</v>
          </cell>
          <cell r="E167" t="str">
            <v>AllToPolicy</v>
          </cell>
          <cell r="F167" t="str">
            <v>Tehachapi_Li_Battery</v>
          </cell>
          <cell r="G167" t="str">
            <v>System RA</v>
          </cell>
        </row>
        <row r="168">
          <cell r="B168" t="str">
            <v>Resource</v>
          </cell>
          <cell r="C168" t="str">
            <v>LDWP_Wind_for_CAISO</v>
          </cell>
          <cell r="E168" t="str">
            <v>AllToPolicy</v>
          </cell>
          <cell r="F168" t="str">
            <v>Tehachapi_Pumped_Storage</v>
          </cell>
          <cell r="G168" t="str">
            <v>System RA</v>
          </cell>
        </row>
        <row r="169">
          <cell r="B169" t="str">
            <v>Resource</v>
          </cell>
          <cell r="C169" t="str">
            <v>LDWP_Wind_for_Other</v>
          </cell>
          <cell r="E169" t="str">
            <v>AllToPolicy</v>
          </cell>
          <cell r="F169" t="str">
            <v>Tehachapi_Solar</v>
          </cell>
          <cell r="G169" t="str">
            <v>System RA</v>
          </cell>
        </row>
        <row r="170">
          <cell r="B170" t="str">
            <v>Resource</v>
          </cell>
          <cell r="C170" t="str">
            <v>Morro_Bay_Offshore_Wind</v>
          </cell>
          <cell r="E170" t="str">
            <v>AllToPolicy</v>
          </cell>
          <cell r="F170" t="str">
            <v>Tehachapi_Solar</v>
          </cell>
          <cell r="G170" t="str">
            <v>RPS</v>
          </cell>
        </row>
        <row r="171">
          <cell r="B171" t="str">
            <v>Resource</v>
          </cell>
          <cell r="C171" t="str">
            <v>New_Mexico_Wind</v>
          </cell>
          <cell r="E171" t="str">
            <v>AllToPolicy</v>
          </cell>
          <cell r="F171" t="str">
            <v>Tehachapi_Wind</v>
          </cell>
          <cell r="G171" t="str">
            <v>RPS</v>
          </cell>
        </row>
        <row r="172">
          <cell r="B172" t="str">
            <v>Resource</v>
          </cell>
          <cell r="C172" t="str">
            <v>Northern_California_Geothermal</v>
          </cell>
          <cell r="E172" t="str">
            <v>AllToPolicy</v>
          </cell>
          <cell r="F172" t="str">
            <v>Tehachapi_Wind</v>
          </cell>
          <cell r="G172" t="str">
            <v>System RA</v>
          </cell>
        </row>
        <row r="173">
          <cell r="B173" t="str">
            <v>Resource</v>
          </cell>
          <cell r="C173" t="str">
            <v>Northern_California_Li_Battery</v>
          </cell>
          <cell r="E173" t="str">
            <v>AllToPolicy</v>
          </cell>
          <cell r="F173" t="str">
            <v>Utah_Wind</v>
          </cell>
          <cell r="G173" t="str">
            <v>System RA</v>
          </cell>
        </row>
        <row r="174">
          <cell r="B174" t="str">
            <v>Resource</v>
          </cell>
          <cell r="C174" t="str">
            <v>Northern_California_Solar</v>
          </cell>
          <cell r="E174" t="str">
            <v>AllToPolicy</v>
          </cell>
          <cell r="F174" t="str">
            <v>Utah_Wind</v>
          </cell>
          <cell r="G174" t="str">
            <v>RPS</v>
          </cell>
        </row>
        <row r="175">
          <cell r="B175" t="str">
            <v>Resource</v>
          </cell>
          <cell r="C175" t="str">
            <v>Northern_California_Wind</v>
          </cell>
          <cell r="E175" t="str">
            <v>AllToPolicy</v>
          </cell>
          <cell r="F175" t="str">
            <v>Wyoming_Wind</v>
          </cell>
          <cell r="G175" t="str">
            <v>System RA</v>
          </cell>
        </row>
        <row r="176">
          <cell r="B176" t="str">
            <v>Resource</v>
          </cell>
          <cell r="C176" t="str">
            <v>NW_Biomass_for_CAISO</v>
          </cell>
          <cell r="E176" t="str">
            <v>AllToPolicy</v>
          </cell>
          <cell r="F176" t="str">
            <v>Wyoming_Wind</v>
          </cell>
          <cell r="G176" t="str">
            <v>RPS</v>
          </cell>
        </row>
        <row r="177">
          <cell r="B177" t="str">
            <v>Resource</v>
          </cell>
          <cell r="C177" t="str">
            <v>NW_Biomass_for_Other</v>
          </cell>
          <cell r="E177" t="str">
            <v>CandidateFuelToResource</v>
          </cell>
          <cell r="F177" t="str">
            <v>CA_Coal</v>
          </cell>
          <cell r="G177" t="str">
            <v>CAISO_Coal</v>
          </cell>
        </row>
        <row r="178">
          <cell r="B178" t="str">
            <v>Resource</v>
          </cell>
          <cell r="C178" t="str">
            <v>NW_CCGT</v>
          </cell>
          <cell r="E178" t="str">
            <v>CandidateFuelToResource</v>
          </cell>
          <cell r="F178" t="str">
            <v>CA_Coal</v>
          </cell>
          <cell r="G178" t="str">
            <v>LDWP_Coal</v>
          </cell>
        </row>
        <row r="179">
          <cell r="B179" t="str">
            <v>Resource</v>
          </cell>
          <cell r="C179" t="str">
            <v>NW_Coal</v>
          </cell>
          <cell r="E179" t="str">
            <v>CandidateFuelToResource</v>
          </cell>
          <cell r="F179" t="str">
            <v>CA_Natural_Gas</v>
          </cell>
          <cell r="G179" t="str">
            <v>CAISO_Reciprocating_Engine</v>
          </cell>
        </row>
        <row r="180">
          <cell r="B180" t="str">
            <v>Resource</v>
          </cell>
          <cell r="C180" t="str">
            <v>NW_Ext_Tx_Wind</v>
          </cell>
          <cell r="E180" t="str">
            <v>CandidateFuelToResource</v>
          </cell>
          <cell r="F180" t="str">
            <v>CA_Natural_Gas</v>
          </cell>
          <cell r="G180" t="str">
            <v>CAISO_Aero_CT</v>
          </cell>
        </row>
        <row r="181">
          <cell r="B181" t="str">
            <v>Resource</v>
          </cell>
          <cell r="C181" t="str">
            <v>NW_Geothermal_for_CAISO</v>
          </cell>
          <cell r="E181" t="str">
            <v>CandidateFuelToResource</v>
          </cell>
          <cell r="F181" t="str">
            <v>CA_Natural_Gas</v>
          </cell>
          <cell r="G181" t="str">
            <v>CAISO_Advanced_CCGT</v>
          </cell>
        </row>
        <row r="182">
          <cell r="B182" t="str">
            <v>Resource</v>
          </cell>
          <cell r="C182" t="str">
            <v>NW_Geothermal_for_Other</v>
          </cell>
          <cell r="E182" t="str">
            <v>CandidateFuelToResource</v>
          </cell>
          <cell r="F182" t="str">
            <v>CA_Natural_Gas</v>
          </cell>
          <cell r="G182" t="str">
            <v>CAISO_Peaker2</v>
          </cell>
        </row>
        <row r="183">
          <cell r="B183" t="str">
            <v>Resource</v>
          </cell>
          <cell r="C183" t="str">
            <v>NW_Hydro</v>
          </cell>
          <cell r="E183" t="str">
            <v>CandidateFuelToResource</v>
          </cell>
          <cell r="F183" t="str">
            <v>CA_Natural_Gas</v>
          </cell>
          <cell r="G183" t="str">
            <v>CAISO_Peaker1</v>
          </cell>
        </row>
        <row r="184">
          <cell r="B184" t="str">
            <v>Resource</v>
          </cell>
          <cell r="C184" t="str">
            <v>NW_Hydro_for_CAISO</v>
          </cell>
          <cell r="E184" t="str">
            <v>CandidateFuelToResource</v>
          </cell>
          <cell r="F184" t="str">
            <v>CA_Natural_Gas</v>
          </cell>
          <cell r="G184" t="str">
            <v>CAISO_CCGT2</v>
          </cell>
        </row>
        <row r="185">
          <cell r="B185" t="str">
            <v>Resource</v>
          </cell>
          <cell r="C185" t="str">
            <v>NW_Nuclear</v>
          </cell>
          <cell r="E185" t="str">
            <v>CandidateFuelToResource</v>
          </cell>
          <cell r="F185" t="str">
            <v>CA_Natural_Gas</v>
          </cell>
          <cell r="G185" t="str">
            <v>CAISO_CCGT1</v>
          </cell>
        </row>
        <row r="186">
          <cell r="B186" t="str">
            <v>Resource</v>
          </cell>
          <cell r="C186" t="str">
            <v>NW_Peaker</v>
          </cell>
          <cell r="E186" t="str">
            <v>CandidateFuelToResource</v>
          </cell>
          <cell r="F186" t="str">
            <v>CA_Natural_Gas</v>
          </cell>
          <cell r="G186" t="str">
            <v>CAISO_CHP</v>
          </cell>
        </row>
        <row r="187">
          <cell r="B187" t="str">
            <v>Resource</v>
          </cell>
          <cell r="C187" t="str">
            <v>NW_Small_Hydro_for_CAISO</v>
          </cell>
          <cell r="E187" t="str">
            <v>CandidateFuelToResource</v>
          </cell>
          <cell r="F187" t="str">
            <v>CA_Natural_Gas</v>
          </cell>
          <cell r="G187" t="str">
            <v>LDWP_CCGT</v>
          </cell>
        </row>
        <row r="188">
          <cell r="B188" t="str">
            <v>Resource</v>
          </cell>
          <cell r="C188" t="str">
            <v>NW_Small_Hydro_for_Other</v>
          </cell>
          <cell r="E188" t="str">
            <v>CandidateFuelToResource</v>
          </cell>
          <cell r="F188" t="str">
            <v>CA_Natural_Gas</v>
          </cell>
          <cell r="G188" t="str">
            <v>LDWP_Peaker</v>
          </cell>
        </row>
        <row r="189">
          <cell r="B189" t="str">
            <v>Resource</v>
          </cell>
          <cell r="C189" t="str">
            <v>NW_Solar_for_Other</v>
          </cell>
          <cell r="E189" t="str">
            <v>CandidateFuelToResource</v>
          </cell>
          <cell r="F189" t="str">
            <v>CA_Natural_Gas</v>
          </cell>
          <cell r="G189" t="str">
            <v>LDWP_ST</v>
          </cell>
        </row>
        <row r="190">
          <cell r="B190" t="str">
            <v>Resource</v>
          </cell>
          <cell r="C190" t="str">
            <v>NW_Wind_for_CAISO</v>
          </cell>
          <cell r="E190" t="str">
            <v>CandidateFuelToResource</v>
          </cell>
          <cell r="F190" t="str">
            <v>CA_Natural_Gas</v>
          </cell>
          <cell r="G190" t="str">
            <v>BANC_Peaker</v>
          </cell>
        </row>
        <row r="191">
          <cell r="B191" t="str">
            <v>Resource</v>
          </cell>
          <cell r="C191" t="str">
            <v>NW_Wind_for_Other</v>
          </cell>
          <cell r="E191" t="str">
            <v>CandidateFuelToResource</v>
          </cell>
          <cell r="F191" t="str">
            <v>CA_Natural_Gas</v>
          </cell>
          <cell r="G191" t="str">
            <v>BANC_CCGT</v>
          </cell>
        </row>
        <row r="192">
          <cell r="B192" t="str">
            <v>Resource</v>
          </cell>
          <cell r="C192" t="str">
            <v>Pacific_Northwest_Geothermal</v>
          </cell>
          <cell r="E192" t="str">
            <v>CandidateFuelToResource</v>
          </cell>
          <cell r="F192" t="str">
            <v>CA_Natural_Gas</v>
          </cell>
          <cell r="G192" t="str">
            <v>IID_Peaker</v>
          </cell>
        </row>
        <row r="193">
          <cell r="B193" t="str">
            <v>Resource</v>
          </cell>
          <cell r="C193" t="str">
            <v>Pacific_Northwest_Wind</v>
          </cell>
          <cell r="E193" t="str">
            <v>CandidateFuelToResource</v>
          </cell>
          <cell r="F193" t="str">
            <v>CA_Natural_Gas</v>
          </cell>
          <cell r="G193" t="str">
            <v>IID_CCGT</v>
          </cell>
        </row>
        <row r="194">
          <cell r="B194" t="str">
            <v>Resource</v>
          </cell>
          <cell r="C194" t="str">
            <v>Riverside_East_Pumped_Storage</v>
          </cell>
          <cell r="E194" t="str">
            <v>CandidateFuelToResource</v>
          </cell>
          <cell r="F194" t="str">
            <v>CA_Natural_Gas</v>
          </cell>
          <cell r="G194" t="str">
            <v>CAISO_ST</v>
          </cell>
        </row>
        <row r="195">
          <cell r="B195" t="str">
            <v>Resource</v>
          </cell>
          <cell r="C195" t="str">
            <v>Riverside_Li_Battery</v>
          </cell>
          <cell r="E195" t="str">
            <v>CandidateFuelToResource</v>
          </cell>
          <cell r="F195" t="str">
            <v>Coal</v>
          </cell>
          <cell r="G195" t="str">
            <v>SW_Coal</v>
          </cell>
        </row>
        <row r="196">
          <cell r="B196" t="str">
            <v>Resource</v>
          </cell>
          <cell r="C196" t="str">
            <v>Riverside_Palm_Springs_Geothermal</v>
          </cell>
          <cell r="E196" t="str">
            <v>CandidateFuelToResource</v>
          </cell>
          <cell r="F196" t="str">
            <v>Coal</v>
          </cell>
          <cell r="G196" t="str">
            <v>NW_Coal</v>
          </cell>
        </row>
        <row r="197">
          <cell r="B197" t="str">
            <v>Resource</v>
          </cell>
          <cell r="C197" t="str">
            <v>Riverside_Palm_Springs_Wind</v>
          </cell>
          <cell r="E197" t="str">
            <v>CandidateFuelToResource</v>
          </cell>
          <cell r="F197" t="str">
            <v>NW_Natural_Gas</v>
          </cell>
          <cell r="G197" t="str">
            <v>NW_Peaker</v>
          </cell>
        </row>
        <row r="198">
          <cell r="B198" t="str">
            <v>Resource</v>
          </cell>
          <cell r="C198" t="str">
            <v>Riverside_Solar</v>
          </cell>
          <cell r="E198" t="str">
            <v>CandidateFuelToResource</v>
          </cell>
          <cell r="F198" t="str">
            <v>NW_Natural_Gas</v>
          </cell>
          <cell r="G198" t="str">
            <v>NW_CCGT</v>
          </cell>
        </row>
        <row r="199">
          <cell r="B199" t="str">
            <v>Resource</v>
          </cell>
          <cell r="C199" t="str">
            <v>Riverside_West_Pumped_Storage</v>
          </cell>
          <cell r="E199" t="str">
            <v>CandidateFuelToResource</v>
          </cell>
          <cell r="F199" t="str">
            <v>SW_Natural_Gas</v>
          </cell>
          <cell r="G199" t="str">
            <v>SW_ST</v>
          </cell>
        </row>
        <row r="200">
          <cell r="B200" t="str">
            <v>Resource</v>
          </cell>
          <cell r="C200" t="str">
            <v>San_Diego_Li_Battery</v>
          </cell>
          <cell r="E200" t="str">
            <v>CandidateFuelToResource</v>
          </cell>
          <cell r="F200" t="str">
            <v>SW_Natural_Gas</v>
          </cell>
          <cell r="G200" t="str">
            <v>SW_Peaker</v>
          </cell>
        </row>
        <row r="201">
          <cell r="B201" t="str">
            <v>Resource</v>
          </cell>
          <cell r="C201" t="str">
            <v>San_Diego_Pumped_Storage</v>
          </cell>
          <cell r="E201" t="str">
            <v>CandidateFuelToResource</v>
          </cell>
          <cell r="F201" t="str">
            <v>SW_Natural_Gas</v>
          </cell>
          <cell r="G201" t="str">
            <v>SW_CCGT</v>
          </cell>
        </row>
        <row r="202">
          <cell r="B202" t="str">
            <v>Resource</v>
          </cell>
          <cell r="C202" t="str">
            <v>Solano_Geothermal</v>
          </cell>
          <cell r="E202" t="str">
            <v>CandidateFuelToResource</v>
          </cell>
          <cell r="F202" t="str">
            <v>Uranium</v>
          </cell>
          <cell r="G202" t="str">
            <v>LDWP_Nuclear</v>
          </cell>
        </row>
        <row r="203">
          <cell r="B203" t="str">
            <v>Resource</v>
          </cell>
          <cell r="C203" t="str">
            <v>Solano_Wind</v>
          </cell>
          <cell r="E203" t="str">
            <v>CandidateFuelToResource</v>
          </cell>
          <cell r="F203" t="str">
            <v>Uranium</v>
          </cell>
          <cell r="G203" t="str">
            <v>SW_Nuclear</v>
          </cell>
        </row>
        <row r="204">
          <cell r="B204" t="str">
            <v>Resource</v>
          </cell>
          <cell r="C204" t="str">
            <v>Southern_Nevada_Geothermal</v>
          </cell>
          <cell r="E204" t="str">
            <v>CandidateFuelToResource</v>
          </cell>
          <cell r="F204" t="str">
            <v>Uranium</v>
          </cell>
          <cell r="G204" t="str">
            <v>NW_Nuclear</v>
          </cell>
        </row>
        <row r="205">
          <cell r="B205" t="str">
            <v>Resource</v>
          </cell>
          <cell r="C205" t="str">
            <v>Southern_Nevada_Wind</v>
          </cell>
          <cell r="E205" t="str">
            <v>CandidateFuelToResource</v>
          </cell>
          <cell r="F205" t="str">
            <v>Uranium</v>
          </cell>
          <cell r="G205" t="str">
            <v>CAISO_Nuclear</v>
          </cell>
        </row>
        <row r="206">
          <cell r="B206" t="str">
            <v>Resource</v>
          </cell>
          <cell r="C206" t="str">
            <v>Southern_NV_Eldorado_Li_Battery</v>
          </cell>
          <cell r="E206" t="str">
            <v>LoadToZone</v>
          </cell>
          <cell r="F206" t="str">
            <v>CAISO Baseline</v>
          </cell>
          <cell r="G206" t="str">
            <v>CAISO</v>
          </cell>
        </row>
        <row r="207">
          <cell r="B207" t="str">
            <v>Resource</v>
          </cell>
          <cell r="C207" t="str">
            <v>Southern_NV_Eldorado_Solar</v>
          </cell>
          <cell r="E207" t="str">
            <v>LoadToZone</v>
          </cell>
          <cell r="F207" t="str">
            <v>Light-Duty EVs</v>
          </cell>
          <cell r="G207" t="str">
            <v>CAISO</v>
          </cell>
        </row>
        <row r="208">
          <cell r="B208" t="str">
            <v>Resource</v>
          </cell>
          <cell r="C208" t="str">
            <v>Southern_PGAE_Li_Battery</v>
          </cell>
          <cell r="E208" t="str">
            <v>LoadToZone</v>
          </cell>
          <cell r="F208" t="str">
            <v>Electric Buses</v>
          </cell>
          <cell r="G208" t="str">
            <v>CAISO</v>
          </cell>
        </row>
        <row r="209">
          <cell r="B209" t="str">
            <v>Resource</v>
          </cell>
          <cell r="C209" t="str">
            <v>Southern_PGAE_Solar</v>
          </cell>
          <cell r="E209" t="str">
            <v>LoadToZone</v>
          </cell>
          <cell r="F209" t="str">
            <v>Other Medium and Heavy-Duty EVs</v>
          </cell>
          <cell r="G209" t="str">
            <v>CAISO</v>
          </cell>
        </row>
        <row r="210">
          <cell r="B210" t="str">
            <v>Resource</v>
          </cell>
          <cell r="C210" t="str">
            <v>SW_Biomass_for_Other</v>
          </cell>
          <cell r="E210" t="str">
            <v>LoadToZone</v>
          </cell>
          <cell r="F210" t="str">
            <v>Other Transport Electrification</v>
          </cell>
          <cell r="G210" t="str">
            <v>CAISO</v>
          </cell>
        </row>
        <row r="211">
          <cell r="B211" t="str">
            <v>Resource</v>
          </cell>
          <cell r="C211" t="str">
            <v>SW_CCGT</v>
          </cell>
          <cell r="E211" t="str">
            <v>LoadToZone</v>
          </cell>
          <cell r="F211" t="str">
            <v>Residential Space Heating</v>
          </cell>
          <cell r="G211" t="str">
            <v>CAISO</v>
          </cell>
        </row>
        <row r="212">
          <cell r="B212" t="str">
            <v>Resource</v>
          </cell>
          <cell r="C212" t="str">
            <v>SW_Coal</v>
          </cell>
          <cell r="E212" t="str">
            <v>LoadToZone</v>
          </cell>
          <cell r="F212" t="str">
            <v>Residential Water Heating</v>
          </cell>
          <cell r="G212" t="str">
            <v>CAISO</v>
          </cell>
        </row>
        <row r="213">
          <cell r="B213" t="str">
            <v>Resource</v>
          </cell>
          <cell r="C213" t="str">
            <v>SW_Ext_Tx_Wind</v>
          </cell>
          <cell r="E213" t="str">
            <v>LoadToZone</v>
          </cell>
          <cell r="F213" t="str">
            <v>Residential Cooking</v>
          </cell>
          <cell r="G213" t="str">
            <v>CAISO</v>
          </cell>
        </row>
        <row r="214">
          <cell r="B214" t="str">
            <v>Resource</v>
          </cell>
          <cell r="C214" t="str">
            <v>SW_Geothermal_for_Other</v>
          </cell>
          <cell r="E214" t="str">
            <v>LoadToZone</v>
          </cell>
          <cell r="F214" t="str">
            <v>Residential Clothes Drying</v>
          </cell>
          <cell r="G214" t="str">
            <v>CAISO</v>
          </cell>
        </row>
        <row r="215">
          <cell r="B215" t="str">
            <v>Resource</v>
          </cell>
          <cell r="C215" t="str">
            <v>SW_Hydro</v>
          </cell>
          <cell r="E215" t="str">
            <v>LoadToZone</v>
          </cell>
          <cell r="F215" t="str">
            <v>Commercial Space Heating</v>
          </cell>
          <cell r="G215" t="str">
            <v>CAISO</v>
          </cell>
        </row>
        <row r="216">
          <cell r="B216" t="str">
            <v>Resource</v>
          </cell>
          <cell r="C216" t="str">
            <v>SW_Nuclear</v>
          </cell>
          <cell r="E216" t="str">
            <v>LoadToZone</v>
          </cell>
          <cell r="F216" t="str">
            <v>Commercial Water Heating</v>
          </cell>
          <cell r="G216" t="str">
            <v>CAISO</v>
          </cell>
        </row>
        <row r="217">
          <cell r="B217" t="str">
            <v>Resource</v>
          </cell>
          <cell r="C217" t="str">
            <v>SW_Peaker</v>
          </cell>
          <cell r="E217" t="str">
            <v>LoadToZone</v>
          </cell>
          <cell r="F217" t="str">
            <v>Commercial Cooking</v>
          </cell>
          <cell r="G217" t="str">
            <v>CAISO</v>
          </cell>
        </row>
        <row r="218">
          <cell r="B218" t="str">
            <v>Resource</v>
          </cell>
          <cell r="C218" t="str">
            <v>SW_Small_Hydro_for_Other</v>
          </cell>
          <cell r="E218" t="str">
            <v>LoadToZone</v>
          </cell>
          <cell r="F218" t="str">
            <v>Energy Efficiency</v>
          </cell>
          <cell r="G218" t="str">
            <v>CAISO</v>
          </cell>
        </row>
        <row r="219">
          <cell r="B219" t="str">
            <v>Resource</v>
          </cell>
          <cell r="C219" t="str">
            <v>SW_Solar_for_CAISO</v>
          </cell>
          <cell r="E219" t="str">
            <v>LoadToZone</v>
          </cell>
          <cell r="F219" t="str">
            <v>BTM CHP</v>
          </cell>
          <cell r="G219" t="str">
            <v>CAISO</v>
          </cell>
        </row>
        <row r="220">
          <cell r="B220" t="str">
            <v>Resource</v>
          </cell>
          <cell r="C220" t="str">
            <v>SW_Solar_for_Other</v>
          </cell>
          <cell r="E220" t="str">
            <v>LoadToZone</v>
          </cell>
          <cell r="F220" t="str">
            <v>Non-PV Non-CHP Self Gen</v>
          </cell>
          <cell r="G220" t="str">
            <v>CAISO</v>
          </cell>
        </row>
        <row r="221">
          <cell r="B221" t="str">
            <v>Resource</v>
          </cell>
          <cell r="C221" t="str">
            <v>SW_ST</v>
          </cell>
          <cell r="E221" t="str">
            <v>LoadToZone</v>
          </cell>
          <cell r="F221" t="str">
            <v>TOU Effects</v>
          </cell>
          <cell r="G221" t="str">
            <v>CAISO</v>
          </cell>
        </row>
        <row r="222">
          <cell r="B222" t="str">
            <v>Resource</v>
          </cell>
          <cell r="C222" t="str">
            <v>SW_Wind_for_CAISO</v>
          </cell>
          <cell r="E222" t="str">
            <v>LoadToZone</v>
          </cell>
          <cell r="F222" t="str">
            <v>BANC Baseline</v>
          </cell>
          <cell r="G222" t="str">
            <v>BANC</v>
          </cell>
        </row>
        <row r="223">
          <cell r="B223" t="str">
            <v>Resource</v>
          </cell>
          <cell r="C223" t="str">
            <v>SW_Wind_for_Other</v>
          </cell>
          <cell r="E223" t="str">
            <v>LoadToZone</v>
          </cell>
          <cell r="F223" t="str">
            <v>IID Baseline</v>
          </cell>
          <cell r="G223" t="str">
            <v>IID</v>
          </cell>
        </row>
        <row r="224">
          <cell r="B224" t="str">
            <v>Resource</v>
          </cell>
          <cell r="C224" t="str">
            <v>Tehachapi_Li_Battery</v>
          </cell>
          <cell r="E224" t="str">
            <v>LoadToZone</v>
          </cell>
          <cell r="F224" t="str">
            <v>LDWP Baseline</v>
          </cell>
          <cell r="G224" t="str">
            <v>LDWP</v>
          </cell>
        </row>
        <row r="225">
          <cell r="B225" t="str">
            <v>Resource</v>
          </cell>
          <cell r="C225" t="str">
            <v>Tehachapi_Pumped_Storage</v>
          </cell>
          <cell r="E225" t="str">
            <v>LoadToZone</v>
          </cell>
          <cell r="F225" t="str">
            <v>SW Baseline</v>
          </cell>
          <cell r="G225" t="str">
            <v>SW</v>
          </cell>
        </row>
        <row r="226">
          <cell r="B226" t="str">
            <v>Resource</v>
          </cell>
          <cell r="C226" t="str">
            <v>Tehachapi_Solar</v>
          </cell>
          <cell r="E226" t="str">
            <v>LoadToZone</v>
          </cell>
          <cell r="F226" t="str">
            <v>NW Baseline</v>
          </cell>
          <cell r="G226" t="str">
            <v>NW</v>
          </cell>
        </row>
        <row r="227">
          <cell r="B227" t="str">
            <v>Resource</v>
          </cell>
          <cell r="C227" t="str">
            <v>Tehachapi_Wind</v>
          </cell>
          <cell r="E227" t="str">
            <v>PlantToReserve</v>
          </cell>
          <cell r="F227" t="str">
            <v>CAISO_Baseline_Li_Battery</v>
          </cell>
          <cell r="G227" t="str">
            <v>downward_reg_mw</v>
          </cell>
        </row>
        <row r="228">
          <cell r="B228" t="str">
            <v>Resource</v>
          </cell>
          <cell r="C228" t="str">
            <v>Utah_Wind</v>
          </cell>
          <cell r="E228" t="str">
            <v>PlantToReserve</v>
          </cell>
          <cell r="F228" t="str">
            <v>Arizona_Li_Battery</v>
          </cell>
          <cell r="G228" t="str">
            <v>downward_reg_mw</v>
          </cell>
        </row>
        <row r="229">
          <cell r="B229" t="str">
            <v>Resource</v>
          </cell>
          <cell r="C229" t="str">
            <v>Wyoming_Wind</v>
          </cell>
          <cell r="E229" t="str">
            <v>PlantToReserve</v>
          </cell>
          <cell r="F229" t="str">
            <v>Arizona_Li_Battery</v>
          </cell>
          <cell r="G229" t="str">
            <v>upward_reg_mw</v>
          </cell>
        </row>
        <row r="230">
          <cell r="B230" t="str">
            <v>TXPath</v>
          </cell>
          <cell r="C230" t="str">
            <v>BANC_to_CAISO</v>
          </cell>
          <cell r="E230" t="str">
            <v>PlantToReserve</v>
          </cell>
          <cell r="F230" t="str">
            <v>Arizona_Li_Battery</v>
          </cell>
          <cell r="G230" t="str">
            <v>upward_lf_reserves_mw</v>
          </cell>
        </row>
        <row r="231">
          <cell r="B231" t="str">
            <v>TXPath</v>
          </cell>
          <cell r="C231" t="str">
            <v>IID_to_BANC</v>
          </cell>
          <cell r="E231" t="str">
            <v>PlantToReserve</v>
          </cell>
          <cell r="F231" t="str">
            <v>Arizona_Li_Battery</v>
          </cell>
          <cell r="G231" t="str">
            <v>freq_resp_total_req_mw</v>
          </cell>
        </row>
        <row r="232">
          <cell r="B232" t="str">
            <v>TXPath</v>
          </cell>
          <cell r="C232" t="str">
            <v>IID_to_CAISO</v>
          </cell>
          <cell r="E232" t="str">
            <v>PlantToReserve</v>
          </cell>
          <cell r="F232" t="str">
            <v>Arizona_Li_Battery</v>
          </cell>
          <cell r="G232" t="str">
            <v>spin_reserve_req_mw</v>
          </cell>
        </row>
        <row r="233">
          <cell r="B233" t="str">
            <v>TXPath</v>
          </cell>
          <cell r="C233" t="str">
            <v>IID_to_LDWP</v>
          </cell>
          <cell r="E233" t="str">
            <v>PlantToReserve</v>
          </cell>
          <cell r="F233" t="str">
            <v>Arizona_Li_Battery</v>
          </cell>
          <cell r="G233" t="str">
            <v>downward_lf_reserves_mw</v>
          </cell>
        </row>
        <row r="234">
          <cell r="B234" t="str">
            <v>TXPath</v>
          </cell>
          <cell r="C234" t="str">
            <v>LDWP_to_CAISO</v>
          </cell>
          <cell r="E234" t="str">
            <v>PlantToReserve</v>
          </cell>
          <cell r="F234" t="str">
            <v>CAISO_Advanced_CCGT</v>
          </cell>
          <cell r="G234" t="str">
            <v>upward_lf_reserves_mw</v>
          </cell>
        </row>
        <row r="235">
          <cell r="B235" t="str">
            <v>TXPath</v>
          </cell>
          <cell r="C235" t="str">
            <v>NW_to_BANC</v>
          </cell>
          <cell r="E235" t="str">
            <v>PlantToReserve</v>
          </cell>
          <cell r="F235" t="str">
            <v>CAISO_Advanced_CCGT</v>
          </cell>
          <cell r="G235" t="str">
            <v>upward_reg_mw</v>
          </cell>
        </row>
        <row r="236">
          <cell r="B236" t="str">
            <v>TXPath</v>
          </cell>
          <cell r="C236" t="str">
            <v>NW_to_CAISO</v>
          </cell>
          <cell r="E236" t="str">
            <v>PlantToReserve</v>
          </cell>
          <cell r="F236" t="str">
            <v>CAISO_Advanced_CCGT</v>
          </cell>
          <cell r="G236" t="str">
            <v>downward_reg_mw</v>
          </cell>
        </row>
        <row r="237">
          <cell r="B237" t="str">
            <v>TXPath</v>
          </cell>
          <cell r="C237" t="str">
            <v>NW_to_CAISO_Unspecified</v>
          </cell>
          <cell r="E237" t="str">
            <v>PlantToReserve</v>
          </cell>
          <cell r="F237" t="str">
            <v>CAISO_Advanced_CCGT</v>
          </cell>
          <cell r="G237" t="str">
            <v>spin_reserve_req_mw</v>
          </cell>
        </row>
        <row r="238">
          <cell r="B238" t="str">
            <v>TXPath</v>
          </cell>
          <cell r="C238" t="str">
            <v>NW_to_LDWP</v>
          </cell>
          <cell r="E238" t="str">
            <v>PlantToReserve</v>
          </cell>
          <cell r="F238" t="str">
            <v>CAISO_Advanced_CCGT</v>
          </cell>
          <cell r="G238" t="str">
            <v>freq_resp_total_req_mw</v>
          </cell>
        </row>
        <row r="239">
          <cell r="B239" t="str">
            <v>TXPath</v>
          </cell>
          <cell r="C239" t="str">
            <v>NW_to_SW</v>
          </cell>
          <cell r="E239" t="str">
            <v>PlantToReserve</v>
          </cell>
          <cell r="F239" t="str">
            <v>CAISO_Advanced_CCGT</v>
          </cell>
          <cell r="G239" t="str">
            <v>downward_lf_reserves_mw</v>
          </cell>
        </row>
        <row r="240">
          <cell r="B240" t="str">
            <v>TXPath</v>
          </cell>
          <cell r="C240" t="str">
            <v>SW_to_BANC</v>
          </cell>
          <cell r="E240" t="str">
            <v>PlantToReserve</v>
          </cell>
          <cell r="F240" t="str">
            <v>CAISO_Aero_CT</v>
          </cell>
          <cell r="G240" t="str">
            <v>upward_lf_reserves_mw</v>
          </cell>
        </row>
        <row r="241">
          <cell r="B241" t="str">
            <v>TXPath</v>
          </cell>
          <cell r="C241" t="str">
            <v>SW_to_CAISO</v>
          </cell>
          <cell r="E241" t="str">
            <v>PlantToReserve</v>
          </cell>
          <cell r="F241" t="str">
            <v>CAISO_Aero_CT</v>
          </cell>
          <cell r="G241" t="str">
            <v>downward_lf_reserves_mw</v>
          </cell>
        </row>
        <row r="242">
          <cell r="B242" t="str">
            <v>TXPath</v>
          </cell>
          <cell r="C242" t="str">
            <v>SW_to_IID</v>
          </cell>
          <cell r="E242" t="str">
            <v>PlantToReserve</v>
          </cell>
          <cell r="F242" t="str">
            <v>CAISO_Aero_CT</v>
          </cell>
          <cell r="G242" t="str">
            <v>freq_resp_total_req_mw</v>
          </cell>
        </row>
        <row r="243">
          <cell r="B243" t="str">
            <v>TXPath</v>
          </cell>
          <cell r="C243" t="str">
            <v>SW_to_LDWP</v>
          </cell>
          <cell r="E243" t="str">
            <v>PlantToReserve</v>
          </cell>
          <cell r="F243" t="str">
            <v>CAISO_Baseline_Li_Battery</v>
          </cell>
          <cell r="G243" t="str">
            <v>upward_reg_mw</v>
          </cell>
        </row>
        <row r="244">
          <cell r="B244" t="str">
            <v>Zone</v>
          </cell>
          <cell r="C244" t="str">
            <v>BANC</v>
          </cell>
          <cell r="E244" t="str">
            <v>PlantToReserve</v>
          </cell>
          <cell r="F244" t="str">
            <v>CAISO_Baseline_Li_Battery</v>
          </cell>
          <cell r="G244" t="str">
            <v>upward_lf_reserves_mw</v>
          </cell>
        </row>
        <row r="245">
          <cell r="B245" t="str">
            <v>Zone</v>
          </cell>
          <cell r="C245" t="str">
            <v>CAISO</v>
          </cell>
          <cell r="E245" t="str">
            <v>PlantToReserve</v>
          </cell>
          <cell r="F245" t="str">
            <v>CAISO_Baseline_Li_Battery</v>
          </cell>
          <cell r="G245" t="str">
            <v>freq_resp_total_req_mw</v>
          </cell>
        </row>
        <row r="246">
          <cell r="B246" t="str">
            <v>Zone</v>
          </cell>
          <cell r="C246" t="str">
            <v>CAISO_NW_Hydro</v>
          </cell>
          <cell r="E246" t="str">
            <v>PlantToReserve</v>
          </cell>
          <cell r="F246" t="str">
            <v>CAISO_Baseline_Li_Battery</v>
          </cell>
          <cell r="G246" t="str">
            <v>spin_reserve_req_mw</v>
          </cell>
        </row>
        <row r="247">
          <cell r="B247" t="str">
            <v>Zone</v>
          </cell>
          <cell r="C247" t="str">
            <v>IID</v>
          </cell>
          <cell r="E247" t="str">
            <v>PlantToReserve</v>
          </cell>
          <cell r="F247" t="str">
            <v>CAISO_Baseline_Li_Battery</v>
          </cell>
          <cell r="G247" t="str">
            <v>downward_lf_reserves_mw</v>
          </cell>
        </row>
        <row r="248">
          <cell r="B248" t="str">
            <v>Zone</v>
          </cell>
          <cell r="C248" t="str">
            <v>LDWP</v>
          </cell>
          <cell r="E248" t="str">
            <v>PlantToReserve</v>
          </cell>
          <cell r="F248" t="str">
            <v>CAISO_CCGT1</v>
          </cell>
          <cell r="G248" t="str">
            <v>upward_lf_reserves_mw</v>
          </cell>
        </row>
        <row r="249">
          <cell r="B249" t="str">
            <v>Zone</v>
          </cell>
          <cell r="C249" t="str">
            <v>NW</v>
          </cell>
          <cell r="E249" t="str">
            <v>PlantToReserve</v>
          </cell>
          <cell r="F249" t="str">
            <v>CAISO_CCGT1</v>
          </cell>
          <cell r="G249" t="str">
            <v>downward_reg_mw</v>
          </cell>
        </row>
        <row r="250">
          <cell r="B250" t="str">
            <v>Zone</v>
          </cell>
          <cell r="C250" t="str">
            <v>SW</v>
          </cell>
          <cell r="E250" t="str">
            <v>PlantToReserve</v>
          </cell>
          <cell r="F250" t="str">
            <v>CAISO_CCGT1</v>
          </cell>
          <cell r="G250" t="str">
            <v>upward_reg_mw</v>
          </cell>
        </row>
        <row r="251">
          <cell r="B251" t="str">
            <v>AnnualEmissionsTarget</v>
          </cell>
          <cell r="C251" t="str">
            <v>Rest of WECC Emissions</v>
          </cell>
          <cell r="E251" t="str">
            <v>PlantToReserve</v>
          </cell>
          <cell r="F251" t="str">
            <v>CAISO_CCGT1</v>
          </cell>
          <cell r="G251" t="str">
            <v>spin_reserve_req_mw</v>
          </cell>
        </row>
        <row r="252">
          <cell r="E252" t="str">
            <v>PlantToReserve</v>
          </cell>
          <cell r="F252" t="str">
            <v>CAISO_CCGT1</v>
          </cell>
          <cell r="G252" t="str">
            <v>freq_resp_total_req_mw</v>
          </cell>
        </row>
        <row r="253">
          <cell r="E253" t="str">
            <v>PlantToReserve</v>
          </cell>
          <cell r="F253" t="str">
            <v>CAISO_CCGT1</v>
          </cell>
          <cell r="G253" t="str">
            <v>downward_lf_reserves_mw</v>
          </cell>
        </row>
        <row r="254">
          <cell r="E254" t="str">
            <v>PlantToReserve</v>
          </cell>
          <cell r="F254" t="str">
            <v>CAISO_CCGT2</v>
          </cell>
          <cell r="G254" t="str">
            <v>upward_lf_reserves_mw</v>
          </cell>
        </row>
        <row r="255">
          <cell r="E255" t="str">
            <v>PlantToReserve</v>
          </cell>
          <cell r="F255" t="str">
            <v>CAISO_CCGT2</v>
          </cell>
          <cell r="G255" t="str">
            <v>upward_reg_mw</v>
          </cell>
        </row>
        <row r="256">
          <cell r="E256" t="str">
            <v>PlantToReserve</v>
          </cell>
          <cell r="F256" t="str">
            <v>CAISO_CCGT2</v>
          </cell>
          <cell r="G256" t="str">
            <v>downward_reg_mw</v>
          </cell>
        </row>
        <row r="257">
          <cell r="E257" t="str">
            <v>PlantToReserve</v>
          </cell>
          <cell r="F257" t="str">
            <v>CAISO_CCGT2</v>
          </cell>
          <cell r="G257" t="str">
            <v>spin_reserve_req_mw</v>
          </cell>
        </row>
        <row r="258">
          <cell r="E258" t="str">
            <v>PlantToReserve</v>
          </cell>
          <cell r="F258" t="str">
            <v>CAISO_CCGT2</v>
          </cell>
          <cell r="G258" t="str">
            <v>freq_resp_total_req_mw</v>
          </cell>
        </row>
        <row r="259">
          <cell r="E259" t="str">
            <v>PlantToReserve</v>
          </cell>
          <cell r="F259" t="str">
            <v>CAISO_CCGT2</v>
          </cell>
          <cell r="G259" t="str">
            <v>downward_lf_reserves_mw</v>
          </cell>
        </row>
        <row r="260">
          <cell r="E260" t="str">
            <v>PlantToReserve</v>
          </cell>
          <cell r="F260" t="str">
            <v>CAISO_Existing_Pumped_Storage</v>
          </cell>
          <cell r="G260" t="str">
            <v>upward_lf_reserves_mw</v>
          </cell>
        </row>
        <row r="261">
          <cell r="E261" t="str">
            <v>PlantToReserve</v>
          </cell>
          <cell r="F261" t="str">
            <v>CAISO_Existing_Pumped_Storage</v>
          </cell>
          <cell r="G261" t="str">
            <v>upward_reg_mw</v>
          </cell>
        </row>
        <row r="262">
          <cell r="E262" t="str">
            <v>PlantToReserve</v>
          </cell>
          <cell r="F262" t="str">
            <v>CAISO_Existing_Pumped_Storage</v>
          </cell>
          <cell r="G262" t="str">
            <v>downward_reg_mw</v>
          </cell>
        </row>
        <row r="263">
          <cell r="E263" t="str">
            <v>PlantToReserve</v>
          </cell>
          <cell r="F263" t="str">
            <v>CAISO_Existing_Pumped_Storage</v>
          </cell>
          <cell r="G263" t="str">
            <v>spin_reserve_req_mw</v>
          </cell>
        </row>
        <row r="264">
          <cell r="E264" t="str">
            <v>PlantToReserve</v>
          </cell>
          <cell r="F264" t="str">
            <v>CAISO_Existing_Pumped_Storage</v>
          </cell>
          <cell r="G264" t="str">
            <v>freq_resp_total_req_mw</v>
          </cell>
        </row>
        <row r="265">
          <cell r="E265" t="str">
            <v>PlantToReserve</v>
          </cell>
          <cell r="F265" t="str">
            <v>CAISO_Existing_Pumped_Storage</v>
          </cell>
          <cell r="G265" t="str">
            <v>downward_lf_reserves_mw</v>
          </cell>
        </row>
        <row r="266">
          <cell r="E266" t="str">
            <v>PlantToReserve</v>
          </cell>
          <cell r="F266" t="str">
            <v>CAISO_Hydro</v>
          </cell>
          <cell r="G266" t="str">
            <v>downward_reg_mw</v>
          </cell>
        </row>
        <row r="267">
          <cell r="E267" t="str">
            <v>PlantToReserve</v>
          </cell>
          <cell r="F267" t="str">
            <v>CAISO_Hydro</v>
          </cell>
          <cell r="G267" t="str">
            <v>spin_reserve_req_mw</v>
          </cell>
        </row>
        <row r="268">
          <cell r="E268" t="str">
            <v>PlantToReserve</v>
          </cell>
          <cell r="F268" t="str">
            <v>CAISO_Hydro</v>
          </cell>
          <cell r="G268" t="str">
            <v>upward_reg_mw</v>
          </cell>
        </row>
        <row r="269">
          <cell r="E269" t="str">
            <v>PlantToReserve</v>
          </cell>
          <cell r="F269" t="str">
            <v>CAISO_Hydro</v>
          </cell>
          <cell r="G269" t="str">
            <v>freq_resp_total_req_mw</v>
          </cell>
        </row>
        <row r="270">
          <cell r="E270" t="str">
            <v>PlantToReserve</v>
          </cell>
          <cell r="F270" t="str">
            <v>CAISO_Hydro</v>
          </cell>
          <cell r="G270" t="str">
            <v>downward_lf_reserves_mw</v>
          </cell>
        </row>
        <row r="271">
          <cell r="E271" t="str">
            <v>PlantToReserve</v>
          </cell>
          <cell r="F271" t="str">
            <v>CAISO_Hydro</v>
          </cell>
          <cell r="G271" t="str">
            <v>upward_lf_reserves_mw</v>
          </cell>
        </row>
        <row r="272">
          <cell r="E272" t="str">
            <v>PlantToReserve</v>
          </cell>
          <cell r="F272" t="str">
            <v>CAISO_New_Flow_Battery</v>
          </cell>
          <cell r="G272" t="str">
            <v>upward_lf_reserves_mw</v>
          </cell>
        </row>
        <row r="273">
          <cell r="E273" t="str">
            <v>PlantToReserve</v>
          </cell>
          <cell r="F273" t="str">
            <v>CAISO_New_Flow_Battery</v>
          </cell>
          <cell r="G273" t="str">
            <v>upward_reg_mw</v>
          </cell>
        </row>
        <row r="274">
          <cell r="E274" t="str">
            <v>PlantToReserve</v>
          </cell>
          <cell r="F274" t="str">
            <v>CAISO_New_Flow_Battery</v>
          </cell>
          <cell r="G274" t="str">
            <v>downward_reg_mw</v>
          </cell>
        </row>
        <row r="275">
          <cell r="E275" t="str">
            <v>PlantToReserve</v>
          </cell>
          <cell r="F275" t="str">
            <v>CAISO_New_Flow_Battery</v>
          </cell>
          <cell r="G275" t="str">
            <v>spin_reserve_req_mw</v>
          </cell>
        </row>
        <row r="276">
          <cell r="E276" t="str">
            <v>PlantToReserve</v>
          </cell>
          <cell r="F276" t="str">
            <v>CAISO_New_Flow_Battery</v>
          </cell>
          <cell r="G276" t="str">
            <v>freq_resp_total_req_mw</v>
          </cell>
        </row>
        <row r="277">
          <cell r="E277" t="str">
            <v>PlantToReserve</v>
          </cell>
          <cell r="F277" t="str">
            <v>CAISO_New_Flow_Battery</v>
          </cell>
          <cell r="G277" t="str">
            <v>downward_lf_reserves_mw</v>
          </cell>
        </row>
        <row r="278">
          <cell r="E278" t="str">
            <v>PlantToReserve</v>
          </cell>
          <cell r="F278" t="str">
            <v>CAISO_Peaker1</v>
          </cell>
          <cell r="G278" t="str">
            <v>upward_lf_reserves_mw</v>
          </cell>
        </row>
        <row r="279">
          <cell r="E279" t="str">
            <v>PlantToReserve</v>
          </cell>
          <cell r="F279" t="str">
            <v>CAISO_Peaker1</v>
          </cell>
          <cell r="G279" t="str">
            <v>freq_resp_total_req_mw</v>
          </cell>
        </row>
        <row r="280">
          <cell r="E280" t="str">
            <v>PlantToReserve</v>
          </cell>
          <cell r="F280" t="str">
            <v>CAISO_Peaker1</v>
          </cell>
          <cell r="G280" t="str">
            <v>downward_lf_reserves_mw</v>
          </cell>
        </row>
        <row r="281">
          <cell r="E281" t="str">
            <v>PlantToReserve</v>
          </cell>
          <cell r="F281" t="str">
            <v>CAISO_Peaker2</v>
          </cell>
          <cell r="G281" t="str">
            <v>upward_lf_reserves_mw</v>
          </cell>
        </row>
        <row r="282">
          <cell r="E282" t="str">
            <v>PlantToReserve</v>
          </cell>
          <cell r="F282" t="str">
            <v>CAISO_Peaker2</v>
          </cell>
          <cell r="G282" t="str">
            <v>freq_resp_total_req_mw</v>
          </cell>
        </row>
        <row r="283">
          <cell r="E283" t="str">
            <v>PlantToReserve</v>
          </cell>
          <cell r="F283" t="str">
            <v>CAISO_Peaker2</v>
          </cell>
          <cell r="G283" t="str">
            <v>downward_lf_reserves_mw</v>
          </cell>
        </row>
        <row r="284">
          <cell r="E284" t="str">
            <v>PlantToReserve</v>
          </cell>
          <cell r="F284" t="str">
            <v>CAISO_Reciprocating_Engine</v>
          </cell>
          <cell r="G284" t="str">
            <v>upward_lf_reserves_mw</v>
          </cell>
        </row>
        <row r="285">
          <cell r="E285" t="str">
            <v>PlantToReserve</v>
          </cell>
          <cell r="F285" t="str">
            <v>CAISO_Reciprocating_Engine</v>
          </cell>
          <cell r="G285" t="str">
            <v>downward_lf_reserves_mw</v>
          </cell>
        </row>
        <row r="286">
          <cell r="E286" t="str">
            <v>PlantToReserve</v>
          </cell>
          <cell r="F286" t="str">
            <v>CAISO_Reciprocating_Engine</v>
          </cell>
          <cell r="G286" t="str">
            <v>freq_resp_total_req_mw</v>
          </cell>
        </row>
        <row r="287">
          <cell r="E287" t="str">
            <v>PlantToReserve</v>
          </cell>
          <cell r="F287" t="str">
            <v>CAISO_ST</v>
          </cell>
          <cell r="G287" t="str">
            <v>upward_lf_reserves_mw</v>
          </cell>
        </row>
        <row r="288">
          <cell r="E288" t="str">
            <v>PlantToReserve</v>
          </cell>
          <cell r="F288" t="str">
            <v>CAISO_ST</v>
          </cell>
          <cell r="G288" t="str">
            <v>upward_reg_mw</v>
          </cell>
        </row>
        <row r="289">
          <cell r="E289" t="str">
            <v>PlantToReserve</v>
          </cell>
          <cell r="F289" t="str">
            <v>CAISO_ST</v>
          </cell>
          <cell r="G289" t="str">
            <v>downward_reg_mw</v>
          </cell>
        </row>
        <row r="290">
          <cell r="E290" t="str">
            <v>PlantToReserve</v>
          </cell>
          <cell r="F290" t="str">
            <v>CAISO_ST</v>
          </cell>
          <cell r="G290" t="str">
            <v>spin_reserve_req_mw</v>
          </cell>
        </row>
        <row r="291">
          <cell r="E291" t="str">
            <v>PlantToReserve</v>
          </cell>
          <cell r="F291" t="str">
            <v>CAISO_ST</v>
          </cell>
          <cell r="G291" t="str">
            <v>downward_lf_reserves_mw</v>
          </cell>
        </row>
        <row r="292">
          <cell r="E292" t="str">
            <v>PlantToReserve</v>
          </cell>
          <cell r="F292" t="str">
            <v>CAISO_ST</v>
          </cell>
          <cell r="G292" t="str">
            <v>freq_resp_total_req_mw</v>
          </cell>
        </row>
        <row r="293">
          <cell r="E293" t="str">
            <v>PlantToReserve</v>
          </cell>
          <cell r="F293" t="str">
            <v>Greater_Kramer_Li_Battery</v>
          </cell>
          <cell r="G293" t="str">
            <v>upward_lf_reserves_mw</v>
          </cell>
        </row>
        <row r="294">
          <cell r="E294" t="str">
            <v>PlantToReserve</v>
          </cell>
          <cell r="F294" t="str">
            <v>Greater_Kramer_Li_Battery</v>
          </cell>
          <cell r="G294" t="str">
            <v>upward_reg_mw</v>
          </cell>
        </row>
        <row r="295">
          <cell r="E295" t="str">
            <v>PlantToReserve</v>
          </cell>
          <cell r="F295" t="str">
            <v>Greater_Kramer_Li_Battery</v>
          </cell>
          <cell r="G295" t="str">
            <v>downward_reg_mw</v>
          </cell>
        </row>
        <row r="296">
          <cell r="E296" t="str">
            <v>PlantToReserve</v>
          </cell>
          <cell r="F296" t="str">
            <v>Greater_Kramer_Li_Battery</v>
          </cell>
          <cell r="G296" t="str">
            <v>spin_reserve_req_mw</v>
          </cell>
        </row>
        <row r="297">
          <cell r="E297" t="str">
            <v>PlantToReserve</v>
          </cell>
          <cell r="F297" t="str">
            <v>Greater_Kramer_Li_Battery</v>
          </cell>
          <cell r="G297" t="str">
            <v>freq_resp_total_req_mw</v>
          </cell>
        </row>
        <row r="298">
          <cell r="E298" t="str">
            <v>PlantToReserve</v>
          </cell>
          <cell r="F298" t="str">
            <v>Greater_Kramer_Li_Battery</v>
          </cell>
          <cell r="G298" t="str">
            <v>downward_lf_reserves_mw</v>
          </cell>
        </row>
        <row r="299">
          <cell r="E299" t="str">
            <v>PlantToReserve</v>
          </cell>
          <cell r="F299" t="str">
            <v>Greater_LA_Li_Battery</v>
          </cell>
          <cell r="G299" t="str">
            <v>upward_lf_reserves_mw</v>
          </cell>
        </row>
        <row r="300">
          <cell r="E300" t="str">
            <v>PlantToReserve</v>
          </cell>
          <cell r="F300" t="str">
            <v>Greater_LA_Li_Battery</v>
          </cell>
          <cell r="G300" t="str">
            <v>upward_reg_mw</v>
          </cell>
        </row>
        <row r="301">
          <cell r="E301" t="str">
            <v>PlantToReserve</v>
          </cell>
          <cell r="F301" t="str">
            <v>Greater_LA_Li_Battery</v>
          </cell>
          <cell r="G301" t="str">
            <v>downward_reg_mw</v>
          </cell>
        </row>
        <row r="302">
          <cell r="E302" t="str">
            <v>PlantToReserve</v>
          </cell>
          <cell r="F302" t="str">
            <v>Greater_LA_Li_Battery</v>
          </cell>
          <cell r="G302" t="str">
            <v>spin_reserve_req_mw</v>
          </cell>
        </row>
        <row r="303">
          <cell r="E303" t="str">
            <v>PlantToReserve</v>
          </cell>
          <cell r="F303" t="str">
            <v>Greater_LA_Li_Battery</v>
          </cell>
          <cell r="G303" t="str">
            <v>freq_resp_total_req_mw</v>
          </cell>
        </row>
        <row r="304">
          <cell r="E304" t="str">
            <v>PlantToReserve</v>
          </cell>
          <cell r="F304" t="str">
            <v>Greater_LA_Li_Battery</v>
          </cell>
          <cell r="G304" t="str">
            <v>downward_lf_reserves_mw</v>
          </cell>
        </row>
        <row r="305">
          <cell r="E305" t="str">
            <v>PlantToReserve</v>
          </cell>
          <cell r="F305" t="str">
            <v>Imperial_Li_Battery</v>
          </cell>
          <cell r="G305" t="str">
            <v>downward_reg_mw</v>
          </cell>
        </row>
        <row r="306">
          <cell r="E306" t="str">
            <v>PlantToReserve</v>
          </cell>
          <cell r="F306" t="str">
            <v>Imperial_Li_Battery</v>
          </cell>
          <cell r="G306" t="str">
            <v>upward_lf_reserves_mw</v>
          </cell>
        </row>
        <row r="307">
          <cell r="E307" t="str">
            <v>PlantToReserve</v>
          </cell>
          <cell r="F307" t="str">
            <v>Imperial_Li_Battery</v>
          </cell>
          <cell r="G307" t="str">
            <v>upward_reg_mw</v>
          </cell>
        </row>
        <row r="308">
          <cell r="E308" t="str">
            <v>PlantToReserve</v>
          </cell>
          <cell r="F308" t="str">
            <v>Imperial_Li_Battery</v>
          </cell>
          <cell r="G308" t="str">
            <v>spin_reserve_req_mw</v>
          </cell>
        </row>
        <row r="309">
          <cell r="E309" t="str">
            <v>PlantToReserve</v>
          </cell>
          <cell r="F309" t="str">
            <v>Imperial_Li_Battery</v>
          </cell>
          <cell r="G309" t="str">
            <v>freq_resp_total_req_mw</v>
          </cell>
        </row>
        <row r="310">
          <cell r="E310" t="str">
            <v>PlantToReserve</v>
          </cell>
          <cell r="F310" t="str">
            <v>Imperial_Li_Battery</v>
          </cell>
          <cell r="G310" t="str">
            <v>downward_lf_reserves_mw</v>
          </cell>
        </row>
        <row r="311">
          <cell r="E311" t="str">
            <v>PlantToReserve</v>
          </cell>
          <cell r="F311" t="str">
            <v>Northern_California_Li_Battery</v>
          </cell>
          <cell r="G311" t="str">
            <v>upward_lf_reserves_mw</v>
          </cell>
        </row>
        <row r="312">
          <cell r="E312" t="str">
            <v>PlantToReserve</v>
          </cell>
          <cell r="F312" t="str">
            <v>Northern_California_Li_Battery</v>
          </cell>
          <cell r="G312" t="str">
            <v>upward_reg_mw</v>
          </cell>
        </row>
        <row r="313">
          <cell r="E313" t="str">
            <v>PlantToReserve</v>
          </cell>
          <cell r="F313" t="str">
            <v>Northern_California_Li_Battery</v>
          </cell>
          <cell r="G313" t="str">
            <v>downward_reg_mw</v>
          </cell>
        </row>
        <row r="314">
          <cell r="E314" t="str">
            <v>PlantToReserve</v>
          </cell>
          <cell r="F314" t="str">
            <v>Northern_California_Li_Battery</v>
          </cell>
          <cell r="G314" t="str">
            <v>spin_reserve_req_mw</v>
          </cell>
        </row>
        <row r="315">
          <cell r="E315" t="str">
            <v>PlantToReserve</v>
          </cell>
          <cell r="F315" t="str">
            <v>Northern_California_Li_Battery</v>
          </cell>
          <cell r="G315" t="str">
            <v>freq_resp_total_req_mw</v>
          </cell>
        </row>
        <row r="316">
          <cell r="E316" t="str">
            <v>PlantToReserve</v>
          </cell>
          <cell r="F316" t="str">
            <v>Northern_California_Li_Battery</v>
          </cell>
          <cell r="G316" t="str">
            <v>downward_lf_reserves_mw</v>
          </cell>
        </row>
        <row r="317">
          <cell r="E317" t="str">
            <v>PlantToReserve</v>
          </cell>
          <cell r="F317" t="str">
            <v>Riverside_East_Pumped_Storage</v>
          </cell>
          <cell r="G317" t="str">
            <v>upward_lf_reserves_mw</v>
          </cell>
        </row>
        <row r="318">
          <cell r="E318" t="str">
            <v>PlantToReserve</v>
          </cell>
          <cell r="F318" t="str">
            <v>Riverside_East_Pumped_Storage</v>
          </cell>
          <cell r="G318" t="str">
            <v>upward_reg_mw</v>
          </cell>
        </row>
        <row r="319">
          <cell r="E319" t="str">
            <v>PlantToReserve</v>
          </cell>
          <cell r="F319" t="str">
            <v>Riverside_East_Pumped_Storage</v>
          </cell>
          <cell r="G319" t="str">
            <v>downward_reg_mw</v>
          </cell>
        </row>
        <row r="320">
          <cell r="E320" t="str">
            <v>PlantToReserve</v>
          </cell>
          <cell r="F320" t="str">
            <v>Riverside_East_Pumped_Storage</v>
          </cell>
          <cell r="G320" t="str">
            <v>spin_reserve_req_mw</v>
          </cell>
        </row>
        <row r="321">
          <cell r="E321" t="str">
            <v>PlantToReserve</v>
          </cell>
          <cell r="F321" t="str">
            <v>Riverside_East_Pumped_Storage</v>
          </cell>
          <cell r="G321" t="str">
            <v>freq_resp_total_req_mw</v>
          </cell>
        </row>
        <row r="322">
          <cell r="E322" t="str">
            <v>PlantToReserve</v>
          </cell>
          <cell r="F322" t="str">
            <v>Riverside_East_Pumped_Storage</v>
          </cell>
          <cell r="G322" t="str">
            <v>downward_lf_reserves_mw</v>
          </cell>
        </row>
        <row r="323">
          <cell r="E323" t="str">
            <v>PlantToReserve</v>
          </cell>
          <cell r="F323" t="str">
            <v>Riverside_Li_Battery</v>
          </cell>
          <cell r="G323" t="str">
            <v>downward_reg_mw</v>
          </cell>
        </row>
        <row r="324">
          <cell r="E324" t="str">
            <v>PlantToReserve</v>
          </cell>
          <cell r="F324" t="str">
            <v>Riverside_Li_Battery</v>
          </cell>
          <cell r="G324" t="str">
            <v>upward_lf_reserves_mw</v>
          </cell>
        </row>
        <row r="325">
          <cell r="E325" t="str">
            <v>PlantToReserve</v>
          </cell>
          <cell r="F325" t="str">
            <v>Riverside_Li_Battery</v>
          </cell>
          <cell r="G325" t="str">
            <v>upward_reg_mw</v>
          </cell>
        </row>
        <row r="326">
          <cell r="E326" t="str">
            <v>PlantToReserve</v>
          </cell>
          <cell r="F326" t="str">
            <v>Riverside_Li_Battery</v>
          </cell>
          <cell r="G326" t="str">
            <v>spin_reserve_req_mw</v>
          </cell>
        </row>
        <row r="327">
          <cell r="E327" t="str">
            <v>PlantToReserve</v>
          </cell>
          <cell r="F327" t="str">
            <v>Riverside_Li_Battery</v>
          </cell>
          <cell r="G327" t="str">
            <v>freq_resp_total_req_mw</v>
          </cell>
        </row>
        <row r="328">
          <cell r="E328" t="str">
            <v>PlantToReserve</v>
          </cell>
          <cell r="F328" t="str">
            <v>Riverside_Li_Battery</v>
          </cell>
          <cell r="G328" t="str">
            <v>downward_lf_reserves_mw</v>
          </cell>
        </row>
        <row r="329">
          <cell r="E329" t="str">
            <v>PlantToReserve</v>
          </cell>
          <cell r="F329" t="str">
            <v>Riverside_West_Pumped_Storage</v>
          </cell>
          <cell r="G329" t="str">
            <v>upward_lf_reserves_mw</v>
          </cell>
        </row>
        <row r="330">
          <cell r="E330" t="str">
            <v>PlantToReserve</v>
          </cell>
          <cell r="F330" t="str">
            <v>Riverside_West_Pumped_Storage</v>
          </cell>
          <cell r="G330" t="str">
            <v>upward_reg_mw</v>
          </cell>
        </row>
        <row r="331">
          <cell r="E331" t="str">
            <v>PlantToReserve</v>
          </cell>
          <cell r="F331" t="str">
            <v>Riverside_West_Pumped_Storage</v>
          </cell>
          <cell r="G331" t="str">
            <v>downward_reg_mw</v>
          </cell>
        </row>
        <row r="332">
          <cell r="E332" t="str">
            <v>PlantToReserve</v>
          </cell>
          <cell r="F332" t="str">
            <v>Riverside_West_Pumped_Storage</v>
          </cell>
          <cell r="G332" t="str">
            <v>spin_reserve_req_mw</v>
          </cell>
        </row>
        <row r="333">
          <cell r="E333" t="str">
            <v>PlantToReserve</v>
          </cell>
          <cell r="F333" t="str">
            <v>Riverside_West_Pumped_Storage</v>
          </cell>
          <cell r="G333" t="str">
            <v>freq_resp_total_req_mw</v>
          </cell>
        </row>
        <row r="334">
          <cell r="E334" t="str">
            <v>PlantToReserve</v>
          </cell>
          <cell r="F334" t="str">
            <v>Riverside_West_Pumped_Storage</v>
          </cell>
          <cell r="G334" t="str">
            <v>downward_lf_reserves_mw</v>
          </cell>
        </row>
        <row r="335">
          <cell r="E335" t="str">
            <v>PlantToReserve</v>
          </cell>
          <cell r="F335" t="str">
            <v>San_Diego_Li_Battery</v>
          </cell>
          <cell r="G335" t="str">
            <v>downward_reg_mw</v>
          </cell>
        </row>
        <row r="336">
          <cell r="E336" t="str">
            <v>PlantToReserve</v>
          </cell>
          <cell r="F336" t="str">
            <v>San_Diego_Li_Battery</v>
          </cell>
          <cell r="G336" t="str">
            <v>spin_reserve_req_mw</v>
          </cell>
        </row>
        <row r="337">
          <cell r="E337" t="str">
            <v>PlantToReserve</v>
          </cell>
          <cell r="F337" t="str">
            <v>San_Diego_Li_Battery</v>
          </cell>
          <cell r="G337" t="str">
            <v>upward_reg_mw</v>
          </cell>
        </row>
        <row r="338">
          <cell r="E338" t="str">
            <v>PlantToReserve</v>
          </cell>
          <cell r="F338" t="str">
            <v>San_Diego_Li_Battery</v>
          </cell>
          <cell r="G338" t="str">
            <v>upward_lf_reserves_mw</v>
          </cell>
        </row>
        <row r="339">
          <cell r="E339" t="str">
            <v>PlantToReserve</v>
          </cell>
          <cell r="F339" t="str">
            <v>San_Diego_Li_Battery</v>
          </cell>
          <cell r="G339" t="str">
            <v>freq_resp_total_req_mw</v>
          </cell>
        </row>
        <row r="340">
          <cell r="E340" t="str">
            <v>PlantToReserve</v>
          </cell>
          <cell r="F340" t="str">
            <v>San_Diego_Li_Battery</v>
          </cell>
          <cell r="G340" t="str">
            <v>downward_lf_reserves_mw</v>
          </cell>
        </row>
        <row r="341">
          <cell r="E341" t="str">
            <v>PlantToReserve</v>
          </cell>
          <cell r="F341" t="str">
            <v>San_Diego_Pumped_Storage</v>
          </cell>
          <cell r="G341" t="str">
            <v>upward_lf_reserves_mw</v>
          </cell>
        </row>
        <row r="342">
          <cell r="E342" t="str">
            <v>PlantToReserve</v>
          </cell>
          <cell r="F342" t="str">
            <v>San_Diego_Pumped_Storage</v>
          </cell>
          <cell r="G342" t="str">
            <v>upward_reg_mw</v>
          </cell>
        </row>
        <row r="343">
          <cell r="E343" t="str">
            <v>PlantToReserve</v>
          </cell>
          <cell r="F343" t="str">
            <v>San_Diego_Pumped_Storage</v>
          </cell>
          <cell r="G343" t="str">
            <v>downward_reg_mw</v>
          </cell>
        </row>
        <row r="344">
          <cell r="E344" t="str">
            <v>PlantToReserve</v>
          </cell>
          <cell r="F344" t="str">
            <v>San_Diego_Pumped_Storage</v>
          </cell>
          <cell r="G344" t="str">
            <v>spin_reserve_req_mw</v>
          </cell>
        </row>
        <row r="345">
          <cell r="E345" t="str">
            <v>PlantToReserve</v>
          </cell>
          <cell r="F345" t="str">
            <v>San_Diego_Pumped_Storage</v>
          </cell>
          <cell r="G345" t="str">
            <v>freq_resp_total_req_mw</v>
          </cell>
        </row>
        <row r="346">
          <cell r="E346" t="str">
            <v>PlantToReserve</v>
          </cell>
          <cell r="F346" t="str">
            <v>San_Diego_Pumped_Storage</v>
          </cell>
          <cell r="G346" t="str">
            <v>downward_lf_reserves_mw</v>
          </cell>
        </row>
        <row r="347">
          <cell r="E347" t="str">
            <v>PlantToReserve</v>
          </cell>
          <cell r="F347" t="str">
            <v>Southern_NV_Eldorado_Li_Battery</v>
          </cell>
          <cell r="G347" t="str">
            <v>downward_reg_mw</v>
          </cell>
        </row>
        <row r="348">
          <cell r="E348" t="str">
            <v>PlantToReserve</v>
          </cell>
          <cell r="F348" t="str">
            <v>Southern_NV_Eldorado_Li_Battery</v>
          </cell>
          <cell r="G348" t="str">
            <v>upward_lf_reserves_mw</v>
          </cell>
        </row>
        <row r="349">
          <cell r="E349" t="str">
            <v>PlantToReserve</v>
          </cell>
          <cell r="F349" t="str">
            <v>Southern_NV_Eldorado_Li_Battery</v>
          </cell>
          <cell r="G349" t="str">
            <v>upward_reg_mw</v>
          </cell>
        </row>
        <row r="350">
          <cell r="E350" t="str">
            <v>PlantToReserve</v>
          </cell>
          <cell r="F350" t="str">
            <v>Southern_NV_Eldorado_Li_Battery</v>
          </cell>
          <cell r="G350" t="str">
            <v>spin_reserve_req_mw</v>
          </cell>
        </row>
        <row r="351">
          <cell r="E351" t="str">
            <v>PlantToReserve</v>
          </cell>
          <cell r="F351" t="str">
            <v>Southern_NV_Eldorado_Li_Battery</v>
          </cell>
          <cell r="G351" t="str">
            <v>freq_resp_total_req_mw</v>
          </cell>
        </row>
        <row r="352">
          <cell r="E352" t="str">
            <v>PlantToReserve</v>
          </cell>
          <cell r="F352" t="str">
            <v>Southern_NV_Eldorado_Li_Battery</v>
          </cell>
          <cell r="G352" t="str">
            <v>downward_lf_reserves_mw</v>
          </cell>
        </row>
        <row r="353">
          <cell r="E353" t="str">
            <v>PlantToReserve</v>
          </cell>
          <cell r="F353" t="str">
            <v>Southern_PGAE_Li_Battery</v>
          </cell>
          <cell r="G353" t="str">
            <v>upward_lf_reserves_mw</v>
          </cell>
        </row>
        <row r="354">
          <cell r="E354" t="str">
            <v>PlantToReserve</v>
          </cell>
          <cell r="F354" t="str">
            <v>Southern_PGAE_Li_Battery</v>
          </cell>
          <cell r="G354" t="str">
            <v>upward_reg_mw</v>
          </cell>
        </row>
        <row r="355">
          <cell r="E355" t="str">
            <v>PlantToReserve</v>
          </cell>
          <cell r="F355" t="str">
            <v>Southern_PGAE_Li_Battery</v>
          </cell>
          <cell r="G355" t="str">
            <v>downward_reg_mw</v>
          </cell>
        </row>
        <row r="356">
          <cell r="E356" t="str">
            <v>PlantToReserve</v>
          </cell>
          <cell r="F356" t="str">
            <v>Southern_PGAE_Li_Battery</v>
          </cell>
          <cell r="G356" t="str">
            <v>spin_reserve_req_mw</v>
          </cell>
        </row>
        <row r="357">
          <cell r="E357" t="str">
            <v>PlantToReserve</v>
          </cell>
          <cell r="F357" t="str">
            <v>Southern_PGAE_Li_Battery</v>
          </cell>
          <cell r="G357" t="str">
            <v>freq_resp_total_req_mw</v>
          </cell>
        </row>
        <row r="358">
          <cell r="E358" t="str">
            <v>PlantToReserve</v>
          </cell>
          <cell r="F358" t="str">
            <v>Southern_PGAE_Li_Battery</v>
          </cell>
          <cell r="G358" t="str">
            <v>downward_lf_reserves_mw</v>
          </cell>
        </row>
        <row r="359">
          <cell r="E359" t="str">
            <v>PlantToReserve</v>
          </cell>
          <cell r="F359" t="str">
            <v>Tehachapi_Li_Battery</v>
          </cell>
          <cell r="G359" t="str">
            <v>upward_lf_reserves_mw</v>
          </cell>
        </row>
        <row r="360">
          <cell r="E360" t="str">
            <v>PlantToReserve</v>
          </cell>
          <cell r="F360" t="str">
            <v>Tehachapi_Li_Battery</v>
          </cell>
          <cell r="G360" t="str">
            <v>downward_reg_mw</v>
          </cell>
        </row>
        <row r="361">
          <cell r="E361" t="str">
            <v>PlantToReserve</v>
          </cell>
          <cell r="F361" t="str">
            <v>Tehachapi_Li_Battery</v>
          </cell>
          <cell r="G361" t="str">
            <v>upward_reg_mw</v>
          </cell>
        </row>
        <row r="362">
          <cell r="E362" t="str">
            <v>PlantToReserve</v>
          </cell>
          <cell r="F362" t="str">
            <v>Tehachapi_Li_Battery</v>
          </cell>
          <cell r="G362" t="str">
            <v>spin_reserve_req_mw</v>
          </cell>
        </row>
        <row r="363">
          <cell r="E363" t="str">
            <v>PlantToReserve</v>
          </cell>
          <cell r="F363" t="str">
            <v>Tehachapi_Li_Battery</v>
          </cell>
          <cell r="G363" t="str">
            <v>freq_resp_total_req_mw</v>
          </cell>
        </row>
        <row r="364">
          <cell r="E364" t="str">
            <v>PlantToReserve</v>
          </cell>
          <cell r="F364" t="str">
            <v>Tehachapi_Li_Battery</v>
          </cell>
          <cell r="G364" t="str">
            <v>downward_lf_reserves_mw</v>
          </cell>
        </row>
        <row r="365">
          <cell r="E365" t="str">
            <v>PlantToReserve</v>
          </cell>
          <cell r="F365" t="str">
            <v>Tehachapi_Pumped_Storage</v>
          </cell>
          <cell r="G365" t="str">
            <v>upward_lf_reserves_mw</v>
          </cell>
        </row>
        <row r="366">
          <cell r="E366" t="str">
            <v>PlantToReserve</v>
          </cell>
          <cell r="F366" t="str">
            <v>Tehachapi_Pumped_Storage</v>
          </cell>
          <cell r="G366" t="str">
            <v>upward_reg_mw</v>
          </cell>
        </row>
        <row r="367">
          <cell r="E367" t="str">
            <v>PlantToReserve</v>
          </cell>
          <cell r="F367" t="str">
            <v>Tehachapi_Pumped_Storage</v>
          </cell>
          <cell r="G367" t="str">
            <v>downward_reg_mw</v>
          </cell>
        </row>
        <row r="368">
          <cell r="E368" t="str">
            <v>PlantToReserve</v>
          </cell>
          <cell r="F368" t="str">
            <v>Tehachapi_Pumped_Storage</v>
          </cell>
          <cell r="G368" t="str">
            <v>spin_reserve_req_mw</v>
          </cell>
        </row>
        <row r="369">
          <cell r="E369" t="str">
            <v>PlantToReserve</v>
          </cell>
          <cell r="F369" t="str">
            <v>Tehachapi_Pumped_Storage</v>
          </cell>
          <cell r="G369" t="str">
            <v>freq_resp_total_req_mw</v>
          </cell>
        </row>
        <row r="370">
          <cell r="E370" t="str">
            <v>PlantToReserve</v>
          </cell>
          <cell r="F370" t="str">
            <v>Tehachapi_Pumped_Storage</v>
          </cell>
          <cell r="G370" t="str">
            <v>downward_lf_reserves_mw</v>
          </cell>
        </row>
        <row r="371">
          <cell r="E371" t="str">
            <v>ReserveToZone</v>
          </cell>
          <cell r="F371" t="str">
            <v>downward_lf_reserves_mw</v>
          </cell>
          <cell r="G371" t="str">
            <v>CAISO</v>
          </cell>
        </row>
        <row r="372">
          <cell r="E372" t="str">
            <v>ReserveToZone</v>
          </cell>
          <cell r="F372" t="str">
            <v>downward_reg_mw</v>
          </cell>
          <cell r="G372" t="str">
            <v>CAISO</v>
          </cell>
        </row>
        <row r="373">
          <cell r="E373" t="str">
            <v>ReserveToZone</v>
          </cell>
          <cell r="F373" t="str">
            <v>freq_resp_total_req_mw</v>
          </cell>
          <cell r="G373" t="str">
            <v>CAISO</v>
          </cell>
        </row>
        <row r="374">
          <cell r="E374" t="str">
            <v>ReserveToZone</v>
          </cell>
          <cell r="F374" t="str">
            <v>spin_reserve_req_mw</v>
          </cell>
          <cell r="G374" t="str">
            <v>CAISO</v>
          </cell>
        </row>
        <row r="375">
          <cell r="E375" t="str">
            <v>ReserveToZone</v>
          </cell>
          <cell r="F375" t="str">
            <v>upward_lf_reserves_mw</v>
          </cell>
          <cell r="G375" t="str">
            <v>CAISO</v>
          </cell>
        </row>
        <row r="376">
          <cell r="E376" t="str">
            <v>ReserveToZone</v>
          </cell>
          <cell r="F376" t="str">
            <v>upward_reg_mw</v>
          </cell>
          <cell r="G376" t="str">
            <v>CAISO</v>
          </cell>
        </row>
        <row r="377">
          <cell r="E377" t="str">
            <v>ResourceToELCC</v>
          </cell>
          <cell r="F377" t="str">
            <v>CAISO_Baseline_Li_Battery</v>
          </cell>
          <cell r="G377" t="str">
            <v>Storage Curve</v>
          </cell>
        </row>
        <row r="378">
          <cell r="E378" t="str">
            <v>ResourceToELCC</v>
          </cell>
          <cell r="F378" t="str">
            <v>Arizona_Li_Battery</v>
          </cell>
          <cell r="G378" t="str">
            <v>Storage Curve</v>
          </cell>
        </row>
        <row r="379">
          <cell r="E379" t="str">
            <v>ResourceToELCC</v>
          </cell>
          <cell r="F379" t="str">
            <v>Arizona_Solar</v>
          </cell>
          <cell r="G379" t="str">
            <v>Solar-Wind Surface</v>
          </cell>
        </row>
        <row r="380">
          <cell r="E380" t="str">
            <v>ResourceToELCC</v>
          </cell>
          <cell r="F380" t="str">
            <v>Arizona_Wind</v>
          </cell>
          <cell r="G380" t="str">
            <v>Solar-Wind Surface</v>
          </cell>
        </row>
        <row r="381">
          <cell r="E381" t="str">
            <v>ResourceToELCC</v>
          </cell>
          <cell r="F381" t="str">
            <v>Baja_California_Wind</v>
          </cell>
          <cell r="G381" t="str">
            <v>Solar-Wind Surface</v>
          </cell>
        </row>
        <row r="382">
          <cell r="E382" t="str">
            <v>ResourceToELCC</v>
          </cell>
          <cell r="F382" t="str">
            <v>CAISO_BTM_Li_Battery</v>
          </cell>
          <cell r="G382" t="str">
            <v>Storage Curve</v>
          </cell>
        </row>
        <row r="383">
          <cell r="E383" t="str">
            <v>ResourceToELCC</v>
          </cell>
          <cell r="F383" t="str">
            <v>CAISO_New_BTM_Li_Battery</v>
          </cell>
          <cell r="G383" t="str">
            <v>Storage Curve</v>
          </cell>
        </row>
        <row r="384">
          <cell r="E384" t="str">
            <v>ResourceToELCC</v>
          </cell>
          <cell r="F384" t="str">
            <v>CAISO_New_Flow_Battery</v>
          </cell>
          <cell r="G384" t="str">
            <v>Storage Curve</v>
          </cell>
        </row>
        <row r="385">
          <cell r="E385" t="str">
            <v>ResourceToELCC</v>
          </cell>
          <cell r="F385" t="str">
            <v>CAISO_Solar_for_CAISO</v>
          </cell>
          <cell r="G385" t="str">
            <v>Solar-Wind Surface</v>
          </cell>
        </row>
        <row r="386">
          <cell r="E386" t="str">
            <v>ResourceToELCC</v>
          </cell>
          <cell r="F386" t="str">
            <v>CAISO_Solar_for_Other</v>
          </cell>
          <cell r="G386" t="str">
            <v>Solar-Wind Surface</v>
          </cell>
        </row>
        <row r="387">
          <cell r="E387" t="str">
            <v>ResourceToELCC</v>
          </cell>
          <cell r="F387" t="str">
            <v>CAISO_Wind_for_CAISO</v>
          </cell>
          <cell r="G387" t="str">
            <v>Solar-Wind Surface</v>
          </cell>
        </row>
        <row r="388">
          <cell r="E388" t="str">
            <v>ResourceToELCC</v>
          </cell>
          <cell r="F388" t="str">
            <v>CAISO_Wind_for_Other</v>
          </cell>
          <cell r="G388" t="str">
            <v>Solar-Wind Surface</v>
          </cell>
        </row>
        <row r="389">
          <cell r="E389" t="str">
            <v>ResourceToELCC</v>
          </cell>
          <cell r="F389" t="str">
            <v>Carrizo_Wind</v>
          </cell>
          <cell r="G389" t="str">
            <v>Solar-Wind Surface</v>
          </cell>
        </row>
        <row r="390">
          <cell r="E390" t="str">
            <v>ResourceToELCC</v>
          </cell>
          <cell r="F390" t="str">
            <v>Central_Valley_North_Los_Banos_Wind</v>
          </cell>
          <cell r="G390" t="str">
            <v>Solar-Wind Surface</v>
          </cell>
        </row>
        <row r="391">
          <cell r="E391" t="str">
            <v>ResourceToELCC</v>
          </cell>
          <cell r="F391" t="str">
            <v>Customer_PV</v>
          </cell>
          <cell r="G391" t="str">
            <v>Solar-Wind Surface</v>
          </cell>
        </row>
        <row r="392">
          <cell r="E392" t="str">
            <v>ResourceToELCC</v>
          </cell>
          <cell r="F392" t="str">
            <v>Distributed_Solar</v>
          </cell>
          <cell r="G392" t="str">
            <v>Solar-Wind Surface</v>
          </cell>
        </row>
        <row r="393">
          <cell r="E393" t="str">
            <v>ResourceToELCC</v>
          </cell>
          <cell r="F393" t="str">
            <v>Greater_Kramer_Li_Battery</v>
          </cell>
          <cell r="G393" t="str">
            <v>Storage Curve</v>
          </cell>
        </row>
        <row r="394">
          <cell r="E394" t="str">
            <v>ResourceToELCC</v>
          </cell>
          <cell r="F394" t="str">
            <v>Greater_Kramer_Solar</v>
          </cell>
          <cell r="G394" t="str">
            <v>Solar-Wind Surface</v>
          </cell>
        </row>
        <row r="395">
          <cell r="E395" t="str">
            <v>ResourceToELCC</v>
          </cell>
          <cell r="F395" t="str">
            <v>Greater_LA_Li_Battery</v>
          </cell>
          <cell r="G395" t="str">
            <v>Storage Curve</v>
          </cell>
        </row>
        <row r="396">
          <cell r="E396" t="str">
            <v>ResourceToELCC</v>
          </cell>
          <cell r="F396" t="str">
            <v>Greater_LA_Solar</v>
          </cell>
          <cell r="G396" t="str">
            <v>Solar-Wind Surface</v>
          </cell>
        </row>
        <row r="397">
          <cell r="E397" t="str">
            <v>ResourceToELCC</v>
          </cell>
          <cell r="F397" t="str">
            <v>Humboldt_Bay_Offshore_Wind</v>
          </cell>
          <cell r="G397" t="str">
            <v>Solar-Wind Surface</v>
          </cell>
        </row>
        <row r="398">
          <cell r="E398" t="str">
            <v>ResourceToELCC</v>
          </cell>
          <cell r="F398" t="str">
            <v>Humboldt_Wind</v>
          </cell>
          <cell r="G398" t="str">
            <v>Solar-Wind Surface</v>
          </cell>
        </row>
        <row r="399">
          <cell r="E399" t="str">
            <v>ResourceToELCC</v>
          </cell>
          <cell r="F399" t="str">
            <v>Idaho_Wind</v>
          </cell>
          <cell r="G399" t="str">
            <v>Solar-Wind Surface</v>
          </cell>
        </row>
        <row r="400">
          <cell r="E400" t="str">
            <v>ResourceToELCC</v>
          </cell>
          <cell r="F400" t="str">
            <v>Imperial_Li_Battery</v>
          </cell>
          <cell r="G400" t="str">
            <v>Storage Curve</v>
          </cell>
        </row>
        <row r="401">
          <cell r="E401" t="str">
            <v>ResourceToELCC</v>
          </cell>
          <cell r="F401" t="str">
            <v>Imperial_Solar</v>
          </cell>
          <cell r="G401" t="str">
            <v>Solar-Wind Surface</v>
          </cell>
        </row>
        <row r="402">
          <cell r="E402" t="str">
            <v>ResourceToELCC</v>
          </cell>
          <cell r="F402" t="str">
            <v>Kern_Greater_Carrizo_Wind</v>
          </cell>
          <cell r="G402" t="str">
            <v>Solar-Wind Surface</v>
          </cell>
        </row>
        <row r="403">
          <cell r="E403" t="str">
            <v>ResourceToELCC</v>
          </cell>
          <cell r="F403" t="str">
            <v>Morro_Bay_Offshore_Wind</v>
          </cell>
          <cell r="G403" t="str">
            <v>Solar-Wind Surface</v>
          </cell>
        </row>
        <row r="404">
          <cell r="E404" t="str">
            <v>ResourceToELCC</v>
          </cell>
          <cell r="F404" t="str">
            <v>New_Mexico_Wind</v>
          </cell>
          <cell r="G404" t="str">
            <v>Solar-Wind Surface</v>
          </cell>
        </row>
        <row r="405">
          <cell r="E405" t="str">
            <v>ResourceToELCC</v>
          </cell>
          <cell r="F405" t="str">
            <v>Northern_California_Li_Battery</v>
          </cell>
          <cell r="G405" t="str">
            <v>Storage Curve</v>
          </cell>
        </row>
        <row r="406">
          <cell r="E406" t="str">
            <v>ResourceToELCC</v>
          </cell>
          <cell r="F406" t="str">
            <v>Northern_California_Solar</v>
          </cell>
          <cell r="G406" t="str">
            <v>Solar-Wind Surface</v>
          </cell>
        </row>
        <row r="407">
          <cell r="E407" t="str">
            <v>ResourceToELCC</v>
          </cell>
          <cell r="F407" t="str">
            <v>Northern_California_Wind</v>
          </cell>
          <cell r="G407" t="str">
            <v>Solar-Wind Surface</v>
          </cell>
        </row>
        <row r="408">
          <cell r="E408" t="str">
            <v>ResourceToELCC</v>
          </cell>
          <cell r="F408" t="str">
            <v>NW_Ext_Tx_Wind</v>
          </cell>
          <cell r="G408" t="str">
            <v>Solar-Wind Surface</v>
          </cell>
        </row>
        <row r="409">
          <cell r="E409" t="str">
            <v>ResourceToELCC</v>
          </cell>
          <cell r="F409" t="str">
            <v>Pacific_Northwest_Wind</v>
          </cell>
          <cell r="G409" t="str">
            <v>Solar-Wind Surface</v>
          </cell>
        </row>
        <row r="410">
          <cell r="E410" t="str">
            <v>ResourceToELCC</v>
          </cell>
          <cell r="F410" t="str">
            <v>Riverside_Li_Battery</v>
          </cell>
          <cell r="G410" t="str">
            <v>Storage Curve</v>
          </cell>
        </row>
        <row r="411">
          <cell r="E411" t="str">
            <v>ResourceToELCC</v>
          </cell>
          <cell r="F411" t="str">
            <v>Riverside_Palm_Springs_Wind</v>
          </cell>
          <cell r="G411" t="str">
            <v>Solar-Wind Surface</v>
          </cell>
        </row>
        <row r="412">
          <cell r="E412" t="str">
            <v>ResourceToELCC</v>
          </cell>
          <cell r="F412" t="str">
            <v>Riverside_Solar</v>
          </cell>
          <cell r="G412" t="str">
            <v>Solar-Wind Surface</v>
          </cell>
        </row>
        <row r="413">
          <cell r="E413" t="str">
            <v>ResourceToELCC</v>
          </cell>
          <cell r="F413" t="str">
            <v>San_Diego_Li_Battery</v>
          </cell>
          <cell r="G413" t="str">
            <v>Storage Curve</v>
          </cell>
        </row>
        <row r="414">
          <cell r="E414" t="str">
            <v>ResourceToELCC</v>
          </cell>
          <cell r="F414" t="str">
            <v>Solano_Wind</v>
          </cell>
          <cell r="G414" t="str">
            <v>Solar-Wind Surface</v>
          </cell>
        </row>
        <row r="415">
          <cell r="E415" t="str">
            <v>ResourceToELCC</v>
          </cell>
          <cell r="F415" t="str">
            <v>Southern_Nevada_Wind</v>
          </cell>
          <cell r="G415" t="str">
            <v>Solar-Wind Surface</v>
          </cell>
        </row>
        <row r="416">
          <cell r="E416" t="str">
            <v>ResourceToELCC</v>
          </cell>
          <cell r="F416" t="str">
            <v>Southern_NV_Eldorado_Li_Battery</v>
          </cell>
          <cell r="G416" t="str">
            <v>Storage Curve</v>
          </cell>
        </row>
        <row r="417">
          <cell r="E417" t="str">
            <v>ResourceToELCC</v>
          </cell>
          <cell r="F417" t="str">
            <v>Southern_NV_Eldorado_Solar</v>
          </cell>
          <cell r="G417" t="str">
            <v>Solar-Wind Surface</v>
          </cell>
        </row>
        <row r="418">
          <cell r="E418" t="str">
            <v>ResourceToELCC</v>
          </cell>
          <cell r="F418" t="str">
            <v>Southern_PGAE_Li_Battery</v>
          </cell>
          <cell r="G418" t="str">
            <v>Storage Curve</v>
          </cell>
        </row>
        <row r="419">
          <cell r="E419" t="str">
            <v>ResourceToELCC</v>
          </cell>
          <cell r="F419" t="str">
            <v>Southern_PGAE_Solar</v>
          </cell>
          <cell r="G419" t="str">
            <v>Solar-Wind Surface</v>
          </cell>
        </row>
        <row r="420">
          <cell r="E420" t="str">
            <v>ResourceToELCC</v>
          </cell>
          <cell r="F420" t="str">
            <v>SW_Ext_Tx_Wind</v>
          </cell>
          <cell r="G420" t="str">
            <v>Solar-Wind Surface</v>
          </cell>
        </row>
        <row r="421">
          <cell r="E421" t="str">
            <v>ResourceToELCC</v>
          </cell>
          <cell r="F421" t="str">
            <v>Tehachapi_Li_Battery</v>
          </cell>
          <cell r="G421" t="str">
            <v>Storage Curve</v>
          </cell>
        </row>
        <row r="422">
          <cell r="E422" t="str">
            <v>ResourceToELCC</v>
          </cell>
          <cell r="F422" t="str">
            <v>Tehachapi_Solar</v>
          </cell>
          <cell r="G422" t="str">
            <v>Solar-Wind Surface</v>
          </cell>
        </row>
        <row r="423">
          <cell r="E423" t="str">
            <v>ResourceToELCC</v>
          </cell>
          <cell r="F423" t="str">
            <v>Tehachapi_Wind</v>
          </cell>
          <cell r="G423" t="str">
            <v>Solar-Wind Surface</v>
          </cell>
        </row>
        <row r="424">
          <cell r="E424" t="str">
            <v>ResourceToELCC</v>
          </cell>
          <cell r="F424" t="str">
            <v>Utah_Wind</v>
          </cell>
          <cell r="G424" t="str">
            <v>Solar-Wind Surface</v>
          </cell>
        </row>
        <row r="425">
          <cell r="E425" t="str">
            <v>ResourceToELCC</v>
          </cell>
          <cell r="F425" t="str">
            <v>Wyoming_Wind</v>
          </cell>
          <cell r="G425" t="str">
            <v>Solar-Wind Surface</v>
          </cell>
        </row>
        <row r="426">
          <cell r="E426" t="str">
            <v>ResourceToZone</v>
          </cell>
          <cell r="F426" t="str">
            <v>CAISO_Baseline_Li_Battery</v>
          </cell>
          <cell r="G426" t="str">
            <v>CAISO</v>
          </cell>
        </row>
        <row r="427">
          <cell r="E427" t="str">
            <v>ResourceToZone</v>
          </cell>
          <cell r="F427" t="str">
            <v>Arizona_Li_Battery</v>
          </cell>
          <cell r="G427" t="str">
            <v>CAISO</v>
          </cell>
        </row>
        <row r="428">
          <cell r="E428" t="str">
            <v>ResourceToZone</v>
          </cell>
          <cell r="F428" t="str">
            <v>Arizona_Solar</v>
          </cell>
          <cell r="G428" t="str">
            <v>CAISO</v>
          </cell>
        </row>
        <row r="429">
          <cell r="E429" t="str">
            <v>ResourceToZone</v>
          </cell>
          <cell r="F429" t="str">
            <v>Arizona_Wind</v>
          </cell>
          <cell r="G429" t="str">
            <v>CAISO</v>
          </cell>
        </row>
        <row r="430">
          <cell r="E430" t="str">
            <v>ResourceToZone</v>
          </cell>
          <cell r="F430" t="str">
            <v>Baja_California_Wind</v>
          </cell>
          <cell r="G430" t="str">
            <v>CAISO</v>
          </cell>
        </row>
        <row r="431">
          <cell r="E431" t="str">
            <v>ResourceToZone</v>
          </cell>
          <cell r="F431" t="str">
            <v>BANC_Biomass_for_Other</v>
          </cell>
          <cell r="G431" t="str">
            <v>BANC</v>
          </cell>
        </row>
        <row r="432">
          <cell r="E432" t="str">
            <v>ResourceToZone</v>
          </cell>
          <cell r="F432" t="str">
            <v>BANC_CCGT</v>
          </cell>
          <cell r="G432" t="str">
            <v>BANC</v>
          </cell>
        </row>
        <row r="433">
          <cell r="E433" t="str">
            <v>ResourceToZone</v>
          </cell>
          <cell r="F433" t="str">
            <v>BANC_Geothermal_for_Other</v>
          </cell>
          <cell r="G433" t="str">
            <v>BANC</v>
          </cell>
        </row>
        <row r="434">
          <cell r="E434" t="str">
            <v>ResourceToZone</v>
          </cell>
          <cell r="F434" t="str">
            <v>BANC_Hydro</v>
          </cell>
          <cell r="G434" t="str">
            <v>BANC</v>
          </cell>
        </row>
        <row r="435">
          <cell r="E435" t="str">
            <v>ResourceToZone</v>
          </cell>
          <cell r="F435" t="str">
            <v>BANC_Peaker</v>
          </cell>
          <cell r="G435" t="str">
            <v>BANC</v>
          </cell>
        </row>
        <row r="436">
          <cell r="E436" t="str">
            <v>ResourceToZone</v>
          </cell>
          <cell r="F436" t="str">
            <v>BANC_Small_Hydro_for_CAISO</v>
          </cell>
          <cell r="G436" t="str">
            <v>BANC</v>
          </cell>
        </row>
        <row r="437">
          <cell r="E437" t="str">
            <v>ResourceToZone</v>
          </cell>
          <cell r="F437" t="str">
            <v>BANC_Small_Hydro_for_Other</v>
          </cell>
          <cell r="G437" t="str">
            <v>BANC</v>
          </cell>
        </row>
        <row r="438">
          <cell r="E438" t="str">
            <v>ResourceToZone</v>
          </cell>
          <cell r="F438" t="str">
            <v>BANC_Solar_for_Other</v>
          </cell>
          <cell r="G438" t="str">
            <v>BANC</v>
          </cell>
        </row>
        <row r="439">
          <cell r="E439" t="str">
            <v>ResourceToZone</v>
          </cell>
          <cell r="F439" t="str">
            <v>BANC_Wind_for_Other</v>
          </cell>
          <cell r="G439" t="str">
            <v>BANC</v>
          </cell>
        </row>
        <row r="440">
          <cell r="E440" t="str">
            <v>ResourceToZone</v>
          </cell>
          <cell r="F440" t="str">
            <v>CAISO_Advanced_CCGT</v>
          </cell>
          <cell r="G440" t="str">
            <v>CAISO</v>
          </cell>
        </row>
        <row r="441">
          <cell r="E441" t="str">
            <v>ResourceToZone</v>
          </cell>
          <cell r="F441" t="str">
            <v>CAISO_Aero_CT</v>
          </cell>
          <cell r="G441" t="str">
            <v>CAISO</v>
          </cell>
        </row>
        <row r="442">
          <cell r="E442" t="str">
            <v>ResourceToZone</v>
          </cell>
          <cell r="F442" t="str">
            <v>CAISO_Biomass_for_CAISO</v>
          </cell>
          <cell r="G442" t="str">
            <v>CAISO</v>
          </cell>
        </row>
        <row r="443">
          <cell r="E443" t="str">
            <v>ResourceToZone</v>
          </cell>
          <cell r="F443" t="str">
            <v>CAISO_Biomass_for_Other</v>
          </cell>
          <cell r="G443" t="str">
            <v>CAISO</v>
          </cell>
        </row>
        <row r="444">
          <cell r="E444" t="str">
            <v>ResourceToZone</v>
          </cell>
          <cell r="F444" t="str">
            <v>CAISO_BTM_Li_Battery</v>
          </cell>
          <cell r="G444" t="str">
            <v>CAISO</v>
          </cell>
        </row>
        <row r="445">
          <cell r="E445" t="str">
            <v>ResourceToZone</v>
          </cell>
          <cell r="F445" t="str">
            <v>CAISO_CCGT1</v>
          </cell>
          <cell r="G445" t="str">
            <v>CAISO</v>
          </cell>
        </row>
        <row r="446">
          <cell r="E446" t="str">
            <v>ResourceToZone</v>
          </cell>
          <cell r="F446" t="str">
            <v>CAISO_CCGT2</v>
          </cell>
          <cell r="G446" t="str">
            <v>CAISO</v>
          </cell>
        </row>
        <row r="447">
          <cell r="E447" t="str">
            <v>ResourceToZone</v>
          </cell>
          <cell r="F447" t="str">
            <v>CAISO_CHP</v>
          </cell>
          <cell r="G447" t="str">
            <v>CAISO</v>
          </cell>
        </row>
        <row r="448">
          <cell r="E448" t="str">
            <v>ResourceToZone</v>
          </cell>
          <cell r="F448" t="str">
            <v>CAISO_Coal</v>
          </cell>
          <cell r="G448" t="str">
            <v>CAISO</v>
          </cell>
        </row>
        <row r="449">
          <cell r="E449" t="str">
            <v>ResourceToZone</v>
          </cell>
          <cell r="F449" t="str">
            <v>CAISO_Existing_Pumped_Storage</v>
          </cell>
          <cell r="G449" t="str">
            <v>CAISO</v>
          </cell>
        </row>
        <row r="450">
          <cell r="E450" t="str">
            <v>ResourceToZone</v>
          </cell>
          <cell r="F450" t="str">
            <v>CAISO_Geothermal_for_CAISO</v>
          </cell>
          <cell r="G450" t="str">
            <v>CAISO</v>
          </cell>
        </row>
        <row r="451">
          <cell r="E451" t="str">
            <v>ResourceToZone</v>
          </cell>
          <cell r="F451" t="str">
            <v>CAISO_Geothermal_for_Other</v>
          </cell>
          <cell r="G451" t="str">
            <v>CAISO</v>
          </cell>
        </row>
        <row r="452">
          <cell r="E452" t="str">
            <v>ResourceToZone</v>
          </cell>
          <cell r="F452" t="str">
            <v>CAISO_Hydro</v>
          </cell>
          <cell r="G452" t="str">
            <v>CAISO</v>
          </cell>
        </row>
        <row r="453">
          <cell r="E453" t="str">
            <v>ResourceToZone</v>
          </cell>
          <cell r="F453" t="str">
            <v>CAISO_New_BTM_Li_Battery</v>
          </cell>
          <cell r="G453" t="str">
            <v>CAISO</v>
          </cell>
        </row>
        <row r="454">
          <cell r="E454" t="str">
            <v>ResourceToZone</v>
          </cell>
          <cell r="F454" t="str">
            <v>CAISO_New_Flow_Battery</v>
          </cell>
          <cell r="G454" t="str">
            <v>CAISO</v>
          </cell>
        </row>
        <row r="455">
          <cell r="E455" t="str">
            <v>ResourceToZone</v>
          </cell>
          <cell r="F455" t="str">
            <v>CAISO_Nuclear</v>
          </cell>
          <cell r="G455" t="str">
            <v>CAISO</v>
          </cell>
        </row>
        <row r="456">
          <cell r="E456" t="str">
            <v>ResourceToZone</v>
          </cell>
          <cell r="F456" t="str">
            <v>CAISO_Peaker1</v>
          </cell>
          <cell r="G456" t="str">
            <v>CAISO</v>
          </cell>
        </row>
        <row r="457">
          <cell r="E457" t="str">
            <v>ResourceToZone</v>
          </cell>
          <cell r="F457" t="str">
            <v>CAISO_Peaker2</v>
          </cell>
          <cell r="G457" t="str">
            <v>CAISO</v>
          </cell>
        </row>
        <row r="458">
          <cell r="E458" t="str">
            <v>ResourceToZone</v>
          </cell>
          <cell r="F458" t="str">
            <v>CAISO_Reciprocating_Engine</v>
          </cell>
          <cell r="G458" t="str">
            <v>CAISO</v>
          </cell>
        </row>
        <row r="459">
          <cell r="E459" t="str">
            <v>ResourceToZone</v>
          </cell>
          <cell r="F459" t="str">
            <v>CAISO_Shed_DR_Existing</v>
          </cell>
          <cell r="G459" t="str">
            <v>CAISO</v>
          </cell>
        </row>
        <row r="460">
          <cell r="E460" t="str">
            <v>ResourceToZone</v>
          </cell>
          <cell r="F460" t="str">
            <v>CAISO_Shed_DR_Tranche1</v>
          </cell>
          <cell r="G460" t="str">
            <v>CAISO</v>
          </cell>
        </row>
        <row r="461">
          <cell r="E461" t="str">
            <v>ResourceToZone</v>
          </cell>
          <cell r="F461" t="str">
            <v>CAISO_Shed_DR_Tranche2</v>
          </cell>
          <cell r="G461" t="str">
            <v>CAISO</v>
          </cell>
        </row>
        <row r="462">
          <cell r="E462" t="str">
            <v>ResourceToZone</v>
          </cell>
          <cell r="F462" t="str">
            <v>CAISO_Shed_DR_Tranche3</v>
          </cell>
          <cell r="G462" t="str">
            <v>CAISO</v>
          </cell>
        </row>
        <row r="463">
          <cell r="E463" t="str">
            <v>ResourceToZone</v>
          </cell>
          <cell r="F463" t="str">
            <v>CAISO_Shed_DR_Tranche4</v>
          </cell>
          <cell r="G463" t="str">
            <v>CAISO</v>
          </cell>
        </row>
        <row r="464">
          <cell r="E464" t="str">
            <v>ResourceToZone</v>
          </cell>
          <cell r="F464" t="str">
            <v>CAISO_Shed_DR_Tranche5</v>
          </cell>
          <cell r="G464" t="str">
            <v>CAISO</v>
          </cell>
        </row>
        <row r="465">
          <cell r="E465" t="str">
            <v>ResourceToZone</v>
          </cell>
          <cell r="F465" t="str">
            <v>CAISO_Shed_DR_Tranche6</v>
          </cell>
          <cell r="G465" t="str">
            <v>CAISO</v>
          </cell>
        </row>
        <row r="466">
          <cell r="E466" t="str">
            <v>ResourceToZone</v>
          </cell>
          <cell r="F466" t="str">
            <v>CAISO_Shed_DR_Tranche7</v>
          </cell>
          <cell r="G466" t="str">
            <v>CAISO</v>
          </cell>
        </row>
        <row r="467">
          <cell r="E467" t="str">
            <v>ResourceToZone</v>
          </cell>
          <cell r="F467" t="str">
            <v>CAISO_Shed_DR_Tranche8</v>
          </cell>
          <cell r="G467" t="str">
            <v>CAISO</v>
          </cell>
        </row>
        <row r="468">
          <cell r="E468" t="str">
            <v>ResourceToZone</v>
          </cell>
          <cell r="F468" t="str">
            <v>CAISO_Small_Hydro_for_CAISO</v>
          </cell>
          <cell r="G468" t="str">
            <v>CAISO</v>
          </cell>
        </row>
        <row r="469">
          <cell r="E469" t="str">
            <v>ResourceToZone</v>
          </cell>
          <cell r="F469" t="str">
            <v>CAISO_Small_Hydro_for_Other</v>
          </cell>
          <cell r="G469" t="str">
            <v>CAISO</v>
          </cell>
        </row>
        <row r="470">
          <cell r="E470" t="str">
            <v>ResourceToZone</v>
          </cell>
          <cell r="F470" t="str">
            <v>CAISO_Solar_for_CAISO</v>
          </cell>
          <cell r="G470" t="str">
            <v>CAISO</v>
          </cell>
        </row>
        <row r="471">
          <cell r="E471" t="str">
            <v>ResourceToZone</v>
          </cell>
          <cell r="F471" t="str">
            <v>CAISO_Solar_for_Other</v>
          </cell>
          <cell r="G471" t="str">
            <v>CAISO</v>
          </cell>
        </row>
        <row r="472">
          <cell r="E472" t="str">
            <v>ResourceToZone</v>
          </cell>
          <cell r="F472" t="str">
            <v>CAISO_ST</v>
          </cell>
          <cell r="G472" t="str">
            <v>CAISO</v>
          </cell>
        </row>
        <row r="473">
          <cell r="E473" t="str">
            <v>ResourceToZone</v>
          </cell>
          <cell r="F473" t="str">
            <v>CAISO_Wind_for_CAISO</v>
          </cell>
          <cell r="G473" t="str">
            <v>CAISO</v>
          </cell>
        </row>
        <row r="474">
          <cell r="E474" t="str">
            <v>ResourceToZone</v>
          </cell>
          <cell r="F474" t="str">
            <v>CAISO_Wind_for_Other</v>
          </cell>
          <cell r="G474" t="str">
            <v>CAISO</v>
          </cell>
        </row>
        <row r="475">
          <cell r="E475" t="str">
            <v>ResourceToZone</v>
          </cell>
          <cell r="F475" t="str">
            <v>Carrizo_Wind</v>
          </cell>
          <cell r="G475" t="str">
            <v>CAISO</v>
          </cell>
        </row>
        <row r="476">
          <cell r="E476" t="str">
            <v>ResourceToZone</v>
          </cell>
          <cell r="F476" t="str">
            <v>Central_Valley_North_Los_Banos_Wind</v>
          </cell>
          <cell r="G476" t="str">
            <v>CAISO</v>
          </cell>
        </row>
        <row r="477">
          <cell r="E477" t="str">
            <v>ResourceToZone</v>
          </cell>
          <cell r="F477" t="str">
            <v>Customer_PV</v>
          </cell>
          <cell r="G477" t="str">
            <v>CAISO</v>
          </cell>
        </row>
        <row r="478">
          <cell r="E478" t="str">
            <v>ResourceToZone</v>
          </cell>
          <cell r="F478" t="str">
            <v>Distributed_Solar</v>
          </cell>
          <cell r="G478" t="str">
            <v>CAISO</v>
          </cell>
        </row>
        <row r="479">
          <cell r="E479" t="str">
            <v>ResourceToZone</v>
          </cell>
          <cell r="F479" t="str">
            <v>Greater_Imperial_Geothermal</v>
          </cell>
          <cell r="G479" t="str">
            <v>CAISO</v>
          </cell>
        </row>
        <row r="480">
          <cell r="E480" t="str">
            <v>ResourceToZone</v>
          </cell>
          <cell r="F480" t="str">
            <v>Greater_Kramer_Li_Battery</v>
          </cell>
          <cell r="G480" t="str">
            <v>CAISO</v>
          </cell>
        </row>
        <row r="481">
          <cell r="E481" t="str">
            <v>ResourceToZone</v>
          </cell>
          <cell r="F481" t="str">
            <v>Greater_Kramer_Solar</v>
          </cell>
          <cell r="G481" t="str">
            <v>CAISO</v>
          </cell>
        </row>
        <row r="482">
          <cell r="E482" t="str">
            <v>ResourceToZone</v>
          </cell>
          <cell r="F482" t="str">
            <v>Greater_LA_Li_Battery</v>
          </cell>
          <cell r="G482" t="str">
            <v>CAISO</v>
          </cell>
        </row>
        <row r="483">
          <cell r="E483" t="str">
            <v>ResourceToZone</v>
          </cell>
          <cell r="F483" t="str">
            <v>Greater_LA_Solar</v>
          </cell>
          <cell r="G483" t="str">
            <v>CAISO</v>
          </cell>
        </row>
        <row r="484">
          <cell r="E484" t="str">
            <v>ResourceToZone</v>
          </cell>
          <cell r="F484" t="str">
            <v>Humboldt_Bay_Offshore_Wind</v>
          </cell>
          <cell r="G484" t="str">
            <v>CAISO</v>
          </cell>
        </row>
        <row r="485">
          <cell r="E485" t="str">
            <v>ResourceToZone</v>
          </cell>
          <cell r="F485" t="str">
            <v>Humboldt_Wind</v>
          </cell>
          <cell r="G485" t="str">
            <v>CAISO</v>
          </cell>
        </row>
        <row r="486">
          <cell r="E486" t="str">
            <v>ResourceToZone</v>
          </cell>
          <cell r="F486" t="str">
            <v>Idaho_Wind</v>
          </cell>
          <cell r="G486" t="str">
            <v>CAISO</v>
          </cell>
        </row>
        <row r="487">
          <cell r="E487" t="str">
            <v>ResourceToZone</v>
          </cell>
          <cell r="F487" t="str">
            <v>IID_Biomass_for_Other</v>
          </cell>
          <cell r="G487" t="str">
            <v>IID</v>
          </cell>
        </row>
        <row r="488">
          <cell r="E488" t="str">
            <v>ResourceToZone</v>
          </cell>
          <cell r="F488" t="str">
            <v>IID_CCGT</v>
          </cell>
          <cell r="G488" t="str">
            <v>IID</v>
          </cell>
        </row>
        <row r="489">
          <cell r="E489" t="str">
            <v>ResourceToZone</v>
          </cell>
          <cell r="F489" t="str">
            <v>IID_Geothermal_for_CAISO</v>
          </cell>
          <cell r="G489" t="str">
            <v>IID</v>
          </cell>
        </row>
        <row r="490">
          <cell r="E490" t="str">
            <v>ResourceToZone</v>
          </cell>
          <cell r="F490" t="str">
            <v>IID_Geothermal_for_Other</v>
          </cell>
          <cell r="G490" t="str">
            <v>IID</v>
          </cell>
        </row>
        <row r="491">
          <cell r="E491" t="str">
            <v>ResourceToZone</v>
          </cell>
          <cell r="F491" t="str">
            <v>IID_Hydro</v>
          </cell>
          <cell r="G491" t="str">
            <v>IID</v>
          </cell>
        </row>
        <row r="492">
          <cell r="E492" t="str">
            <v>ResourceToZone</v>
          </cell>
          <cell r="F492" t="str">
            <v>IID_Peaker</v>
          </cell>
          <cell r="G492" t="str">
            <v>IID</v>
          </cell>
        </row>
        <row r="493">
          <cell r="E493" t="str">
            <v>ResourceToZone</v>
          </cell>
          <cell r="F493" t="str">
            <v>IID_Small_Hydro_for_Other</v>
          </cell>
          <cell r="G493" t="str">
            <v>IID</v>
          </cell>
        </row>
        <row r="494">
          <cell r="E494" t="str">
            <v>ResourceToZone</v>
          </cell>
          <cell r="F494" t="str">
            <v>IID_Solar_for_CAISO</v>
          </cell>
          <cell r="G494" t="str">
            <v>IID</v>
          </cell>
        </row>
        <row r="495">
          <cell r="E495" t="str">
            <v>ResourceToZone</v>
          </cell>
          <cell r="F495" t="str">
            <v>IID_Solar_for_Other</v>
          </cell>
          <cell r="G495" t="str">
            <v>IID</v>
          </cell>
        </row>
        <row r="496">
          <cell r="E496" t="str">
            <v>ResourceToZone</v>
          </cell>
          <cell r="F496" t="str">
            <v>IID_Wind_for_Other</v>
          </cell>
          <cell r="G496" t="str">
            <v>IID</v>
          </cell>
        </row>
        <row r="497">
          <cell r="E497" t="str">
            <v>ResourceToZone</v>
          </cell>
          <cell r="F497" t="str">
            <v>Imperial_Li_Battery</v>
          </cell>
          <cell r="G497" t="str">
            <v>CAISO</v>
          </cell>
        </row>
        <row r="498">
          <cell r="E498" t="str">
            <v>ResourceToZone</v>
          </cell>
          <cell r="F498" t="str">
            <v>Imperial_Solar</v>
          </cell>
          <cell r="G498" t="str">
            <v>CAISO</v>
          </cell>
        </row>
        <row r="499">
          <cell r="E499" t="str">
            <v>ResourceToZone</v>
          </cell>
          <cell r="F499" t="str">
            <v>InState_Biomass</v>
          </cell>
          <cell r="G499" t="str">
            <v>CAISO</v>
          </cell>
        </row>
        <row r="500">
          <cell r="E500" t="str">
            <v>ResourceToZone</v>
          </cell>
          <cell r="F500" t="str">
            <v>Inyokern_North_Kramer_Geothermal</v>
          </cell>
          <cell r="G500" t="str">
            <v>CAISO</v>
          </cell>
        </row>
        <row r="501">
          <cell r="E501" t="str">
            <v>ResourceToZone</v>
          </cell>
          <cell r="F501" t="str">
            <v>Kern_Greater_Carrizo_Wind</v>
          </cell>
          <cell r="G501" t="str">
            <v>CAISO</v>
          </cell>
        </row>
        <row r="502">
          <cell r="E502" t="str">
            <v>ResourceToZone</v>
          </cell>
          <cell r="F502" t="str">
            <v>LDWP_Biomass_for_Other</v>
          </cell>
          <cell r="G502" t="str">
            <v>LDWP</v>
          </cell>
        </row>
        <row r="503">
          <cell r="E503" t="str">
            <v>ResourceToZone</v>
          </cell>
          <cell r="F503" t="str">
            <v>LDWP_CCGT</v>
          </cell>
          <cell r="G503" t="str">
            <v>LDWP</v>
          </cell>
        </row>
        <row r="504">
          <cell r="E504" t="str">
            <v>ResourceToZone</v>
          </cell>
          <cell r="F504" t="str">
            <v>LDWP_Coal</v>
          </cell>
          <cell r="G504" t="str">
            <v>LDWP</v>
          </cell>
        </row>
        <row r="505">
          <cell r="E505" t="str">
            <v>ResourceToZone</v>
          </cell>
          <cell r="F505" t="str">
            <v>LDWP_Geothermal_for_Other</v>
          </cell>
          <cell r="G505" t="str">
            <v>LDWP</v>
          </cell>
        </row>
        <row r="506">
          <cell r="E506" t="str">
            <v>ResourceToZone</v>
          </cell>
          <cell r="F506" t="str">
            <v>LDWP_Hydro</v>
          </cell>
          <cell r="G506" t="str">
            <v>LDWP</v>
          </cell>
        </row>
        <row r="507">
          <cell r="E507" t="str">
            <v>ResourceToZone</v>
          </cell>
          <cell r="F507" t="str">
            <v>LDWP_Nuclear</v>
          </cell>
          <cell r="G507" t="str">
            <v>LDWP</v>
          </cell>
        </row>
        <row r="508">
          <cell r="E508" t="str">
            <v>ResourceToZone</v>
          </cell>
          <cell r="F508" t="str">
            <v>LDWP_Peaker</v>
          </cell>
          <cell r="G508" t="str">
            <v>LDWP</v>
          </cell>
        </row>
        <row r="509">
          <cell r="E509" t="str">
            <v>ResourceToZone</v>
          </cell>
          <cell r="F509" t="str">
            <v>LDWP_Small_Hydro_for_Other</v>
          </cell>
          <cell r="G509" t="str">
            <v>LDWP</v>
          </cell>
        </row>
        <row r="510">
          <cell r="E510" t="str">
            <v>ResourceToZone</v>
          </cell>
          <cell r="F510" t="str">
            <v>LDWP_Solar_for_Other</v>
          </cell>
          <cell r="G510" t="str">
            <v>LDWP</v>
          </cell>
        </row>
        <row r="511">
          <cell r="E511" t="str">
            <v>ResourceToZone</v>
          </cell>
          <cell r="F511" t="str">
            <v>LDWP_ST</v>
          </cell>
          <cell r="G511" t="str">
            <v>LDWP</v>
          </cell>
        </row>
        <row r="512">
          <cell r="E512" t="str">
            <v>ResourceToZone</v>
          </cell>
          <cell r="F512" t="str">
            <v>LDWP_Wind_for_CAISO</v>
          </cell>
          <cell r="G512" t="str">
            <v>LDWP</v>
          </cell>
        </row>
        <row r="513">
          <cell r="E513" t="str">
            <v>ResourceToZone</v>
          </cell>
          <cell r="F513" t="str">
            <v>LDWP_Wind_for_Other</v>
          </cell>
          <cell r="G513" t="str">
            <v>LDWP</v>
          </cell>
        </row>
        <row r="514">
          <cell r="E514" t="str">
            <v>ResourceToZone</v>
          </cell>
          <cell r="F514" t="str">
            <v>Morro_Bay_Offshore_Wind</v>
          </cell>
          <cell r="G514" t="str">
            <v>CAISO</v>
          </cell>
        </row>
        <row r="515">
          <cell r="E515" t="str">
            <v>ResourceToZone</v>
          </cell>
          <cell r="F515" t="str">
            <v>New_Mexico_Wind</v>
          </cell>
          <cell r="G515" t="str">
            <v>CAISO</v>
          </cell>
        </row>
        <row r="516">
          <cell r="E516" t="str">
            <v>ResourceToZone</v>
          </cell>
          <cell r="F516" t="str">
            <v>Northern_California_Geothermal</v>
          </cell>
          <cell r="G516" t="str">
            <v>CAISO</v>
          </cell>
        </row>
        <row r="517">
          <cell r="E517" t="str">
            <v>ResourceToZone</v>
          </cell>
          <cell r="F517" t="str">
            <v>Northern_California_Li_Battery</v>
          </cell>
          <cell r="G517" t="str">
            <v>CAISO</v>
          </cell>
        </row>
        <row r="518">
          <cell r="E518" t="str">
            <v>ResourceToZone</v>
          </cell>
          <cell r="F518" t="str">
            <v>Northern_California_Solar</v>
          </cell>
          <cell r="G518" t="str">
            <v>CAISO</v>
          </cell>
        </row>
        <row r="519">
          <cell r="E519" t="str">
            <v>ResourceToZone</v>
          </cell>
          <cell r="F519" t="str">
            <v>Northern_California_Wind</v>
          </cell>
          <cell r="G519" t="str">
            <v>CAISO</v>
          </cell>
        </row>
        <row r="520">
          <cell r="E520" t="str">
            <v>ResourceToZone</v>
          </cell>
          <cell r="F520" t="str">
            <v>NW_Biomass_for_CAISO</v>
          </cell>
          <cell r="G520" t="str">
            <v>NW</v>
          </cell>
        </row>
        <row r="521">
          <cell r="E521" t="str">
            <v>ResourceToZone</v>
          </cell>
          <cell r="F521" t="str">
            <v>NW_Biomass_for_Other</v>
          </cell>
          <cell r="G521" t="str">
            <v>NW</v>
          </cell>
        </row>
        <row r="522">
          <cell r="E522" t="str">
            <v>ResourceToZone</v>
          </cell>
          <cell r="F522" t="str">
            <v>NW_CCGT</v>
          </cell>
          <cell r="G522" t="str">
            <v>NW</v>
          </cell>
        </row>
        <row r="523">
          <cell r="E523" t="str">
            <v>ResourceToZone</v>
          </cell>
          <cell r="F523" t="str">
            <v>NW_Coal</v>
          </cell>
          <cell r="G523" t="str">
            <v>NW</v>
          </cell>
        </row>
        <row r="524">
          <cell r="E524" t="str">
            <v>ResourceToZone</v>
          </cell>
          <cell r="F524" t="str">
            <v>NW_Ext_Tx_Wind</v>
          </cell>
          <cell r="G524" t="str">
            <v>CAISO</v>
          </cell>
        </row>
        <row r="525">
          <cell r="E525" t="str">
            <v>ResourceToZone</v>
          </cell>
          <cell r="F525" t="str">
            <v>NW_Geothermal_for_CAISO</v>
          </cell>
          <cell r="G525" t="str">
            <v>NW</v>
          </cell>
        </row>
        <row r="526">
          <cell r="E526" t="str">
            <v>ResourceToZone</v>
          </cell>
          <cell r="F526" t="str">
            <v>NW_Geothermal_for_Other</v>
          </cell>
          <cell r="G526" t="str">
            <v>NW</v>
          </cell>
        </row>
        <row r="527">
          <cell r="E527" t="str">
            <v>ResourceToZone</v>
          </cell>
          <cell r="F527" t="str">
            <v>NW_Hydro</v>
          </cell>
          <cell r="G527" t="str">
            <v>NW</v>
          </cell>
        </row>
        <row r="528">
          <cell r="E528" t="str">
            <v>ResourceToZone</v>
          </cell>
          <cell r="F528" t="str">
            <v>NW_Hydro_for_CAISO</v>
          </cell>
          <cell r="G528" t="str">
            <v>CAISO_NW_Hydro</v>
          </cell>
        </row>
        <row r="529">
          <cell r="E529" t="str">
            <v>ResourceToZone</v>
          </cell>
          <cell r="F529" t="str">
            <v>NW_Nuclear</v>
          </cell>
          <cell r="G529" t="str">
            <v>NW</v>
          </cell>
        </row>
        <row r="530">
          <cell r="E530" t="str">
            <v>ResourceToZone</v>
          </cell>
          <cell r="F530" t="str">
            <v>NW_Peaker</v>
          </cell>
          <cell r="G530" t="str">
            <v>NW</v>
          </cell>
        </row>
        <row r="531">
          <cell r="E531" t="str">
            <v>ResourceToZone</v>
          </cell>
          <cell r="F531" t="str">
            <v>NW_Small_Hydro_for_CAISO</v>
          </cell>
          <cell r="G531" t="str">
            <v>NW</v>
          </cell>
        </row>
        <row r="532">
          <cell r="E532" t="str">
            <v>ResourceToZone</v>
          </cell>
          <cell r="F532" t="str">
            <v>NW_Small_Hydro_for_Other</v>
          </cell>
          <cell r="G532" t="str">
            <v>NW</v>
          </cell>
        </row>
        <row r="533">
          <cell r="E533" t="str">
            <v>ResourceToZone</v>
          </cell>
          <cell r="F533" t="str">
            <v>NW_Solar_for_Other</v>
          </cell>
          <cell r="G533" t="str">
            <v>NW</v>
          </cell>
        </row>
        <row r="534">
          <cell r="E534" t="str">
            <v>ResourceToZone</v>
          </cell>
          <cell r="F534" t="str">
            <v>NW_Wind_for_CAISO</v>
          </cell>
          <cell r="G534" t="str">
            <v>NW</v>
          </cell>
        </row>
        <row r="535">
          <cell r="E535" t="str">
            <v>ResourceToZone</v>
          </cell>
          <cell r="F535" t="str">
            <v>NW_Wind_for_Other</v>
          </cell>
          <cell r="G535" t="str">
            <v>NW</v>
          </cell>
        </row>
        <row r="536">
          <cell r="E536" t="str">
            <v>ResourceToZone</v>
          </cell>
          <cell r="F536" t="str">
            <v>Pacific_Northwest_Geothermal</v>
          </cell>
          <cell r="G536" t="str">
            <v>CAISO</v>
          </cell>
        </row>
        <row r="537">
          <cell r="E537" t="str">
            <v>ResourceToZone</v>
          </cell>
          <cell r="F537" t="str">
            <v>Pacific_Northwest_Wind</v>
          </cell>
          <cell r="G537" t="str">
            <v>CAISO</v>
          </cell>
        </row>
        <row r="538">
          <cell r="E538" t="str">
            <v>ResourceToZone</v>
          </cell>
          <cell r="F538" t="str">
            <v>Riverside_East_Pumped_Storage</v>
          </cell>
          <cell r="G538" t="str">
            <v>CAISO</v>
          </cell>
        </row>
        <row r="539">
          <cell r="E539" t="str">
            <v>ResourceToZone</v>
          </cell>
          <cell r="F539" t="str">
            <v>Riverside_Li_Battery</v>
          </cell>
          <cell r="G539" t="str">
            <v>CAISO</v>
          </cell>
        </row>
        <row r="540">
          <cell r="E540" t="str">
            <v>ResourceToZone</v>
          </cell>
          <cell r="F540" t="str">
            <v>Riverside_Palm_Springs_Geothermal</v>
          </cell>
          <cell r="G540" t="str">
            <v>CAISO</v>
          </cell>
        </row>
        <row r="541">
          <cell r="E541" t="str">
            <v>ResourceToZone</v>
          </cell>
          <cell r="F541" t="str">
            <v>Riverside_Palm_Springs_Wind</v>
          </cell>
          <cell r="G541" t="str">
            <v>CAISO</v>
          </cell>
        </row>
        <row r="542">
          <cell r="E542" t="str">
            <v>ResourceToZone</v>
          </cell>
          <cell r="F542" t="str">
            <v>Riverside_Solar</v>
          </cell>
          <cell r="G542" t="str">
            <v>CAISO</v>
          </cell>
        </row>
        <row r="543">
          <cell r="E543" t="str">
            <v>ResourceToZone</v>
          </cell>
          <cell r="F543" t="str">
            <v>Riverside_West_Pumped_Storage</v>
          </cell>
          <cell r="G543" t="str">
            <v>CAISO</v>
          </cell>
        </row>
        <row r="544">
          <cell r="E544" t="str">
            <v>ResourceToZone</v>
          </cell>
          <cell r="F544" t="str">
            <v>San_Diego_Li_Battery</v>
          </cell>
          <cell r="G544" t="str">
            <v>CAISO</v>
          </cell>
        </row>
        <row r="545">
          <cell r="E545" t="str">
            <v>ResourceToZone</v>
          </cell>
          <cell r="F545" t="str">
            <v>San_Diego_Pumped_Storage</v>
          </cell>
          <cell r="G545" t="str">
            <v>CAISO</v>
          </cell>
        </row>
        <row r="546">
          <cell r="E546" t="str">
            <v>ResourceToZone</v>
          </cell>
          <cell r="F546" t="str">
            <v>Solano_Geothermal</v>
          </cell>
          <cell r="G546" t="str">
            <v>CAISO</v>
          </cell>
        </row>
        <row r="547">
          <cell r="E547" t="str">
            <v>ResourceToZone</v>
          </cell>
          <cell r="F547" t="str">
            <v>Solano_Wind</v>
          </cell>
          <cell r="G547" t="str">
            <v>CAISO</v>
          </cell>
        </row>
        <row r="548">
          <cell r="E548" t="str">
            <v>ResourceToZone</v>
          </cell>
          <cell r="F548" t="str">
            <v>Southern_Nevada_Geothermal</v>
          </cell>
          <cell r="G548" t="str">
            <v>CAISO</v>
          </cell>
        </row>
        <row r="549">
          <cell r="E549" t="str">
            <v>ResourceToZone</v>
          </cell>
          <cell r="F549" t="str">
            <v>Southern_Nevada_Wind</v>
          </cell>
          <cell r="G549" t="str">
            <v>CAISO</v>
          </cell>
        </row>
        <row r="550">
          <cell r="E550" t="str">
            <v>ResourceToZone</v>
          </cell>
          <cell r="F550" t="str">
            <v>Southern_NV_Eldorado_Li_Battery</v>
          </cell>
          <cell r="G550" t="str">
            <v>CAISO</v>
          </cell>
        </row>
        <row r="551">
          <cell r="E551" t="str">
            <v>ResourceToZone</v>
          </cell>
          <cell r="F551" t="str">
            <v>Southern_NV_Eldorado_Solar</v>
          </cell>
          <cell r="G551" t="str">
            <v>CAISO</v>
          </cell>
        </row>
        <row r="552">
          <cell r="E552" t="str">
            <v>ResourceToZone</v>
          </cell>
          <cell r="F552" t="str">
            <v>Southern_PGAE_Li_Battery</v>
          </cell>
          <cell r="G552" t="str">
            <v>CAISO</v>
          </cell>
        </row>
        <row r="553">
          <cell r="E553" t="str">
            <v>ResourceToZone</v>
          </cell>
          <cell r="F553" t="str">
            <v>Southern_PGAE_Solar</v>
          </cell>
          <cell r="G553" t="str">
            <v>CAISO</v>
          </cell>
        </row>
        <row r="554">
          <cell r="E554" t="str">
            <v>ResourceToZone</v>
          </cell>
          <cell r="F554" t="str">
            <v>SW_Biomass_for_Other</v>
          </cell>
          <cell r="G554" t="str">
            <v>SW</v>
          </cell>
        </row>
        <row r="555">
          <cell r="E555" t="str">
            <v>ResourceToZone</v>
          </cell>
          <cell r="F555" t="str">
            <v>SW_CCGT</v>
          </cell>
          <cell r="G555" t="str">
            <v>SW</v>
          </cell>
        </row>
        <row r="556">
          <cell r="E556" t="str">
            <v>ResourceToZone</v>
          </cell>
          <cell r="F556" t="str">
            <v>SW_Coal</v>
          </cell>
          <cell r="G556" t="str">
            <v>SW</v>
          </cell>
        </row>
        <row r="557">
          <cell r="E557" t="str">
            <v>ResourceToZone</v>
          </cell>
          <cell r="F557" t="str">
            <v>SW_Ext_Tx_Wind</v>
          </cell>
          <cell r="G557" t="str">
            <v>CAISO</v>
          </cell>
        </row>
        <row r="558">
          <cell r="E558" t="str">
            <v>ResourceToZone</v>
          </cell>
          <cell r="F558" t="str">
            <v>SW_Geothermal_for_Other</v>
          </cell>
          <cell r="G558" t="str">
            <v>SW</v>
          </cell>
        </row>
        <row r="559">
          <cell r="E559" t="str">
            <v>ResourceToZone</v>
          </cell>
          <cell r="F559" t="str">
            <v>SW_Hydro</v>
          </cell>
          <cell r="G559" t="str">
            <v>SW</v>
          </cell>
        </row>
        <row r="560">
          <cell r="E560" t="str">
            <v>ResourceToZone</v>
          </cell>
          <cell r="F560" t="str">
            <v>SW_Nuclear</v>
          </cell>
          <cell r="G560" t="str">
            <v>SW</v>
          </cell>
        </row>
        <row r="561">
          <cell r="E561" t="str">
            <v>ResourceToZone</v>
          </cell>
          <cell r="F561" t="str">
            <v>SW_Peaker</v>
          </cell>
          <cell r="G561" t="str">
            <v>SW</v>
          </cell>
        </row>
        <row r="562">
          <cell r="E562" t="str">
            <v>ResourceToZone</v>
          </cell>
          <cell r="F562" t="str">
            <v>SW_Small_Hydro_for_Other</v>
          </cell>
          <cell r="G562" t="str">
            <v>SW</v>
          </cell>
        </row>
        <row r="563">
          <cell r="E563" t="str">
            <v>ResourceToZone</v>
          </cell>
          <cell r="F563" t="str">
            <v>SW_Solar_for_CAISO</v>
          </cell>
          <cell r="G563" t="str">
            <v>SW</v>
          </cell>
        </row>
        <row r="564">
          <cell r="E564" t="str">
            <v>ResourceToZone</v>
          </cell>
          <cell r="F564" t="str">
            <v>SW_Solar_for_Other</v>
          </cell>
          <cell r="G564" t="str">
            <v>SW</v>
          </cell>
        </row>
        <row r="565">
          <cell r="E565" t="str">
            <v>ResourceToZone</v>
          </cell>
          <cell r="F565" t="str">
            <v>SW_ST</v>
          </cell>
          <cell r="G565" t="str">
            <v>SW</v>
          </cell>
        </row>
        <row r="566">
          <cell r="E566" t="str">
            <v>ResourceToZone</v>
          </cell>
          <cell r="F566" t="str">
            <v>SW_Wind_for_CAISO</v>
          </cell>
          <cell r="G566" t="str">
            <v>SW</v>
          </cell>
        </row>
        <row r="567">
          <cell r="E567" t="str">
            <v>ResourceToZone</v>
          </cell>
          <cell r="F567" t="str">
            <v>SW_Wind_for_Other</v>
          </cell>
          <cell r="G567" t="str">
            <v>SW</v>
          </cell>
        </row>
        <row r="568">
          <cell r="E568" t="str">
            <v>ResourceToZone</v>
          </cell>
          <cell r="F568" t="str">
            <v>Tehachapi_Li_Battery</v>
          </cell>
          <cell r="G568" t="str">
            <v>CAISO</v>
          </cell>
        </row>
        <row r="569">
          <cell r="E569" t="str">
            <v>ResourceToZone</v>
          </cell>
          <cell r="F569" t="str">
            <v>Tehachapi_Pumped_Storage</v>
          </cell>
          <cell r="G569" t="str">
            <v>CAISO</v>
          </cell>
        </row>
        <row r="570">
          <cell r="E570" t="str">
            <v>ResourceToZone</v>
          </cell>
          <cell r="F570" t="str">
            <v>Tehachapi_Solar</v>
          </cell>
          <cell r="G570" t="str">
            <v>CAISO</v>
          </cell>
        </row>
        <row r="571">
          <cell r="E571" t="str">
            <v>ResourceToZone</v>
          </cell>
          <cell r="F571" t="str">
            <v>Tehachapi_Wind</v>
          </cell>
          <cell r="G571" t="str">
            <v>CAISO</v>
          </cell>
        </row>
        <row r="572">
          <cell r="E572" t="str">
            <v>ResourceToZone</v>
          </cell>
          <cell r="F572" t="str">
            <v>Utah_Wind</v>
          </cell>
          <cell r="G572" t="str">
            <v>CAISO</v>
          </cell>
        </row>
        <row r="573">
          <cell r="E573" t="str">
            <v>ResourceToZone</v>
          </cell>
          <cell r="F573" t="str">
            <v>Wyoming_Wind</v>
          </cell>
          <cell r="G573" t="str">
            <v>CAISO</v>
          </cell>
        </row>
        <row r="574">
          <cell r="E574" t="str">
            <v>ZoneToTransmissionPath</v>
          </cell>
          <cell r="F574" t="str">
            <v>BANC</v>
          </cell>
          <cell r="G574" t="str">
            <v>SW_to_BANC</v>
          </cell>
        </row>
        <row r="575">
          <cell r="E575" t="str">
            <v>ZoneToTransmissionPath</v>
          </cell>
          <cell r="F575" t="str">
            <v>BANC</v>
          </cell>
          <cell r="G575" t="str">
            <v>NW_to_BANC</v>
          </cell>
        </row>
        <row r="576">
          <cell r="E576" t="str">
            <v>ZoneToTransmissionPath</v>
          </cell>
          <cell r="F576" t="str">
            <v>BANC</v>
          </cell>
          <cell r="G576" t="str">
            <v>IID_to_BANC</v>
          </cell>
        </row>
        <row r="577">
          <cell r="E577" t="str">
            <v>ZoneToTransmissionPath</v>
          </cell>
          <cell r="F577" t="str">
            <v>BANC</v>
          </cell>
          <cell r="G577" t="str">
            <v>BANC_to_CAISO</v>
          </cell>
        </row>
        <row r="578">
          <cell r="E578" t="str">
            <v>ZoneToTransmissionPath</v>
          </cell>
          <cell r="F578" t="str">
            <v>CAISO</v>
          </cell>
          <cell r="G578" t="str">
            <v>BANC_to_CAISO</v>
          </cell>
        </row>
        <row r="579">
          <cell r="E579" t="str">
            <v>ZoneToTransmissionPath</v>
          </cell>
          <cell r="F579" t="str">
            <v>CAISO</v>
          </cell>
          <cell r="G579" t="str">
            <v>IID_to_CAISO</v>
          </cell>
        </row>
        <row r="580">
          <cell r="E580" t="str">
            <v>ZoneToTransmissionPath</v>
          </cell>
          <cell r="F580" t="str">
            <v>CAISO</v>
          </cell>
          <cell r="G580" t="str">
            <v>NW_to_CAISO</v>
          </cell>
        </row>
        <row r="581">
          <cell r="E581" t="str">
            <v>ZoneToTransmissionPath</v>
          </cell>
          <cell r="F581" t="str">
            <v>CAISO</v>
          </cell>
          <cell r="G581" t="str">
            <v>LDWP_to_CAISO</v>
          </cell>
        </row>
        <row r="582">
          <cell r="E582" t="str">
            <v>ZoneToTransmissionPath</v>
          </cell>
          <cell r="F582" t="str">
            <v>CAISO</v>
          </cell>
          <cell r="G582" t="str">
            <v>SW_to_CAISO</v>
          </cell>
        </row>
        <row r="583">
          <cell r="E583" t="str">
            <v>ZoneToTransmissionPath</v>
          </cell>
          <cell r="F583" t="str">
            <v>CAISO_NW_Hydro</v>
          </cell>
          <cell r="G583" t="str">
            <v>NW_to_CAISO_Unspecified</v>
          </cell>
        </row>
        <row r="584">
          <cell r="E584" t="str">
            <v>ZoneToTransmissionPath</v>
          </cell>
          <cell r="F584" t="str">
            <v>CAISO_NW_Hydro</v>
          </cell>
          <cell r="G584" t="str">
            <v>NW_to_CAISO</v>
          </cell>
        </row>
        <row r="585">
          <cell r="E585" t="str">
            <v>ZoneToTransmissionPath</v>
          </cell>
          <cell r="F585" t="str">
            <v>IID</v>
          </cell>
          <cell r="G585" t="str">
            <v>SW_to_IID</v>
          </cell>
        </row>
        <row r="586">
          <cell r="E586" t="str">
            <v>ZoneToTransmissionPath</v>
          </cell>
          <cell r="F586" t="str">
            <v>IID</v>
          </cell>
          <cell r="G586" t="str">
            <v>IID_to_CAISO</v>
          </cell>
        </row>
        <row r="587">
          <cell r="E587" t="str">
            <v>ZoneToTransmissionPath</v>
          </cell>
          <cell r="F587" t="str">
            <v>IID</v>
          </cell>
          <cell r="G587" t="str">
            <v>IID_to_LDWP</v>
          </cell>
        </row>
        <row r="588">
          <cell r="E588" t="str">
            <v>ZoneToTransmissionPath</v>
          </cell>
          <cell r="F588" t="str">
            <v>IID</v>
          </cell>
          <cell r="G588" t="str">
            <v>IID_to_BANC</v>
          </cell>
        </row>
        <row r="589">
          <cell r="E589" t="str">
            <v>ZoneToTransmissionPath</v>
          </cell>
          <cell r="F589" t="str">
            <v>LDWP</v>
          </cell>
          <cell r="G589" t="str">
            <v>IID_to_LDWP</v>
          </cell>
        </row>
        <row r="590">
          <cell r="E590" t="str">
            <v>ZoneToTransmissionPath</v>
          </cell>
          <cell r="F590" t="str">
            <v>LDWP</v>
          </cell>
          <cell r="G590" t="str">
            <v>SW_to_LDWP</v>
          </cell>
        </row>
        <row r="591">
          <cell r="E591" t="str">
            <v>ZoneToTransmissionPath</v>
          </cell>
          <cell r="F591" t="str">
            <v>LDWP</v>
          </cell>
          <cell r="G591" t="str">
            <v>LDWP_to_CAISO</v>
          </cell>
        </row>
        <row r="592">
          <cell r="E592" t="str">
            <v>ZoneToTransmissionPath</v>
          </cell>
          <cell r="F592" t="str">
            <v>LDWP</v>
          </cell>
          <cell r="G592" t="str">
            <v>NW_to_LDWP</v>
          </cell>
        </row>
        <row r="593">
          <cell r="E593" t="str">
            <v>ZoneToTransmissionPath</v>
          </cell>
          <cell r="F593" t="str">
            <v>NW</v>
          </cell>
          <cell r="G593" t="str">
            <v>NW_to_LDWP</v>
          </cell>
        </row>
        <row r="594">
          <cell r="E594" t="str">
            <v>ZoneToTransmissionPath</v>
          </cell>
          <cell r="F594" t="str">
            <v>NW</v>
          </cell>
          <cell r="G594" t="str">
            <v>NW_to_SW</v>
          </cell>
        </row>
        <row r="595">
          <cell r="E595" t="str">
            <v>ZoneToTransmissionPath</v>
          </cell>
          <cell r="F595" t="str">
            <v>NW</v>
          </cell>
          <cell r="G595" t="str">
            <v>NW_to_CAISO_Unspecified</v>
          </cell>
        </row>
        <row r="596">
          <cell r="E596" t="str">
            <v>ZoneToTransmissionPath</v>
          </cell>
          <cell r="F596" t="str">
            <v>NW</v>
          </cell>
          <cell r="G596" t="str">
            <v>NW_to_BANC</v>
          </cell>
        </row>
        <row r="597">
          <cell r="E597" t="str">
            <v>ZoneToTransmissionPath</v>
          </cell>
          <cell r="F597" t="str">
            <v>SW</v>
          </cell>
          <cell r="G597" t="str">
            <v>SW_to_CAISO</v>
          </cell>
        </row>
        <row r="598">
          <cell r="E598" t="str">
            <v>ZoneToTransmissionPath</v>
          </cell>
          <cell r="F598" t="str">
            <v>SW</v>
          </cell>
          <cell r="G598" t="str">
            <v>NW_to_SW</v>
          </cell>
        </row>
        <row r="599">
          <cell r="E599" t="str">
            <v>ZoneToTransmissionPath</v>
          </cell>
          <cell r="F599" t="str">
            <v>SW</v>
          </cell>
          <cell r="G599" t="str">
            <v>SW_to_LDWP</v>
          </cell>
        </row>
        <row r="600">
          <cell r="E600" t="str">
            <v>ZoneToTransmissionPath</v>
          </cell>
          <cell r="F600" t="str">
            <v>SW</v>
          </cell>
          <cell r="G600" t="str">
            <v>SW_to_IID</v>
          </cell>
        </row>
        <row r="601">
          <cell r="E601" t="str">
            <v>ZoneToTransmissionPath</v>
          </cell>
          <cell r="F601" t="str">
            <v>SW</v>
          </cell>
          <cell r="G601" t="str">
            <v>SW_to_BANC</v>
          </cell>
        </row>
        <row r="602">
          <cell r="E602" t="str">
            <v>AllToPolicy</v>
          </cell>
          <cell r="F602" t="str">
            <v>NW_Natural_Gas</v>
          </cell>
          <cell r="G602" t="str">
            <v>Rest of WECC Emissions</v>
          </cell>
        </row>
        <row r="603">
          <cell r="E603" t="str">
            <v>AllToPolicy</v>
          </cell>
          <cell r="F603" t="str">
            <v>SW_Natural_Gas</v>
          </cell>
          <cell r="G603" t="str">
            <v>Rest of WECC Emissions</v>
          </cell>
        </row>
        <row r="604">
          <cell r="E604" t="str">
            <v>AllToPolicy</v>
          </cell>
          <cell r="F604" t="str">
            <v>Coal</v>
          </cell>
          <cell r="G604" t="str">
            <v>Rest of WECC Emissions</v>
          </cell>
        </row>
        <row r="605">
          <cell r="E605" t="str">
            <v>AllToPolicy</v>
          </cell>
          <cell r="F605" t="str">
            <v>NW_Coal</v>
          </cell>
          <cell r="G605" t="str">
            <v>Rest of WECC Emissions</v>
          </cell>
        </row>
        <row r="606">
          <cell r="E606" t="str">
            <v>AllToPolicy</v>
          </cell>
          <cell r="F606" t="str">
            <v>NW_CCGT</v>
          </cell>
          <cell r="G606" t="str">
            <v>Rest of WECC Emissions</v>
          </cell>
        </row>
        <row r="607">
          <cell r="E607" t="str">
            <v>AllToPolicy</v>
          </cell>
          <cell r="F607" t="str">
            <v>NW_Peaker</v>
          </cell>
          <cell r="G607" t="str">
            <v>Rest of WECC Emissions</v>
          </cell>
        </row>
        <row r="608">
          <cell r="E608" t="str">
            <v>AllToPolicy</v>
          </cell>
          <cell r="F608" t="str">
            <v>SW_Coal</v>
          </cell>
          <cell r="G608" t="str">
            <v>Rest of WECC Emissions</v>
          </cell>
        </row>
        <row r="609">
          <cell r="E609" t="str">
            <v>AllToPolicy</v>
          </cell>
          <cell r="F609" t="str">
            <v>SW_CCGT</v>
          </cell>
          <cell r="G609" t="str">
            <v>Rest of WECC Emissions</v>
          </cell>
        </row>
        <row r="610">
          <cell r="E610" t="str">
            <v>AllToPolicy</v>
          </cell>
          <cell r="F610" t="str">
            <v>SW_Peaker</v>
          </cell>
          <cell r="G610" t="str">
            <v>Rest of WECC Emissions</v>
          </cell>
        </row>
        <row r="611">
          <cell r="E611" t="str">
            <v>AllToPolicy</v>
          </cell>
          <cell r="F611" t="str">
            <v>SW_ST</v>
          </cell>
          <cell r="G611" t="str">
            <v>Rest of WECC Emissions</v>
          </cell>
        </row>
        <row r="612">
          <cell r="E612" t="str">
            <v>AllToPolicy</v>
          </cell>
          <cell r="F612" t="str">
            <v>LDWP_Coal</v>
          </cell>
          <cell r="G612" t="str">
            <v>Rest of WECC Emissions</v>
          </cell>
        </row>
        <row r="613">
          <cell r="E613" t="str">
            <v>AllToPolicy</v>
          </cell>
          <cell r="F613" t="str">
            <v>LDWP_CCGT</v>
          </cell>
          <cell r="G613" t="str">
            <v>Rest of WECC Emissions</v>
          </cell>
        </row>
        <row r="614">
          <cell r="E614" t="str">
            <v>AllToPolicy</v>
          </cell>
          <cell r="F614" t="str">
            <v>LDWP_Peaker</v>
          </cell>
          <cell r="G614" t="str">
            <v>Rest of WECC Emissions</v>
          </cell>
        </row>
        <row r="615">
          <cell r="E615" t="str">
            <v>AllToPolicy</v>
          </cell>
          <cell r="F615" t="str">
            <v>LDWP_ST</v>
          </cell>
          <cell r="G615" t="str">
            <v>Rest of WECC Emissions</v>
          </cell>
        </row>
        <row r="616">
          <cell r="E616" t="str">
            <v>AllToPolicy</v>
          </cell>
          <cell r="F616" t="str">
            <v>IID_CCGT</v>
          </cell>
          <cell r="G616" t="str">
            <v>Rest of WECC Emissions</v>
          </cell>
        </row>
        <row r="617">
          <cell r="E617" t="str">
            <v>AllToPolicy</v>
          </cell>
          <cell r="F617" t="str">
            <v>IID_Peaker</v>
          </cell>
          <cell r="G617" t="str">
            <v>Rest of WECC Emissions</v>
          </cell>
        </row>
        <row r="618">
          <cell r="E618" t="str">
            <v>AllToPolicy</v>
          </cell>
          <cell r="F618" t="str">
            <v>BANC_CCGT</v>
          </cell>
          <cell r="G618" t="str">
            <v>Rest of WECC Emissions</v>
          </cell>
        </row>
        <row r="619">
          <cell r="E619" t="str">
            <v>AllToPolicy</v>
          </cell>
          <cell r="F619" t="str">
            <v>BANC_Peaker</v>
          </cell>
          <cell r="G619" t="str">
            <v>Rest of WECC Emissions</v>
          </cell>
        </row>
        <row r="620">
          <cell r="E620" t="str">
            <v>AllToPolicy</v>
          </cell>
          <cell r="F620" t="str">
            <v>CA_Coal</v>
          </cell>
          <cell r="G620" t="str">
            <v>Rest of WECC Emissions</v>
          </cell>
        </row>
        <row r="621">
          <cell r="E621" t="str">
            <v>AllToPolicy</v>
          </cell>
          <cell r="F621" t="str">
            <v>CA_Natural_Gas</v>
          </cell>
          <cell r="G621" t="str">
            <v>Rest of WECC Emissions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6">
          <cell r="B6" t="str">
            <v>AnnualEmissionsTarget</v>
          </cell>
          <cell r="C6" t="str">
            <v>AllToPolicy</v>
          </cell>
          <cell r="F6" t="str">
            <v>GHG</v>
          </cell>
          <cell r="G6" t="str">
            <v>downward_lf_reserves_mw</v>
          </cell>
          <cell r="H6" t="str">
            <v>Arizona_Li_Battery</v>
          </cell>
          <cell r="I6" t="str">
            <v>BANC_to_CAISO</v>
          </cell>
          <cell r="J6" t="str">
            <v>BANC</v>
          </cell>
          <cell r="L6" t="str">
            <v>CA_to_NW</v>
          </cell>
          <cell r="N6" t="str">
            <v>build-limits</v>
          </cell>
          <cell r="O6" t="str">
            <v>Battery_AnnualBuild</v>
          </cell>
          <cell r="P6" t="e">
            <v>#VALUE!</v>
          </cell>
          <cell r="Q6" t="e">
            <v>#VALUE!</v>
          </cell>
          <cell r="T6" t="str">
            <v>base</v>
          </cell>
          <cell r="U6" t="str">
            <v>base</v>
          </cell>
          <cell r="V6" t="str">
            <v>2021_PSP_22_23_TPP</v>
          </cell>
          <cell r="W6" t="str">
            <v>base</v>
          </cell>
          <cell r="X6" t="str">
            <v>base</v>
          </cell>
          <cell r="Y6" t="str">
            <v>37-day-profiles</v>
          </cell>
          <cell r="Z6" t="str">
            <v>base</v>
          </cell>
          <cell r="AA6" t="str">
            <v>0 MMT by 2045 Statewide</v>
          </cell>
          <cell r="AB6" t="str">
            <v>base</v>
          </cell>
          <cell r="AD6">
            <v>43831</v>
          </cell>
        </row>
        <row r="7">
          <cell r="B7" t="str">
            <v>AnnualEnergyStandard</v>
          </cell>
          <cell r="C7" t="str">
            <v>CandidateFuelToResource</v>
          </cell>
          <cell r="F7" t="str">
            <v>Rest of WECC Emissions</v>
          </cell>
          <cell r="G7" t="str">
            <v>downward_reg_mw</v>
          </cell>
          <cell r="H7" t="str">
            <v>Arizona_Solar</v>
          </cell>
          <cell r="I7" t="str">
            <v>IID_to_BANC</v>
          </cell>
          <cell r="J7" t="str">
            <v>CAISO</v>
          </cell>
          <cell r="L7" t="str">
            <v>CAISO_Export_Limit</v>
          </cell>
          <cell r="N7" t="str">
            <v>caiso-deliverability</v>
          </cell>
          <cell r="O7" t="str">
            <v>Battery_MinBuild_MW</v>
          </cell>
          <cell r="U7" t="str">
            <v>force-psp</v>
          </cell>
          <cell r="V7" t="str">
            <v>2021_PSP_22_23_TPP_High</v>
          </cell>
          <cell r="X7" t="str">
            <v>Gas Prices - High</v>
          </cell>
          <cell r="Y7" t="str">
            <v>base</v>
          </cell>
          <cell r="Z7" t="str">
            <v>Unspecified Carbon Adder - Low</v>
          </cell>
          <cell r="AA7" t="str">
            <v>100% by 2030</v>
          </cell>
        </row>
        <row r="8">
          <cell r="B8" t="str">
            <v>Asset</v>
          </cell>
          <cell r="C8" t="str">
            <v>LoadToZone</v>
          </cell>
          <cell r="F8" t="str">
            <v>RPS</v>
          </cell>
          <cell r="G8" t="str">
            <v>freq_resp_total_req_mw</v>
          </cell>
          <cell r="H8" t="str">
            <v>Arizona_Wind</v>
          </cell>
          <cell r="I8" t="str">
            <v>IID_to_CAISO</v>
          </cell>
          <cell r="J8" t="str">
            <v>CAISO_NW_Hydro</v>
          </cell>
          <cell r="L8" t="str">
            <v>CAISO_Import_Limit</v>
          </cell>
          <cell r="N8" t="str">
            <v>min-duration</v>
          </cell>
          <cell r="O8" t="str">
            <v>Battery_MinBuild_MWh</v>
          </cell>
          <cell r="V8" t="str">
            <v>2021_PSP_22_23_TPP_ITC_ext</v>
          </cell>
          <cell r="X8" t="str">
            <v>Gas Prices - Low</v>
          </cell>
          <cell r="Y8" t="str">
            <v>Baseline: 2020 PATHWAYS - 2019 IEPR</v>
          </cell>
          <cell r="AA8" t="str">
            <v>30 MMT by 2030 statewide</v>
          </cell>
        </row>
        <row r="9">
          <cell r="B9" t="str">
            <v>CandidateFuel</v>
          </cell>
          <cell r="C9" t="str">
            <v>PlantToReserve</v>
          </cell>
          <cell r="F9" t="str">
            <v>System RA</v>
          </cell>
          <cell r="G9" t="str">
            <v>spin_reserve_req_mw</v>
          </cell>
          <cell r="H9" t="str">
            <v>Baja_California_Wind</v>
          </cell>
          <cell r="I9" t="str">
            <v>IID_to_LDWP</v>
          </cell>
          <cell r="J9" t="str">
            <v>IID</v>
          </cell>
          <cell r="L9" t="str">
            <v>NW_to_CA</v>
          </cell>
          <cell r="O9" t="str">
            <v>Biomass_MinBuild_MW</v>
          </cell>
          <cell r="V9" t="str">
            <v>37-day-profiles</v>
          </cell>
          <cell r="Y9" t="str">
            <v>Baseline: 2020 PATHWAYS - 2020 IEPR</v>
          </cell>
          <cell r="AA9" t="str">
            <v>38 MMT by 2030 statewide</v>
          </cell>
        </row>
        <row r="10">
          <cell r="B10" t="str">
            <v>ELCCSurface</v>
          </cell>
          <cell r="C10" t="str">
            <v>ReserveToZone</v>
          </cell>
          <cell r="G10" t="str">
            <v>upward_lf_reserves_mw</v>
          </cell>
          <cell r="H10" t="str">
            <v>BANC_Biomass_for_Other</v>
          </cell>
          <cell r="I10" t="str">
            <v>LDWP_to_CAISO</v>
          </cell>
          <cell r="J10" t="str">
            <v>LDWP</v>
          </cell>
          <cell r="O10" t="str">
            <v>Colorado_River_500_230_deliverable_peak_highest</v>
          </cell>
          <cell r="V10" t="str">
            <v>base</v>
          </cell>
          <cell r="Y10" t="str">
            <v>Baseline: CEC 2019 IEPR - Mid Demand</v>
          </cell>
          <cell r="AA10" t="str">
            <v>42 MMT by 2030 statewide</v>
          </cell>
        </row>
        <row r="11">
          <cell r="B11" t="str">
            <v>Load</v>
          </cell>
          <cell r="C11" t="str">
            <v>ResourceToELCC</v>
          </cell>
          <cell r="G11" t="str">
            <v>upward_reg_mw</v>
          </cell>
          <cell r="H11" t="str">
            <v>BANC_CCGT</v>
          </cell>
          <cell r="I11" t="str">
            <v>NW_to_BANC</v>
          </cell>
          <cell r="J11" t="str">
            <v>NW</v>
          </cell>
          <cell r="O11" t="str">
            <v>Colorado_River_500_230_deliverable_peak_secondary</v>
          </cell>
          <cell r="V11" t="str">
            <v>BTM PV: CEC 2019 IEPR - Mid PV + Mid-Mid AAPV</v>
          </cell>
          <cell r="Y11" t="str">
            <v>Baseline: CEC 2020 IEPR - Mid Demand</v>
          </cell>
          <cell r="AA11" t="str">
            <v>46 MMT by 2030 statewide</v>
          </cell>
        </row>
        <row r="12">
          <cell r="B12" t="str">
            <v>PlanningReserveMargin</v>
          </cell>
          <cell r="C12" t="str">
            <v>ResourceToZone</v>
          </cell>
          <cell r="H12" t="str">
            <v>BANC_Geothermal_for_Other</v>
          </cell>
          <cell r="I12" t="str">
            <v>NW_to_CAISO</v>
          </cell>
          <cell r="J12" t="str">
            <v>SW</v>
          </cell>
          <cell r="O12" t="str">
            <v>Colorado_River_500_230_offpeak</v>
          </cell>
          <cell r="V12" t="str">
            <v>BTM PV: CEC 2020 IEPR - Mid PV + Mid-Mid AAPV</v>
          </cell>
          <cell r="Y12" t="str">
            <v>Baseline: CEC Pathways Baseload</v>
          </cell>
          <cell r="AA12" t="str">
            <v>50% by 2030</v>
          </cell>
        </row>
        <row r="13">
          <cell r="B13" t="str">
            <v>Reserve</v>
          </cell>
          <cell r="C13" t="str">
            <v>ZoneToTransmissionPath</v>
          </cell>
          <cell r="H13" t="str">
            <v>BANC_Hydro</v>
          </cell>
          <cell r="I13" t="str">
            <v>NW_to_CAISO_Unspecified</v>
          </cell>
          <cell r="O13" t="str">
            <v>Contra_Costa_Delta_Switchyard_230_deliverable_peak_highest</v>
          </cell>
          <cell r="V13" t="str">
            <v>BTM Storage: CEC 2019 IEPR</v>
          </cell>
          <cell r="Y13" t="str">
            <v>BE: 2020 PATHWAYS High Electrification</v>
          </cell>
          <cell r="AA13" t="str">
            <v>52 MMT by 2030 statewide</v>
          </cell>
        </row>
        <row r="14">
          <cell r="B14" t="str">
            <v>Resource</v>
          </cell>
          <cell r="H14" t="str">
            <v>BANC_Peaker</v>
          </cell>
          <cell r="I14" t="str">
            <v>NW_to_LDWP</v>
          </cell>
          <cell r="O14" t="str">
            <v>Contra_Costa_Delta_Switchyard_230_deliverable_peak_secondary</v>
          </cell>
          <cell r="V14" t="str">
            <v>BTM Storage: CEC 2020 IEPR</v>
          </cell>
          <cell r="Y14" t="str">
            <v>BE: CEC Pathways High Biofuels</v>
          </cell>
          <cell r="AA14" t="str">
            <v>60% by 2030</v>
          </cell>
        </row>
        <row r="15">
          <cell r="B15" t="str">
            <v>TXPath</v>
          </cell>
          <cell r="H15" t="str">
            <v>BANC_Small_Hydro_for_CAISO</v>
          </cell>
          <cell r="I15" t="str">
            <v>NW_to_SW</v>
          </cell>
          <cell r="O15" t="str">
            <v>Contra_Costa_Delta_Switchyard_230_offpeak</v>
          </cell>
          <cell r="V15" t="str">
            <v>LSEPlan_LLT</v>
          </cell>
          <cell r="Y15" t="str">
            <v>BE: None Through 2030</v>
          </cell>
          <cell r="AA15" t="str">
            <v>62 MMT by 2030 Statewide</v>
          </cell>
        </row>
        <row r="16">
          <cell r="B16" t="str">
            <v>Zone</v>
          </cell>
          <cell r="H16" t="str">
            <v>BANC_Small_Hydro_for_Other</v>
          </cell>
          <cell r="I16" t="str">
            <v>SW_to_BANC</v>
          </cell>
          <cell r="O16" t="str">
            <v>Delevan_Cortina_230_deliverable_peak_highest</v>
          </cell>
          <cell r="Y16" t="str">
            <v>BTM CHP: CEC 2019 IEPR</v>
          </cell>
          <cell r="AA16" t="str">
            <v>70% by 2030</v>
          </cell>
        </row>
        <row r="17">
          <cell r="H17" t="str">
            <v>BANC_Solar_for_Other</v>
          </cell>
          <cell r="I17" t="str">
            <v>SW_to_CAISO</v>
          </cell>
          <cell r="O17" t="str">
            <v>Delevan_Cortina_230_deliverable_peak_secondary</v>
          </cell>
          <cell r="Y17" t="str">
            <v>BTM CHP: CEC 2020 IEPR</v>
          </cell>
          <cell r="AA17" t="str">
            <v>80% by 2030</v>
          </cell>
        </row>
        <row r="18">
          <cell r="H18" t="str">
            <v>BANC_Wind_for_Other</v>
          </cell>
          <cell r="I18" t="str">
            <v>SW_to_IID</v>
          </cell>
          <cell r="O18" t="str">
            <v>Delevan_Cortina_230_offpeak</v>
          </cell>
          <cell r="Y18" t="str">
            <v>BTM Storage: CEC 2019 IEPR</v>
          </cell>
          <cell r="AA18" t="str">
            <v>90% by 2030</v>
          </cell>
        </row>
        <row r="19">
          <cell r="H19" t="str">
            <v>CAISO_Advanced_CCGT</v>
          </cell>
          <cell r="I19" t="str">
            <v>SW_to_LDWP</v>
          </cell>
          <cell r="O19" t="str">
            <v>Devers_Red_Bluff_deliverable_peak_highest</v>
          </cell>
          <cell r="Y19" t="str">
            <v>BTM Storage: CEC 2020 IEPR</v>
          </cell>
          <cell r="AA19" t="str">
            <v>base</v>
          </cell>
        </row>
        <row r="20">
          <cell r="H20" t="str">
            <v>CAISO_Aero_CT</v>
          </cell>
          <cell r="O20" t="str">
            <v>Devers_Red_Bluff_deliverable_peak_secondary</v>
          </cell>
          <cell r="Y20" t="str">
            <v>EE: 2020 PATHWAYS</v>
          </cell>
          <cell r="AA20" t="str">
            <v>CEC Pathways High Biofuels</v>
          </cell>
        </row>
        <row r="21">
          <cell r="H21" t="str">
            <v>CAISO_Baseline_Li_Battery</v>
          </cell>
          <cell r="O21" t="str">
            <v>Devers_Red_Bluff_offpeak</v>
          </cell>
          <cell r="Y21" t="str">
            <v>EE: CEC 2019 IEPR - Mid-Mid AAEE</v>
          </cell>
          <cell r="AA21" t="str">
            <v>CEC Pathways High Electrification</v>
          </cell>
        </row>
        <row r="22">
          <cell r="H22" t="str">
            <v>CAISO_Biomass_for_CAISO</v>
          </cell>
          <cell r="O22" t="str">
            <v>DR_MinBuild_MW</v>
          </cell>
          <cell r="Y22" t="str">
            <v>EE: CEC 2020 IEPR - Mid-Mid AAEE</v>
          </cell>
          <cell r="AA22" t="str">
            <v>CEC Pathways High Hydrogen</v>
          </cell>
        </row>
        <row r="23">
          <cell r="H23" t="str">
            <v>CAISO_Biomass_for_Other</v>
          </cell>
          <cell r="O23" t="str">
            <v>East_of_Miguel_deliverable_peak_highest</v>
          </cell>
          <cell r="Y23" t="str">
            <v>EE: CEC Pathways Baseload</v>
          </cell>
          <cell r="AA23" t="str">
            <v>No GHG Target</v>
          </cell>
        </row>
        <row r="24">
          <cell r="H24" t="str">
            <v>CAISO_BTM_Li_Battery</v>
          </cell>
          <cell r="O24" t="str">
            <v>East_of_Miguel_deliverable_peak_secondary</v>
          </cell>
          <cell r="Y24" t="str">
            <v>EV: 2020 PATHWAYS High Electrification</v>
          </cell>
          <cell r="AA24" t="str">
            <v>no RPS</v>
          </cell>
        </row>
        <row r="25">
          <cell r="H25" t="str">
            <v>CAISO_CCGT1</v>
          </cell>
          <cell r="O25" t="str">
            <v>East_of_Miguel_offpeak</v>
          </cell>
          <cell r="Y25" t="str">
            <v>EV: 2020 PATHWAYS High Electrification Unmanaged</v>
          </cell>
          <cell r="AA25" t="str">
            <v>PRM - High Imports</v>
          </cell>
        </row>
        <row r="26">
          <cell r="H26" t="str">
            <v>CAISO_CCGT2</v>
          </cell>
          <cell r="O26" t="str">
            <v>Eldorado_500_230_deliverable_peak_highest</v>
          </cell>
          <cell r="Y26" t="str">
            <v>EV: CEC 2019 IEPR - Mid Demand</v>
          </cell>
          <cell r="AA26" t="str">
            <v>PRM - Low Imports</v>
          </cell>
        </row>
        <row r="27">
          <cell r="H27" t="str">
            <v>CAISO_CHP</v>
          </cell>
          <cell r="O27" t="str">
            <v>Eldorado_500_230_deliverable_peak_secondary</v>
          </cell>
          <cell r="Y27" t="str">
            <v>EV: CEC 2020 IEPR - High Demand</v>
          </cell>
          <cell r="AA27" t="str">
            <v>PRM - Mid (MTR, 4 GW Mid-Term Only)</v>
          </cell>
        </row>
        <row r="28">
          <cell r="H28" t="str">
            <v>CAISO_Coal</v>
          </cell>
          <cell r="O28" t="str">
            <v>Eldorado_500_230_offpeak</v>
          </cell>
          <cell r="Y28" t="str">
            <v>EV: CEC 2020 IEPR - High Demand Unmanaged</v>
          </cell>
          <cell r="AA28" t="str">
            <v>PRM - Mid (MTR)</v>
          </cell>
        </row>
        <row r="29">
          <cell r="H29" t="str">
            <v>CAISO_Existing_Pumped_Storage</v>
          </cell>
          <cell r="O29" t="str">
            <v>Encina_San_Luis_Rey_deliverable_peak_highest</v>
          </cell>
          <cell r="Y29" t="str">
            <v>EV: CEC 2020 IEPR - Mid Demand</v>
          </cell>
          <cell r="AA29" t="str">
            <v>PRM - Mid Imports</v>
          </cell>
        </row>
        <row r="30">
          <cell r="H30" t="str">
            <v>CAISO_Geothermal_for_CAISO</v>
          </cell>
          <cell r="O30" t="str">
            <v>Encina_San_Luis_Rey_deliverable_peak_secondary</v>
          </cell>
          <cell r="Y30" t="str">
            <v>EV: CEC Pathways High Biofuels</v>
          </cell>
          <cell r="AA30" t="str">
            <v>PRM - No Imports</v>
          </cell>
        </row>
        <row r="31">
          <cell r="H31" t="str">
            <v>CAISO_Geothermal_for_Other</v>
          </cell>
          <cell r="O31" t="str">
            <v>Encina_San_Luis_Rey_offpeak</v>
          </cell>
          <cell r="Y31" t="str">
            <v>Other TE: 2020 PATHWAYS High Electrification</v>
          </cell>
          <cell r="AA31" t="str">
            <v>SB 100</v>
          </cell>
        </row>
        <row r="32">
          <cell r="H32" t="str">
            <v>CAISO_Hydro</v>
          </cell>
          <cell r="O32" t="str">
            <v>Gates_500_230_Transformer_deliverable_peak_highest</v>
          </cell>
          <cell r="Y32" t="str">
            <v>Other TE: CEC 2019 IEPR - Mid Demand</v>
          </cell>
        </row>
        <row r="33">
          <cell r="H33" t="str">
            <v>CAISO_New_BTM_Li_Battery</v>
          </cell>
          <cell r="O33" t="str">
            <v>Gates_500_230_Transformer_deliverable_peak_secondary</v>
          </cell>
          <cell r="Y33" t="str">
            <v>Other TE: CEC 2020 IEPR - Mid Demand</v>
          </cell>
        </row>
        <row r="34">
          <cell r="H34" t="str">
            <v>CAISO_New_Flow_Battery</v>
          </cell>
          <cell r="O34" t="str">
            <v>Gates_500_230_Transformer_offpeak</v>
          </cell>
          <cell r="Y34" t="str">
            <v>Other TE: CEC Pathways High Biofuels</v>
          </cell>
        </row>
        <row r="35">
          <cell r="H35" t="str">
            <v>CAISO_Nuclear</v>
          </cell>
          <cell r="O35" t="str">
            <v>Gates_Arco_Midway_230_deliverable_peak_highest</v>
          </cell>
          <cell r="Y35" t="str">
            <v>sampled-day-scalars</v>
          </cell>
        </row>
        <row r="36">
          <cell r="H36" t="str">
            <v>CAISO_Peaker1</v>
          </cell>
          <cell r="O36" t="str">
            <v>Gates_Arco_Midway_230_deliverable_peak_secondary</v>
          </cell>
          <cell r="Y36" t="str">
            <v>TOU: CEC 2019 IEPR</v>
          </cell>
        </row>
        <row r="37">
          <cell r="H37" t="str">
            <v>CAISO_Peaker2</v>
          </cell>
          <cell r="O37" t="str">
            <v>Gates_Arco_Midway_230_offpeak</v>
          </cell>
          <cell r="Y37" t="str">
            <v>TOU: CEC 2020 IEPR</v>
          </cell>
        </row>
        <row r="38">
          <cell r="H38" t="str">
            <v>CAISO_Reciprocating_Engine</v>
          </cell>
          <cell r="O38" t="str">
            <v>Gates_Panoche_230_deliverable_peak_highest</v>
          </cell>
          <cell r="Y38" t="str">
            <v>TOU: None</v>
          </cell>
        </row>
        <row r="39">
          <cell r="H39" t="str">
            <v>CAISO_Shed_DR_Existing</v>
          </cell>
          <cell r="O39" t="str">
            <v>Gates_Panoche_230_deliverable_peak_secondary</v>
          </cell>
        </row>
        <row r="40">
          <cell r="H40" t="str">
            <v>CAISO_Shed_DR_Tranche1</v>
          </cell>
          <cell r="O40" t="str">
            <v>Gates_Panoche_230_offpeak</v>
          </cell>
        </row>
        <row r="41">
          <cell r="H41" t="str">
            <v>CAISO_Shed_DR_Tranche2</v>
          </cell>
          <cell r="O41" t="str">
            <v>Geo_MinBuild_MW</v>
          </cell>
        </row>
        <row r="42">
          <cell r="H42" t="str">
            <v>CAISO_Shed_DR_Tranche3</v>
          </cell>
          <cell r="O42" t="str">
            <v>Geo_NQC_MW</v>
          </cell>
        </row>
        <row r="43">
          <cell r="H43" t="str">
            <v>CAISO_Shed_DR_Tranche4</v>
          </cell>
          <cell r="O43" t="str">
            <v>GLW_VEA_deliverable_peak_highest</v>
          </cell>
        </row>
        <row r="44">
          <cell r="H44" t="str">
            <v>CAISO_Shed_DR_Tranche5</v>
          </cell>
          <cell r="O44" t="str">
            <v>GLW_VEA_deliverable_peak_secondary</v>
          </cell>
        </row>
        <row r="45">
          <cell r="H45" t="str">
            <v>CAISO_Shed_DR_Tranche6</v>
          </cell>
          <cell r="O45" t="str">
            <v>GLW_VEA_offpeak</v>
          </cell>
        </row>
        <row r="46">
          <cell r="H46" t="str">
            <v>CAISO_Shed_DR_Tranche7</v>
          </cell>
          <cell r="O46" t="str">
            <v>Greater_LA_deliverable_peak_highest</v>
          </cell>
        </row>
        <row r="47">
          <cell r="H47" t="str">
            <v>CAISO_Shed_DR_Tranche8</v>
          </cell>
          <cell r="O47" t="str">
            <v>Greater_LA_deliverable_peak_secondary</v>
          </cell>
        </row>
        <row r="48">
          <cell r="H48" t="str">
            <v>CAISO_Small_Hydro_for_CAISO</v>
          </cell>
          <cell r="O48" t="str">
            <v>Greater_LA_offpeak</v>
          </cell>
        </row>
        <row r="49">
          <cell r="H49" t="str">
            <v>CAISO_Small_Hydro_for_Other</v>
          </cell>
          <cell r="O49" t="str">
            <v>Humboldt_Trinity_115_deliverable_peak_highest</v>
          </cell>
        </row>
        <row r="50">
          <cell r="H50" t="str">
            <v>CAISO_Solar_for_CAISO</v>
          </cell>
          <cell r="O50" t="str">
            <v>Humboldt_Trinity_115_deliverable_peak_secondary</v>
          </cell>
        </row>
        <row r="51">
          <cell r="H51" t="str">
            <v>CAISO_Solar_for_Other</v>
          </cell>
          <cell r="O51" t="str">
            <v>Humboldt_Trinity_115_offpeak</v>
          </cell>
        </row>
        <row r="52">
          <cell r="H52" t="str">
            <v>CAISO_ST</v>
          </cell>
          <cell r="O52" t="str">
            <v>Imperial_Valley_deliverable_peak_highest</v>
          </cell>
        </row>
        <row r="53">
          <cell r="H53" t="str">
            <v>CAISO_Wind_for_CAISO</v>
          </cell>
          <cell r="O53" t="str">
            <v>Imperial_Valley_deliverable_peak_secondary</v>
          </cell>
        </row>
        <row r="54">
          <cell r="H54" t="str">
            <v>CAISO_Wind_for_Other</v>
          </cell>
          <cell r="O54" t="str">
            <v>Imperial_Valley_offpeak</v>
          </cell>
        </row>
        <row r="55">
          <cell r="H55" t="str">
            <v>Cape_Mendocino_Offshore_Wind</v>
          </cell>
          <cell r="O55" t="str">
            <v>Internal_San_Diego_deliverable_peak_highest</v>
          </cell>
        </row>
        <row r="56">
          <cell r="H56" t="str">
            <v>Carrizo_Wind</v>
          </cell>
          <cell r="O56" t="str">
            <v>Internal_San_Diego_deliverable_peak_secondary</v>
          </cell>
        </row>
        <row r="57">
          <cell r="H57" t="str">
            <v>Central_Valley_North_Los_Banos_Wind</v>
          </cell>
          <cell r="O57" t="str">
            <v>Internal_San_Diego_offpeak</v>
          </cell>
        </row>
        <row r="58">
          <cell r="H58" t="str">
            <v>Customer_PV</v>
          </cell>
          <cell r="O58" t="str">
            <v>LDS_MinBuild_MW</v>
          </cell>
        </row>
        <row r="59">
          <cell r="H59" t="str">
            <v>Del_Norte_Offshore_Wind</v>
          </cell>
          <cell r="O59" t="str">
            <v>LDS_NQC_MW</v>
          </cell>
        </row>
        <row r="60">
          <cell r="H60" t="str">
            <v>Diablo_Canyon_Offshore_Wind</v>
          </cell>
          <cell r="O60" t="str">
            <v>Los_Banos_500_230_Transformer_deliverable_peak_highest</v>
          </cell>
        </row>
        <row r="61">
          <cell r="H61" t="str">
            <v>Distributed_Solar</v>
          </cell>
          <cell r="O61" t="str">
            <v>Los_Banos_500_230_Transformer_deliverable_peak_secondary</v>
          </cell>
        </row>
        <row r="62">
          <cell r="H62" t="str">
            <v>Greater_Imperial_Geothermal</v>
          </cell>
          <cell r="O62" t="str">
            <v>Los_Banos_500_230_Transformer_offpeak</v>
          </cell>
        </row>
        <row r="63">
          <cell r="H63" t="str">
            <v>Greater_Kramer_Li_Battery</v>
          </cell>
          <cell r="O63" t="str">
            <v>Los_Banos_Gates_500_OPDS_deliverable_peak_highest</v>
          </cell>
        </row>
        <row r="64">
          <cell r="H64" t="str">
            <v>Greater_Kramer_Solar</v>
          </cell>
          <cell r="O64" t="str">
            <v>Los_Banos_Gates_500_OPDS_deliverable_peak_secondary</v>
          </cell>
        </row>
        <row r="65">
          <cell r="H65" t="str">
            <v>Greater_LA_Li_Battery</v>
          </cell>
          <cell r="O65" t="str">
            <v>Los_Banos_Gates_500_OPDS_offpeak</v>
          </cell>
        </row>
        <row r="66">
          <cell r="H66" t="str">
            <v>Greater_LA_Solar</v>
          </cell>
          <cell r="O66" t="str">
            <v>Lugo_Transformer_deliverable_peak_highest</v>
          </cell>
        </row>
        <row r="67">
          <cell r="H67" t="str">
            <v>Humboldt_Bay_Offshore_Wind</v>
          </cell>
          <cell r="O67" t="str">
            <v>Lugo_Transformer_deliverable_peak_secondary</v>
          </cell>
        </row>
        <row r="68">
          <cell r="H68" t="str">
            <v>Humboldt_Wind</v>
          </cell>
          <cell r="O68" t="str">
            <v>Lugo_Transformer_offpeak</v>
          </cell>
        </row>
        <row r="69">
          <cell r="H69" t="str">
            <v>Idaho_Wind</v>
          </cell>
          <cell r="O69" t="str">
            <v>Mohave_Eldorado_500_deliverable_peak_highest</v>
          </cell>
        </row>
        <row r="70">
          <cell r="H70" t="str">
            <v>IID_Biomass_for_Other</v>
          </cell>
          <cell r="O70" t="str">
            <v>Mohave_Eldorado_500_deliverable_peak_secondary</v>
          </cell>
        </row>
        <row r="71">
          <cell r="H71" t="str">
            <v>IID_CCGT</v>
          </cell>
          <cell r="O71" t="str">
            <v>Mohave_Eldorado_500_offpeak</v>
          </cell>
        </row>
        <row r="72">
          <cell r="H72" t="str">
            <v>IID_Geothermal_for_CAISO</v>
          </cell>
          <cell r="O72" t="str">
            <v>Morro_Bay_Templeton_230_deliverable_peak_highest</v>
          </cell>
        </row>
        <row r="73">
          <cell r="H73" t="str">
            <v>IID_Geothermal_for_Other</v>
          </cell>
          <cell r="O73" t="str">
            <v>Morro_Bay_Templeton_230_deliverable_peak_secondary</v>
          </cell>
        </row>
        <row r="74">
          <cell r="H74" t="str">
            <v>IID_Hydro</v>
          </cell>
          <cell r="O74" t="str">
            <v>Morro_Bay_Templeton_230_offpeak</v>
          </cell>
        </row>
        <row r="75">
          <cell r="H75" t="str">
            <v>IID_Peaker</v>
          </cell>
          <cell r="O75" t="str">
            <v>Moss_Landing_Los_Banos_230_OPDS_deliverable_peak_highest</v>
          </cell>
        </row>
        <row r="76">
          <cell r="H76" t="str">
            <v>IID_Small_Hydro_for_Other</v>
          </cell>
          <cell r="O76" t="str">
            <v>Moss_Landing_Los_Banos_230_OPDS_deliverable_peak_secondary</v>
          </cell>
        </row>
        <row r="77">
          <cell r="H77" t="str">
            <v>IID_Solar_for_CAISO</v>
          </cell>
          <cell r="O77" t="str">
            <v>Moss_Landing_Los_Banos_230_OPDS_offpeak</v>
          </cell>
        </row>
        <row r="78">
          <cell r="H78" t="str">
            <v>IID_Solar_for_Other</v>
          </cell>
          <cell r="O78" t="str">
            <v>NoEnergyOnly_DiabloCanyonOffshoreWind</v>
          </cell>
        </row>
        <row r="79">
          <cell r="H79" t="str">
            <v>IID_Wind_for_Other</v>
          </cell>
          <cell r="O79" t="str">
            <v>NoEnergyOnly_HumboldtOffshoreWind</v>
          </cell>
        </row>
        <row r="80">
          <cell r="H80" t="str">
            <v>Imperial_Li_Battery</v>
          </cell>
          <cell r="O80" t="str">
            <v>NoEnergyOnly_MorroBayOffshoreWind</v>
          </cell>
        </row>
        <row r="81">
          <cell r="H81" t="str">
            <v>Imperial_Solar</v>
          </cell>
          <cell r="O81" t="str">
            <v>NoEnergyOnly_NewMexicoWind</v>
          </cell>
        </row>
        <row r="82">
          <cell r="H82" t="str">
            <v>InState_Biomass</v>
          </cell>
          <cell r="O82" t="str">
            <v>NoEnergyOnly_WyomingWind</v>
          </cell>
        </row>
        <row r="83">
          <cell r="H83" t="str">
            <v>Inyokern_North_Kramer_Geothermal</v>
          </cell>
          <cell r="O83" t="str">
            <v>OOS_MinBuild_MW</v>
          </cell>
        </row>
        <row r="84">
          <cell r="H84" t="str">
            <v>Kern_Greater_Carrizo_Wind</v>
          </cell>
          <cell r="O84" t="str">
            <v>OSW_MinBuild_MW</v>
          </cell>
        </row>
        <row r="85">
          <cell r="H85" t="str">
            <v>LDWP_Biomass_for_Other</v>
          </cell>
          <cell r="O85" t="str">
            <v>Riverside_East_Pumped_Storage</v>
          </cell>
        </row>
        <row r="86">
          <cell r="H86" t="str">
            <v>LDWP_CCGT</v>
          </cell>
          <cell r="O86" t="str">
            <v>Riverside_West_Pumped_Storage</v>
          </cell>
        </row>
        <row r="87">
          <cell r="H87" t="str">
            <v>LDWP_Coal</v>
          </cell>
          <cell r="O87" t="str">
            <v>San_Diego_Pumped_Storage</v>
          </cell>
        </row>
        <row r="88">
          <cell r="H88" t="str">
            <v>LDWP_Geothermal_for_Other</v>
          </cell>
          <cell r="O88" t="str">
            <v>San_Luis_Rey_San_Onofre_deliverable_peak_highest</v>
          </cell>
        </row>
        <row r="89">
          <cell r="H89" t="str">
            <v>LDWP_Hydro</v>
          </cell>
          <cell r="O89" t="str">
            <v>San_Luis_Rey_San_Onofre_deliverable_peak_secondary</v>
          </cell>
        </row>
        <row r="90">
          <cell r="H90" t="str">
            <v>LDWP_Nuclear</v>
          </cell>
          <cell r="O90" t="str">
            <v>San_Luis_Rey_San_Onofre_offpeak</v>
          </cell>
        </row>
        <row r="91">
          <cell r="H91" t="str">
            <v>LDWP_Peaker</v>
          </cell>
          <cell r="O91" t="str">
            <v>Serrano_Alberhill_deliverable_peak_highest</v>
          </cell>
        </row>
        <row r="92">
          <cell r="H92" t="str">
            <v>LDWP_Small_Hydro_for_Other</v>
          </cell>
          <cell r="O92" t="str">
            <v>Serrano_Alberhill_deliverable_peak_secondary</v>
          </cell>
        </row>
        <row r="93">
          <cell r="H93" t="str">
            <v>LDWP_Solar_for_Other</v>
          </cell>
          <cell r="O93" t="str">
            <v>Serrano_Alberhill_offpeak</v>
          </cell>
        </row>
        <row r="94">
          <cell r="H94" t="str">
            <v>LDWP_ST</v>
          </cell>
          <cell r="O94" t="str">
            <v>Silvergate_Bay_Boulevard_deliverable_peak_highest</v>
          </cell>
        </row>
        <row r="95">
          <cell r="H95" t="str">
            <v>LDWP_Wind_for_CAISO</v>
          </cell>
          <cell r="O95" t="str">
            <v>Silvergate_Bay_Boulevard_deliverable_peak_secondary</v>
          </cell>
        </row>
        <row r="96">
          <cell r="H96" t="str">
            <v>LDWP_Wind_for_Other</v>
          </cell>
          <cell r="O96" t="str">
            <v>Silvergate_Bay_Boulevard_offpeak</v>
          </cell>
        </row>
        <row r="97">
          <cell r="H97" t="str">
            <v>Morro_Bay_Offshore_Wind</v>
          </cell>
          <cell r="O97" t="str">
            <v>Solar_AnnualBuild</v>
          </cell>
        </row>
        <row r="98">
          <cell r="H98" t="str">
            <v>New_Mexico_Wind</v>
          </cell>
          <cell r="O98" t="str">
            <v>Solar_ForceBuild_MW</v>
          </cell>
        </row>
        <row r="99">
          <cell r="H99" t="str">
            <v>Northern_California_Geothermal</v>
          </cell>
          <cell r="O99" t="str">
            <v>Solar_MinBuild_MW</v>
          </cell>
        </row>
        <row r="100">
          <cell r="H100" t="str">
            <v>Northern_California_Li_Battery</v>
          </cell>
          <cell r="O100" t="str">
            <v>South_Kramer_Victor_deliverable_peak_highest</v>
          </cell>
        </row>
        <row r="101">
          <cell r="H101" t="str">
            <v>Northern_California_Solar</v>
          </cell>
          <cell r="O101" t="str">
            <v>South_Kramer_Victor_deliverable_peak_secondary</v>
          </cell>
        </row>
        <row r="102">
          <cell r="H102" t="str">
            <v>Northern_California_Wind</v>
          </cell>
          <cell r="O102" t="str">
            <v>South_Kramer_Victor_Lugo_deliverable_peak_highest</v>
          </cell>
        </row>
        <row r="103">
          <cell r="H103" t="str">
            <v>NW_Biomass_for_CAISO</v>
          </cell>
          <cell r="O103" t="str">
            <v>South_Kramer_Victor_Lugo_deliverable_peak_secondary</v>
          </cell>
        </row>
        <row r="104">
          <cell r="H104" t="str">
            <v>NW_Biomass_for_Other</v>
          </cell>
          <cell r="O104" t="str">
            <v>South_Kramer_Victor_Lugo_offpeak</v>
          </cell>
        </row>
        <row r="105">
          <cell r="H105" t="str">
            <v>NW_CCGT</v>
          </cell>
          <cell r="O105" t="str">
            <v>South_Kramer_Victor_offpeak</v>
          </cell>
        </row>
        <row r="106">
          <cell r="H106" t="str">
            <v>NW_Coal</v>
          </cell>
          <cell r="O106" t="str">
            <v>Tehachapi_Antelope_deliverable_peak_highest</v>
          </cell>
        </row>
        <row r="107">
          <cell r="H107" t="str">
            <v>NW_Ext_Tx_Wind</v>
          </cell>
          <cell r="O107" t="str">
            <v>Tehachapi_Antelope_deliverable_peak_secondary</v>
          </cell>
        </row>
        <row r="108">
          <cell r="H108" t="str">
            <v>NW_Geothermal_for_CAISO</v>
          </cell>
          <cell r="O108" t="str">
            <v>Tehachapi_Antelope_offpeak</v>
          </cell>
        </row>
        <row r="109">
          <cell r="H109" t="str">
            <v>NW_Geothermal_for_Other</v>
          </cell>
          <cell r="O109" t="str">
            <v>Tehachapi_Pumped_Storage</v>
          </cell>
        </row>
        <row r="110">
          <cell r="H110" t="str">
            <v>NW_Hydro</v>
          </cell>
          <cell r="O110" t="str">
            <v>Tesla_Westley_230_deliverable_peak_highest</v>
          </cell>
        </row>
        <row r="111">
          <cell r="H111" t="str">
            <v>NW_Hydro_for_CAISO</v>
          </cell>
          <cell r="O111" t="str">
            <v>Tesla_Westley_230_deliverable_peak_secondary</v>
          </cell>
        </row>
        <row r="112">
          <cell r="H112" t="str">
            <v>NW_Nuclear</v>
          </cell>
          <cell r="O112" t="str">
            <v>Tesla_Westley_230_offpeak</v>
          </cell>
        </row>
        <row r="113">
          <cell r="H113" t="str">
            <v>NW_Peaker</v>
          </cell>
          <cell r="O113" t="str">
            <v>Wind_MinBuild_MW</v>
          </cell>
        </row>
        <row r="114">
          <cell r="H114" t="str">
            <v>NW_Small_Hydro_for_CAISO</v>
          </cell>
        </row>
        <row r="115">
          <cell r="H115" t="str">
            <v>NW_Small_Hydro_for_Other</v>
          </cell>
        </row>
        <row r="116">
          <cell r="H116" t="str">
            <v>NW_Solar_for_Other</v>
          </cell>
        </row>
        <row r="117">
          <cell r="H117" t="str">
            <v>NW_Wind_for_CAISO</v>
          </cell>
        </row>
        <row r="118">
          <cell r="H118" t="str">
            <v>NW_Wind_for_Other</v>
          </cell>
        </row>
        <row r="119">
          <cell r="H119" t="str">
            <v>Pacific_Northwest_Geothermal</v>
          </cell>
        </row>
        <row r="120">
          <cell r="H120" t="str">
            <v>Pacific_Northwest_Wind</v>
          </cell>
        </row>
        <row r="121">
          <cell r="H121" t="str">
            <v>Riverside_East_Pumped_Storage</v>
          </cell>
        </row>
        <row r="122">
          <cell r="H122" t="str">
            <v>Riverside_Li_Battery</v>
          </cell>
        </row>
        <row r="123">
          <cell r="H123" t="str">
            <v>Riverside_Palm_Springs_Geothermal</v>
          </cell>
        </row>
        <row r="124">
          <cell r="H124" t="str">
            <v>Riverside_Palm_Springs_Wind</v>
          </cell>
        </row>
        <row r="125">
          <cell r="H125" t="str">
            <v>Riverside_Solar</v>
          </cell>
        </row>
        <row r="126">
          <cell r="H126" t="str">
            <v>Riverside_West_Pumped_Storage</v>
          </cell>
        </row>
        <row r="127">
          <cell r="H127" t="str">
            <v>San_Diego_Li_Battery</v>
          </cell>
        </row>
        <row r="128">
          <cell r="H128" t="str">
            <v>San_Diego_Pumped_Storage</v>
          </cell>
        </row>
        <row r="129">
          <cell r="H129" t="str">
            <v>Solano_Geothermal</v>
          </cell>
        </row>
        <row r="130">
          <cell r="H130" t="str">
            <v>Solano_Wind</v>
          </cell>
        </row>
        <row r="131">
          <cell r="H131" t="str">
            <v>Southern_Nevada_Geothermal</v>
          </cell>
        </row>
        <row r="132">
          <cell r="H132" t="str">
            <v>Southern_Nevada_Wind</v>
          </cell>
        </row>
        <row r="133">
          <cell r="H133" t="str">
            <v>Southern_NV_Eldorado_Li_Battery</v>
          </cell>
        </row>
        <row r="134">
          <cell r="H134" t="str">
            <v>Southern_NV_Eldorado_Solar</v>
          </cell>
        </row>
        <row r="135">
          <cell r="H135" t="str">
            <v>Southern_PGAE_Li_Battery</v>
          </cell>
        </row>
        <row r="136">
          <cell r="H136" t="str">
            <v>Southern_PGAE_Solar</v>
          </cell>
        </row>
        <row r="137">
          <cell r="H137" t="str">
            <v>SW_Biomass_for_Other</v>
          </cell>
        </row>
        <row r="138">
          <cell r="H138" t="str">
            <v>SW_CCGT</v>
          </cell>
        </row>
        <row r="139">
          <cell r="H139" t="str">
            <v>SW_Coal</v>
          </cell>
        </row>
        <row r="140">
          <cell r="H140" t="str">
            <v>SW_Ext_Tx_Wind</v>
          </cell>
        </row>
        <row r="141">
          <cell r="H141" t="str">
            <v>SW_Geothermal_for_Other</v>
          </cell>
        </row>
        <row r="142">
          <cell r="H142" t="str">
            <v>SW_Hydro</v>
          </cell>
        </row>
        <row r="143">
          <cell r="H143" t="str">
            <v>SW_Nuclear</v>
          </cell>
        </row>
        <row r="144">
          <cell r="H144" t="str">
            <v>SW_Peaker</v>
          </cell>
        </row>
        <row r="145">
          <cell r="H145" t="str">
            <v>SW_Small_Hydro_for_Other</v>
          </cell>
        </row>
        <row r="146">
          <cell r="H146" t="str">
            <v>SW_Solar_for_CAISO</v>
          </cell>
        </row>
        <row r="147">
          <cell r="H147" t="str">
            <v>SW_Solar_for_Other</v>
          </cell>
        </row>
        <row r="148">
          <cell r="H148" t="str">
            <v>SW_ST</v>
          </cell>
        </row>
        <row r="149">
          <cell r="H149" t="str">
            <v>SW_Wind_for_CAISO</v>
          </cell>
        </row>
        <row r="150">
          <cell r="H150" t="str">
            <v>SW_Wind_for_Other</v>
          </cell>
        </row>
        <row r="151">
          <cell r="H151" t="str">
            <v>Tehachapi_Li_Battery</v>
          </cell>
        </row>
        <row r="152">
          <cell r="H152" t="str">
            <v>Tehachapi_Pumped_Storage</v>
          </cell>
        </row>
        <row r="153">
          <cell r="H153" t="str">
            <v>Tehachapi_Solar</v>
          </cell>
        </row>
        <row r="154">
          <cell r="H154" t="str">
            <v>Tehachapi_Wind</v>
          </cell>
        </row>
        <row r="155">
          <cell r="H155" t="str">
            <v>Utah_Wind</v>
          </cell>
        </row>
        <row r="156">
          <cell r="H156" t="str">
            <v>Wyoming_Wind</v>
          </cell>
        </row>
      </sheetData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E3 Bright Arial">
  <a:themeElements>
    <a:clrScheme name="E3 Bright">
      <a:dk1>
        <a:srgbClr val="000000"/>
      </a:dk1>
      <a:lt1>
        <a:sysClr val="window" lastClr="FFFFFF"/>
      </a:lt1>
      <a:dk2>
        <a:srgbClr val="034E6E"/>
      </a:dk2>
      <a:lt2>
        <a:srgbClr val="EEECE1"/>
      </a:lt2>
      <a:accent1>
        <a:srgbClr val="6EA1B6"/>
      </a:accent1>
      <a:accent2>
        <a:srgbClr val="FFB700"/>
      </a:accent2>
      <a:accent3>
        <a:srgbClr val="FF5F39"/>
      </a:accent3>
      <a:accent4>
        <a:srgbClr val="30D773"/>
      </a:accent4>
      <a:accent5>
        <a:srgbClr val="FF8700"/>
      </a:accent5>
      <a:accent6>
        <a:srgbClr val="4458D2"/>
      </a:accent6>
      <a:hlink>
        <a:srgbClr val="6565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e3-.github.io/new-modeling-toolkit/resolve/results_viewi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E8D00-ABDF-4341-ADDC-85AE11884969}">
  <sheetPr codeName="Sheet20"/>
  <dimension ref="A1:B32"/>
  <sheetViews>
    <sheetView showGridLines="0" zoomScale="132" zoomScaleNormal="132" workbookViewId="0">
      <selection activeCell="B28" sqref="B28"/>
    </sheetView>
  </sheetViews>
  <sheetFormatPr defaultColWidth="9" defaultRowHeight="11.4" x14ac:dyDescent="0.2"/>
  <cols>
    <col min="1" max="1" width="5" customWidth="1"/>
    <col min="2" max="2" width="73.625" customWidth="1"/>
  </cols>
  <sheetData>
    <row r="1" spans="1:2" s="1" customFormat="1" ht="28.8" thickBot="1" x14ac:dyDescent="0.25">
      <c r="A1" s="1" t="s">
        <v>0</v>
      </c>
    </row>
    <row r="4" spans="1:2" ht="18" thickBot="1" x14ac:dyDescent="0.25">
      <c r="B4" s="6" t="s">
        <v>431</v>
      </c>
    </row>
    <row r="13" spans="1:2" ht="18" thickBot="1" x14ac:dyDescent="0.25">
      <c r="B13" s="6" t="s">
        <v>432</v>
      </c>
    </row>
    <row r="15" spans="1:2" ht="12" x14ac:dyDescent="0.2">
      <c r="B15" s="38" t="s">
        <v>433</v>
      </c>
    </row>
    <row r="16" spans="1:2" x14ac:dyDescent="0.2">
      <c r="B16" s="39" t="s">
        <v>434</v>
      </c>
    </row>
    <row r="17" spans="2:2" x14ac:dyDescent="0.2">
      <c r="B17" s="40" t="s">
        <v>435</v>
      </c>
    </row>
    <row r="18" spans="2:2" x14ac:dyDescent="0.2">
      <c r="B18" s="41" t="s">
        <v>436</v>
      </c>
    </row>
    <row r="19" spans="2:2" x14ac:dyDescent="0.2">
      <c r="B19" s="42" t="s">
        <v>444</v>
      </c>
    </row>
    <row r="20" spans="2:2" ht="13.2" x14ac:dyDescent="0.2">
      <c r="B20" s="43" t="s">
        <v>437</v>
      </c>
    </row>
    <row r="21" spans="2:2" x14ac:dyDescent="0.2">
      <c r="B21" s="44" t="s">
        <v>438</v>
      </c>
    </row>
    <row r="22" spans="2:2" x14ac:dyDescent="0.2">
      <c r="B22" s="45" t="s">
        <v>439</v>
      </c>
    </row>
    <row r="25" spans="2:2" ht="18" thickBot="1" x14ac:dyDescent="0.25">
      <c r="B25" s="6" t="s">
        <v>440</v>
      </c>
    </row>
    <row r="27" spans="2:2" ht="12" x14ac:dyDescent="0.2">
      <c r="B27" s="38" t="s">
        <v>441</v>
      </c>
    </row>
    <row r="28" spans="2:2" x14ac:dyDescent="0.2">
      <c r="B28" s="46" t="s">
        <v>445</v>
      </c>
    </row>
    <row r="30" spans="2:2" ht="18" thickBot="1" x14ac:dyDescent="0.25">
      <c r="B30" s="6" t="s">
        <v>442</v>
      </c>
    </row>
    <row r="32" spans="2:2" ht="12" x14ac:dyDescent="0.2">
      <c r="B32" t="s">
        <v>443</v>
      </c>
    </row>
  </sheetData>
  <sheetProtection formatCells="0" insertColumns="0" insertRows="0" sort="0" autoFilter="0" pivotTables="0"/>
  <hyperlinks>
    <hyperlink ref="B28" r:id="rId1" xr:uid="{BE57F9E6-9260-B34E-BD41-668081E83AD5}"/>
  </hyperlinks>
  <pageMargins left="0.7" right="0.7" top="0.75" bottom="0.75" header="0.3" footer="0.3"/>
  <pageSetup orientation="portrait" horizontalDpi="0" verticalDpi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D88D3-6065-47CA-88A4-3295BA7A70CD}">
  <sheetPr codeName="Sheet1">
    <tabColor theme="3"/>
  </sheetPr>
  <dimension ref="A1:AJ939"/>
  <sheetViews>
    <sheetView showGridLines="0" tabSelected="1" zoomScaleNormal="100" workbookViewId="0">
      <pane xSplit="4" topLeftCell="E1" activePane="topRight" state="frozen"/>
      <selection pane="topRight" activeCell="I11" sqref="I11"/>
    </sheetView>
  </sheetViews>
  <sheetFormatPr defaultColWidth="9" defaultRowHeight="11.4" outlineLevelRow="2" outlineLevelCol="1" x14ac:dyDescent="0.2"/>
  <cols>
    <col min="1" max="2" width="9.375" customWidth="1"/>
    <col min="3" max="3" width="20.375" bestFit="1" customWidth="1"/>
    <col min="4" max="4" width="44.25" customWidth="1"/>
    <col min="5" max="11" width="11" customWidth="1"/>
    <col min="12" max="12" width="11" hidden="1" customWidth="1" outlineLevel="1"/>
    <col min="13" max="13" width="11" customWidth="1" collapsed="1"/>
    <col min="14" max="14" width="11" hidden="1" customWidth="1" outlineLevel="1"/>
    <col min="15" max="15" width="11" customWidth="1" collapsed="1"/>
    <col min="16" max="16" width="11" hidden="1" customWidth="1" outlineLevel="1"/>
    <col min="17" max="17" width="11" customWidth="1" collapsed="1"/>
    <col min="18" max="19" width="11" hidden="1" customWidth="1" outlineLevel="1"/>
    <col min="20" max="20" width="11" customWidth="1" collapsed="1"/>
    <col min="21" max="24" width="11" hidden="1" customWidth="1" outlineLevel="1"/>
    <col min="25" max="25" width="11" customWidth="1" collapsed="1"/>
    <col min="26" max="29" width="11" hidden="1" customWidth="1" outlineLevel="1"/>
    <col min="30" max="30" width="11" customWidth="1" collapsed="1"/>
    <col min="32" max="32" width="11" customWidth="1" collapsed="1"/>
    <col min="34" max="34" width="20.75" style="32" hidden="1" customWidth="1" outlineLevel="1"/>
    <col min="35" max="35" width="9" hidden="1" customWidth="1" outlineLevel="1"/>
    <col min="36" max="36" width="9" collapsed="1"/>
  </cols>
  <sheetData>
    <row r="1" spans="1:34" s="1" customFormat="1" ht="28.8" thickBot="1" x14ac:dyDescent="0.25">
      <c r="A1" s="1" t="s">
        <v>446</v>
      </c>
      <c r="AH1" s="31"/>
    </row>
    <row r="4" spans="1:34" x14ac:dyDescent="0.2">
      <c r="B4" s="15"/>
    </row>
    <row r="5" spans="1:34" x14ac:dyDescent="0.2">
      <c r="B5" s="15"/>
    </row>
    <row r="6" spans="1:34" x14ac:dyDescent="0.2">
      <c r="B6" s="15"/>
    </row>
    <row r="7" spans="1:34" ht="13.2" x14ac:dyDescent="0.2">
      <c r="B7" s="15"/>
      <c r="D7" s="2" t="s">
        <v>620</v>
      </c>
    </row>
    <row r="8" spans="1:34" x14ac:dyDescent="0.2">
      <c r="B8" s="15"/>
      <c r="D8" s="37" t="s">
        <v>623</v>
      </c>
    </row>
    <row r="9" spans="1:34" x14ac:dyDescent="0.2">
      <c r="B9" s="15"/>
    </row>
    <row r="10" spans="1:34" x14ac:dyDescent="0.2">
      <c r="B10" s="15"/>
    </row>
    <row r="11" spans="1:34" x14ac:dyDescent="0.2">
      <c r="B11" s="15"/>
    </row>
    <row r="12" spans="1:34" x14ac:dyDescent="0.2">
      <c r="B12" s="15"/>
    </row>
    <row r="13" spans="1:34" x14ac:dyDescent="0.2">
      <c r="B13" s="15"/>
    </row>
    <row r="14" spans="1:34" x14ac:dyDescent="0.2">
      <c r="B14" s="15"/>
    </row>
    <row r="17" spans="2:34" ht="18" thickBot="1" x14ac:dyDescent="0.25">
      <c r="B17" s="6" t="s">
        <v>130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2:34" outlineLevel="1" x14ac:dyDescent="0.2">
      <c r="C18" s="15" t="s">
        <v>173</v>
      </c>
      <c r="D18" s="15" t="s">
        <v>4</v>
      </c>
    </row>
    <row r="19" spans="2:34" outlineLevel="1" x14ac:dyDescent="0.2"/>
    <row r="20" spans="2:34" ht="13.2" outlineLevel="1" x14ac:dyDescent="0.2">
      <c r="E20" s="2" t="s">
        <v>166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F20" s="2"/>
      <c r="AH20" s="33" t="s">
        <v>421</v>
      </c>
    </row>
    <row r="21" spans="2:34" outlineLevel="1" x14ac:dyDescent="0.2">
      <c r="E21" s="7">
        <v>43831</v>
      </c>
      <c r="F21" s="7">
        <f>EDATE(E21,12)</f>
        <v>44197</v>
      </c>
      <c r="G21" s="7">
        <f t="shared" ref="G21:AD21" si="0">EDATE(F21,12)</f>
        <v>44562</v>
      </c>
      <c r="H21" s="7">
        <f t="shared" si="0"/>
        <v>44927</v>
      </c>
      <c r="I21" s="7">
        <f t="shared" si="0"/>
        <v>45292</v>
      </c>
      <c r="J21" s="7">
        <f t="shared" si="0"/>
        <v>45658</v>
      </c>
      <c r="K21" s="7">
        <f t="shared" si="0"/>
        <v>46023</v>
      </c>
      <c r="L21" s="7">
        <f t="shared" si="0"/>
        <v>46388</v>
      </c>
      <c r="M21" s="7">
        <f t="shared" si="0"/>
        <v>46753</v>
      </c>
      <c r="N21" s="7">
        <f t="shared" si="0"/>
        <v>47119</v>
      </c>
      <c r="O21" s="7">
        <f t="shared" si="0"/>
        <v>47484</v>
      </c>
      <c r="P21" s="7">
        <f t="shared" si="0"/>
        <v>47849</v>
      </c>
      <c r="Q21" s="7">
        <f t="shared" si="0"/>
        <v>48214</v>
      </c>
      <c r="R21" s="7">
        <f t="shared" si="0"/>
        <v>48580</v>
      </c>
      <c r="S21" s="7">
        <f t="shared" si="0"/>
        <v>48945</v>
      </c>
      <c r="T21" s="7">
        <f t="shared" si="0"/>
        <v>49310</v>
      </c>
      <c r="U21" s="7">
        <f t="shared" si="0"/>
        <v>49675</v>
      </c>
      <c r="V21" s="7">
        <f t="shared" si="0"/>
        <v>50041</v>
      </c>
      <c r="W21" s="7">
        <f t="shared" si="0"/>
        <v>50406</v>
      </c>
      <c r="X21" s="7">
        <f t="shared" si="0"/>
        <v>50771</v>
      </c>
      <c r="Y21" s="7">
        <f t="shared" si="0"/>
        <v>51136</v>
      </c>
      <c r="Z21" s="7">
        <f t="shared" si="0"/>
        <v>51502</v>
      </c>
      <c r="AA21" s="7">
        <f t="shared" si="0"/>
        <v>51867</v>
      </c>
      <c r="AB21" s="7">
        <f t="shared" si="0"/>
        <v>52232</v>
      </c>
      <c r="AC21" s="7">
        <f t="shared" si="0"/>
        <v>52597</v>
      </c>
      <c r="AD21" s="7">
        <f t="shared" si="0"/>
        <v>52963</v>
      </c>
      <c r="AF21" s="7" t="s">
        <v>616</v>
      </c>
      <c r="AH21" s="34"/>
    </row>
    <row r="22" spans="2:34" outlineLevel="1" x14ac:dyDescent="0.2">
      <c r="C22" s="8" t="s">
        <v>208</v>
      </c>
      <c r="D22" s="8" t="s">
        <v>221</v>
      </c>
      <c r="E22" s="10">
        <f>IFERROR(INDEX(System!$C:$C,MATCH(E$21,System!$B:$B,0)),0)</f>
        <v>0</v>
      </c>
      <c r="F22" s="10">
        <f>IFERROR(INDEX(System!$C:$C,MATCH(F$21,System!$B:$B,0)),0)</f>
        <v>0</v>
      </c>
      <c r="G22" s="10">
        <f>IFERROR(INDEX(System!$C:$C,MATCH(G$21,System!$B:$B,0)),0)</f>
        <v>0</v>
      </c>
      <c r="H22" s="10">
        <f>IFERROR(INDEX(System!$C:$C,MATCH(H$21,System!$B:$B,0)),0)</f>
        <v>0</v>
      </c>
      <c r="I22" s="10">
        <f>IFERROR(INDEX(System!$C:$C,MATCH(I$21,System!$B:$B,0)),0)</f>
        <v>0</v>
      </c>
      <c r="J22" s="10">
        <f>IFERROR(INDEX(System!$C:$C,MATCH(J$21,System!$B:$B,0)),0)</f>
        <v>0</v>
      </c>
      <c r="K22" s="10">
        <f>IFERROR(INDEX(System!$C:$C,MATCH(K$21,System!$B:$B,0)),0)</f>
        <v>0</v>
      </c>
      <c r="L22" s="10">
        <f>IFERROR(INDEX(System!$C:$C,MATCH(L$21,System!$B:$B,0)),0)</f>
        <v>0</v>
      </c>
      <c r="M22" s="10">
        <f>IFERROR(INDEX(System!$C:$C,MATCH(M$21,System!$B:$B,0)),0)</f>
        <v>0</v>
      </c>
      <c r="N22" s="10">
        <f>IFERROR(INDEX(System!$C:$C,MATCH(N$21,System!$B:$B,0)),0)</f>
        <v>0</v>
      </c>
      <c r="O22" s="10">
        <f>IFERROR(INDEX(System!$C:$C,MATCH(O$21,System!$B:$B,0)),0)</f>
        <v>0</v>
      </c>
      <c r="P22" s="10">
        <f>IFERROR(INDEX(System!$C:$C,MATCH(P$21,System!$B:$B,0)),0)</f>
        <v>0</v>
      </c>
      <c r="Q22" s="10">
        <f>IFERROR(INDEX(System!$C:$C,MATCH(Q$21,System!$B:$B,0)),0)</f>
        <v>0</v>
      </c>
      <c r="R22" s="10">
        <f>IFERROR(INDEX(System!$C:$C,MATCH(R$21,System!$B:$B,0)),0)</f>
        <v>0</v>
      </c>
      <c r="S22" s="10">
        <f>IFERROR(INDEX(System!$C:$C,MATCH(S$21,System!$B:$B,0)),0)</f>
        <v>0</v>
      </c>
      <c r="T22" s="10">
        <f>IFERROR(INDEX(System!$C:$C,MATCH(T$21,System!$B:$B,0)),0)</f>
        <v>0</v>
      </c>
      <c r="U22" s="10">
        <f>IFERROR(INDEX(System!$C:$C,MATCH(U$21,System!$B:$B,0)),0)</f>
        <v>0</v>
      </c>
      <c r="V22" s="10">
        <f>IFERROR(INDEX(System!$C:$C,MATCH(V$21,System!$B:$B,0)),0)</f>
        <v>0</v>
      </c>
      <c r="W22" s="10">
        <f>IFERROR(INDEX(System!$C:$C,MATCH(W$21,System!$B:$B,0)),0)</f>
        <v>0</v>
      </c>
      <c r="X22" s="10">
        <f>IFERROR(INDEX(System!$C:$C,MATCH(X$21,System!$B:$B,0)),0)</f>
        <v>0</v>
      </c>
      <c r="Y22" s="10">
        <f>IFERROR(INDEX(System!$C:$C,MATCH(Y$21,System!$B:$B,0)),0)</f>
        <v>0</v>
      </c>
      <c r="Z22" s="10">
        <f>IFERROR(INDEX(System!$C:$C,MATCH(Z$21,System!$B:$B,0)),0)</f>
        <v>0</v>
      </c>
      <c r="AA22" s="10">
        <f>IFERROR(INDEX(System!$C:$C,MATCH(AA$21,System!$B:$B,0)),0)</f>
        <v>0</v>
      </c>
      <c r="AB22" s="10">
        <f>IFERROR(INDEX(System!$C:$C,MATCH(AB$21,System!$B:$B,0)),0)</f>
        <v>0</v>
      </c>
      <c r="AC22" s="10">
        <f>IFERROR(INDEX(System!$C:$C,MATCH(AC$21,System!$B:$B,0)),0)</f>
        <v>0</v>
      </c>
      <c r="AD22" s="10">
        <f>IFERROR(INDEX(System!$C:$C,MATCH(AD$21,System!$B:$B,0)),0)</f>
        <v>10008.152232532317</v>
      </c>
      <c r="AF22" s="10">
        <f t="shared" ref="AF22:AF34" si="1">SUMPRODUCT($E$400:$AD$400,$E22:$AD22)</f>
        <v>38672.81648281555</v>
      </c>
      <c r="AH22" s="34"/>
    </row>
    <row r="23" spans="2:34" outlineLevel="1" x14ac:dyDescent="0.2">
      <c r="C23" s="8" t="s">
        <v>208</v>
      </c>
      <c r="D23" s="8" t="s">
        <v>222</v>
      </c>
      <c r="E23" s="10">
        <f>IFERROR(INDEX(System!$D:$D,MATCH(E$21,System!$B:$B,0)),0)</f>
        <v>0</v>
      </c>
      <c r="F23" s="10">
        <f>IFERROR(INDEX(System!$D:$D,MATCH(F$21,System!$B:$B,0)),0)</f>
        <v>0</v>
      </c>
      <c r="G23" s="10">
        <f>IFERROR(INDEX(System!$D:$D,MATCH(G$21,System!$B:$B,0)),0)</f>
        <v>0</v>
      </c>
      <c r="H23" s="10">
        <f>IFERROR(INDEX(System!$D:$D,MATCH(H$21,System!$B:$B,0)),0)</f>
        <v>0</v>
      </c>
      <c r="I23" s="10">
        <f>IFERROR(INDEX(System!$D:$D,MATCH(I$21,System!$B:$B,0)),0)</f>
        <v>0</v>
      </c>
      <c r="J23" s="10">
        <f>IFERROR(INDEX(System!$D:$D,MATCH(J$21,System!$B:$B,0)),0)</f>
        <v>0</v>
      </c>
      <c r="K23" s="10">
        <f>IFERROR(INDEX(System!$D:$D,MATCH(K$21,System!$B:$B,0)),0)</f>
        <v>0</v>
      </c>
      <c r="L23" s="10">
        <f>IFERROR(INDEX(System!$D:$D,MATCH(L$21,System!$B:$B,0)),0)</f>
        <v>0</v>
      </c>
      <c r="M23" s="10">
        <f>IFERROR(INDEX(System!$D:$D,MATCH(M$21,System!$B:$B,0)),0)</f>
        <v>0</v>
      </c>
      <c r="N23" s="10">
        <f>IFERROR(INDEX(System!$D:$D,MATCH(N$21,System!$B:$B,0)),0)</f>
        <v>0</v>
      </c>
      <c r="O23" s="10">
        <f>IFERROR(INDEX(System!$D:$D,MATCH(O$21,System!$B:$B,0)),0)</f>
        <v>0</v>
      </c>
      <c r="P23" s="10">
        <f>IFERROR(INDEX(System!$D:$D,MATCH(P$21,System!$B:$B,0)),0)</f>
        <v>0</v>
      </c>
      <c r="Q23" s="10">
        <f>IFERROR(INDEX(System!$D:$D,MATCH(Q$21,System!$B:$B,0)),0)</f>
        <v>0</v>
      </c>
      <c r="R23" s="10">
        <f>IFERROR(INDEX(System!$D:$D,MATCH(R$21,System!$B:$B,0)),0)</f>
        <v>0</v>
      </c>
      <c r="S23" s="10">
        <f>IFERROR(INDEX(System!$D:$D,MATCH(S$21,System!$B:$B,0)),0)</f>
        <v>0</v>
      </c>
      <c r="T23" s="10">
        <f>IFERROR(INDEX(System!$D:$D,MATCH(T$21,System!$B:$B,0)),0)</f>
        <v>0</v>
      </c>
      <c r="U23" s="10">
        <f>IFERROR(INDEX(System!$D:$D,MATCH(U$21,System!$B:$B,0)),0)</f>
        <v>0</v>
      </c>
      <c r="V23" s="10">
        <f>IFERROR(INDEX(System!$D:$D,MATCH(V$21,System!$B:$B,0)),0)</f>
        <v>0</v>
      </c>
      <c r="W23" s="10">
        <f>IFERROR(INDEX(System!$D:$D,MATCH(W$21,System!$B:$B,0)),0)</f>
        <v>0</v>
      </c>
      <c r="X23" s="10">
        <f>IFERROR(INDEX(System!$D:$D,MATCH(X$21,System!$B:$B,0)),0)</f>
        <v>0</v>
      </c>
      <c r="Y23" s="10">
        <f>IFERROR(INDEX(System!$D:$D,MATCH(Y$21,System!$B:$B,0)),0)</f>
        <v>0</v>
      </c>
      <c r="Z23" s="10">
        <f>IFERROR(INDEX(System!$D:$D,MATCH(Z$21,System!$B:$B,0)),0)</f>
        <v>0</v>
      </c>
      <c r="AA23" s="10">
        <f>IFERROR(INDEX(System!$D:$D,MATCH(AA$21,System!$B:$B,0)),0)</f>
        <v>0</v>
      </c>
      <c r="AB23" s="10">
        <f>IFERROR(INDEX(System!$D:$D,MATCH(AB$21,System!$B:$B,0)),0)</f>
        <v>0</v>
      </c>
      <c r="AC23" s="10">
        <f>IFERROR(INDEX(System!$D:$D,MATCH(AC$21,System!$B:$B,0)),0)</f>
        <v>0</v>
      </c>
      <c r="AD23" s="10">
        <f>IFERROR(INDEX(System!$D:$D,MATCH(AD$21,System!$B:$B,0)),0)</f>
        <v>5117.5016109006438</v>
      </c>
      <c r="AF23" s="10">
        <f t="shared" si="1"/>
        <v>19774.69927021661</v>
      </c>
      <c r="AH23" s="34"/>
    </row>
    <row r="24" spans="2:34" outlineLevel="1" x14ac:dyDescent="0.2">
      <c r="C24" s="8" t="s">
        <v>208</v>
      </c>
      <c r="D24" s="8" t="s">
        <v>223</v>
      </c>
      <c r="E24" s="10">
        <f>IFERROR(INDEX(System!$E:$E,MATCH(E$21,System!$B:$B,0)),0)</f>
        <v>0</v>
      </c>
      <c r="F24" s="10">
        <f>IFERROR(INDEX(System!$E:$E,MATCH(F$21,System!$B:$B,0)),0)</f>
        <v>0</v>
      </c>
      <c r="G24" s="10">
        <f>IFERROR(INDEX(System!$E:$E,MATCH(G$21,System!$B:$B,0)),0)</f>
        <v>0</v>
      </c>
      <c r="H24" s="10">
        <f>IFERROR(INDEX(System!$E:$E,MATCH(H$21,System!$B:$B,0)),0)</f>
        <v>0</v>
      </c>
      <c r="I24" s="10">
        <f>IFERROR(INDEX(System!$E:$E,MATCH(I$21,System!$B:$B,0)),0)</f>
        <v>0</v>
      </c>
      <c r="J24" s="10">
        <f>IFERROR(INDEX(System!$E:$E,MATCH(J$21,System!$B:$B,0)),0)</f>
        <v>0</v>
      </c>
      <c r="K24" s="10">
        <f>IFERROR(INDEX(System!$E:$E,MATCH(K$21,System!$B:$B,0)),0)</f>
        <v>0</v>
      </c>
      <c r="L24" s="10">
        <f>IFERROR(INDEX(System!$E:$E,MATCH(L$21,System!$B:$B,0)),0)</f>
        <v>0</v>
      </c>
      <c r="M24" s="10">
        <f>IFERROR(INDEX(System!$E:$E,MATCH(M$21,System!$B:$B,0)),0)</f>
        <v>0</v>
      </c>
      <c r="N24" s="10">
        <f>IFERROR(INDEX(System!$E:$E,MATCH(N$21,System!$B:$B,0)),0)</f>
        <v>0</v>
      </c>
      <c r="O24" s="10">
        <f>IFERROR(INDEX(System!$E:$E,MATCH(O$21,System!$B:$B,0)),0)</f>
        <v>0</v>
      </c>
      <c r="P24" s="10">
        <f>IFERROR(INDEX(System!$E:$E,MATCH(P$21,System!$B:$B,0)),0)</f>
        <v>0</v>
      </c>
      <c r="Q24" s="10">
        <f>IFERROR(INDEX(System!$E:$E,MATCH(Q$21,System!$B:$B,0)),0)</f>
        <v>0</v>
      </c>
      <c r="R24" s="10">
        <f>IFERROR(INDEX(System!$E:$E,MATCH(R$21,System!$B:$B,0)),0)</f>
        <v>0</v>
      </c>
      <c r="S24" s="10">
        <f>IFERROR(INDEX(System!$E:$E,MATCH(S$21,System!$B:$B,0)),0)</f>
        <v>0</v>
      </c>
      <c r="T24" s="10">
        <f>IFERROR(INDEX(System!$E:$E,MATCH(T$21,System!$B:$B,0)),0)</f>
        <v>0</v>
      </c>
      <c r="U24" s="10">
        <f>IFERROR(INDEX(System!$E:$E,MATCH(U$21,System!$B:$B,0)),0)</f>
        <v>0</v>
      </c>
      <c r="V24" s="10">
        <f>IFERROR(INDEX(System!$E:$E,MATCH(V$21,System!$B:$B,0)),0)</f>
        <v>0</v>
      </c>
      <c r="W24" s="10">
        <f>IFERROR(INDEX(System!$E:$E,MATCH(W$21,System!$B:$B,0)),0)</f>
        <v>0</v>
      </c>
      <c r="X24" s="10">
        <f>IFERROR(INDEX(System!$E:$E,MATCH(X$21,System!$B:$B,0)),0)</f>
        <v>0</v>
      </c>
      <c r="Y24" s="10">
        <f>IFERROR(INDEX(System!$E:$E,MATCH(Y$21,System!$B:$B,0)),0)</f>
        <v>0</v>
      </c>
      <c r="Z24" s="10">
        <f>IFERROR(INDEX(System!$E:$E,MATCH(Z$21,System!$B:$B,0)),0)</f>
        <v>0</v>
      </c>
      <c r="AA24" s="10">
        <f>IFERROR(INDEX(System!$E:$E,MATCH(AA$21,System!$B:$B,0)),0)</f>
        <v>0</v>
      </c>
      <c r="AB24" s="10">
        <f>IFERROR(INDEX(System!$E:$E,MATCH(AB$21,System!$B:$B,0)),0)</f>
        <v>0</v>
      </c>
      <c r="AC24" s="10">
        <f>IFERROR(INDEX(System!$E:$E,MATCH(AC$21,System!$B:$B,0)),0)</f>
        <v>0</v>
      </c>
      <c r="AD24" s="10">
        <f>IFERROR(INDEX(System!$E:$E,MATCH(AD$21,System!$B:$B,0)),0)</f>
        <v>25319.301404030564</v>
      </c>
      <c r="AF24" s="10">
        <f t="shared" si="1"/>
        <v>97837.110579543369</v>
      </c>
      <c r="AH24" s="34"/>
    </row>
    <row r="25" spans="2:34" outlineLevel="1" x14ac:dyDescent="0.2">
      <c r="C25" s="8" t="s">
        <v>208</v>
      </c>
      <c r="D25" s="8" t="s">
        <v>224</v>
      </c>
      <c r="E25" s="10">
        <f>IFERROR(INDEX(System!$F:$F,MATCH(E$21,System!$B:$B,0)),0)</f>
        <v>0</v>
      </c>
      <c r="F25" s="10">
        <f>IFERROR(INDEX(System!$F:$F,MATCH(F$21,System!$B:$B,0)),0)</f>
        <v>0</v>
      </c>
      <c r="G25" s="10">
        <f>IFERROR(INDEX(System!$F:$F,MATCH(G$21,System!$B:$B,0)),0)</f>
        <v>0</v>
      </c>
      <c r="H25" s="10">
        <f>IFERROR(INDEX(System!$F:$F,MATCH(H$21,System!$B:$B,0)),0)</f>
        <v>0</v>
      </c>
      <c r="I25" s="10">
        <f>IFERROR(INDEX(System!$F:$F,MATCH(I$21,System!$B:$B,0)),0)</f>
        <v>0</v>
      </c>
      <c r="J25" s="10">
        <f>IFERROR(INDEX(System!$F:$F,MATCH(J$21,System!$B:$B,0)),0)</f>
        <v>0</v>
      </c>
      <c r="K25" s="10">
        <f>IFERROR(INDEX(System!$F:$F,MATCH(K$21,System!$B:$B,0)),0)</f>
        <v>0</v>
      </c>
      <c r="L25" s="10">
        <f>IFERROR(INDEX(System!$F:$F,MATCH(L$21,System!$B:$B,0)),0)</f>
        <v>0</v>
      </c>
      <c r="M25" s="10">
        <f>IFERROR(INDEX(System!$F:$F,MATCH(M$21,System!$B:$B,0)),0)</f>
        <v>0</v>
      </c>
      <c r="N25" s="10">
        <f>IFERROR(INDEX(System!$F:$F,MATCH(N$21,System!$B:$B,0)),0)</f>
        <v>0</v>
      </c>
      <c r="O25" s="10">
        <f>IFERROR(INDEX(System!$F:$F,MATCH(O$21,System!$B:$B,0)),0)</f>
        <v>0</v>
      </c>
      <c r="P25" s="10">
        <f>IFERROR(INDEX(System!$F:$F,MATCH(P$21,System!$B:$B,0)),0)</f>
        <v>0</v>
      </c>
      <c r="Q25" s="10">
        <f>IFERROR(INDEX(System!$F:$F,MATCH(Q$21,System!$B:$B,0)),0)</f>
        <v>0</v>
      </c>
      <c r="R25" s="10">
        <f>IFERROR(INDEX(System!$F:$F,MATCH(R$21,System!$B:$B,0)),0)</f>
        <v>0</v>
      </c>
      <c r="S25" s="10">
        <f>IFERROR(INDEX(System!$F:$F,MATCH(S$21,System!$B:$B,0)),0)</f>
        <v>0</v>
      </c>
      <c r="T25" s="10">
        <f>IFERROR(INDEX(System!$F:$F,MATCH(T$21,System!$B:$B,0)),0)</f>
        <v>0</v>
      </c>
      <c r="U25" s="10">
        <f>IFERROR(INDEX(System!$F:$F,MATCH(U$21,System!$B:$B,0)),0)</f>
        <v>0</v>
      </c>
      <c r="V25" s="10">
        <f>IFERROR(INDEX(System!$F:$F,MATCH(V$21,System!$B:$B,0)),0)</f>
        <v>0</v>
      </c>
      <c r="W25" s="10">
        <f>IFERROR(INDEX(System!$F:$F,MATCH(W$21,System!$B:$B,0)),0)</f>
        <v>0</v>
      </c>
      <c r="X25" s="10">
        <f>IFERROR(INDEX(System!$F:$F,MATCH(X$21,System!$B:$B,0)),0)</f>
        <v>0</v>
      </c>
      <c r="Y25" s="10">
        <f>IFERROR(INDEX(System!$F:$F,MATCH(Y$21,System!$B:$B,0)),0)</f>
        <v>0</v>
      </c>
      <c r="Z25" s="10">
        <f>IFERROR(INDEX(System!$F:$F,MATCH(Z$21,System!$B:$B,0)),0)</f>
        <v>0</v>
      </c>
      <c r="AA25" s="10">
        <f>IFERROR(INDEX(System!$F:$F,MATCH(AA$21,System!$B:$B,0)),0)</f>
        <v>0</v>
      </c>
      <c r="AB25" s="10">
        <f>IFERROR(INDEX(System!$F:$F,MATCH(AB$21,System!$B:$B,0)),0)</f>
        <v>0</v>
      </c>
      <c r="AC25" s="10">
        <f>IFERROR(INDEX(System!$F:$F,MATCH(AC$21,System!$B:$B,0)),0)</f>
        <v>0</v>
      </c>
      <c r="AD25" s="10">
        <f>IFERROR(INDEX(System!$F:$F,MATCH(AD$21,System!$B:$B,0)),0)</f>
        <v>4398.5926919186295</v>
      </c>
      <c r="AF25" s="10">
        <f t="shared" si="1"/>
        <v>16996.74065750913</v>
      </c>
      <c r="AH25" s="34"/>
    </row>
    <row r="26" spans="2:34" outlineLevel="1" x14ac:dyDescent="0.2">
      <c r="C26" s="8" t="s">
        <v>208</v>
      </c>
      <c r="D26" s="8" t="s">
        <v>225</v>
      </c>
      <c r="E26" s="10">
        <f>IFERROR(INDEX(System!$G:$G,MATCH(E$21,System!$B:$B,0)),0)</f>
        <v>0</v>
      </c>
      <c r="F26" s="10">
        <f>IFERROR(INDEX(System!$G:$G,MATCH(F$21,System!$B:$B,0)),0)</f>
        <v>0</v>
      </c>
      <c r="G26" s="10">
        <f>IFERROR(INDEX(System!$G:$G,MATCH(G$21,System!$B:$B,0)),0)</f>
        <v>0</v>
      </c>
      <c r="H26" s="10">
        <f>IFERROR(INDEX(System!$G:$G,MATCH(H$21,System!$B:$B,0)),0)</f>
        <v>0</v>
      </c>
      <c r="I26" s="10">
        <f>IFERROR(INDEX(System!$G:$G,MATCH(I$21,System!$B:$B,0)),0)</f>
        <v>0</v>
      </c>
      <c r="J26" s="10">
        <f>IFERROR(INDEX(System!$G:$G,MATCH(J$21,System!$B:$B,0)),0)</f>
        <v>0</v>
      </c>
      <c r="K26" s="10">
        <f>IFERROR(INDEX(System!$G:$G,MATCH(K$21,System!$B:$B,0)),0)</f>
        <v>0</v>
      </c>
      <c r="L26" s="10">
        <f>IFERROR(INDEX(System!$G:$G,MATCH(L$21,System!$B:$B,0)),0)</f>
        <v>0</v>
      </c>
      <c r="M26" s="10">
        <f>IFERROR(INDEX(System!$G:$G,MATCH(M$21,System!$B:$B,0)),0)</f>
        <v>0</v>
      </c>
      <c r="N26" s="10">
        <f>IFERROR(INDEX(System!$G:$G,MATCH(N$21,System!$B:$B,0)),0)</f>
        <v>0</v>
      </c>
      <c r="O26" s="10">
        <f>IFERROR(INDEX(System!$G:$G,MATCH(O$21,System!$B:$B,0)),0)</f>
        <v>0</v>
      </c>
      <c r="P26" s="10">
        <f>IFERROR(INDEX(System!$G:$G,MATCH(P$21,System!$B:$B,0)),0)</f>
        <v>0</v>
      </c>
      <c r="Q26" s="10">
        <f>IFERROR(INDEX(System!$G:$G,MATCH(Q$21,System!$B:$B,0)),0)</f>
        <v>0</v>
      </c>
      <c r="R26" s="10">
        <f>IFERROR(INDEX(System!$G:$G,MATCH(R$21,System!$B:$B,0)),0)</f>
        <v>0</v>
      </c>
      <c r="S26" s="10">
        <f>IFERROR(INDEX(System!$G:$G,MATCH(S$21,System!$B:$B,0)),0)</f>
        <v>0</v>
      </c>
      <c r="T26" s="10">
        <f>IFERROR(INDEX(System!$G:$G,MATCH(T$21,System!$B:$B,0)),0)</f>
        <v>0</v>
      </c>
      <c r="U26" s="10">
        <f>IFERROR(INDEX(System!$G:$G,MATCH(U$21,System!$B:$B,0)),0)</f>
        <v>0</v>
      </c>
      <c r="V26" s="10">
        <f>IFERROR(INDEX(System!$G:$G,MATCH(V$21,System!$B:$B,0)),0)</f>
        <v>0</v>
      </c>
      <c r="W26" s="10">
        <f>IFERROR(INDEX(System!$G:$G,MATCH(W$21,System!$B:$B,0)),0)</f>
        <v>0</v>
      </c>
      <c r="X26" s="10">
        <f>IFERROR(INDEX(System!$G:$G,MATCH(X$21,System!$B:$B,0)),0)</f>
        <v>0</v>
      </c>
      <c r="Y26" s="10">
        <f>IFERROR(INDEX(System!$G:$G,MATCH(Y$21,System!$B:$B,0)),0)</f>
        <v>0</v>
      </c>
      <c r="Z26" s="10">
        <f>IFERROR(INDEX(System!$G:$G,MATCH(Z$21,System!$B:$B,0)),0)</f>
        <v>0</v>
      </c>
      <c r="AA26" s="10">
        <f>IFERROR(INDEX(System!$G:$G,MATCH(AA$21,System!$B:$B,0)),0)</f>
        <v>0</v>
      </c>
      <c r="AB26" s="10">
        <f>IFERROR(INDEX(System!$G:$G,MATCH(AB$21,System!$B:$B,0)),0)</f>
        <v>0</v>
      </c>
      <c r="AC26" s="10">
        <f>IFERROR(INDEX(System!$G:$G,MATCH(AC$21,System!$B:$B,0)),0)</f>
        <v>0</v>
      </c>
      <c r="AD26" s="10">
        <f>IFERROR(INDEX(System!$G:$G,MATCH(AD$21,System!$B:$B,0)),0)</f>
        <v>1460.9426043505889</v>
      </c>
      <c r="AF26" s="10">
        <f t="shared" si="1"/>
        <v>5645.2743640652343</v>
      </c>
      <c r="AH26" s="34"/>
    </row>
    <row r="27" spans="2:34" outlineLevel="1" x14ac:dyDescent="0.2">
      <c r="C27" s="8" t="s">
        <v>208</v>
      </c>
      <c r="D27" s="8" t="s">
        <v>132</v>
      </c>
      <c r="E27" s="10">
        <f t="shared" ref="E27:AD27" si="2">E38+E47</f>
        <v>0</v>
      </c>
      <c r="F27" s="10">
        <f t="shared" si="2"/>
        <v>0</v>
      </c>
      <c r="G27" s="10">
        <f t="shared" si="2"/>
        <v>0</v>
      </c>
      <c r="H27" s="10">
        <f t="shared" si="2"/>
        <v>0</v>
      </c>
      <c r="I27" s="10">
        <f t="shared" si="2"/>
        <v>0</v>
      </c>
      <c r="J27" s="10">
        <f t="shared" si="2"/>
        <v>0</v>
      </c>
      <c r="K27" s="10">
        <f t="shared" si="2"/>
        <v>0</v>
      </c>
      <c r="L27" s="10">
        <f t="shared" si="2"/>
        <v>0</v>
      </c>
      <c r="M27" s="10">
        <f t="shared" si="2"/>
        <v>0</v>
      </c>
      <c r="N27" s="10">
        <f t="shared" si="2"/>
        <v>0</v>
      </c>
      <c r="O27" s="10">
        <f t="shared" si="2"/>
        <v>0</v>
      </c>
      <c r="P27" s="10">
        <f t="shared" si="2"/>
        <v>0</v>
      </c>
      <c r="Q27" s="10">
        <f t="shared" si="2"/>
        <v>0</v>
      </c>
      <c r="R27" s="10">
        <f t="shared" si="2"/>
        <v>0</v>
      </c>
      <c r="S27" s="10">
        <f t="shared" si="2"/>
        <v>0</v>
      </c>
      <c r="T27" s="10">
        <f t="shared" si="2"/>
        <v>0</v>
      </c>
      <c r="U27" s="10">
        <f t="shared" si="2"/>
        <v>0</v>
      </c>
      <c r="V27" s="10">
        <f t="shared" si="2"/>
        <v>0</v>
      </c>
      <c r="W27" s="10">
        <f t="shared" si="2"/>
        <v>0</v>
      </c>
      <c r="X27" s="10">
        <f t="shared" si="2"/>
        <v>0</v>
      </c>
      <c r="Y27" s="10">
        <f t="shared" si="2"/>
        <v>0</v>
      </c>
      <c r="Z27" s="10">
        <f t="shared" si="2"/>
        <v>0</v>
      </c>
      <c r="AA27" s="10">
        <f t="shared" si="2"/>
        <v>0</v>
      </c>
      <c r="AB27" s="10">
        <f t="shared" si="2"/>
        <v>0</v>
      </c>
      <c r="AC27" s="10">
        <f t="shared" si="2"/>
        <v>0</v>
      </c>
      <c r="AD27" s="10">
        <f t="shared" si="2"/>
        <v>957.28744339732839</v>
      </c>
      <c r="AF27" s="10">
        <f t="shared" si="1"/>
        <v>3699.0845822137644</v>
      </c>
      <c r="AH27" s="34"/>
    </row>
    <row r="28" spans="2:34" outlineLevel="1" x14ac:dyDescent="0.2">
      <c r="C28" s="8" t="s">
        <v>209</v>
      </c>
      <c r="D28" s="8" t="s">
        <v>133</v>
      </c>
      <c r="E28" s="10">
        <f t="shared" ref="E28:AD28" si="3">E39+E48</f>
        <v>0</v>
      </c>
      <c r="F28" s="10">
        <f t="shared" si="3"/>
        <v>0</v>
      </c>
      <c r="G28" s="10">
        <f t="shared" si="3"/>
        <v>0</v>
      </c>
      <c r="H28" s="10">
        <f t="shared" si="3"/>
        <v>0</v>
      </c>
      <c r="I28" s="10">
        <f t="shared" si="3"/>
        <v>0</v>
      </c>
      <c r="J28" s="10">
        <f t="shared" si="3"/>
        <v>0</v>
      </c>
      <c r="K28" s="10">
        <f t="shared" si="3"/>
        <v>0</v>
      </c>
      <c r="L28" s="10">
        <f t="shared" si="3"/>
        <v>0</v>
      </c>
      <c r="M28" s="10">
        <f t="shared" si="3"/>
        <v>0</v>
      </c>
      <c r="N28" s="10">
        <f t="shared" si="3"/>
        <v>0</v>
      </c>
      <c r="O28" s="10">
        <f t="shared" si="3"/>
        <v>0</v>
      </c>
      <c r="P28" s="10">
        <f t="shared" si="3"/>
        <v>0</v>
      </c>
      <c r="Q28" s="10">
        <f t="shared" si="3"/>
        <v>0</v>
      </c>
      <c r="R28" s="10">
        <f t="shared" si="3"/>
        <v>0</v>
      </c>
      <c r="S28" s="10">
        <f t="shared" si="3"/>
        <v>0</v>
      </c>
      <c r="T28" s="10">
        <f t="shared" si="3"/>
        <v>0</v>
      </c>
      <c r="U28" s="10">
        <f t="shared" si="3"/>
        <v>0</v>
      </c>
      <c r="V28" s="10">
        <f t="shared" si="3"/>
        <v>0</v>
      </c>
      <c r="W28" s="10">
        <f t="shared" si="3"/>
        <v>0</v>
      </c>
      <c r="X28" s="10">
        <f t="shared" si="3"/>
        <v>0</v>
      </c>
      <c r="Y28" s="10">
        <f t="shared" si="3"/>
        <v>0</v>
      </c>
      <c r="Z28" s="10">
        <f t="shared" si="3"/>
        <v>0</v>
      </c>
      <c r="AA28" s="10">
        <f t="shared" si="3"/>
        <v>0</v>
      </c>
      <c r="AB28" s="10">
        <f t="shared" si="3"/>
        <v>0</v>
      </c>
      <c r="AC28" s="10">
        <f t="shared" si="3"/>
        <v>0</v>
      </c>
      <c r="AD28" s="10">
        <f t="shared" si="3"/>
        <v>706.4714611544</v>
      </c>
      <c r="AF28" s="10">
        <f t="shared" si="1"/>
        <v>2729.898639906849</v>
      </c>
      <c r="AH28" s="34"/>
    </row>
    <row r="29" spans="2:34" outlineLevel="1" x14ac:dyDescent="0.2">
      <c r="C29" s="8" t="s">
        <v>209</v>
      </c>
      <c r="D29" s="8" t="s">
        <v>168</v>
      </c>
      <c r="E29" s="10">
        <f t="shared" ref="E29:AD29" si="4">E40+E49</f>
        <v>0</v>
      </c>
      <c r="F29" s="10">
        <f t="shared" si="4"/>
        <v>0</v>
      </c>
      <c r="G29" s="10">
        <f t="shared" si="4"/>
        <v>0</v>
      </c>
      <c r="H29" s="10">
        <f t="shared" si="4"/>
        <v>0</v>
      </c>
      <c r="I29" s="10">
        <f t="shared" si="4"/>
        <v>0</v>
      </c>
      <c r="J29" s="10">
        <f t="shared" si="4"/>
        <v>0</v>
      </c>
      <c r="K29" s="10">
        <f t="shared" si="4"/>
        <v>0</v>
      </c>
      <c r="L29" s="10">
        <f t="shared" si="4"/>
        <v>0</v>
      </c>
      <c r="M29" s="10">
        <f t="shared" si="4"/>
        <v>0</v>
      </c>
      <c r="N29" s="10">
        <f t="shared" si="4"/>
        <v>0</v>
      </c>
      <c r="O29" s="10">
        <f t="shared" si="4"/>
        <v>0</v>
      </c>
      <c r="P29" s="10">
        <f t="shared" si="4"/>
        <v>0</v>
      </c>
      <c r="Q29" s="10">
        <f t="shared" si="4"/>
        <v>0</v>
      </c>
      <c r="R29" s="10">
        <f t="shared" si="4"/>
        <v>0</v>
      </c>
      <c r="S29" s="10">
        <f t="shared" si="4"/>
        <v>0</v>
      </c>
      <c r="T29" s="10">
        <f t="shared" si="4"/>
        <v>0</v>
      </c>
      <c r="U29" s="10">
        <f t="shared" si="4"/>
        <v>0</v>
      </c>
      <c r="V29" s="10">
        <f t="shared" si="4"/>
        <v>0</v>
      </c>
      <c r="W29" s="10">
        <f t="shared" si="4"/>
        <v>0</v>
      </c>
      <c r="X29" s="10">
        <f t="shared" si="4"/>
        <v>0</v>
      </c>
      <c r="Y29" s="10">
        <f t="shared" si="4"/>
        <v>0</v>
      </c>
      <c r="Z29" s="10">
        <f t="shared" si="4"/>
        <v>0</v>
      </c>
      <c r="AA29" s="10">
        <f t="shared" si="4"/>
        <v>0</v>
      </c>
      <c r="AB29" s="10">
        <f t="shared" si="4"/>
        <v>0</v>
      </c>
      <c r="AC29" s="10">
        <f t="shared" si="4"/>
        <v>0</v>
      </c>
      <c r="AD29" s="10">
        <f t="shared" si="4"/>
        <v>4680.1634405651639</v>
      </c>
      <c r="AF29" s="10">
        <f t="shared" si="1"/>
        <v>18084.767062017683</v>
      </c>
      <c r="AH29" s="34"/>
    </row>
    <row r="30" spans="2:34" outlineLevel="1" x14ac:dyDescent="0.2">
      <c r="C30" s="8" t="s">
        <v>209</v>
      </c>
      <c r="D30" s="8" t="s">
        <v>167</v>
      </c>
      <c r="E30" s="10">
        <f t="shared" ref="E30:AD30" si="5">E41+E50</f>
        <v>0</v>
      </c>
      <c r="F30" s="10">
        <f t="shared" si="5"/>
        <v>0</v>
      </c>
      <c r="G30" s="10">
        <f t="shared" si="5"/>
        <v>0</v>
      </c>
      <c r="H30" s="10">
        <f t="shared" si="5"/>
        <v>0</v>
      </c>
      <c r="I30" s="10">
        <f t="shared" si="5"/>
        <v>0</v>
      </c>
      <c r="J30" s="10">
        <f t="shared" si="5"/>
        <v>0</v>
      </c>
      <c r="K30" s="10">
        <f t="shared" si="5"/>
        <v>0</v>
      </c>
      <c r="L30" s="10">
        <f t="shared" si="5"/>
        <v>0</v>
      </c>
      <c r="M30" s="10">
        <f t="shared" si="5"/>
        <v>0</v>
      </c>
      <c r="N30" s="10">
        <f t="shared" si="5"/>
        <v>0</v>
      </c>
      <c r="O30" s="10">
        <f t="shared" si="5"/>
        <v>0</v>
      </c>
      <c r="P30" s="10">
        <f t="shared" si="5"/>
        <v>0</v>
      </c>
      <c r="Q30" s="10">
        <f t="shared" si="5"/>
        <v>0</v>
      </c>
      <c r="R30" s="10">
        <f t="shared" si="5"/>
        <v>0</v>
      </c>
      <c r="S30" s="10">
        <f t="shared" si="5"/>
        <v>0</v>
      </c>
      <c r="T30" s="10">
        <f t="shared" si="5"/>
        <v>0</v>
      </c>
      <c r="U30" s="10">
        <f t="shared" si="5"/>
        <v>0</v>
      </c>
      <c r="V30" s="10">
        <f t="shared" si="5"/>
        <v>0</v>
      </c>
      <c r="W30" s="10">
        <f t="shared" si="5"/>
        <v>0</v>
      </c>
      <c r="X30" s="10">
        <f t="shared" si="5"/>
        <v>0</v>
      </c>
      <c r="Y30" s="10">
        <f t="shared" si="5"/>
        <v>0</v>
      </c>
      <c r="Z30" s="10">
        <f t="shared" si="5"/>
        <v>0</v>
      </c>
      <c r="AA30" s="10">
        <f t="shared" si="5"/>
        <v>0</v>
      </c>
      <c r="AB30" s="10">
        <f t="shared" si="5"/>
        <v>0</v>
      </c>
      <c r="AC30" s="10">
        <f t="shared" si="5"/>
        <v>0</v>
      </c>
      <c r="AD30" s="10">
        <f t="shared" si="5"/>
        <v>3937.079073647049</v>
      </c>
      <c r="AF30" s="10">
        <f t="shared" si="1"/>
        <v>15213.391338968537</v>
      </c>
      <c r="AH30" s="34"/>
    </row>
    <row r="31" spans="2:34" outlineLevel="1" x14ac:dyDescent="0.2">
      <c r="C31" s="8" t="s">
        <v>209</v>
      </c>
      <c r="D31" s="8" t="s">
        <v>618</v>
      </c>
      <c r="E31" s="10">
        <f>E42</f>
        <v>0</v>
      </c>
      <c r="F31" s="10">
        <f t="shared" ref="F31:AD31" si="6">F42</f>
        <v>0</v>
      </c>
      <c r="G31" s="10">
        <f t="shared" si="6"/>
        <v>0</v>
      </c>
      <c r="H31" s="10">
        <f t="shared" si="6"/>
        <v>0</v>
      </c>
      <c r="I31" s="10">
        <f t="shared" si="6"/>
        <v>0</v>
      </c>
      <c r="J31" s="10">
        <f t="shared" si="6"/>
        <v>0</v>
      </c>
      <c r="K31" s="10">
        <f t="shared" si="6"/>
        <v>0</v>
      </c>
      <c r="L31" s="10">
        <f t="shared" si="6"/>
        <v>0</v>
      </c>
      <c r="M31" s="10">
        <f t="shared" si="6"/>
        <v>0</v>
      </c>
      <c r="N31" s="10">
        <f t="shared" si="6"/>
        <v>0</v>
      </c>
      <c r="O31" s="10">
        <f t="shared" si="6"/>
        <v>0</v>
      </c>
      <c r="P31" s="10">
        <f t="shared" si="6"/>
        <v>0</v>
      </c>
      <c r="Q31" s="10">
        <f t="shared" si="6"/>
        <v>0</v>
      </c>
      <c r="R31" s="10">
        <f t="shared" si="6"/>
        <v>0</v>
      </c>
      <c r="S31" s="10">
        <f t="shared" si="6"/>
        <v>0</v>
      </c>
      <c r="T31" s="10">
        <f t="shared" si="6"/>
        <v>0</v>
      </c>
      <c r="U31" s="10">
        <f t="shared" si="6"/>
        <v>0</v>
      </c>
      <c r="V31" s="10">
        <f t="shared" si="6"/>
        <v>0</v>
      </c>
      <c r="W31" s="10">
        <f t="shared" si="6"/>
        <v>0</v>
      </c>
      <c r="X31" s="10">
        <f t="shared" si="6"/>
        <v>0</v>
      </c>
      <c r="Y31" s="10">
        <f t="shared" si="6"/>
        <v>0</v>
      </c>
      <c r="Z31" s="10">
        <f t="shared" si="6"/>
        <v>0</v>
      </c>
      <c r="AA31" s="10">
        <f t="shared" si="6"/>
        <v>0</v>
      </c>
      <c r="AB31" s="10">
        <f t="shared" si="6"/>
        <v>0</v>
      </c>
      <c r="AC31" s="10">
        <f t="shared" si="6"/>
        <v>0</v>
      </c>
      <c r="AD31" s="10">
        <f t="shared" si="6"/>
        <v>30.997630233999995</v>
      </c>
      <c r="AF31" s="10">
        <f t="shared" si="1"/>
        <v>119.77891998334826</v>
      </c>
      <c r="AH31" s="34"/>
    </row>
    <row r="32" spans="2:34" outlineLevel="1" x14ac:dyDescent="0.2">
      <c r="C32" s="8" t="s">
        <v>209</v>
      </c>
      <c r="D32" s="8" t="s">
        <v>138</v>
      </c>
      <c r="E32" s="16">
        <f t="shared" ref="E32:AD32" si="7">SUM(E51:E52)</f>
        <v>0</v>
      </c>
      <c r="F32" s="16">
        <f t="shared" si="7"/>
        <v>0</v>
      </c>
      <c r="G32" s="16">
        <f t="shared" si="7"/>
        <v>0</v>
      </c>
      <c r="H32" s="16">
        <f t="shared" si="7"/>
        <v>0</v>
      </c>
      <c r="I32" s="16">
        <f t="shared" si="7"/>
        <v>0</v>
      </c>
      <c r="J32" s="16">
        <f t="shared" si="7"/>
        <v>0</v>
      </c>
      <c r="K32" s="16">
        <f t="shared" si="7"/>
        <v>0</v>
      </c>
      <c r="L32" s="16">
        <f t="shared" si="7"/>
        <v>0</v>
      </c>
      <c r="M32" s="16">
        <f t="shared" si="7"/>
        <v>0</v>
      </c>
      <c r="N32" s="16">
        <f t="shared" si="7"/>
        <v>0</v>
      </c>
      <c r="O32" s="16">
        <f t="shared" si="7"/>
        <v>0</v>
      </c>
      <c r="P32" s="16">
        <f t="shared" si="7"/>
        <v>0</v>
      </c>
      <c r="Q32" s="16">
        <f t="shared" si="7"/>
        <v>0</v>
      </c>
      <c r="R32" s="16">
        <f t="shared" si="7"/>
        <v>0</v>
      </c>
      <c r="S32" s="16">
        <f t="shared" si="7"/>
        <v>0</v>
      </c>
      <c r="T32" s="16">
        <f t="shared" si="7"/>
        <v>0</v>
      </c>
      <c r="U32" s="16">
        <f t="shared" si="7"/>
        <v>0</v>
      </c>
      <c r="V32" s="16">
        <f t="shared" si="7"/>
        <v>0</v>
      </c>
      <c r="W32" s="16">
        <f t="shared" si="7"/>
        <v>0</v>
      </c>
      <c r="X32" s="16">
        <f t="shared" si="7"/>
        <v>0</v>
      </c>
      <c r="Y32" s="16">
        <f t="shared" si="7"/>
        <v>0</v>
      </c>
      <c r="Z32" s="16">
        <f t="shared" si="7"/>
        <v>0</v>
      </c>
      <c r="AA32" s="16">
        <f t="shared" si="7"/>
        <v>0</v>
      </c>
      <c r="AB32" s="16">
        <f t="shared" si="7"/>
        <v>0</v>
      </c>
      <c r="AC32" s="16">
        <f t="shared" si="7"/>
        <v>0</v>
      </c>
      <c r="AD32" s="16">
        <f t="shared" si="7"/>
        <v>485.16862954294191</v>
      </c>
      <c r="AF32" s="16">
        <f t="shared" si="1"/>
        <v>1874.7553931627037</v>
      </c>
      <c r="AH32" s="34"/>
    </row>
    <row r="33" spans="3:34" ht="12.6" outlineLevel="1" thickBot="1" x14ac:dyDescent="0.25">
      <c r="C33" s="9" t="s">
        <v>134</v>
      </c>
      <c r="D33" s="9"/>
      <c r="E33" s="11">
        <f t="shared" ref="E33:AD33" si="8">SUM(E27:E32,E26)</f>
        <v>0</v>
      </c>
      <c r="F33" s="11">
        <f t="shared" si="8"/>
        <v>0</v>
      </c>
      <c r="G33" s="11">
        <f t="shared" si="8"/>
        <v>0</v>
      </c>
      <c r="H33" s="11">
        <f t="shared" si="8"/>
        <v>0</v>
      </c>
      <c r="I33" s="11">
        <f t="shared" si="8"/>
        <v>0</v>
      </c>
      <c r="J33" s="11">
        <f t="shared" si="8"/>
        <v>0</v>
      </c>
      <c r="K33" s="11">
        <f t="shared" si="8"/>
        <v>0</v>
      </c>
      <c r="L33" s="11">
        <f t="shared" si="8"/>
        <v>0</v>
      </c>
      <c r="M33" s="11">
        <f t="shared" si="8"/>
        <v>0</v>
      </c>
      <c r="N33" s="11">
        <f t="shared" si="8"/>
        <v>0</v>
      </c>
      <c r="O33" s="11">
        <f t="shared" si="8"/>
        <v>0</v>
      </c>
      <c r="P33" s="11">
        <f t="shared" si="8"/>
        <v>0</v>
      </c>
      <c r="Q33" s="11">
        <f t="shared" si="8"/>
        <v>0</v>
      </c>
      <c r="R33" s="11">
        <f t="shared" si="8"/>
        <v>0</v>
      </c>
      <c r="S33" s="11">
        <f t="shared" si="8"/>
        <v>0</v>
      </c>
      <c r="T33" s="11">
        <f t="shared" si="8"/>
        <v>0</v>
      </c>
      <c r="U33" s="11">
        <f t="shared" si="8"/>
        <v>0</v>
      </c>
      <c r="V33" s="11">
        <f t="shared" si="8"/>
        <v>0</v>
      </c>
      <c r="W33" s="11">
        <f t="shared" si="8"/>
        <v>0</v>
      </c>
      <c r="X33" s="11">
        <f t="shared" si="8"/>
        <v>0</v>
      </c>
      <c r="Y33" s="11">
        <f t="shared" si="8"/>
        <v>0</v>
      </c>
      <c r="Z33" s="11">
        <f t="shared" si="8"/>
        <v>0</v>
      </c>
      <c r="AA33" s="11">
        <f t="shared" si="8"/>
        <v>0</v>
      </c>
      <c r="AB33" s="11">
        <f t="shared" si="8"/>
        <v>0</v>
      </c>
      <c r="AC33" s="11">
        <f t="shared" si="8"/>
        <v>0</v>
      </c>
      <c r="AD33" s="11">
        <f t="shared" si="8"/>
        <v>12258.110282891474</v>
      </c>
      <c r="AF33" s="11">
        <f t="shared" si="1"/>
        <v>47366.950300318123</v>
      </c>
      <c r="AH33" s="34"/>
    </row>
    <row r="34" spans="3:34" ht="13.2" outlineLevel="1" thickTop="1" thickBot="1" x14ac:dyDescent="0.25">
      <c r="C34" s="9" t="s">
        <v>135</v>
      </c>
      <c r="D34" s="9"/>
      <c r="E34" s="11">
        <f t="shared" ref="E34:AD34" si="9">E33+E25</f>
        <v>0</v>
      </c>
      <c r="F34" s="11">
        <f t="shared" si="9"/>
        <v>0</v>
      </c>
      <c r="G34" s="11">
        <f t="shared" si="9"/>
        <v>0</v>
      </c>
      <c r="H34" s="11">
        <f t="shared" si="9"/>
        <v>0</v>
      </c>
      <c r="I34" s="11">
        <f t="shared" si="9"/>
        <v>0</v>
      </c>
      <c r="J34" s="11">
        <f t="shared" si="9"/>
        <v>0</v>
      </c>
      <c r="K34" s="11">
        <f t="shared" si="9"/>
        <v>0</v>
      </c>
      <c r="L34" s="11">
        <f t="shared" si="9"/>
        <v>0</v>
      </c>
      <c r="M34" s="11">
        <f t="shared" si="9"/>
        <v>0</v>
      </c>
      <c r="N34" s="11">
        <f t="shared" si="9"/>
        <v>0</v>
      </c>
      <c r="O34" s="11">
        <f t="shared" si="9"/>
        <v>0</v>
      </c>
      <c r="P34" s="11">
        <f t="shared" si="9"/>
        <v>0</v>
      </c>
      <c r="Q34" s="11">
        <f t="shared" si="9"/>
        <v>0</v>
      </c>
      <c r="R34" s="11">
        <f t="shared" si="9"/>
        <v>0</v>
      </c>
      <c r="S34" s="11">
        <f t="shared" si="9"/>
        <v>0</v>
      </c>
      <c r="T34" s="11">
        <f t="shared" si="9"/>
        <v>0</v>
      </c>
      <c r="U34" s="11">
        <f t="shared" si="9"/>
        <v>0</v>
      </c>
      <c r="V34" s="11">
        <f t="shared" si="9"/>
        <v>0</v>
      </c>
      <c r="W34" s="11">
        <f t="shared" si="9"/>
        <v>0</v>
      </c>
      <c r="X34" s="11">
        <f t="shared" si="9"/>
        <v>0</v>
      </c>
      <c r="Y34" s="11">
        <f t="shared" si="9"/>
        <v>0</v>
      </c>
      <c r="Z34" s="11">
        <f t="shared" si="9"/>
        <v>0</v>
      </c>
      <c r="AA34" s="11">
        <f t="shared" si="9"/>
        <v>0</v>
      </c>
      <c r="AB34" s="11">
        <f t="shared" si="9"/>
        <v>0</v>
      </c>
      <c r="AC34" s="11">
        <f t="shared" si="9"/>
        <v>0</v>
      </c>
      <c r="AD34" s="11">
        <f t="shared" si="9"/>
        <v>16656.702974810105</v>
      </c>
      <c r="AF34" s="11">
        <f t="shared" si="1"/>
        <v>64363.690957827261</v>
      </c>
      <c r="AH34" s="34"/>
    </row>
    <row r="35" spans="3:34" ht="12" outlineLevel="1" thickTop="1" x14ac:dyDescent="0.2">
      <c r="AH35" s="34"/>
    </row>
    <row r="36" spans="3:34" ht="13.2" outlineLevel="1" x14ac:dyDescent="0.2">
      <c r="E36" s="2" t="s">
        <v>430</v>
      </c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F36" s="2"/>
      <c r="AH36" s="34"/>
    </row>
    <row r="37" spans="3:34" outlineLevel="1" x14ac:dyDescent="0.2">
      <c r="E37" s="7">
        <v>43831</v>
      </c>
      <c r="F37" s="7">
        <f>EDATE(E37,12)</f>
        <v>44197</v>
      </c>
      <c r="G37" s="7">
        <f t="shared" ref="G37" si="10">EDATE(F37,12)</f>
        <v>44562</v>
      </c>
      <c r="H37" s="7">
        <f t="shared" ref="H37" si="11">EDATE(G37,12)</f>
        <v>44927</v>
      </c>
      <c r="I37" s="7">
        <f t="shared" ref="I37" si="12">EDATE(H37,12)</f>
        <v>45292</v>
      </c>
      <c r="J37" s="7">
        <f t="shared" ref="J37" si="13">EDATE(I37,12)</f>
        <v>45658</v>
      </c>
      <c r="K37" s="7">
        <f t="shared" ref="K37" si="14">EDATE(J37,12)</f>
        <v>46023</v>
      </c>
      <c r="L37" s="7">
        <f t="shared" ref="L37" si="15">EDATE(K37,12)</f>
        <v>46388</v>
      </c>
      <c r="M37" s="7">
        <f t="shared" ref="M37" si="16">EDATE(L37,12)</f>
        <v>46753</v>
      </c>
      <c r="N37" s="7">
        <f t="shared" ref="N37" si="17">EDATE(M37,12)</f>
        <v>47119</v>
      </c>
      <c r="O37" s="7">
        <f t="shared" ref="O37" si="18">EDATE(N37,12)</f>
        <v>47484</v>
      </c>
      <c r="P37" s="7">
        <f t="shared" ref="P37" si="19">EDATE(O37,12)</f>
        <v>47849</v>
      </c>
      <c r="Q37" s="7">
        <f t="shared" ref="Q37" si="20">EDATE(P37,12)</f>
        <v>48214</v>
      </c>
      <c r="R37" s="7">
        <f t="shared" ref="R37" si="21">EDATE(Q37,12)</f>
        <v>48580</v>
      </c>
      <c r="S37" s="7">
        <f t="shared" ref="S37" si="22">EDATE(R37,12)</f>
        <v>48945</v>
      </c>
      <c r="T37" s="7">
        <f t="shared" ref="T37" si="23">EDATE(S37,12)</f>
        <v>49310</v>
      </c>
      <c r="U37" s="7">
        <f t="shared" ref="U37" si="24">EDATE(T37,12)</f>
        <v>49675</v>
      </c>
      <c r="V37" s="7">
        <f t="shared" ref="V37" si="25">EDATE(U37,12)</f>
        <v>50041</v>
      </c>
      <c r="W37" s="7">
        <f t="shared" ref="W37" si="26">EDATE(V37,12)</f>
        <v>50406</v>
      </c>
      <c r="X37" s="7">
        <f t="shared" ref="X37" si="27">EDATE(W37,12)</f>
        <v>50771</v>
      </c>
      <c r="Y37" s="7">
        <f t="shared" ref="Y37" si="28">EDATE(X37,12)</f>
        <v>51136</v>
      </c>
      <c r="Z37" s="7">
        <f t="shared" ref="Z37" si="29">EDATE(Y37,12)</f>
        <v>51502</v>
      </c>
      <c r="AA37" s="7">
        <f t="shared" ref="AA37" si="30">EDATE(Z37,12)</f>
        <v>51867</v>
      </c>
      <c r="AB37" s="7">
        <f t="shared" ref="AB37" si="31">EDATE(AA37,12)</f>
        <v>52232</v>
      </c>
      <c r="AC37" s="7">
        <f t="shared" ref="AC37" si="32">EDATE(AB37,12)</f>
        <v>52597</v>
      </c>
      <c r="AD37" s="7">
        <f t="shared" ref="AD37" si="33">EDATE(AC37,12)</f>
        <v>52963</v>
      </c>
      <c r="AF37" s="7" t="s">
        <v>616</v>
      </c>
      <c r="AH37" s="34"/>
    </row>
    <row r="38" spans="3:34" outlineLevel="1" x14ac:dyDescent="0.2">
      <c r="D38" s="8" t="s">
        <v>132</v>
      </c>
      <c r="E38" s="10" cm="1">
        <f t="array" ref="E38">0.000001 * SUM(
  SUMIFS(
    'Resource Summary'!$S:$S,
    'Resource Summary'!$B:$B,zones_to_group,
    'Resource Summary'!$A:$A,TRANSPOSE(_xlfn._xlws.FILTER('Results Grouping'!$G$9:$G$322,('Results Grouping'!$H$9:$H$322=$D$18) * ('Results Grouping'!$I$9:$I$322=$D38),0)),
    'Resource Summary'!$C:$C,E$37
  ),
  SUMIFS(
    'Resource Summary'!$T:$T,
    'Resource Summary'!$B:$B,zones_to_group,
    'Resource Summary'!$A:$A,TRANSPOSE(_xlfn._xlws.FILTER('Results Grouping'!$G$9:$G$322,('Results Grouping'!$H$9:$H$322=$D$18) * ('Results Grouping'!$I$9:$I$322=$D38),0)),
    'Resource Summary'!$C:$C,E$37
  )
)</f>
        <v>0</v>
      </c>
      <c r="F38" s="10" cm="1">
        <f t="array" ref="F38">0.000001 * SUM(
  SUMIFS(
    'Resource Summary'!$S:$S,
    'Resource Summary'!$B:$B,zones_to_group,
    'Resource Summary'!$A:$A,TRANSPOSE(_xlfn._xlws.FILTER('Results Grouping'!$G$9:$G$322,('Results Grouping'!$H$9:$H$322=$D$18) * ('Results Grouping'!$I$9:$I$322=$D38),0)),
    'Resource Summary'!$C:$C,F$37
  ),
  SUMIFS(
    'Resource Summary'!$T:$T,
    'Resource Summary'!$B:$B,zones_to_group,
    'Resource Summary'!$A:$A,TRANSPOSE(_xlfn._xlws.FILTER('Results Grouping'!$G$9:$G$322,('Results Grouping'!$H$9:$H$322=$D$18) * ('Results Grouping'!$I$9:$I$322=$D38),0)),
    'Resource Summary'!$C:$C,F$37
  )
)</f>
        <v>0</v>
      </c>
      <c r="G38" s="10" cm="1">
        <f t="array" ref="G38">0.000001 * SUM(
  SUMIFS(
    'Resource Summary'!$S:$S,
    'Resource Summary'!$B:$B,zones_to_group,
    'Resource Summary'!$A:$A,TRANSPOSE(_xlfn._xlws.FILTER('Results Grouping'!$G$9:$G$322,('Results Grouping'!$H$9:$H$322=$D$18) * ('Results Grouping'!$I$9:$I$322=$D38),0)),
    'Resource Summary'!$C:$C,G$37
  ),
  SUMIFS(
    'Resource Summary'!$T:$T,
    'Resource Summary'!$B:$B,zones_to_group,
    'Resource Summary'!$A:$A,TRANSPOSE(_xlfn._xlws.FILTER('Results Grouping'!$G$9:$G$322,('Results Grouping'!$H$9:$H$322=$D$18) * ('Results Grouping'!$I$9:$I$322=$D38),0)),
    'Resource Summary'!$C:$C,G$37
  )
)</f>
        <v>0</v>
      </c>
      <c r="H38" s="10" cm="1">
        <f t="array" ref="H38">0.000001 * SUM(
  SUMIFS(
    'Resource Summary'!$S:$S,
    'Resource Summary'!$B:$B,zones_to_group,
    'Resource Summary'!$A:$A,TRANSPOSE(_xlfn._xlws.FILTER('Results Grouping'!$G$9:$G$322,('Results Grouping'!$H$9:$H$322=$D$18) * ('Results Grouping'!$I$9:$I$322=$D38),0)),
    'Resource Summary'!$C:$C,H$37
  ),
  SUMIFS(
    'Resource Summary'!$T:$T,
    'Resource Summary'!$B:$B,zones_to_group,
    'Resource Summary'!$A:$A,TRANSPOSE(_xlfn._xlws.FILTER('Results Grouping'!$G$9:$G$322,('Results Grouping'!$H$9:$H$322=$D$18) * ('Results Grouping'!$I$9:$I$322=$D38),0)),
    'Resource Summary'!$C:$C,H$37
  )
)</f>
        <v>0</v>
      </c>
      <c r="I38" s="10" cm="1">
        <f t="array" ref="I38">0.000001 * SUM(
  SUMIFS(
    'Resource Summary'!$S:$S,
    'Resource Summary'!$B:$B,zones_to_group,
    'Resource Summary'!$A:$A,TRANSPOSE(_xlfn._xlws.FILTER('Results Grouping'!$G$9:$G$322,('Results Grouping'!$H$9:$H$322=$D$18) * ('Results Grouping'!$I$9:$I$322=$D38),0)),
    'Resource Summary'!$C:$C,I$37
  ),
  SUMIFS(
    'Resource Summary'!$T:$T,
    'Resource Summary'!$B:$B,zones_to_group,
    'Resource Summary'!$A:$A,TRANSPOSE(_xlfn._xlws.FILTER('Results Grouping'!$G$9:$G$322,('Results Grouping'!$H$9:$H$322=$D$18) * ('Results Grouping'!$I$9:$I$322=$D38),0)),
    'Resource Summary'!$C:$C,I$37
  )
)</f>
        <v>0</v>
      </c>
      <c r="J38" s="10" cm="1">
        <f t="array" ref="J38">0.000001 * SUM(
  SUMIFS(
    'Resource Summary'!$S:$S,
    'Resource Summary'!$B:$B,zones_to_group,
    'Resource Summary'!$A:$A,TRANSPOSE(_xlfn._xlws.FILTER('Results Grouping'!$G$9:$G$322,('Results Grouping'!$H$9:$H$322=$D$18) * ('Results Grouping'!$I$9:$I$322=$D38),0)),
    'Resource Summary'!$C:$C,J$37
  ),
  SUMIFS(
    'Resource Summary'!$T:$T,
    'Resource Summary'!$B:$B,zones_to_group,
    'Resource Summary'!$A:$A,TRANSPOSE(_xlfn._xlws.FILTER('Results Grouping'!$G$9:$G$322,('Results Grouping'!$H$9:$H$322=$D$18) * ('Results Grouping'!$I$9:$I$322=$D38),0)),
    'Resource Summary'!$C:$C,J$37
  )
)</f>
        <v>0</v>
      </c>
      <c r="K38" s="10" cm="1">
        <f t="array" ref="K38">0.000001 * SUM(
  SUMIFS(
    'Resource Summary'!$S:$S,
    'Resource Summary'!$B:$B,zones_to_group,
    'Resource Summary'!$A:$A,TRANSPOSE(_xlfn._xlws.FILTER('Results Grouping'!$G$9:$G$322,('Results Grouping'!$H$9:$H$322=$D$18) * ('Results Grouping'!$I$9:$I$322=$D38),0)),
    'Resource Summary'!$C:$C,K$37
  ),
  SUMIFS(
    'Resource Summary'!$T:$T,
    'Resource Summary'!$B:$B,zones_to_group,
    'Resource Summary'!$A:$A,TRANSPOSE(_xlfn._xlws.FILTER('Results Grouping'!$G$9:$G$322,('Results Grouping'!$H$9:$H$322=$D$18) * ('Results Grouping'!$I$9:$I$322=$D38),0)),
    'Resource Summary'!$C:$C,K$37
  )
)</f>
        <v>0</v>
      </c>
      <c r="L38" s="10" cm="1">
        <f t="array" ref="L38">0.000001 * SUM(
  SUMIFS(
    'Resource Summary'!$S:$S,
    'Resource Summary'!$B:$B,zones_to_group,
    'Resource Summary'!$A:$A,TRANSPOSE(_xlfn._xlws.FILTER('Results Grouping'!$G$9:$G$322,('Results Grouping'!$H$9:$H$322=$D$18) * ('Results Grouping'!$I$9:$I$322=$D38),0)),
    'Resource Summary'!$C:$C,L$37
  ),
  SUMIFS(
    'Resource Summary'!$T:$T,
    'Resource Summary'!$B:$B,zones_to_group,
    'Resource Summary'!$A:$A,TRANSPOSE(_xlfn._xlws.FILTER('Results Grouping'!$G$9:$G$322,('Results Grouping'!$H$9:$H$322=$D$18) * ('Results Grouping'!$I$9:$I$322=$D38),0)),
    'Resource Summary'!$C:$C,L$37
  )
)</f>
        <v>0</v>
      </c>
      <c r="M38" s="10" cm="1">
        <f t="array" ref="M38">0.000001 * SUM(
  SUMIFS(
    'Resource Summary'!$S:$S,
    'Resource Summary'!$B:$B,zones_to_group,
    'Resource Summary'!$A:$A,TRANSPOSE(_xlfn._xlws.FILTER('Results Grouping'!$G$9:$G$322,('Results Grouping'!$H$9:$H$322=$D$18) * ('Results Grouping'!$I$9:$I$322=$D38),0)),
    'Resource Summary'!$C:$C,M$37
  ),
  SUMIFS(
    'Resource Summary'!$T:$T,
    'Resource Summary'!$B:$B,zones_to_group,
    'Resource Summary'!$A:$A,TRANSPOSE(_xlfn._xlws.FILTER('Results Grouping'!$G$9:$G$322,('Results Grouping'!$H$9:$H$322=$D$18) * ('Results Grouping'!$I$9:$I$322=$D38),0)),
    'Resource Summary'!$C:$C,M$37
  )
)</f>
        <v>0</v>
      </c>
      <c r="N38" s="10" cm="1">
        <f t="array" ref="N38">0.000001 * SUM(
  SUMIFS(
    'Resource Summary'!$S:$S,
    'Resource Summary'!$B:$B,zones_to_group,
    'Resource Summary'!$A:$A,TRANSPOSE(_xlfn._xlws.FILTER('Results Grouping'!$G$9:$G$322,('Results Grouping'!$H$9:$H$322=$D$18) * ('Results Grouping'!$I$9:$I$322=$D38),0)),
    'Resource Summary'!$C:$C,N$37
  ),
  SUMIFS(
    'Resource Summary'!$T:$T,
    'Resource Summary'!$B:$B,zones_to_group,
    'Resource Summary'!$A:$A,TRANSPOSE(_xlfn._xlws.FILTER('Results Grouping'!$G$9:$G$322,('Results Grouping'!$H$9:$H$322=$D$18) * ('Results Grouping'!$I$9:$I$322=$D38),0)),
    'Resource Summary'!$C:$C,N$37
  )
)</f>
        <v>0</v>
      </c>
      <c r="O38" s="10" cm="1">
        <f t="array" ref="O38">0.000001 * SUM(
  SUMIFS(
    'Resource Summary'!$S:$S,
    'Resource Summary'!$B:$B,zones_to_group,
    'Resource Summary'!$A:$A,TRANSPOSE(_xlfn._xlws.FILTER('Results Grouping'!$G$9:$G$322,('Results Grouping'!$H$9:$H$322=$D$18) * ('Results Grouping'!$I$9:$I$322=$D38),0)),
    'Resource Summary'!$C:$C,O$37
  ),
  SUMIFS(
    'Resource Summary'!$T:$T,
    'Resource Summary'!$B:$B,zones_to_group,
    'Resource Summary'!$A:$A,TRANSPOSE(_xlfn._xlws.FILTER('Results Grouping'!$G$9:$G$322,('Results Grouping'!$H$9:$H$322=$D$18) * ('Results Grouping'!$I$9:$I$322=$D38),0)),
    'Resource Summary'!$C:$C,O$37
  )
)</f>
        <v>0</v>
      </c>
      <c r="P38" s="10" cm="1">
        <f t="array" ref="P38">0.000001 * SUM(
  SUMIFS(
    'Resource Summary'!$S:$S,
    'Resource Summary'!$B:$B,zones_to_group,
    'Resource Summary'!$A:$A,TRANSPOSE(_xlfn._xlws.FILTER('Results Grouping'!$G$9:$G$322,('Results Grouping'!$H$9:$H$322=$D$18) * ('Results Grouping'!$I$9:$I$322=$D38),0)),
    'Resource Summary'!$C:$C,P$37
  ),
  SUMIFS(
    'Resource Summary'!$T:$T,
    'Resource Summary'!$B:$B,zones_to_group,
    'Resource Summary'!$A:$A,TRANSPOSE(_xlfn._xlws.FILTER('Results Grouping'!$G$9:$G$322,('Results Grouping'!$H$9:$H$322=$D$18) * ('Results Grouping'!$I$9:$I$322=$D38),0)),
    'Resource Summary'!$C:$C,P$37
  )
)</f>
        <v>0</v>
      </c>
      <c r="Q38" s="10" cm="1">
        <f t="array" ref="Q38">0.000001 * SUM(
  SUMIFS(
    'Resource Summary'!$S:$S,
    'Resource Summary'!$B:$B,zones_to_group,
    'Resource Summary'!$A:$A,TRANSPOSE(_xlfn._xlws.FILTER('Results Grouping'!$G$9:$G$322,('Results Grouping'!$H$9:$H$322=$D$18) * ('Results Grouping'!$I$9:$I$322=$D38),0)),
    'Resource Summary'!$C:$C,Q$37
  ),
  SUMIFS(
    'Resource Summary'!$T:$T,
    'Resource Summary'!$B:$B,zones_to_group,
    'Resource Summary'!$A:$A,TRANSPOSE(_xlfn._xlws.FILTER('Results Grouping'!$G$9:$G$322,('Results Grouping'!$H$9:$H$322=$D$18) * ('Results Grouping'!$I$9:$I$322=$D38),0)),
    'Resource Summary'!$C:$C,Q$37
  )
)</f>
        <v>0</v>
      </c>
      <c r="R38" s="10" cm="1">
        <f t="array" ref="R38">0.000001 * SUM(
  SUMIFS(
    'Resource Summary'!$S:$S,
    'Resource Summary'!$B:$B,zones_to_group,
    'Resource Summary'!$A:$A,TRANSPOSE(_xlfn._xlws.FILTER('Results Grouping'!$G$9:$G$322,('Results Grouping'!$H$9:$H$322=$D$18) * ('Results Grouping'!$I$9:$I$322=$D38),0)),
    'Resource Summary'!$C:$C,R$37
  ),
  SUMIFS(
    'Resource Summary'!$T:$T,
    'Resource Summary'!$B:$B,zones_to_group,
    'Resource Summary'!$A:$A,TRANSPOSE(_xlfn._xlws.FILTER('Results Grouping'!$G$9:$G$322,('Results Grouping'!$H$9:$H$322=$D$18) * ('Results Grouping'!$I$9:$I$322=$D38),0)),
    'Resource Summary'!$C:$C,R$37
  )
)</f>
        <v>0</v>
      </c>
      <c r="S38" s="10" cm="1">
        <f t="array" ref="S38">0.000001 * SUM(
  SUMIFS(
    'Resource Summary'!$S:$S,
    'Resource Summary'!$B:$B,zones_to_group,
    'Resource Summary'!$A:$A,TRANSPOSE(_xlfn._xlws.FILTER('Results Grouping'!$G$9:$G$322,('Results Grouping'!$H$9:$H$322=$D$18) * ('Results Grouping'!$I$9:$I$322=$D38),0)),
    'Resource Summary'!$C:$C,S$37
  ),
  SUMIFS(
    'Resource Summary'!$T:$T,
    'Resource Summary'!$B:$B,zones_to_group,
    'Resource Summary'!$A:$A,TRANSPOSE(_xlfn._xlws.FILTER('Results Grouping'!$G$9:$G$322,('Results Grouping'!$H$9:$H$322=$D$18) * ('Results Grouping'!$I$9:$I$322=$D38),0)),
    'Resource Summary'!$C:$C,S$37
  )
)</f>
        <v>0</v>
      </c>
      <c r="T38" s="10" cm="1">
        <f t="array" ref="T38">0.000001 * SUM(
  SUMIFS(
    'Resource Summary'!$S:$S,
    'Resource Summary'!$B:$B,zones_to_group,
    'Resource Summary'!$A:$A,TRANSPOSE(_xlfn._xlws.FILTER('Results Grouping'!$G$9:$G$322,('Results Grouping'!$H$9:$H$322=$D$18) * ('Results Grouping'!$I$9:$I$322=$D38),0)),
    'Resource Summary'!$C:$C,T$37
  ),
  SUMIFS(
    'Resource Summary'!$T:$T,
    'Resource Summary'!$B:$B,zones_to_group,
    'Resource Summary'!$A:$A,TRANSPOSE(_xlfn._xlws.FILTER('Results Grouping'!$G$9:$G$322,('Results Grouping'!$H$9:$H$322=$D$18) * ('Results Grouping'!$I$9:$I$322=$D38),0)),
    'Resource Summary'!$C:$C,T$37
  )
)</f>
        <v>0</v>
      </c>
      <c r="U38" s="10" cm="1">
        <f t="array" ref="U38">0.000001 * SUM(
  SUMIFS(
    'Resource Summary'!$S:$S,
    'Resource Summary'!$B:$B,zones_to_group,
    'Resource Summary'!$A:$A,TRANSPOSE(_xlfn._xlws.FILTER('Results Grouping'!$G$9:$G$322,('Results Grouping'!$H$9:$H$322=$D$18) * ('Results Grouping'!$I$9:$I$322=$D38),0)),
    'Resource Summary'!$C:$C,U$37
  ),
  SUMIFS(
    'Resource Summary'!$T:$T,
    'Resource Summary'!$B:$B,zones_to_group,
    'Resource Summary'!$A:$A,TRANSPOSE(_xlfn._xlws.FILTER('Results Grouping'!$G$9:$G$322,('Results Grouping'!$H$9:$H$322=$D$18) * ('Results Grouping'!$I$9:$I$322=$D38),0)),
    'Resource Summary'!$C:$C,U$37
  )
)</f>
        <v>0</v>
      </c>
      <c r="V38" s="10" cm="1">
        <f t="array" ref="V38">0.000001 * SUM(
  SUMIFS(
    'Resource Summary'!$S:$S,
    'Resource Summary'!$B:$B,zones_to_group,
    'Resource Summary'!$A:$A,TRANSPOSE(_xlfn._xlws.FILTER('Results Grouping'!$G$9:$G$322,('Results Grouping'!$H$9:$H$322=$D$18) * ('Results Grouping'!$I$9:$I$322=$D38),0)),
    'Resource Summary'!$C:$C,V$37
  ),
  SUMIFS(
    'Resource Summary'!$T:$T,
    'Resource Summary'!$B:$B,zones_to_group,
    'Resource Summary'!$A:$A,TRANSPOSE(_xlfn._xlws.FILTER('Results Grouping'!$G$9:$G$322,('Results Grouping'!$H$9:$H$322=$D$18) * ('Results Grouping'!$I$9:$I$322=$D38),0)),
    'Resource Summary'!$C:$C,V$37
  )
)</f>
        <v>0</v>
      </c>
      <c r="W38" s="10" cm="1">
        <f t="array" ref="W38">0.000001 * SUM(
  SUMIFS(
    'Resource Summary'!$S:$S,
    'Resource Summary'!$B:$B,zones_to_group,
    'Resource Summary'!$A:$A,TRANSPOSE(_xlfn._xlws.FILTER('Results Grouping'!$G$9:$G$322,('Results Grouping'!$H$9:$H$322=$D$18) * ('Results Grouping'!$I$9:$I$322=$D38),0)),
    'Resource Summary'!$C:$C,W$37
  ),
  SUMIFS(
    'Resource Summary'!$T:$T,
    'Resource Summary'!$B:$B,zones_to_group,
    'Resource Summary'!$A:$A,TRANSPOSE(_xlfn._xlws.FILTER('Results Grouping'!$G$9:$G$322,('Results Grouping'!$H$9:$H$322=$D$18) * ('Results Grouping'!$I$9:$I$322=$D38),0)),
    'Resource Summary'!$C:$C,W$37
  )
)</f>
        <v>0</v>
      </c>
      <c r="X38" s="10" cm="1">
        <f t="array" ref="X38">0.000001 * SUM(
  SUMIFS(
    'Resource Summary'!$S:$S,
    'Resource Summary'!$B:$B,zones_to_group,
    'Resource Summary'!$A:$A,TRANSPOSE(_xlfn._xlws.FILTER('Results Grouping'!$G$9:$G$322,('Results Grouping'!$H$9:$H$322=$D$18) * ('Results Grouping'!$I$9:$I$322=$D38),0)),
    'Resource Summary'!$C:$C,X$37
  ),
  SUMIFS(
    'Resource Summary'!$T:$T,
    'Resource Summary'!$B:$B,zones_to_group,
    'Resource Summary'!$A:$A,TRANSPOSE(_xlfn._xlws.FILTER('Results Grouping'!$G$9:$G$322,('Results Grouping'!$H$9:$H$322=$D$18) * ('Results Grouping'!$I$9:$I$322=$D38),0)),
    'Resource Summary'!$C:$C,X$37
  )
)</f>
        <v>0</v>
      </c>
      <c r="Y38" s="10" cm="1">
        <f t="array" ref="Y38">0.000001 * SUM(
  SUMIFS(
    'Resource Summary'!$S:$S,
    'Resource Summary'!$B:$B,zones_to_group,
    'Resource Summary'!$A:$A,TRANSPOSE(_xlfn._xlws.FILTER('Results Grouping'!$G$9:$G$322,('Results Grouping'!$H$9:$H$322=$D$18) * ('Results Grouping'!$I$9:$I$322=$D38),0)),
    'Resource Summary'!$C:$C,Y$37
  ),
  SUMIFS(
    'Resource Summary'!$T:$T,
    'Resource Summary'!$B:$B,zones_to_group,
    'Resource Summary'!$A:$A,TRANSPOSE(_xlfn._xlws.FILTER('Results Grouping'!$G$9:$G$322,('Results Grouping'!$H$9:$H$322=$D$18) * ('Results Grouping'!$I$9:$I$322=$D38),0)),
    'Resource Summary'!$C:$C,Y$37
  )
)</f>
        <v>0</v>
      </c>
      <c r="Z38" s="10" cm="1">
        <f t="array" ref="Z38">0.000001 * SUM(
  SUMIFS(
    'Resource Summary'!$S:$S,
    'Resource Summary'!$B:$B,zones_to_group,
    'Resource Summary'!$A:$A,TRANSPOSE(_xlfn._xlws.FILTER('Results Grouping'!$G$9:$G$322,('Results Grouping'!$H$9:$H$322=$D$18) * ('Results Grouping'!$I$9:$I$322=$D38),0)),
    'Resource Summary'!$C:$C,Z$37
  ),
  SUMIFS(
    'Resource Summary'!$T:$T,
    'Resource Summary'!$B:$B,zones_to_group,
    'Resource Summary'!$A:$A,TRANSPOSE(_xlfn._xlws.FILTER('Results Grouping'!$G$9:$G$322,('Results Grouping'!$H$9:$H$322=$D$18) * ('Results Grouping'!$I$9:$I$322=$D38),0)),
    'Resource Summary'!$C:$C,Z$37
  )
)</f>
        <v>0</v>
      </c>
      <c r="AA38" s="10" cm="1">
        <f t="array" ref="AA38">0.000001 * SUM(
  SUMIFS(
    'Resource Summary'!$S:$S,
    'Resource Summary'!$B:$B,zones_to_group,
    'Resource Summary'!$A:$A,TRANSPOSE(_xlfn._xlws.FILTER('Results Grouping'!$G$9:$G$322,('Results Grouping'!$H$9:$H$322=$D$18) * ('Results Grouping'!$I$9:$I$322=$D38),0)),
    'Resource Summary'!$C:$C,AA$37
  ),
  SUMIFS(
    'Resource Summary'!$T:$T,
    'Resource Summary'!$B:$B,zones_to_group,
    'Resource Summary'!$A:$A,TRANSPOSE(_xlfn._xlws.FILTER('Results Grouping'!$G$9:$G$322,('Results Grouping'!$H$9:$H$322=$D$18) * ('Results Grouping'!$I$9:$I$322=$D38),0)),
    'Resource Summary'!$C:$C,AA$37
  )
)</f>
        <v>0</v>
      </c>
      <c r="AB38" s="10" cm="1">
        <f t="array" ref="AB38">0.000001 * SUM(
  SUMIFS(
    'Resource Summary'!$S:$S,
    'Resource Summary'!$B:$B,zones_to_group,
    'Resource Summary'!$A:$A,TRANSPOSE(_xlfn._xlws.FILTER('Results Grouping'!$G$9:$G$322,('Results Grouping'!$H$9:$H$322=$D$18) * ('Results Grouping'!$I$9:$I$322=$D38),0)),
    'Resource Summary'!$C:$C,AB$37
  ),
  SUMIFS(
    'Resource Summary'!$T:$T,
    'Resource Summary'!$B:$B,zones_to_group,
    'Resource Summary'!$A:$A,TRANSPOSE(_xlfn._xlws.FILTER('Results Grouping'!$G$9:$G$322,('Results Grouping'!$H$9:$H$322=$D$18) * ('Results Grouping'!$I$9:$I$322=$D38),0)),
    'Resource Summary'!$C:$C,AB$37
  )
)</f>
        <v>0</v>
      </c>
      <c r="AC38" s="10" cm="1">
        <f t="array" ref="AC38">0.000001 * SUM(
  SUMIFS(
    'Resource Summary'!$S:$S,
    'Resource Summary'!$B:$B,zones_to_group,
    'Resource Summary'!$A:$A,TRANSPOSE(_xlfn._xlws.FILTER('Results Grouping'!$G$9:$G$322,('Results Grouping'!$H$9:$H$322=$D$18) * ('Results Grouping'!$I$9:$I$322=$D38),0)),
    'Resource Summary'!$C:$C,AC$37
  ),
  SUMIFS(
    'Resource Summary'!$T:$T,
    'Resource Summary'!$B:$B,zones_to_group,
    'Resource Summary'!$A:$A,TRANSPOSE(_xlfn._xlws.FILTER('Results Grouping'!$G$9:$G$322,('Results Grouping'!$H$9:$H$322=$D$18) * ('Results Grouping'!$I$9:$I$322=$D38),0)),
    'Resource Summary'!$C:$C,AC$37
  )
)</f>
        <v>0</v>
      </c>
      <c r="AD38" s="10" cm="1">
        <f t="array" ref="AD38">0.000001 * SUM(
  SUMIFS(
    'Resource Summary'!$S:$S,
    'Resource Summary'!$B:$B,zones_to_group,
    'Resource Summary'!$A:$A,TRANSPOSE(_xlfn._xlws.FILTER('Results Grouping'!$G$9:$G$322,('Results Grouping'!$H$9:$H$322=$D$18) * ('Results Grouping'!$I$9:$I$322=$D38),0)),
    'Resource Summary'!$C:$C,AD$37
  ),
  SUMIFS(
    'Resource Summary'!$T:$T,
    'Resource Summary'!$B:$B,zones_to_group,
    'Resource Summary'!$A:$A,TRANSPOSE(_xlfn._xlws.FILTER('Results Grouping'!$G$9:$G$322,('Results Grouping'!$H$9:$H$322=$D$18) * ('Results Grouping'!$I$9:$I$322=$D38),0)),
    'Resource Summary'!$C:$C,AD$37
  )
)</f>
        <v>320.91261626755113</v>
      </c>
      <c r="AF38" s="10">
        <f t="shared" ref="AF38:AF43" si="34">SUMPRODUCT($E$400:$AD$400,$E38:$AD38)</f>
        <v>1240.0485551762054</v>
      </c>
      <c r="AH38" s="34"/>
    </row>
    <row r="39" spans="3:34" outlineLevel="1" x14ac:dyDescent="0.2">
      <c r="D39" s="8" t="s">
        <v>133</v>
      </c>
      <c r="E39" s="10" cm="1">
        <f t="array" ref="E39">0.000001 * SUM(
  SUMIFS(
    'Resource Summary'!$S:$S,
    'Resource Summary'!$B:$B,zones_to_group,
    'Resource Summary'!$A:$A,TRANSPOSE(_xlfn._xlws.FILTER('Results Grouping'!$G$9:$G$322,('Results Grouping'!$H$9:$H$322=$D$18) * ('Results Grouping'!$I$9:$I$322=$D39),0)),
    'Resource Summary'!$C:$C,E$37
  ),
  SUMIFS(
    'Resource Summary'!$T:$T,
    'Resource Summary'!$B:$B,zones_to_group,
    'Resource Summary'!$A:$A,TRANSPOSE(_xlfn._xlws.FILTER('Results Grouping'!$G$9:$G$322,('Results Grouping'!$H$9:$H$322=$D$18) * ('Results Grouping'!$I$9:$I$322=$D39),0)),
    'Resource Summary'!$C:$C,E$37
  )
)</f>
        <v>0</v>
      </c>
      <c r="F39" s="10" cm="1">
        <f t="array" ref="F39">0.000001 * SUM(
  SUMIFS(
    'Resource Summary'!$S:$S,
    'Resource Summary'!$B:$B,zones_to_group,
    'Resource Summary'!$A:$A,TRANSPOSE(_xlfn._xlws.FILTER('Results Grouping'!$G$9:$G$322,('Results Grouping'!$H$9:$H$322=$D$18) * ('Results Grouping'!$I$9:$I$322=$D39),0)),
    'Resource Summary'!$C:$C,F$37
  ),
  SUMIFS(
    'Resource Summary'!$T:$T,
    'Resource Summary'!$B:$B,zones_to_group,
    'Resource Summary'!$A:$A,TRANSPOSE(_xlfn._xlws.FILTER('Results Grouping'!$G$9:$G$322,('Results Grouping'!$H$9:$H$322=$D$18) * ('Results Grouping'!$I$9:$I$322=$D39),0)),
    'Resource Summary'!$C:$C,F$37
  )
)</f>
        <v>0</v>
      </c>
      <c r="G39" s="10" cm="1">
        <f t="array" ref="G39">0.000001 * SUM(
  SUMIFS(
    'Resource Summary'!$S:$S,
    'Resource Summary'!$B:$B,zones_to_group,
    'Resource Summary'!$A:$A,TRANSPOSE(_xlfn._xlws.FILTER('Results Grouping'!$G$9:$G$322,('Results Grouping'!$H$9:$H$322=$D$18) * ('Results Grouping'!$I$9:$I$322=$D39),0)),
    'Resource Summary'!$C:$C,G$37
  ),
  SUMIFS(
    'Resource Summary'!$T:$T,
    'Resource Summary'!$B:$B,zones_to_group,
    'Resource Summary'!$A:$A,TRANSPOSE(_xlfn._xlws.FILTER('Results Grouping'!$G$9:$G$322,('Results Grouping'!$H$9:$H$322=$D$18) * ('Results Grouping'!$I$9:$I$322=$D39),0)),
    'Resource Summary'!$C:$C,G$37
  )
)</f>
        <v>0</v>
      </c>
      <c r="H39" s="10" cm="1">
        <f t="array" ref="H39">0.000001 * SUM(
  SUMIFS(
    'Resource Summary'!$S:$S,
    'Resource Summary'!$B:$B,zones_to_group,
    'Resource Summary'!$A:$A,TRANSPOSE(_xlfn._xlws.FILTER('Results Grouping'!$G$9:$G$322,('Results Grouping'!$H$9:$H$322=$D$18) * ('Results Grouping'!$I$9:$I$322=$D39),0)),
    'Resource Summary'!$C:$C,H$37
  ),
  SUMIFS(
    'Resource Summary'!$T:$T,
    'Resource Summary'!$B:$B,zones_to_group,
    'Resource Summary'!$A:$A,TRANSPOSE(_xlfn._xlws.FILTER('Results Grouping'!$G$9:$G$322,('Results Grouping'!$H$9:$H$322=$D$18) * ('Results Grouping'!$I$9:$I$322=$D39),0)),
    'Resource Summary'!$C:$C,H$37
  )
)</f>
        <v>0</v>
      </c>
      <c r="I39" s="10" cm="1">
        <f t="array" ref="I39">0.000001 * SUM(
  SUMIFS(
    'Resource Summary'!$S:$S,
    'Resource Summary'!$B:$B,zones_to_group,
    'Resource Summary'!$A:$A,TRANSPOSE(_xlfn._xlws.FILTER('Results Grouping'!$G$9:$G$322,('Results Grouping'!$H$9:$H$322=$D$18) * ('Results Grouping'!$I$9:$I$322=$D39),0)),
    'Resource Summary'!$C:$C,I$37
  ),
  SUMIFS(
    'Resource Summary'!$T:$T,
    'Resource Summary'!$B:$B,zones_to_group,
    'Resource Summary'!$A:$A,TRANSPOSE(_xlfn._xlws.FILTER('Results Grouping'!$G$9:$G$322,('Results Grouping'!$H$9:$H$322=$D$18) * ('Results Grouping'!$I$9:$I$322=$D39),0)),
    'Resource Summary'!$C:$C,I$37
  )
)</f>
        <v>0</v>
      </c>
      <c r="J39" s="10" cm="1">
        <f t="array" ref="J39">0.000001 * SUM(
  SUMIFS(
    'Resource Summary'!$S:$S,
    'Resource Summary'!$B:$B,zones_to_group,
    'Resource Summary'!$A:$A,TRANSPOSE(_xlfn._xlws.FILTER('Results Grouping'!$G$9:$G$322,('Results Grouping'!$H$9:$H$322=$D$18) * ('Results Grouping'!$I$9:$I$322=$D39),0)),
    'Resource Summary'!$C:$C,J$37
  ),
  SUMIFS(
    'Resource Summary'!$T:$T,
    'Resource Summary'!$B:$B,zones_to_group,
    'Resource Summary'!$A:$A,TRANSPOSE(_xlfn._xlws.FILTER('Results Grouping'!$G$9:$G$322,('Results Grouping'!$H$9:$H$322=$D$18) * ('Results Grouping'!$I$9:$I$322=$D39),0)),
    'Resource Summary'!$C:$C,J$37
  )
)</f>
        <v>0</v>
      </c>
      <c r="K39" s="10" cm="1">
        <f t="array" ref="K39">0.000001 * SUM(
  SUMIFS(
    'Resource Summary'!$S:$S,
    'Resource Summary'!$B:$B,zones_to_group,
    'Resource Summary'!$A:$A,TRANSPOSE(_xlfn._xlws.FILTER('Results Grouping'!$G$9:$G$322,('Results Grouping'!$H$9:$H$322=$D$18) * ('Results Grouping'!$I$9:$I$322=$D39),0)),
    'Resource Summary'!$C:$C,K$37
  ),
  SUMIFS(
    'Resource Summary'!$T:$T,
    'Resource Summary'!$B:$B,zones_to_group,
    'Resource Summary'!$A:$A,TRANSPOSE(_xlfn._xlws.FILTER('Results Grouping'!$G$9:$G$322,('Results Grouping'!$H$9:$H$322=$D$18) * ('Results Grouping'!$I$9:$I$322=$D39),0)),
    'Resource Summary'!$C:$C,K$37
  )
)</f>
        <v>0</v>
      </c>
      <c r="L39" s="10" cm="1">
        <f t="array" ref="L39">0.000001 * SUM(
  SUMIFS(
    'Resource Summary'!$S:$S,
    'Resource Summary'!$B:$B,zones_to_group,
    'Resource Summary'!$A:$A,TRANSPOSE(_xlfn._xlws.FILTER('Results Grouping'!$G$9:$G$322,('Results Grouping'!$H$9:$H$322=$D$18) * ('Results Grouping'!$I$9:$I$322=$D39),0)),
    'Resource Summary'!$C:$C,L$37
  ),
  SUMIFS(
    'Resource Summary'!$T:$T,
    'Resource Summary'!$B:$B,zones_to_group,
    'Resource Summary'!$A:$A,TRANSPOSE(_xlfn._xlws.FILTER('Results Grouping'!$G$9:$G$322,('Results Grouping'!$H$9:$H$322=$D$18) * ('Results Grouping'!$I$9:$I$322=$D39),0)),
    'Resource Summary'!$C:$C,L$37
  )
)</f>
        <v>0</v>
      </c>
      <c r="M39" s="10" cm="1">
        <f t="array" ref="M39">0.000001 * SUM(
  SUMIFS(
    'Resource Summary'!$S:$S,
    'Resource Summary'!$B:$B,zones_to_group,
    'Resource Summary'!$A:$A,TRANSPOSE(_xlfn._xlws.FILTER('Results Grouping'!$G$9:$G$322,('Results Grouping'!$H$9:$H$322=$D$18) * ('Results Grouping'!$I$9:$I$322=$D39),0)),
    'Resource Summary'!$C:$C,M$37
  ),
  SUMIFS(
    'Resource Summary'!$T:$T,
    'Resource Summary'!$B:$B,zones_to_group,
    'Resource Summary'!$A:$A,TRANSPOSE(_xlfn._xlws.FILTER('Results Grouping'!$G$9:$G$322,('Results Grouping'!$H$9:$H$322=$D$18) * ('Results Grouping'!$I$9:$I$322=$D39),0)),
    'Resource Summary'!$C:$C,M$37
  )
)</f>
        <v>0</v>
      </c>
      <c r="N39" s="10" cm="1">
        <f t="array" ref="N39">0.000001 * SUM(
  SUMIFS(
    'Resource Summary'!$S:$S,
    'Resource Summary'!$B:$B,zones_to_group,
    'Resource Summary'!$A:$A,TRANSPOSE(_xlfn._xlws.FILTER('Results Grouping'!$G$9:$G$322,('Results Grouping'!$H$9:$H$322=$D$18) * ('Results Grouping'!$I$9:$I$322=$D39),0)),
    'Resource Summary'!$C:$C,N$37
  ),
  SUMIFS(
    'Resource Summary'!$T:$T,
    'Resource Summary'!$B:$B,zones_to_group,
    'Resource Summary'!$A:$A,TRANSPOSE(_xlfn._xlws.FILTER('Results Grouping'!$G$9:$G$322,('Results Grouping'!$H$9:$H$322=$D$18) * ('Results Grouping'!$I$9:$I$322=$D39),0)),
    'Resource Summary'!$C:$C,N$37
  )
)</f>
        <v>0</v>
      </c>
      <c r="O39" s="10" cm="1">
        <f t="array" ref="O39">0.000001 * SUM(
  SUMIFS(
    'Resource Summary'!$S:$S,
    'Resource Summary'!$B:$B,zones_to_group,
    'Resource Summary'!$A:$A,TRANSPOSE(_xlfn._xlws.FILTER('Results Grouping'!$G$9:$G$322,('Results Grouping'!$H$9:$H$322=$D$18) * ('Results Grouping'!$I$9:$I$322=$D39),0)),
    'Resource Summary'!$C:$C,O$37
  ),
  SUMIFS(
    'Resource Summary'!$T:$T,
    'Resource Summary'!$B:$B,zones_to_group,
    'Resource Summary'!$A:$A,TRANSPOSE(_xlfn._xlws.FILTER('Results Grouping'!$G$9:$G$322,('Results Grouping'!$H$9:$H$322=$D$18) * ('Results Grouping'!$I$9:$I$322=$D39),0)),
    'Resource Summary'!$C:$C,O$37
  )
)</f>
        <v>0</v>
      </c>
      <c r="P39" s="10" cm="1">
        <f t="array" ref="P39">0.000001 * SUM(
  SUMIFS(
    'Resource Summary'!$S:$S,
    'Resource Summary'!$B:$B,zones_to_group,
    'Resource Summary'!$A:$A,TRANSPOSE(_xlfn._xlws.FILTER('Results Grouping'!$G$9:$G$322,('Results Grouping'!$H$9:$H$322=$D$18) * ('Results Grouping'!$I$9:$I$322=$D39),0)),
    'Resource Summary'!$C:$C,P$37
  ),
  SUMIFS(
    'Resource Summary'!$T:$T,
    'Resource Summary'!$B:$B,zones_to_group,
    'Resource Summary'!$A:$A,TRANSPOSE(_xlfn._xlws.FILTER('Results Grouping'!$G$9:$G$322,('Results Grouping'!$H$9:$H$322=$D$18) * ('Results Grouping'!$I$9:$I$322=$D39),0)),
    'Resource Summary'!$C:$C,P$37
  )
)</f>
        <v>0</v>
      </c>
      <c r="Q39" s="10" cm="1">
        <f t="array" ref="Q39">0.000001 * SUM(
  SUMIFS(
    'Resource Summary'!$S:$S,
    'Resource Summary'!$B:$B,zones_to_group,
    'Resource Summary'!$A:$A,TRANSPOSE(_xlfn._xlws.FILTER('Results Grouping'!$G$9:$G$322,('Results Grouping'!$H$9:$H$322=$D$18) * ('Results Grouping'!$I$9:$I$322=$D39),0)),
    'Resource Summary'!$C:$C,Q$37
  ),
  SUMIFS(
    'Resource Summary'!$T:$T,
    'Resource Summary'!$B:$B,zones_to_group,
    'Resource Summary'!$A:$A,TRANSPOSE(_xlfn._xlws.FILTER('Results Grouping'!$G$9:$G$322,('Results Grouping'!$H$9:$H$322=$D$18) * ('Results Grouping'!$I$9:$I$322=$D39),0)),
    'Resource Summary'!$C:$C,Q$37
  )
)</f>
        <v>0</v>
      </c>
      <c r="R39" s="10" cm="1">
        <f t="array" ref="R39">0.000001 * SUM(
  SUMIFS(
    'Resource Summary'!$S:$S,
    'Resource Summary'!$B:$B,zones_to_group,
    'Resource Summary'!$A:$A,TRANSPOSE(_xlfn._xlws.FILTER('Results Grouping'!$G$9:$G$322,('Results Grouping'!$H$9:$H$322=$D$18) * ('Results Grouping'!$I$9:$I$322=$D39),0)),
    'Resource Summary'!$C:$C,R$37
  ),
  SUMIFS(
    'Resource Summary'!$T:$T,
    'Resource Summary'!$B:$B,zones_to_group,
    'Resource Summary'!$A:$A,TRANSPOSE(_xlfn._xlws.FILTER('Results Grouping'!$G$9:$G$322,('Results Grouping'!$H$9:$H$322=$D$18) * ('Results Grouping'!$I$9:$I$322=$D39),0)),
    'Resource Summary'!$C:$C,R$37
  )
)</f>
        <v>0</v>
      </c>
      <c r="S39" s="10" cm="1">
        <f t="array" ref="S39">0.000001 * SUM(
  SUMIFS(
    'Resource Summary'!$S:$S,
    'Resource Summary'!$B:$B,zones_to_group,
    'Resource Summary'!$A:$A,TRANSPOSE(_xlfn._xlws.FILTER('Results Grouping'!$G$9:$G$322,('Results Grouping'!$H$9:$H$322=$D$18) * ('Results Grouping'!$I$9:$I$322=$D39),0)),
    'Resource Summary'!$C:$C,S$37
  ),
  SUMIFS(
    'Resource Summary'!$T:$T,
    'Resource Summary'!$B:$B,zones_to_group,
    'Resource Summary'!$A:$A,TRANSPOSE(_xlfn._xlws.FILTER('Results Grouping'!$G$9:$G$322,('Results Grouping'!$H$9:$H$322=$D$18) * ('Results Grouping'!$I$9:$I$322=$D39),0)),
    'Resource Summary'!$C:$C,S$37
  )
)</f>
        <v>0</v>
      </c>
      <c r="T39" s="10" cm="1">
        <f t="array" ref="T39">0.000001 * SUM(
  SUMIFS(
    'Resource Summary'!$S:$S,
    'Resource Summary'!$B:$B,zones_to_group,
    'Resource Summary'!$A:$A,TRANSPOSE(_xlfn._xlws.FILTER('Results Grouping'!$G$9:$G$322,('Results Grouping'!$H$9:$H$322=$D$18) * ('Results Grouping'!$I$9:$I$322=$D39),0)),
    'Resource Summary'!$C:$C,T$37
  ),
  SUMIFS(
    'Resource Summary'!$T:$T,
    'Resource Summary'!$B:$B,zones_to_group,
    'Resource Summary'!$A:$A,TRANSPOSE(_xlfn._xlws.FILTER('Results Grouping'!$G$9:$G$322,('Results Grouping'!$H$9:$H$322=$D$18) * ('Results Grouping'!$I$9:$I$322=$D39),0)),
    'Resource Summary'!$C:$C,T$37
  )
)</f>
        <v>0</v>
      </c>
      <c r="U39" s="10" cm="1">
        <f t="array" ref="U39">0.000001 * SUM(
  SUMIFS(
    'Resource Summary'!$S:$S,
    'Resource Summary'!$B:$B,zones_to_group,
    'Resource Summary'!$A:$A,TRANSPOSE(_xlfn._xlws.FILTER('Results Grouping'!$G$9:$G$322,('Results Grouping'!$H$9:$H$322=$D$18) * ('Results Grouping'!$I$9:$I$322=$D39),0)),
    'Resource Summary'!$C:$C,U$37
  ),
  SUMIFS(
    'Resource Summary'!$T:$T,
    'Resource Summary'!$B:$B,zones_to_group,
    'Resource Summary'!$A:$A,TRANSPOSE(_xlfn._xlws.FILTER('Results Grouping'!$G$9:$G$322,('Results Grouping'!$H$9:$H$322=$D$18) * ('Results Grouping'!$I$9:$I$322=$D39),0)),
    'Resource Summary'!$C:$C,U$37
  )
)</f>
        <v>0</v>
      </c>
      <c r="V39" s="10" cm="1">
        <f t="array" ref="V39">0.000001 * SUM(
  SUMIFS(
    'Resource Summary'!$S:$S,
    'Resource Summary'!$B:$B,zones_to_group,
    'Resource Summary'!$A:$A,TRANSPOSE(_xlfn._xlws.FILTER('Results Grouping'!$G$9:$G$322,('Results Grouping'!$H$9:$H$322=$D$18) * ('Results Grouping'!$I$9:$I$322=$D39),0)),
    'Resource Summary'!$C:$C,V$37
  ),
  SUMIFS(
    'Resource Summary'!$T:$T,
    'Resource Summary'!$B:$B,zones_to_group,
    'Resource Summary'!$A:$A,TRANSPOSE(_xlfn._xlws.FILTER('Results Grouping'!$G$9:$G$322,('Results Grouping'!$H$9:$H$322=$D$18) * ('Results Grouping'!$I$9:$I$322=$D39),0)),
    'Resource Summary'!$C:$C,V$37
  )
)</f>
        <v>0</v>
      </c>
      <c r="W39" s="10" cm="1">
        <f t="array" ref="W39">0.000001 * SUM(
  SUMIFS(
    'Resource Summary'!$S:$S,
    'Resource Summary'!$B:$B,zones_to_group,
    'Resource Summary'!$A:$A,TRANSPOSE(_xlfn._xlws.FILTER('Results Grouping'!$G$9:$G$322,('Results Grouping'!$H$9:$H$322=$D$18) * ('Results Grouping'!$I$9:$I$322=$D39),0)),
    'Resource Summary'!$C:$C,W$37
  ),
  SUMIFS(
    'Resource Summary'!$T:$T,
    'Resource Summary'!$B:$B,zones_to_group,
    'Resource Summary'!$A:$A,TRANSPOSE(_xlfn._xlws.FILTER('Results Grouping'!$G$9:$G$322,('Results Grouping'!$H$9:$H$322=$D$18) * ('Results Grouping'!$I$9:$I$322=$D39),0)),
    'Resource Summary'!$C:$C,W$37
  )
)</f>
        <v>0</v>
      </c>
      <c r="X39" s="10" cm="1">
        <f t="array" ref="X39">0.000001 * SUM(
  SUMIFS(
    'Resource Summary'!$S:$S,
    'Resource Summary'!$B:$B,zones_to_group,
    'Resource Summary'!$A:$A,TRANSPOSE(_xlfn._xlws.FILTER('Results Grouping'!$G$9:$G$322,('Results Grouping'!$H$9:$H$322=$D$18) * ('Results Grouping'!$I$9:$I$322=$D39),0)),
    'Resource Summary'!$C:$C,X$37
  ),
  SUMIFS(
    'Resource Summary'!$T:$T,
    'Resource Summary'!$B:$B,zones_to_group,
    'Resource Summary'!$A:$A,TRANSPOSE(_xlfn._xlws.FILTER('Results Grouping'!$G$9:$G$322,('Results Grouping'!$H$9:$H$322=$D$18) * ('Results Grouping'!$I$9:$I$322=$D39),0)),
    'Resource Summary'!$C:$C,X$37
  )
)</f>
        <v>0</v>
      </c>
      <c r="Y39" s="10" cm="1">
        <f t="array" ref="Y39">0.000001 * SUM(
  SUMIFS(
    'Resource Summary'!$S:$S,
    'Resource Summary'!$B:$B,zones_to_group,
    'Resource Summary'!$A:$A,TRANSPOSE(_xlfn._xlws.FILTER('Results Grouping'!$G$9:$G$322,('Results Grouping'!$H$9:$H$322=$D$18) * ('Results Grouping'!$I$9:$I$322=$D39),0)),
    'Resource Summary'!$C:$C,Y$37
  ),
  SUMIFS(
    'Resource Summary'!$T:$T,
    'Resource Summary'!$B:$B,zones_to_group,
    'Resource Summary'!$A:$A,TRANSPOSE(_xlfn._xlws.FILTER('Results Grouping'!$G$9:$G$322,('Results Grouping'!$H$9:$H$322=$D$18) * ('Results Grouping'!$I$9:$I$322=$D39),0)),
    'Resource Summary'!$C:$C,Y$37
  )
)</f>
        <v>0</v>
      </c>
      <c r="Z39" s="10" cm="1">
        <f t="array" ref="Z39">0.000001 * SUM(
  SUMIFS(
    'Resource Summary'!$S:$S,
    'Resource Summary'!$B:$B,zones_to_group,
    'Resource Summary'!$A:$A,TRANSPOSE(_xlfn._xlws.FILTER('Results Grouping'!$G$9:$G$322,('Results Grouping'!$H$9:$H$322=$D$18) * ('Results Grouping'!$I$9:$I$322=$D39),0)),
    'Resource Summary'!$C:$C,Z$37
  ),
  SUMIFS(
    'Resource Summary'!$T:$T,
    'Resource Summary'!$B:$B,zones_to_group,
    'Resource Summary'!$A:$A,TRANSPOSE(_xlfn._xlws.FILTER('Results Grouping'!$G$9:$G$322,('Results Grouping'!$H$9:$H$322=$D$18) * ('Results Grouping'!$I$9:$I$322=$D39),0)),
    'Resource Summary'!$C:$C,Z$37
  )
)</f>
        <v>0</v>
      </c>
      <c r="AA39" s="10" cm="1">
        <f t="array" ref="AA39">0.000001 * SUM(
  SUMIFS(
    'Resource Summary'!$S:$S,
    'Resource Summary'!$B:$B,zones_to_group,
    'Resource Summary'!$A:$A,TRANSPOSE(_xlfn._xlws.FILTER('Results Grouping'!$G$9:$G$322,('Results Grouping'!$H$9:$H$322=$D$18) * ('Results Grouping'!$I$9:$I$322=$D39),0)),
    'Resource Summary'!$C:$C,AA$37
  ),
  SUMIFS(
    'Resource Summary'!$T:$T,
    'Resource Summary'!$B:$B,zones_to_group,
    'Resource Summary'!$A:$A,TRANSPOSE(_xlfn._xlws.FILTER('Results Grouping'!$G$9:$G$322,('Results Grouping'!$H$9:$H$322=$D$18) * ('Results Grouping'!$I$9:$I$322=$D39),0)),
    'Resource Summary'!$C:$C,AA$37
  )
)</f>
        <v>0</v>
      </c>
      <c r="AB39" s="10" cm="1">
        <f t="array" ref="AB39">0.000001 * SUM(
  SUMIFS(
    'Resource Summary'!$S:$S,
    'Resource Summary'!$B:$B,zones_to_group,
    'Resource Summary'!$A:$A,TRANSPOSE(_xlfn._xlws.FILTER('Results Grouping'!$G$9:$G$322,('Results Grouping'!$H$9:$H$322=$D$18) * ('Results Grouping'!$I$9:$I$322=$D39),0)),
    'Resource Summary'!$C:$C,AB$37
  ),
  SUMIFS(
    'Resource Summary'!$T:$T,
    'Resource Summary'!$B:$B,zones_to_group,
    'Resource Summary'!$A:$A,TRANSPOSE(_xlfn._xlws.FILTER('Results Grouping'!$G$9:$G$322,('Results Grouping'!$H$9:$H$322=$D$18) * ('Results Grouping'!$I$9:$I$322=$D39),0)),
    'Resource Summary'!$C:$C,AB$37
  )
)</f>
        <v>0</v>
      </c>
      <c r="AC39" s="10" cm="1">
        <f t="array" ref="AC39">0.000001 * SUM(
  SUMIFS(
    'Resource Summary'!$S:$S,
    'Resource Summary'!$B:$B,zones_to_group,
    'Resource Summary'!$A:$A,TRANSPOSE(_xlfn._xlws.FILTER('Results Grouping'!$G$9:$G$322,('Results Grouping'!$H$9:$H$322=$D$18) * ('Results Grouping'!$I$9:$I$322=$D39),0)),
    'Resource Summary'!$C:$C,AC$37
  ),
  SUMIFS(
    'Resource Summary'!$T:$T,
    'Resource Summary'!$B:$B,zones_to_group,
    'Resource Summary'!$A:$A,TRANSPOSE(_xlfn._xlws.FILTER('Results Grouping'!$G$9:$G$322,('Results Grouping'!$H$9:$H$322=$D$18) * ('Results Grouping'!$I$9:$I$322=$D39),0)),
    'Resource Summary'!$C:$C,AC$37
  )
)</f>
        <v>0</v>
      </c>
      <c r="AD39" s="10" cm="1">
        <f t="array" ref="AD39">0.000001 * SUM(
  SUMIFS(
    'Resource Summary'!$S:$S,
    'Resource Summary'!$B:$B,zones_to_group,
    'Resource Summary'!$A:$A,TRANSPOSE(_xlfn._xlws.FILTER('Results Grouping'!$G$9:$G$322,('Results Grouping'!$H$9:$H$322=$D$18) * ('Results Grouping'!$I$9:$I$322=$D39),0)),
    'Resource Summary'!$C:$C,AD$37
  ),
  SUMIFS(
    'Resource Summary'!$T:$T,
    'Resource Summary'!$B:$B,zones_to_group,
    'Resource Summary'!$A:$A,TRANSPOSE(_xlfn._xlws.FILTER('Results Grouping'!$G$9:$G$322,('Results Grouping'!$H$9:$H$322=$D$18) * ('Results Grouping'!$I$9:$I$322=$D39),0)),
    'Resource Summary'!$C:$C,AD$37
  )
)</f>
        <v>359.25045198214707</v>
      </c>
      <c r="AF39" s="10">
        <f t="shared" si="34"/>
        <v>1388.1909945087609</v>
      </c>
      <c r="AH39" s="34"/>
    </row>
    <row r="40" spans="3:34" outlineLevel="1" x14ac:dyDescent="0.2">
      <c r="D40" s="8" t="s">
        <v>168</v>
      </c>
      <c r="E40" s="10" cm="1">
        <f t="array" ref="E40">0.000001 * SUM(
  SUMIFS(
    'Resource Summary'!$S:$S,
    'Resource Summary'!$B:$B,zones_to_group,
    'Resource Summary'!$A:$A,TRANSPOSE(_xlfn._xlws.FILTER('Results Grouping'!$G$9:$G$322,('Results Grouping'!$H$9:$H$322=$D$18) * ('Results Grouping'!$I$9:$I$322=$D40),0)),
    'Resource Summary'!$C:$C,E$37
  ),
  SUMIFS(
    'Resource Summary'!$T:$T,
    'Resource Summary'!$B:$B,zones_to_group,
    'Resource Summary'!$A:$A,TRANSPOSE(_xlfn._xlws.FILTER('Results Grouping'!$G$9:$G$322,('Results Grouping'!$H$9:$H$322=$D$18) * ('Results Grouping'!$I$9:$I$322=$D40),0)),
    'Resource Summary'!$C:$C,E$37
  )
)</f>
        <v>0</v>
      </c>
      <c r="F40" s="10" cm="1">
        <f t="array" ref="F40">0.000001 * SUM(
  SUMIFS(
    'Resource Summary'!$S:$S,
    'Resource Summary'!$B:$B,zones_to_group,
    'Resource Summary'!$A:$A,TRANSPOSE(_xlfn._xlws.FILTER('Results Grouping'!$G$9:$G$322,('Results Grouping'!$H$9:$H$322=$D$18) * ('Results Grouping'!$I$9:$I$322=$D40),0)),
    'Resource Summary'!$C:$C,F$37
  ),
  SUMIFS(
    'Resource Summary'!$T:$T,
    'Resource Summary'!$B:$B,zones_to_group,
    'Resource Summary'!$A:$A,TRANSPOSE(_xlfn._xlws.FILTER('Results Grouping'!$G$9:$G$322,('Results Grouping'!$H$9:$H$322=$D$18) * ('Results Grouping'!$I$9:$I$322=$D40),0)),
    'Resource Summary'!$C:$C,F$37
  )
)</f>
        <v>0</v>
      </c>
      <c r="G40" s="10" cm="1">
        <f t="array" ref="G40">0.000001 * SUM(
  SUMIFS(
    'Resource Summary'!$S:$S,
    'Resource Summary'!$B:$B,zones_to_group,
    'Resource Summary'!$A:$A,TRANSPOSE(_xlfn._xlws.FILTER('Results Grouping'!$G$9:$G$322,('Results Grouping'!$H$9:$H$322=$D$18) * ('Results Grouping'!$I$9:$I$322=$D40),0)),
    'Resource Summary'!$C:$C,G$37
  ),
  SUMIFS(
    'Resource Summary'!$T:$T,
    'Resource Summary'!$B:$B,zones_to_group,
    'Resource Summary'!$A:$A,TRANSPOSE(_xlfn._xlws.FILTER('Results Grouping'!$G$9:$G$322,('Results Grouping'!$H$9:$H$322=$D$18) * ('Results Grouping'!$I$9:$I$322=$D40),0)),
    'Resource Summary'!$C:$C,G$37
  )
)</f>
        <v>0</v>
      </c>
      <c r="H40" s="10" cm="1">
        <f t="array" ref="H40">0.000001 * SUM(
  SUMIFS(
    'Resource Summary'!$S:$S,
    'Resource Summary'!$B:$B,zones_to_group,
    'Resource Summary'!$A:$A,TRANSPOSE(_xlfn._xlws.FILTER('Results Grouping'!$G$9:$G$322,('Results Grouping'!$H$9:$H$322=$D$18) * ('Results Grouping'!$I$9:$I$322=$D40),0)),
    'Resource Summary'!$C:$C,H$37
  ),
  SUMIFS(
    'Resource Summary'!$T:$T,
    'Resource Summary'!$B:$B,zones_to_group,
    'Resource Summary'!$A:$A,TRANSPOSE(_xlfn._xlws.FILTER('Results Grouping'!$G$9:$G$322,('Results Grouping'!$H$9:$H$322=$D$18) * ('Results Grouping'!$I$9:$I$322=$D40),0)),
    'Resource Summary'!$C:$C,H$37
  )
)</f>
        <v>0</v>
      </c>
      <c r="I40" s="10" cm="1">
        <f t="array" ref="I40">0.000001 * SUM(
  SUMIFS(
    'Resource Summary'!$S:$S,
    'Resource Summary'!$B:$B,zones_to_group,
    'Resource Summary'!$A:$A,TRANSPOSE(_xlfn._xlws.FILTER('Results Grouping'!$G$9:$G$322,('Results Grouping'!$H$9:$H$322=$D$18) * ('Results Grouping'!$I$9:$I$322=$D40),0)),
    'Resource Summary'!$C:$C,I$37
  ),
  SUMIFS(
    'Resource Summary'!$T:$T,
    'Resource Summary'!$B:$B,zones_to_group,
    'Resource Summary'!$A:$A,TRANSPOSE(_xlfn._xlws.FILTER('Results Grouping'!$G$9:$G$322,('Results Grouping'!$H$9:$H$322=$D$18) * ('Results Grouping'!$I$9:$I$322=$D40),0)),
    'Resource Summary'!$C:$C,I$37
  )
)</f>
        <v>0</v>
      </c>
      <c r="J40" s="10" cm="1">
        <f t="array" ref="J40">0.000001 * SUM(
  SUMIFS(
    'Resource Summary'!$S:$S,
    'Resource Summary'!$B:$B,zones_to_group,
    'Resource Summary'!$A:$A,TRANSPOSE(_xlfn._xlws.FILTER('Results Grouping'!$G$9:$G$322,('Results Grouping'!$H$9:$H$322=$D$18) * ('Results Grouping'!$I$9:$I$322=$D40),0)),
    'Resource Summary'!$C:$C,J$37
  ),
  SUMIFS(
    'Resource Summary'!$T:$T,
    'Resource Summary'!$B:$B,zones_to_group,
    'Resource Summary'!$A:$A,TRANSPOSE(_xlfn._xlws.FILTER('Results Grouping'!$G$9:$G$322,('Results Grouping'!$H$9:$H$322=$D$18) * ('Results Grouping'!$I$9:$I$322=$D40),0)),
    'Resource Summary'!$C:$C,J$37
  )
)</f>
        <v>0</v>
      </c>
      <c r="K40" s="10" cm="1">
        <f t="array" ref="K40">0.000001 * SUM(
  SUMIFS(
    'Resource Summary'!$S:$S,
    'Resource Summary'!$B:$B,zones_to_group,
    'Resource Summary'!$A:$A,TRANSPOSE(_xlfn._xlws.FILTER('Results Grouping'!$G$9:$G$322,('Results Grouping'!$H$9:$H$322=$D$18) * ('Results Grouping'!$I$9:$I$322=$D40),0)),
    'Resource Summary'!$C:$C,K$37
  ),
  SUMIFS(
    'Resource Summary'!$T:$T,
    'Resource Summary'!$B:$B,zones_to_group,
    'Resource Summary'!$A:$A,TRANSPOSE(_xlfn._xlws.FILTER('Results Grouping'!$G$9:$G$322,('Results Grouping'!$H$9:$H$322=$D$18) * ('Results Grouping'!$I$9:$I$322=$D40),0)),
    'Resource Summary'!$C:$C,K$37
  )
)</f>
        <v>0</v>
      </c>
      <c r="L40" s="10" cm="1">
        <f t="array" ref="L40">0.000001 * SUM(
  SUMIFS(
    'Resource Summary'!$S:$S,
    'Resource Summary'!$B:$B,zones_to_group,
    'Resource Summary'!$A:$A,TRANSPOSE(_xlfn._xlws.FILTER('Results Grouping'!$G$9:$G$322,('Results Grouping'!$H$9:$H$322=$D$18) * ('Results Grouping'!$I$9:$I$322=$D40),0)),
    'Resource Summary'!$C:$C,L$37
  ),
  SUMIFS(
    'Resource Summary'!$T:$T,
    'Resource Summary'!$B:$B,zones_to_group,
    'Resource Summary'!$A:$A,TRANSPOSE(_xlfn._xlws.FILTER('Results Grouping'!$G$9:$G$322,('Results Grouping'!$H$9:$H$322=$D$18) * ('Results Grouping'!$I$9:$I$322=$D40),0)),
    'Resource Summary'!$C:$C,L$37
  )
)</f>
        <v>0</v>
      </c>
      <c r="M40" s="10" cm="1">
        <f t="array" ref="M40">0.000001 * SUM(
  SUMIFS(
    'Resource Summary'!$S:$S,
    'Resource Summary'!$B:$B,zones_to_group,
    'Resource Summary'!$A:$A,TRANSPOSE(_xlfn._xlws.FILTER('Results Grouping'!$G$9:$G$322,('Results Grouping'!$H$9:$H$322=$D$18) * ('Results Grouping'!$I$9:$I$322=$D40),0)),
    'Resource Summary'!$C:$C,M$37
  ),
  SUMIFS(
    'Resource Summary'!$T:$T,
    'Resource Summary'!$B:$B,zones_to_group,
    'Resource Summary'!$A:$A,TRANSPOSE(_xlfn._xlws.FILTER('Results Grouping'!$G$9:$G$322,('Results Grouping'!$H$9:$H$322=$D$18) * ('Results Grouping'!$I$9:$I$322=$D40),0)),
    'Resource Summary'!$C:$C,M$37
  )
)</f>
        <v>0</v>
      </c>
      <c r="N40" s="10" cm="1">
        <f t="array" ref="N40">0.000001 * SUM(
  SUMIFS(
    'Resource Summary'!$S:$S,
    'Resource Summary'!$B:$B,zones_to_group,
    'Resource Summary'!$A:$A,TRANSPOSE(_xlfn._xlws.FILTER('Results Grouping'!$G$9:$G$322,('Results Grouping'!$H$9:$H$322=$D$18) * ('Results Grouping'!$I$9:$I$322=$D40),0)),
    'Resource Summary'!$C:$C,N$37
  ),
  SUMIFS(
    'Resource Summary'!$T:$T,
    'Resource Summary'!$B:$B,zones_to_group,
    'Resource Summary'!$A:$A,TRANSPOSE(_xlfn._xlws.FILTER('Results Grouping'!$G$9:$G$322,('Results Grouping'!$H$9:$H$322=$D$18) * ('Results Grouping'!$I$9:$I$322=$D40),0)),
    'Resource Summary'!$C:$C,N$37
  )
)</f>
        <v>0</v>
      </c>
      <c r="O40" s="10" cm="1">
        <f t="array" ref="O40">0.000001 * SUM(
  SUMIFS(
    'Resource Summary'!$S:$S,
    'Resource Summary'!$B:$B,zones_to_group,
    'Resource Summary'!$A:$A,TRANSPOSE(_xlfn._xlws.FILTER('Results Grouping'!$G$9:$G$322,('Results Grouping'!$H$9:$H$322=$D$18) * ('Results Grouping'!$I$9:$I$322=$D40),0)),
    'Resource Summary'!$C:$C,O$37
  ),
  SUMIFS(
    'Resource Summary'!$T:$T,
    'Resource Summary'!$B:$B,zones_to_group,
    'Resource Summary'!$A:$A,TRANSPOSE(_xlfn._xlws.FILTER('Results Grouping'!$G$9:$G$322,('Results Grouping'!$H$9:$H$322=$D$18) * ('Results Grouping'!$I$9:$I$322=$D40),0)),
    'Resource Summary'!$C:$C,O$37
  )
)</f>
        <v>0</v>
      </c>
      <c r="P40" s="10" cm="1">
        <f t="array" ref="P40">0.000001 * SUM(
  SUMIFS(
    'Resource Summary'!$S:$S,
    'Resource Summary'!$B:$B,zones_to_group,
    'Resource Summary'!$A:$A,TRANSPOSE(_xlfn._xlws.FILTER('Results Grouping'!$G$9:$G$322,('Results Grouping'!$H$9:$H$322=$D$18) * ('Results Grouping'!$I$9:$I$322=$D40),0)),
    'Resource Summary'!$C:$C,P$37
  ),
  SUMIFS(
    'Resource Summary'!$T:$T,
    'Resource Summary'!$B:$B,zones_to_group,
    'Resource Summary'!$A:$A,TRANSPOSE(_xlfn._xlws.FILTER('Results Grouping'!$G$9:$G$322,('Results Grouping'!$H$9:$H$322=$D$18) * ('Results Grouping'!$I$9:$I$322=$D40),0)),
    'Resource Summary'!$C:$C,P$37
  )
)</f>
        <v>0</v>
      </c>
      <c r="Q40" s="10" cm="1">
        <f t="array" ref="Q40">0.000001 * SUM(
  SUMIFS(
    'Resource Summary'!$S:$S,
    'Resource Summary'!$B:$B,zones_to_group,
    'Resource Summary'!$A:$A,TRANSPOSE(_xlfn._xlws.FILTER('Results Grouping'!$G$9:$G$322,('Results Grouping'!$H$9:$H$322=$D$18) * ('Results Grouping'!$I$9:$I$322=$D40),0)),
    'Resource Summary'!$C:$C,Q$37
  ),
  SUMIFS(
    'Resource Summary'!$T:$T,
    'Resource Summary'!$B:$B,zones_to_group,
    'Resource Summary'!$A:$A,TRANSPOSE(_xlfn._xlws.FILTER('Results Grouping'!$G$9:$G$322,('Results Grouping'!$H$9:$H$322=$D$18) * ('Results Grouping'!$I$9:$I$322=$D40),0)),
    'Resource Summary'!$C:$C,Q$37
  )
)</f>
        <v>0</v>
      </c>
      <c r="R40" s="10" cm="1">
        <f t="array" ref="R40">0.000001 * SUM(
  SUMIFS(
    'Resource Summary'!$S:$S,
    'Resource Summary'!$B:$B,zones_to_group,
    'Resource Summary'!$A:$A,TRANSPOSE(_xlfn._xlws.FILTER('Results Grouping'!$G$9:$G$322,('Results Grouping'!$H$9:$H$322=$D$18) * ('Results Grouping'!$I$9:$I$322=$D40),0)),
    'Resource Summary'!$C:$C,R$37
  ),
  SUMIFS(
    'Resource Summary'!$T:$T,
    'Resource Summary'!$B:$B,zones_to_group,
    'Resource Summary'!$A:$A,TRANSPOSE(_xlfn._xlws.FILTER('Results Grouping'!$G$9:$G$322,('Results Grouping'!$H$9:$H$322=$D$18) * ('Results Grouping'!$I$9:$I$322=$D40),0)),
    'Resource Summary'!$C:$C,R$37
  )
)</f>
        <v>0</v>
      </c>
      <c r="S40" s="10" cm="1">
        <f t="array" ref="S40">0.000001 * SUM(
  SUMIFS(
    'Resource Summary'!$S:$S,
    'Resource Summary'!$B:$B,zones_to_group,
    'Resource Summary'!$A:$A,TRANSPOSE(_xlfn._xlws.FILTER('Results Grouping'!$G$9:$G$322,('Results Grouping'!$H$9:$H$322=$D$18) * ('Results Grouping'!$I$9:$I$322=$D40),0)),
    'Resource Summary'!$C:$C,S$37
  ),
  SUMIFS(
    'Resource Summary'!$T:$T,
    'Resource Summary'!$B:$B,zones_to_group,
    'Resource Summary'!$A:$A,TRANSPOSE(_xlfn._xlws.FILTER('Results Grouping'!$G$9:$G$322,('Results Grouping'!$H$9:$H$322=$D$18) * ('Results Grouping'!$I$9:$I$322=$D40),0)),
    'Resource Summary'!$C:$C,S$37
  )
)</f>
        <v>0</v>
      </c>
      <c r="T40" s="10" cm="1">
        <f t="array" ref="T40">0.000001 * SUM(
  SUMIFS(
    'Resource Summary'!$S:$S,
    'Resource Summary'!$B:$B,zones_to_group,
    'Resource Summary'!$A:$A,TRANSPOSE(_xlfn._xlws.FILTER('Results Grouping'!$G$9:$G$322,('Results Grouping'!$H$9:$H$322=$D$18) * ('Results Grouping'!$I$9:$I$322=$D40),0)),
    'Resource Summary'!$C:$C,T$37
  ),
  SUMIFS(
    'Resource Summary'!$T:$T,
    'Resource Summary'!$B:$B,zones_to_group,
    'Resource Summary'!$A:$A,TRANSPOSE(_xlfn._xlws.FILTER('Results Grouping'!$G$9:$G$322,('Results Grouping'!$H$9:$H$322=$D$18) * ('Results Grouping'!$I$9:$I$322=$D40),0)),
    'Resource Summary'!$C:$C,T$37
  )
)</f>
        <v>0</v>
      </c>
      <c r="U40" s="10" cm="1">
        <f t="array" ref="U40">0.000001 * SUM(
  SUMIFS(
    'Resource Summary'!$S:$S,
    'Resource Summary'!$B:$B,zones_to_group,
    'Resource Summary'!$A:$A,TRANSPOSE(_xlfn._xlws.FILTER('Results Grouping'!$G$9:$G$322,('Results Grouping'!$H$9:$H$322=$D$18) * ('Results Grouping'!$I$9:$I$322=$D40),0)),
    'Resource Summary'!$C:$C,U$37
  ),
  SUMIFS(
    'Resource Summary'!$T:$T,
    'Resource Summary'!$B:$B,zones_to_group,
    'Resource Summary'!$A:$A,TRANSPOSE(_xlfn._xlws.FILTER('Results Grouping'!$G$9:$G$322,('Results Grouping'!$H$9:$H$322=$D$18) * ('Results Grouping'!$I$9:$I$322=$D40),0)),
    'Resource Summary'!$C:$C,U$37
  )
)</f>
        <v>0</v>
      </c>
      <c r="V40" s="10" cm="1">
        <f t="array" ref="V40">0.000001 * SUM(
  SUMIFS(
    'Resource Summary'!$S:$S,
    'Resource Summary'!$B:$B,zones_to_group,
    'Resource Summary'!$A:$A,TRANSPOSE(_xlfn._xlws.FILTER('Results Grouping'!$G$9:$G$322,('Results Grouping'!$H$9:$H$322=$D$18) * ('Results Grouping'!$I$9:$I$322=$D40),0)),
    'Resource Summary'!$C:$C,V$37
  ),
  SUMIFS(
    'Resource Summary'!$T:$T,
    'Resource Summary'!$B:$B,zones_to_group,
    'Resource Summary'!$A:$A,TRANSPOSE(_xlfn._xlws.FILTER('Results Grouping'!$G$9:$G$322,('Results Grouping'!$H$9:$H$322=$D$18) * ('Results Grouping'!$I$9:$I$322=$D40),0)),
    'Resource Summary'!$C:$C,V$37
  )
)</f>
        <v>0</v>
      </c>
      <c r="W40" s="10" cm="1">
        <f t="array" ref="W40">0.000001 * SUM(
  SUMIFS(
    'Resource Summary'!$S:$S,
    'Resource Summary'!$B:$B,zones_to_group,
    'Resource Summary'!$A:$A,TRANSPOSE(_xlfn._xlws.FILTER('Results Grouping'!$G$9:$G$322,('Results Grouping'!$H$9:$H$322=$D$18) * ('Results Grouping'!$I$9:$I$322=$D40),0)),
    'Resource Summary'!$C:$C,W$37
  ),
  SUMIFS(
    'Resource Summary'!$T:$T,
    'Resource Summary'!$B:$B,zones_to_group,
    'Resource Summary'!$A:$A,TRANSPOSE(_xlfn._xlws.FILTER('Results Grouping'!$G$9:$G$322,('Results Grouping'!$H$9:$H$322=$D$18) * ('Results Grouping'!$I$9:$I$322=$D40),0)),
    'Resource Summary'!$C:$C,W$37
  )
)</f>
        <v>0</v>
      </c>
      <c r="X40" s="10" cm="1">
        <f t="array" ref="X40">0.000001 * SUM(
  SUMIFS(
    'Resource Summary'!$S:$S,
    'Resource Summary'!$B:$B,zones_to_group,
    'Resource Summary'!$A:$A,TRANSPOSE(_xlfn._xlws.FILTER('Results Grouping'!$G$9:$G$322,('Results Grouping'!$H$9:$H$322=$D$18) * ('Results Grouping'!$I$9:$I$322=$D40),0)),
    'Resource Summary'!$C:$C,X$37
  ),
  SUMIFS(
    'Resource Summary'!$T:$T,
    'Resource Summary'!$B:$B,zones_to_group,
    'Resource Summary'!$A:$A,TRANSPOSE(_xlfn._xlws.FILTER('Results Grouping'!$G$9:$G$322,('Results Grouping'!$H$9:$H$322=$D$18) * ('Results Grouping'!$I$9:$I$322=$D40),0)),
    'Resource Summary'!$C:$C,X$37
  )
)</f>
        <v>0</v>
      </c>
      <c r="Y40" s="10" cm="1">
        <f t="array" ref="Y40">0.000001 * SUM(
  SUMIFS(
    'Resource Summary'!$S:$S,
    'Resource Summary'!$B:$B,zones_to_group,
    'Resource Summary'!$A:$A,TRANSPOSE(_xlfn._xlws.FILTER('Results Grouping'!$G$9:$G$322,('Results Grouping'!$H$9:$H$322=$D$18) * ('Results Grouping'!$I$9:$I$322=$D40),0)),
    'Resource Summary'!$C:$C,Y$37
  ),
  SUMIFS(
    'Resource Summary'!$T:$T,
    'Resource Summary'!$B:$B,zones_to_group,
    'Resource Summary'!$A:$A,TRANSPOSE(_xlfn._xlws.FILTER('Results Grouping'!$G$9:$G$322,('Results Grouping'!$H$9:$H$322=$D$18) * ('Results Grouping'!$I$9:$I$322=$D40),0)),
    'Resource Summary'!$C:$C,Y$37
  )
)</f>
        <v>0</v>
      </c>
      <c r="Z40" s="10" cm="1">
        <f t="array" ref="Z40">0.000001 * SUM(
  SUMIFS(
    'Resource Summary'!$S:$S,
    'Resource Summary'!$B:$B,zones_to_group,
    'Resource Summary'!$A:$A,TRANSPOSE(_xlfn._xlws.FILTER('Results Grouping'!$G$9:$G$322,('Results Grouping'!$H$9:$H$322=$D$18) * ('Results Grouping'!$I$9:$I$322=$D40),0)),
    'Resource Summary'!$C:$C,Z$37
  ),
  SUMIFS(
    'Resource Summary'!$T:$T,
    'Resource Summary'!$B:$B,zones_to_group,
    'Resource Summary'!$A:$A,TRANSPOSE(_xlfn._xlws.FILTER('Results Grouping'!$G$9:$G$322,('Results Grouping'!$H$9:$H$322=$D$18) * ('Results Grouping'!$I$9:$I$322=$D40),0)),
    'Resource Summary'!$C:$C,Z$37
  )
)</f>
        <v>0</v>
      </c>
      <c r="AA40" s="10" cm="1">
        <f t="array" ref="AA40">0.000001 * SUM(
  SUMIFS(
    'Resource Summary'!$S:$S,
    'Resource Summary'!$B:$B,zones_to_group,
    'Resource Summary'!$A:$A,TRANSPOSE(_xlfn._xlws.FILTER('Results Grouping'!$G$9:$G$322,('Results Grouping'!$H$9:$H$322=$D$18) * ('Results Grouping'!$I$9:$I$322=$D40),0)),
    'Resource Summary'!$C:$C,AA$37
  ),
  SUMIFS(
    'Resource Summary'!$T:$T,
    'Resource Summary'!$B:$B,zones_to_group,
    'Resource Summary'!$A:$A,TRANSPOSE(_xlfn._xlws.FILTER('Results Grouping'!$G$9:$G$322,('Results Grouping'!$H$9:$H$322=$D$18) * ('Results Grouping'!$I$9:$I$322=$D40),0)),
    'Resource Summary'!$C:$C,AA$37
  )
)</f>
        <v>0</v>
      </c>
      <c r="AB40" s="10" cm="1">
        <f t="array" ref="AB40">0.000001 * SUM(
  SUMIFS(
    'Resource Summary'!$S:$S,
    'Resource Summary'!$B:$B,zones_to_group,
    'Resource Summary'!$A:$A,TRANSPOSE(_xlfn._xlws.FILTER('Results Grouping'!$G$9:$G$322,('Results Grouping'!$H$9:$H$322=$D$18) * ('Results Grouping'!$I$9:$I$322=$D40),0)),
    'Resource Summary'!$C:$C,AB$37
  ),
  SUMIFS(
    'Resource Summary'!$T:$T,
    'Resource Summary'!$B:$B,zones_to_group,
    'Resource Summary'!$A:$A,TRANSPOSE(_xlfn._xlws.FILTER('Results Grouping'!$G$9:$G$322,('Results Grouping'!$H$9:$H$322=$D$18) * ('Results Grouping'!$I$9:$I$322=$D40),0)),
    'Resource Summary'!$C:$C,AB$37
  )
)</f>
        <v>0</v>
      </c>
      <c r="AC40" s="10" cm="1">
        <f t="array" ref="AC40">0.000001 * SUM(
  SUMIFS(
    'Resource Summary'!$S:$S,
    'Resource Summary'!$B:$B,zones_to_group,
    'Resource Summary'!$A:$A,TRANSPOSE(_xlfn._xlws.FILTER('Results Grouping'!$G$9:$G$322,('Results Grouping'!$H$9:$H$322=$D$18) * ('Results Grouping'!$I$9:$I$322=$D40),0)),
    'Resource Summary'!$C:$C,AC$37
  ),
  SUMIFS(
    'Resource Summary'!$T:$T,
    'Resource Summary'!$B:$B,zones_to_group,
    'Resource Summary'!$A:$A,TRANSPOSE(_xlfn._xlws.FILTER('Results Grouping'!$G$9:$G$322,('Results Grouping'!$H$9:$H$322=$D$18) * ('Results Grouping'!$I$9:$I$322=$D40),0)),
    'Resource Summary'!$C:$C,AC$37
  )
)</f>
        <v>0</v>
      </c>
      <c r="AD40" s="10" cm="1">
        <f t="array" ref="AD40">0.000001 * SUM(
  SUMIFS(
    'Resource Summary'!$S:$S,
    'Resource Summary'!$B:$B,zones_to_group,
    'Resource Summary'!$A:$A,TRANSPOSE(_xlfn._xlws.FILTER('Results Grouping'!$G$9:$G$322,('Results Grouping'!$H$9:$H$322=$D$18) * ('Results Grouping'!$I$9:$I$322=$D40),0)),
    'Resource Summary'!$C:$C,AD$37
  ),
  SUMIFS(
    'Resource Summary'!$T:$T,
    'Resource Summary'!$B:$B,zones_to_group,
    'Resource Summary'!$A:$A,TRANSPOSE(_xlfn._xlws.FILTER('Results Grouping'!$G$9:$G$322,('Results Grouping'!$H$9:$H$322=$D$18) * ('Results Grouping'!$I$9:$I$322=$D40),0)),
    'Resource Summary'!$C:$C,AD$37
  )
)</f>
        <v>4662.0680744833153</v>
      </c>
      <c r="AF40" s="10">
        <f t="shared" si="34"/>
        <v>18014.844187603572</v>
      </c>
      <c r="AH40" s="34"/>
    </row>
    <row r="41" spans="3:34" outlineLevel="1" x14ac:dyDescent="0.2">
      <c r="D41" s="8" t="s">
        <v>167</v>
      </c>
      <c r="E41" s="10" cm="1">
        <f t="array" ref="E41">0.000001 * SUM(
  SUMIFS(
    'Resource Summary'!$S:$S,
    'Resource Summary'!$B:$B,zones_to_group,
    'Resource Summary'!$A:$A,TRANSPOSE(_xlfn._xlws.FILTER('Results Grouping'!$G$9:$G$322,('Results Grouping'!$H$9:$H$322=$D$18) * ('Results Grouping'!$I$9:$I$322=$D41),0)),
    'Resource Summary'!$C:$C,E$37
  ),
  SUMIFS(
    'Resource Summary'!$T:$T,
    'Resource Summary'!$B:$B,zones_to_group,
    'Resource Summary'!$A:$A,TRANSPOSE(_xlfn._xlws.FILTER('Results Grouping'!$G$9:$G$322,('Results Grouping'!$H$9:$H$322=$D$18) * ('Results Grouping'!$I$9:$I$322=$D41),0)),
    'Resource Summary'!$C:$C,E$37
  )
)</f>
        <v>0</v>
      </c>
      <c r="F41" s="10" cm="1">
        <f t="array" ref="F41">0.000001 * SUM(
  SUMIFS(
    'Resource Summary'!$S:$S,
    'Resource Summary'!$B:$B,zones_to_group,
    'Resource Summary'!$A:$A,TRANSPOSE(_xlfn._xlws.FILTER('Results Grouping'!$G$9:$G$322,('Results Grouping'!$H$9:$H$322=$D$18) * ('Results Grouping'!$I$9:$I$322=$D41),0)),
    'Resource Summary'!$C:$C,F$37
  ),
  SUMIFS(
    'Resource Summary'!$T:$T,
    'Resource Summary'!$B:$B,zones_to_group,
    'Resource Summary'!$A:$A,TRANSPOSE(_xlfn._xlws.FILTER('Results Grouping'!$G$9:$G$322,('Results Grouping'!$H$9:$H$322=$D$18) * ('Results Grouping'!$I$9:$I$322=$D41),0)),
    'Resource Summary'!$C:$C,F$37
  )
)</f>
        <v>0</v>
      </c>
      <c r="G41" s="10" cm="1">
        <f t="array" ref="G41">0.000001 * SUM(
  SUMIFS(
    'Resource Summary'!$S:$S,
    'Resource Summary'!$B:$B,zones_to_group,
    'Resource Summary'!$A:$A,TRANSPOSE(_xlfn._xlws.FILTER('Results Grouping'!$G$9:$G$322,('Results Grouping'!$H$9:$H$322=$D$18) * ('Results Grouping'!$I$9:$I$322=$D41),0)),
    'Resource Summary'!$C:$C,G$37
  ),
  SUMIFS(
    'Resource Summary'!$T:$T,
    'Resource Summary'!$B:$B,zones_to_group,
    'Resource Summary'!$A:$A,TRANSPOSE(_xlfn._xlws.FILTER('Results Grouping'!$G$9:$G$322,('Results Grouping'!$H$9:$H$322=$D$18) * ('Results Grouping'!$I$9:$I$322=$D41),0)),
    'Resource Summary'!$C:$C,G$37
  )
)</f>
        <v>0</v>
      </c>
      <c r="H41" s="10" cm="1">
        <f t="array" ref="H41">0.000001 * SUM(
  SUMIFS(
    'Resource Summary'!$S:$S,
    'Resource Summary'!$B:$B,zones_to_group,
    'Resource Summary'!$A:$A,TRANSPOSE(_xlfn._xlws.FILTER('Results Grouping'!$G$9:$G$322,('Results Grouping'!$H$9:$H$322=$D$18) * ('Results Grouping'!$I$9:$I$322=$D41),0)),
    'Resource Summary'!$C:$C,H$37
  ),
  SUMIFS(
    'Resource Summary'!$T:$T,
    'Resource Summary'!$B:$B,zones_to_group,
    'Resource Summary'!$A:$A,TRANSPOSE(_xlfn._xlws.FILTER('Results Grouping'!$G$9:$G$322,('Results Grouping'!$H$9:$H$322=$D$18) * ('Results Grouping'!$I$9:$I$322=$D41),0)),
    'Resource Summary'!$C:$C,H$37
  )
)</f>
        <v>0</v>
      </c>
      <c r="I41" s="10" cm="1">
        <f t="array" ref="I41">0.000001 * SUM(
  SUMIFS(
    'Resource Summary'!$S:$S,
    'Resource Summary'!$B:$B,zones_to_group,
    'Resource Summary'!$A:$A,TRANSPOSE(_xlfn._xlws.FILTER('Results Grouping'!$G$9:$G$322,('Results Grouping'!$H$9:$H$322=$D$18) * ('Results Grouping'!$I$9:$I$322=$D41),0)),
    'Resource Summary'!$C:$C,I$37
  ),
  SUMIFS(
    'Resource Summary'!$T:$T,
    'Resource Summary'!$B:$B,zones_to_group,
    'Resource Summary'!$A:$A,TRANSPOSE(_xlfn._xlws.FILTER('Results Grouping'!$G$9:$G$322,('Results Grouping'!$H$9:$H$322=$D$18) * ('Results Grouping'!$I$9:$I$322=$D41),0)),
    'Resource Summary'!$C:$C,I$37
  )
)</f>
        <v>0</v>
      </c>
      <c r="J41" s="10" cm="1">
        <f t="array" ref="J41">0.000001 * SUM(
  SUMIFS(
    'Resource Summary'!$S:$S,
    'Resource Summary'!$B:$B,zones_to_group,
    'Resource Summary'!$A:$A,TRANSPOSE(_xlfn._xlws.FILTER('Results Grouping'!$G$9:$G$322,('Results Grouping'!$H$9:$H$322=$D$18) * ('Results Grouping'!$I$9:$I$322=$D41),0)),
    'Resource Summary'!$C:$C,J$37
  ),
  SUMIFS(
    'Resource Summary'!$T:$T,
    'Resource Summary'!$B:$B,zones_to_group,
    'Resource Summary'!$A:$A,TRANSPOSE(_xlfn._xlws.FILTER('Results Grouping'!$G$9:$G$322,('Results Grouping'!$H$9:$H$322=$D$18) * ('Results Grouping'!$I$9:$I$322=$D41),0)),
    'Resource Summary'!$C:$C,J$37
  )
)</f>
        <v>0</v>
      </c>
      <c r="K41" s="10" cm="1">
        <f t="array" ref="K41">0.000001 * SUM(
  SUMIFS(
    'Resource Summary'!$S:$S,
    'Resource Summary'!$B:$B,zones_to_group,
    'Resource Summary'!$A:$A,TRANSPOSE(_xlfn._xlws.FILTER('Results Grouping'!$G$9:$G$322,('Results Grouping'!$H$9:$H$322=$D$18) * ('Results Grouping'!$I$9:$I$322=$D41),0)),
    'Resource Summary'!$C:$C,K$37
  ),
  SUMIFS(
    'Resource Summary'!$T:$T,
    'Resource Summary'!$B:$B,zones_to_group,
    'Resource Summary'!$A:$A,TRANSPOSE(_xlfn._xlws.FILTER('Results Grouping'!$G$9:$G$322,('Results Grouping'!$H$9:$H$322=$D$18) * ('Results Grouping'!$I$9:$I$322=$D41),0)),
    'Resource Summary'!$C:$C,K$37
  )
)</f>
        <v>0</v>
      </c>
      <c r="L41" s="10" cm="1">
        <f t="array" ref="L41">0.000001 * SUM(
  SUMIFS(
    'Resource Summary'!$S:$S,
    'Resource Summary'!$B:$B,zones_to_group,
    'Resource Summary'!$A:$A,TRANSPOSE(_xlfn._xlws.FILTER('Results Grouping'!$G$9:$G$322,('Results Grouping'!$H$9:$H$322=$D$18) * ('Results Grouping'!$I$9:$I$322=$D41),0)),
    'Resource Summary'!$C:$C,L$37
  ),
  SUMIFS(
    'Resource Summary'!$T:$T,
    'Resource Summary'!$B:$B,zones_to_group,
    'Resource Summary'!$A:$A,TRANSPOSE(_xlfn._xlws.FILTER('Results Grouping'!$G$9:$G$322,('Results Grouping'!$H$9:$H$322=$D$18) * ('Results Grouping'!$I$9:$I$322=$D41),0)),
    'Resource Summary'!$C:$C,L$37
  )
)</f>
        <v>0</v>
      </c>
      <c r="M41" s="10" cm="1">
        <f t="array" ref="M41">0.000001 * SUM(
  SUMIFS(
    'Resource Summary'!$S:$S,
    'Resource Summary'!$B:$B,zones_to_group,
    'Resource Summary'!$A:$A,TRANSPOSE(_xlfn._xlws.FILTER('Results Grouping'!$G$9:$G$322,('Results Grouping'!$H$9:$H$322=$D$18) * ('Results Grouping'!$I$9:$I$322=$D41),0)),
    'Resource Summary'!$C:$C,M$37
  ),
  SUMIFS(
    'Resource Summary'!$T:$T,
    'Resource Summary'!$B:$B,zones_to_group,
    'Resource Summary'!$A:$A,TRANSPOSE(_xlfn._xlws.FILTER('Results Grouping'!$G$9:$G$322,('Results Grouping'!$H$9:$H$322=$D$18) * ('Results Grouping'!$I$9:$I$322=$D41),0)),
    'Resource Summary'!$C:$C,M$37
  )
)</f>
        <v>0</v>
      </c>
      <c r="N41" s="10" cm="1">
        <f t="array" ref="N41">0.000001 * SUM(
  SUMIFS(
    'Resource Summary'!$S:$S,
    'Resource Summary'!$B:$B,zones_to_group,
    'Resource Summary'!$A:$A,TRANSPOSE(_xlfn._xlws.FILTER('Results Grouping'!$G$9:$G$322,('Results Grouping'!$H$9:$H$322=$D$18) * ('Results Grouping'!$I$9:$I$322=$D41),0)),
    'Resource Summary'!$C:$C,N$37
  ),
  SUMIFS(
    'Resource Summary'!$T:$T,
    'Resource Summary'!$B:$B,zones_to_group,
    'Resource Summary'!$A:$A,TRANSPOSE(_xlfn._xlws.FILTER('Results Grouping'!$G$9:$G$322,('Results Grouping'!$H$9:$H$322=$D$18) * ('Results Grouping'!$I$9:$I$322=$D41),0)),
    'Resource Summary'!$C:$C,N$37
  )
)</f>
        <v>0</v>
      </c>
      <c r="O41" s="10" cm="1">
        <f t="array" ref="O41">0.000001 * SUM(
  SUMIFS(
    'Resource Summary'!$S:$S,
    'Resource Summary'!$B:$B,zones_to_group,
    'Resource Summary'!$A:$A,TRANSPOSE(_xlfn._xlws.FILTER('Results Grouping'!$G$9:$G$322,('Results Grouping'!$H$9:$H$322=$D$18) * ('Results Grouping'!$I$9:$I$322=$D41),0)),
    'Resource Summary'!$C:$C,O$37
  ),
  SUMIFS(
    'Resource Summary'!$T:$T,
    'Resource Summary'!$B:$B,zones_to_group,
    'Resource Summary'!$A:$A,TRANSPOSE(_xlfn._xlws.FILTER('Results Grouping'!$G$9:$G$322,('Results Grouping'!$H$9:$H$322=$D$18) * ('Results Grouping'!$I$9:$I$322=$D41),0)),
    'Resource Summary'!$C:$C,O$37
  )
)</f>
        <v>0</v>
      </c>
      <c r="P41" s="10" cm="1">
        <f t="array" ref="P41">0.000001 * SUM(
  SUMIFS(
    'Resource Summary'!$S:$S,
    'Resource Summary'!$B:$B,zones_to_group,
    'Resource Summary'!$A:$A,TRANSPOSE(_xlfn._xlws.FILTER('Results Grouping'!$G$9:$G$322,('Results Grouping'!$H$9:$H$322=$D$18) * ('Results Grouping'!$I$9:$I$322=$D41),0)),
    'Resource Summary'!$C:$C,P$37
  ),
  SUMIFS(
    'Resource Summary'!$T:$T,
    'Resource Summary'!$B:$B,zones_to_group,
    'Resource Summary'!$A:$A,TRANSPOSE(_xlfn._xlws.FILTER('Results Grouping'!$G$9:$G$322,('Results Grouping'!$H$9:$H$322=$D$18) * ('Results Grouping'!$I$9:$I$322=$D41),0)),
    'Resource Summary'!$C:$C,P$37
  )
)</f>
        <v>0</v>
      </c>
      <c r="Q41" s="10" cm="1">
        <f t="array" ref="Q41">0.000001 * SUM(
  SUMIFS(
    'Resource Summary'!$S:$S,
    'Resource Summary'!$B:$B,zones_to_group,
    'Resource Summary'!$A:$A,TRANSPOSE(_xlfn._xlws.FILTER('Results Grouping'!$G$9:$G$322,('Results Grouping'!$H$9:$H$322=$D$18) * ('Results Grouping'!$I$9:$I$322=$D41),0)),
    'Resource Summary'!$C:$C,Q$37
  ),
  SUMIFS(
    'Resource Summary'!$T:$T,
    'Resource Summary'!$B:$B,zones_to_group,
    'Resource Summary'!$A:$A,TRANSPOSE(_xlfn._xlws.FILTER('Results Grouping'!$G$9:$G$322,('Results Grouping'!$H$9:$H$322=$D$18) * ('Results Grouping'!$I$9:$I$322=$D41),0)),
    'Resource Summary'!$C:$C,Q$37
  )
)</f>
        <v>0</v>
      </c>
      <c r="R41" s="10" cm="1">
        <f t="array" ref="R41">0.000001 * SUM(
  SUMIFS(
    'Resource Summary'!$S:$S,
    'Resource Summary'!$B:$B,zones_to_group,
    'Resource Summary'!$A:$A,TRANSPOSE(_xlfn._xlws.FILTER('Results Grouping'!$G$9:$G$322,('Results Grouping'!$H$9:$H$322=$D$18) * ('Results Grouping'!$I$9:$I$322=$D41),0)),
    'Resource Summary'!$C:$C,R$37
  ),
  SUMIFS(
    'Resource Summary'!$T:$T,
    'Resource Summary'!$B:$B,zones_to_group,
    'Resource Summary'!$A:$A,TRANSPOSE(_xlfn._xlws.FILTER('Results Grouping'!$G$9:$G$322,('Results Grouping'!$H$9:$H$322=$D$18) * ('Results Grouping'!$I$9:$I$322=$D41),0)),
    'Resource Summary'!$C:$C,R$37
  )
)</f>
        <v>0</v>
      </c>
      <c r="S41" s="10" cm="1">
        <f t="array" ref="S41">0.000001 * SUM(
  SUMIFS(
    'Resource Summary'!$S:$S,
    'Resource Summary'!$B:$B,zones_to_group,
    'Resource Summary'!$A:$A,TRANSPOSE(_xlfn._xlws.FILTER('Results Grouping'!$G$9:$G$322,('Results Grouping'!$H$9:$H$322=$D$18) * ('Results Grouping'!$I$9:$I$322=$D41),0)),
    'Resource Summary'!$C:$C,S$37
  ),
  SUMIFS(
    'Resource Summary'!$T:$T,
    'Resource Summary'!$B:$B,zones_to_group,
    'Resource Summary'!$A:$A,TRANSPOSE(_xlfn._xlws.FILTER('Results Grouping'!$G$9:$G$322,('Results Grouping'!$H$9:$H$322=$D$18) * ('Results Grouping'!$I$9:$I$322=$D41),0)),
    'Resource Summary'!$C:$C,S$37
  )
)</f>
        <v>0</v>
      </c>
      <c r="T41" s="10" cm="1">
        <f t="array" ref="T41">0.000001 * SUM(
  SUMIFS(
    'Resource Summary'!$S:$S,
    'Resource Summary'!$B:$B,zones_to_group,
    'Resource Summary'!$A:$A,TRANSPOSE(_xlfn._xlws.FILTER('Results Grouping'!$G$9:$G$322,('Results Grouping'!$H$9:$H$322=$D$18) * ('Results Grouping'!$I$9:$I$322=$D41),0)),
    'Resource Summary'!$C:$C,T$37
  ),
  SUMIFS(
    'Resource Summary'!$T:$T,
    'Resource Summary'!$B:$B,zones_to_group,
    'Resource Summary'!$A:$A,TRANSPOSE(_xlfn._xlws.FILTER('Results Grouping'!$G$9:$G$322,('Results Grouping'!$H$9:$H$322=$D$18) * ('Results Grouping'!$I$9:$I$322=$D41),0)),
    'Resource Summary'!$C:$C,T$37
  )
)</f>
        <v>0</v>
      </c>
      <c r="U41" s="10" cm="1">
        <f t="array" ref="U41">0.000001 * SUM(
  SUMIFS(
    'Resource Summary'!$S:$S,
    'Resource Summary'!$B:$B,zones_to_group,
    'Resource Summary'!$A:$A,TRANSPOSE(_xlfn._xlws.FILTER('Results Grouping'!$G$9:$G$322,('Results Grouping'!$H$9:$H$322=$D$18) * ('Results Grouping'!$I$9:$I$322=$D41),0)),
    'Resource Summary'!$C:$C,U$37
  ),
  SUMIFS(
    'Resource Summary'!$T:$T,
    'Resource Summary'!$B:$B,zones_to_group,
    'Resource Summary'!$A:$A,TRANSPOSE(_xlfn._xlws.FILTER('Results Grouping'!$G$9:$G$322,('Results Grouping'!$H$9:$H$322=$D$18) * ('Results Grouping'!$I$9:$I$322=$D41),0)),
    'Resource Summary'!$C:$C,U$37
  )
)</f>
        <v>0</v>
      </c>
      <c r="V41" s="10" cm="1">
        <f t="array" ref="V41">0.000001 * SUM(
  SUMIFS(
    'Resource Summary'!$S:$S,
    'Resource Summary'!$B:$B,zones_to_group,
    'Resource Summary'!$A:$A,TRANSPOSE(_xlfn._xlws.FILTER('Results Grouping'!$G$9:$G$322,('Results Grouping'!$H$9:$H$322=$D$18) * ('Results Grouping'!$I$9:$I$322=$D41),0)),
    'Resource Summary'!$C:$C,V$37
  ),
  SUMIFS(
    'Resource Summary'!$T:$T,
    'Resource Summary'!$B:$B,zones_to_group,
    'Resource Summary'!$A:$A,TRANSPOSE(_xlfn._xlws.FILTER('Results Grouping'!$G$9:$G$322,('Results Grouping'!$H$9:$H$322=$D$18) * ('Results Grouping'!$I$9:$I$322=$D41),0)),
    'Resource Summary'!$C:$C,V$37
  )
)</f>
        <v>0</v>
      </c>
      <c r="W41" s="10" cm="1">
        <f t="array" ref="W41">0.000001 * SUM(
  SUMIFS(
    'Resource Summary'!$S:$S,
    'Resource Summary'!$B:$B,zones_to_group,
    'Resource Summary'!$A:$A,TRANSPOSE(_xlfn._xlws.FILTER('Results Grouping'!$G$9:$G$322,('Results Grouping'!$H$9:$H$322=$D$18) * ('Results Grouping'!$I$9:$I$322=$D41),0)),
    'Resource Summary'!$C:$C,W$37
  ),
  SUMIFS(
    'Resource Summary'!$T:$T,
    'Resource Summary'!$B:$B,zones_to_group,
    'Resource Summary'!$A:$A,TRANSPOSE(_xlfn._xlws.FILTER('Results Grouping'!$G$9:$G$322,('Results Grouping'!$H$9:$H$322=$D$18) * ('Results Grouping'!$I$9:$I$322=$D41),0)),
    'Resource Summary'!$C:$C,W$37
  )
)</f>
        <v>0</v>
      </c>
      <c r="X41" s="10" cm="1">
        <f t="array" ref="X41">0.000001 * SUM(
  SUMIFS(
    'Resource Summary'!$S:$S,
    'Resource Summary'!$B:$B,zones_to_group,
    'Resource Summary'!$A:$A,TRANSPOSE(_xlfn._xlws.FILTER('Results Grouping'!$G$9:$G$322,('Results Grouping'!$H$9:$H$322=$D$18) * ('Results Grouping'!$I$9:$I$322=$D41),0)),
    'Resource Summary'!$C:$C,X$37
  ),
  SUMIFS(
    'Resource Summary'!$T:$T,
    'Resource Summary'!$B:$B,zones_to_group,
    'Resource Summary'!$A:$A,TRANSPOSE(_xlfn._xlws.FILTER('Results Grouping'!$G$9:$G$322,('Results Grouping'!$H$9:$H$322=$D$18) * ('Results Grouping'!$I$9:$I$322=$D41),0)),
    'Resource Summary'!$C:$C,X$37
  )
)</f>
        <v>0</v>
      </c>
      <c r="Y41" s="10" cm="1">
        <f t="array" ref="Y41">0.000001 * SUM(
  SUMIFS(
    'Resource Summary'!$S:$S,
    'Resource Summary'!$B:$B,zones_to_group,
    'Resource Summary'!$A:$A,TRANSPOSE(_xlfn._xlws.FILTER('Results Grouping'!$G$9:$G$322,('Results Grouping'!$H$9:$H$322=$D$18) * ('Results Grouping'!$I$9:$I$322=$D41),0)),
    'Resource Summary'!$C:$C,Y$37
  ),
  SUMIFS(
    'Resource Summary'!$T:$T,
    'Resource Summary'!$B:$B,zones_to_group,
    'Resource Summary'!$A:$A,TRANSPOSE(_xlfn._xlws.FILTER('Results Grouping'!$G$9:$G$322,('Results Grouping'!$H$9:$H$322=$D$18) * ('Results Grouping'!$I$9:$I$322=$D41),0)),
    'Resource Summary'!$C:$C,Y$37
  )
)</f>
        <v>0</v>
      </c>
      <c r="Z41" s="10" cm="1">
        <f t="array" ref="Z41">0.000001 * SUM(
  SUMIFS(
    'Resource Summary'!$S:$S,
    'Resource Summary'!$B:$B,zones_to_group,
    'Resource Summary'!$A:$A,TRANSPOSE(_xlfn._xlws.FILTER('Results Grouping'!$G$9:$G$322,('Results Grouping'!$H$9:$H$322=$D$18) * ('Results Grouping'!$I$9:$I$322=$D41),0)),
    'Resource Summary'!$C:$C,Z$37
  ),
  SUMIFS(
    'Resource Summary'!$T:$T,
    'Resource Summary'!$B:$B,zones_to_group,
    'Resource Summary'!$A:$A,TRANSPOSE(_xlfn._xlws.FILTER('Results Grouping'!$G$9:$G$322,('Results Grouping'!$H$9:$H$322=$D$18) * ('Results Grouping'!$I$9:$I$322=$D41),0)),
    'Resource Summary'!$C:$C,Z$37
  )
)</f>
        <v>0</v>
      </c>
      <c r="AA41" s="10" cm="1">
        <f t="array" ref="AA41">0.000001 * SUM(
  SUMIFS(
    'Resource Summary'!$S:$S,
    'Resource Summary'!$B:$B,zones_to_group,
    'Resource Summary'!$A:$A,TRANSPOSE(_xlfn._xlws.FILTER('Results Grouping'!$G$9:$G$322,('Results Grouping'!$H$9:$H$322=$D$18) * ('Results Grouping'!$I$9:$I$322=$D41),0)),
    'Resource Summary'!$C:$C,AA$37
  ),
  SUMIFS(
    'Resource Summary'!$T:$T,
    'Resource Summary'!$B:$B,zones_to_group,
    'Resource Summary'!$A:$A,TRANSPOSE(_xlfn._xlws.FILTER('Results Grouping'!$G$9:$G$322,('Results Grouping'!$H$9:$H$322=$D$18) * ('Results Grouping'!$I$9:$I$322=$D41),0)),
    'Resource Summary'!$C:$C,AA$37
  )
)</f>
        <v>0</v>
      </c>
      <c r="AB41" s="10" cm="1">
        <f t="array" ref="AB41">0.000001 * SUM(
  SUMIFS(
    'Resource Summary'!$S:$S,
    'Resource Summary'!$B:$B,zones_to_group,
    'Resource Summary'!$A:$A,TRANSPOSE(_xlfn._xlws.FILTER('Results Grouping'!$G$9:$G$322,('Results Grouping'!$H$9:$H$322=$D$18) * ('Results Grouping'!$I$9:$I$322=$D41),0)),
    'Resource Summary'!$C:$C,AB$37
  ),
  SUMIFS(
    'Resource Summary'!$T:$T,
    'Resource Summary'!$B:$B,zones_to_group,
    'Resource Summary'!$A:$A,TRANSPOSE(_xlfn._xlws.FILTER('Results Grouping'!$G$9:$G$322,('Results Grouping'!$H$9:$H$322=$D$18) * ('Results Grouping'!$I$9:$I$322=$D41),0)),
    'Resource Summary'!$C:$C,AB$37
  )
)</f>
        <v>0</v>
      </c>
      <c r="AC41" s="10" cm="1">
        <f t="array" ref="AC41">0.000001 * SUM(
  SUMIFS(
    'Resource Summary'!$S:$S,
    'Resource Summary'!$B:$B,zones_to_group,
    'Resource Summary'!$A:$A,TRANSPOSE(_xlfn._xlws.FILTER('Results Grouping'!$G$9:$G$322,('Results Grouping'!$H$9:$H$322=$D$18) * ('Results Grouping'!$I$9:$I$322=$D41),0)),
    'Resource Summary'!$C:$C,AC$37
  ),
  SUMIFS(
    'Resource Summary'!$T:$T,
    'Resource Summary'!$B:$B,zones_to_group,
    'Resource Summary'!$A:$A,TRANSPOSE(_xlfn._xlws.FILTER('Results Grouping'!$G$9:$G$322,('Results Grouping'!$H$9:$H$322=$D$18) * ('Results Grouping'!$I$9:$I$322=$D41),0)),
    'Resource Summary'!$C:$C,AC$37
  )
)</f>
        <v>0</v>
      </c>
      <c r="AD41" s="10" cm="1">
        <f t="array" ref="AD41">0.000001 * SUM(
  SUMIFS(
    'Resource Summary'!$S:$S,
    'Resource Summary'!$B:$B,zones_to_group,
    'Resource Summary'!$A:$A,TRANSPOSE(_xlfn._xlws.FILTER('Results Grouping'!$G$9:$G$322,('Results Grouping'!$H$9:$H$322=$D$18) * ('Results Grouping'!$I$9:$I$322=$D41),0)),
    'Resource Summary'!$C:$C,AD$37
  ),
  SUMIFS(
    'Resource Summary'!$T:$T,
    'Resource Summary'!$B:$B,zones_to_group,
    'Resource Summary'!$A:$A,TRANSPOSE(_xlfn._xlws.FILTER('Results Grouping'!$G$9:$G$322,('Results Grouping'!$H$9:$H$322=$D$18) * ('Results Grouping'!$I$9:$I$322=$D41),0)),
    'Resource Summary'!$C:$C,AD$37
  )
)</f>
        <v>3937.079073647049</v>
      </c>
      <c r="AF41" s="10">
        <f t="shared" si="34"/>
        <v>15213.391338968537</v>
      </c>
      <c r="AH41" s="34"/>
    </row>
    <row r="42" spans="3:34" outlineLevel="1" x14ac:dyDescent="0.2">
      <c r="D42" s="8" t="s">
        <v>412</v>
      </c>
      <c r="E42" s="25">
        <f t="shared" ref="E42:AD42" si="35">E500</f>
        <v>0</v>
      </c>
      <c r="F42" s="25">
        <f t="shared" si="35"/>
        <v>0</v>
      </c>
      <c r="G42" s="25">
        <f t="shared" si="35"/>
        <v>0</v>
      </c>
      <c r="H42" s="25">
        <f t="shared" si="35"/>
        <v>0</v>
      </c>
      <c r="I42" s="25">
        <f t="shared" si="35"/>
        <v>0</v>
      </c>
      <c r="J42" s="25">
        <f t="shared" si="35"/>
        <v>0</v>
      </c>
      <c r="K42" s="25">
        <f t="shared" si="35"/>
        <v>0</v>
      </c>
      <c r="L42" s="25">
        <f t="shared" si="35"/>
        <v>0</v>
      </c>
      <c r="M42" s="25">
        <f t="shared" si="35"/>
        <v>0</v>
      </c>
      <c r="N42" s="25">
        <f t="shared" si="35"/>
        <v>0</v>
      </c>
      <c r="O42" s="25">
        <f t="shared" si="35"/>
        <v>0</v>
      </c>
      <c r="P42" s="25">
        <f t="shared" si="35"/>
        <v>0</v>
      </c>
      <c r="Q42" s="25">
        <f t="shared" si="35"/>
        <v>0</v>
      </c>
      <c r="R42" s="25">
        <f t="shared" si="35"/>
        <v>0</v>
      </c>
      <c r="S42" s="25">
        <f t="shared" si="35"/>
        <v>0</v>
      </c>
      <c r="T42" s="25">
        <f t="shared" si="35"/>
        <v>0</v>
      </c>
      <c r="U42" s="25">
        <f t="shared" si="35"/>
        <v>0</v>
      </c>
      <c r="V42" s="25">
        <f t="shared" si="35"/>
        <v>0</v>
      </c>
      <c r="W42" s="25">
        <f t="shared" si="35"/>
        <v>0</v>
      </c>
      <c r="X42" s="25">
        <f t="shared" si="35"/>
        <v>0</v>
      </c>
      <c r="Y42" s="25">
        <f t="shared" si="35"/>
        <v>0</v>
      </c>
      <c r="Z42" s="25">
        <f t="shared" si="35"/>
        <v>0</v>
      </c>
      <c r="AA42" s="25">
        <f t="shared" si="35"/>
        <v>0</v>
      </c>
      <c r="AB42" s="25">
        <f t="shared" si="35"/>
        <v>0</v>
      </c>
      <c r="AC42" s="25">
        <f t="shared" si="35"/>
        <v>0</v>
      </c>
      <c r="AD42" s="25">
        <f t="shared" si="35"/>
        <v>30.997630233999995</v>
      </c>
      <c r="AF42" s="25">
        <f t="shared" si="34"/>
        <v>119.77891998334826</v>
      </c>
      <c r="AH42" s="34"/>
    </row>
    <row r="43" spans="3:34" ht="12.6" outlineLevel="1" thickBot="1" x14ac:dyDescent="0.25">
      <c r="D43" s="9" t="s">
        <v>139</v>
      </c>
      <c r="E43" s="17">
        <f t="shared" ref="E43:AD43" si="36">SUM(E38:E42)</f>
        <v>0</v>
      </c>
      <c r="F43" s="17">
        <f t="shared" si="36"/>
        <v>0</v>
      </c>
      <c r="G43" s="17">
        <f t="shared" si="36"/>
        <v>0</v>
      </c>
      <c r="H43" s="17">
        <f t="shared" si="36"/>
        <v>0</v>
      </c>
      <c r="I43" s="17">
        <f t="shared" si="36"/>
        <v>0</v>
      </c>
      <c r="J43" s="17">
        <f t="shared" si="36"/>
        <v>0</v>
      </c>
      <c r="K43" s="17">
        <f t="shared" si="36"/>
        <v>0</v>
      </c>
      <c r="L43" s="17">
        <f t="shared" si="36"/>
        <v>0</v>
      </c>
      <c r="M43" s="17">
        <f t="shared" si="36"/>
        <v>0</v>
      </c>
      <c r="N43" s="17">
        <f t="shared" si="36"/>
        <v>0</v>
      </c>
      <c r="O43" s="17">
        <f t="shared" si="36"/>
        <v>0</v>
      </c>
      <c r="P43" s="17">
        <f t="shared" si="36"/>
        <v>0</v>
      </c>
      <c r="Q43" s="17">
        <f t="shared" si="36"/>
        <v>0</v>
      </c>
      <c r="R43" s="17">
        <f t="shared" si="36"/>
        <v>0</v>
      </c>
      <c r="S43" s="17">
        <f t="shared" si="36"/>
        <v>0</v>
      </c>
      <c r="T43" s="17">
        <f t="shared" si="36"/>
        <v>0</v>
      </c>
      <c r="U43" s="17">
        <f t="shared" si="36"/>
        <v>0</v>
      </c>
      <c r="V43" s="17">
        <f t="shared" si="36"/>
        <v>0</v>
      </c>
      <c r="W43" s="17">
        <f t="shared" si="36"/>
        <v>0</v>
      </c>
      <c r="X43" s="17">
        <f t="shared" si="36"/>
        <v>0</v>
      </c>
      <c r="Y43" s="17">
        <f t="shared" si="36"/>
        <v>0</v>
      </c>
      <c r="Z43" s="17">
        <f t="shared" si="36"/>
        <v>0</v>
      </c>
      <c r="AA43" s="17">
        <f t="shared" si="36"/>
        <v>0</v>
      </c>
      <c r="AB43" s="17">
        <f t="shared" si="36"/>
        <v>0</v>
      </c>
      <c r="AC43" s="17">
        <f t="shared" si="36"/>
        <v>0</v>
      </c>
      <c r="AD43" s="17">
        <f t="shared" si="36"/>
        <v>9310.3078466140614</v>
      </c>
      <c r="AF43" s="17">
        <f t="shared" si="34"/>
        <v>35976.253996240419</v>
      </c>
      <c r="AH43" s="34"/>
    </row>
    <row r="44" spans="3:34" ht="12" outlineLevel="1" thickTop="1" x14ac:dyDescent="0.2">
      <c r="AH44" s="34"/>
    </row>
    <row r="45" spans="3:34" ht="13.2" outlineLevel="1" x14ac:dyDescent="0.2">
      <c r="E45" s="2" t="s">
        <v>169</v>
      </c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F45" s="2"/>
      <c r="AH45" s="34"/>
    </row>
    <row r="46" spans="3:34" outlineLevel="1" x14ac:dyDescent="0.2">
      <c r="E46" s="7">
        <v>43831</v>
      </c>
      <c r="F46" s="7">
        <f>EDATE(E46,12)</f>
        <v>44197</v>
      </c>
      <c r="G46" s="7">
        <f t="shared" ref="G46" si="37">EDATE(F46,12)</f>
        <v>44562</v>
      </c>
      <c r="H46" s="7">
        <f t="shared" ref="H46" si="38">EDATE(G46,12)</f>
        <v>44927</v>
      </c>
      <c r="I46" s="7">
        <f t="shared" ref="I46" si="39">EDATE(H46,12)</f>
        <v>45292</v>
      </c>
      <c r="J46" s="7">
        <f t="shared" ref="J46" si="40">EDATE(I46,12)</f>
        <v>45658</v>
      </c>
      <c r="K46" s="7">
        <f t="shared" ref="K46" si="41">EDATE(J46,12)</f>
        <v>46023</v>
      </c>
      <c r="L46" s="7">
        <f t="shared" ref="L46" si="42">EDATE(K46,12)</f>
        <v>46388</v>
      </c>
      <c r="M46" s="7">
        <f t="shared" ref="M46" si="43">EDATE(L46,12)</f>
        <v>46753</v>
      </c>
      <c r="N46" s="7">
        <f t="shared" ref="N46" si="44">EDATE(M46,12)</f>
        <v>47119</v>
      </c>
      <c r="O46" s="7">
        <f t="shared" ref="O46" si="45">EDATE(N46,12)</f>
        <v>47484</v>
      </c>
      <c r="P46" s="7">
        <f t="shared" ref="P46" si="46">EDATE(O46,12)</f>
        <v>47849</v>
      </c>
      <c r="Q46" s="7">
        <f t="shared" ref="Q46" si="47">EDATE(P46,12)</f>
        <v>48214</v>
      </c>
      <c r="R46" s="7">
        <f t="shared" ref="R46" si="48">EDATE(Q46,12)</f>
        <v>48580</v>
      </c>
      <c r="S46" s="7">
        <f t="shared" ref="S46" si="49">EDATE(R46,12)</f>
        <v>48945</v>
      </c>
      <c r="T46" s="7">
        <f t="shared" ref="T46" si="50">EDATE(S46,12)</f>
        <v>49310</v>
      </c>
      <c r="U46" s="7">
        <f t="shared" ref="U46" si="51">EDATE(T46,12)</f>
        <v>49675</v>
      </c>
      <c r="V46" s="7">
        <f t="shared" ref="V46" si="52">EDATE(U46,12)</f>
        <v>50041</v>
      </c>
      <c r="W46" s="7">
        <f t="shared" ref="W46" si="53">EDATE(V46,12)</f>
        <v>50406</v>
      </c>
      <c r="X46" s="7">
        <f t="shared" ref="X46" si="54">EDATE(W46,12)</f>
        <v>50771</v>
      </c>
      <c r="Y46" s="7">
        <f t="shared" ref="Y46" si="55">EDATE(X46,12)</f>
        <v>51136</v>
      </c>
      <c r="Z46" s="7">
        <f t="shared" ref="Z46" si="56">EDATE(Y46,12)</f>
        <v>51502</v>
      </c>
      <c r="AA46" s="7">
        <f t="shared" ref="AA46" si="57">EDATE(Z46,12)</f>
        <v>51867</v>
      </c>
      <c r="AB46" s="7">
        <f t="shared" ref="AB46" si="58">EDATE(AA46,12)</f>
        <v>52232</v>
      </c>
      <c r="AC46" s="7">
        <f t="shared" ref="AC46" si="59">EDATE(AB46,12)</f>
        <v>52597</v>
      </c>
      <c r="AD46" s="7">
        <f t="shared" ref="AD46" si="60">EDATE(AC46,12)</f>
        <v>52963</v>
      </c>
      <c r="AF46" s="7" t="s">
        <v>616</v>
      </c>
      <c r="AH46" s="34"/>
    </row>
    <row r="47" spans="3:34" outlineLevel="1" x14ac:dyDescent="0.2">
      <c r="D47" s="8" t="s">
        <v>132</v>
      </c>
      <c r="E47" s="10" cm="1">
        <f t="array" ref="E47">0.000001 * SUM(
  SUMIFS(
    'Resource Summary'!$U:$U,
    'Resource Summary'!$B:$B,zones_to_group,
    'Resource Summary'!$A:$A,TRANSPOSE(_xlfn._xlws.FILTER('Results Grouping'!$G$9:$G$322,('Results Grouping'!$H$9:$H$322=$D$18) * ('Results Grouping'!$I$9:$I$322=$D47),0)),
    'Resource Summary'!$C:$C,E$37
  ),
  SUMIFS(
    'Resource Summary'!$V:$V,
    'Resource Summary'!$B:$B,zones_to_group,
    'Resource Summary'!$A:$A,TRANSPOSE(_xlfn._xlws.FILTER('Results Grouping'!$G$9:$G$322,('Results Grouping'!$H$9:$H$322=$D$18) * ('Results Grouping'!$I$9:$I$322=$D47),0)),
    'Resource Summary'!$C:$C,E$37
  ),
  SUMIFS(
    'Resource Summary'!$W:$W,
    'Resource Summary'!$B:$B,zones_to_group,
    'Resource Summary'!$A:$A,TRANSPOSE(_xlfn._xlws.FILTER('Results Grouping'!$G$9:$G$322,('Results Grouping'!$H$9:$H$322=$D$18) * ('Results Grouping'!$I$9:$I$322=$D47),0)),
    'Resource Summary'!$C:$C,E$37
  ),
  SUMIFS(
    'Resource Summary'!$X:$X,
    'Resource Summary'!$B:$B,zones_to_group,
    'Resource Summary'!$A:$A,TRANSPOSE(_xlfn._xlws.FILTER('Results Grouping'!$G$9:$G$322,('Results Grouping'!$H$9:$H$322=$D$18) * ('Results Grouping'!$I$9:$I$322=$D47),0)),
    'Resource Summary'!$C:$C,E$37
  ),
  SUMIFS(
    'Resource Summary'!$Y:$Y,
    'Resource Summary'!$B:$B,zones_to_group,
    'Resource Summary'!$A:$A,TRANSPOSE(_xlfn._xlws.FILTER('Results Grouping'!$G$9:$G$322,('Results Grouping'!$H$9:$H$322=$D$18) * ('Results Grouping'!$I$9:$I$322=$D47),0)),
    'Resource Summary'!$C:$C,E$37
  )
)</f>
        <v>0</v>
      </c>
      <c r="F47" s="10" cm="1">
        <f t="array" ref="F47">0.000001 * SUM(
  SUMIFS(
    'Resource Summary'!$U:$U,
    'Resource Summary'!$B:$B,zones_to_group,
    'Resource Summary'!$A:$A,TRANSPOSE(_xlfn._xlws.FILTER('Results Grouping'!$G$9:$G$322,('Results Grouping'!$H$9:$H$322=$D$18) * ('Results Grouping'!$I$9:$I$322=$D47),0)),
    'Resource Summary'!$C:$C,F$37
  ),
  SUMIFS(
    'Resource Summary'!$V:$V,
    'Resource Summary'!$B:$B,zones_to_group,
    'Resource Summary'!$A:$A,TRANSPOSE(_xlfn._xlws.FILTER('Results Grouping'!$G$9:$G$322,('Results Grouping'!$H$9:$H$322=$D$18) * ('Results Grouping'!$I$9:$I$322=$D47),0)),
    'Resource Summary'!$C:$C,F$37
  ),
  SUMIFS(
    'Resource Summary'!$W:$W,
    'Resource Summary'!$B:$B,zones_to_group,
    'Resource Summary'!$A:$A,TRANSPOSE(_xlfn._xlws.FILTER('Results Grouping'!$G$9:$G$322,('Results Grouping'!$H$9:$H$322=$D$18) * ('Results Grouping'!$I$9:$I$322=$D47),0)),
    'Resource Summary'!$C:$C,F$37
  ),
  SUMIFS(
    'Resource Summary'!$X:$X,
    'Resource Summary'!$B:$B,zones_to_group,
    'Resource Summary'!$A:$A,TRANSPOSE(_xlfn._xlws.FILTER('Results Grouping'!$G$9:$G$322,('Results Grouping'!$H$9:$H$322=$D$18) * ('Results Grouping'!$I$9:$I$322=$D47),0)),
    'Resource Summary'!$C:$C,F$37
  ),
  SUMIFS(
    'Resource Summary'!$Y:$Y,
    'Resource Summary'!$B:$B,zones_to_group,
    'Resource Summary'!$A:$A,TRANSPOSE(_xlfn._xlws.FILTER('Results Grouping'!$G$9:$G$322,('Results Grouping'!$H$9:$H$322=$D$18) * ('Results Grouping'!$I$9:$I$322=$D47),0)),
    'Resource Summary'!$C:$C,F$37
  )
)</f>
        <v>0</v>
      </c>
      <c r="G47" s="10" cm="1">
        <f t="array" ref="G47">0.000001 * SUM(
  SUMIFS(
    'Resource Summary'!$U:$U,
    'Resource Summary'!$B:$B,zones_to_group,
    'Resource Summary'!$A:$A,TRANSPOSE(_xlfn._xlws.FILTER('Results Grouping'!$G$9:$G$322,('Results Grouping'!$H$9:$H$322=$D$18) * ('Results Grouping'!$I$9:$I$322=$D47),0)),
    'Resource Summary'!$C:$C,G$37
  ),
  SUMIFS(
    'Resource Summary'!$V:$V,
    'Resource Summary'!$B:$B,zones_to_group,
    'Resource Summary'!$A:$A,TRANSPOSE(_xlfn._xlws.FILTER('Results Grouping'!$G$9:$G$322,('Results Grouping'!$H$9:$H$322=$D$18) * ('Results Grouping'!$I$9:$I$322=$D47),0)),
    'Resource Summary'!$C:$C,G$37
  ),
  SUMIFS(
    'Resource Summary'!$W:$W,
    'Resource Summary'!$B:$B,zones_to_group,
    'Resource Summary'!$A:$A,TRANSPOSE(_xlfn._xlws.FILTER('Results Grouping'!$G$9:$G$322,('Results Grouping'!$H$9:$H$322=$D$18) * ('Results Grouping'!$I$9:$I$322=$D47),0)),
    'Resource Summary'!$C:$C,G$37
  ),
  SUMIFS(
    'Resource Summary'!$X:$X,
    'Resource Summary'!$B:$B,zones_to_group,
    'Resource Summary'!$A:$A,TRANSPOSE(_xlfn._xlws.FILTER('Results Grouping'!$G$9:$G$322,('Results Grouping'!$H$9:$H$322=$D$18) * ('Results Grouping'!$I$9:$I$322=$D47),0)),
    'Resource Summary'!$C:$C,G$37
  ),
  SUMIFS(
    'Resource Summary'!$Y:$Y,
    'Resource Summary'!$B:$B,zones_to_group,
    'Resource Summary'!$A:$A,TRANSPOSE(_xlfn._xlws.FILTER('Results Grouping'!$G$9:$G$322,('Results Grouping'!$H$9:$H$322=$D$18) * ('Results Grouping'!$I$9:$I$322=$D47),0)),
    'Resource Summary'!$C:$C,G$37
  )
)</f>
        <v>0</v>
      </c>
      <c r="H47" s="10" cm="1">
        <f t="array" ref="H47">0.000001 * SUM(
  SUMIFS(
    'Resource Summary'!$U:$U,
    'Resource Summary'!$B:$B,zones_to_group,
    'Resource Summary'!$A:$A,TRANSPOSE(_xlfn._xlws.FILTER('Results Grouping'!$G$9:$G$322,('Results Grouping'!$H$9:$H$322=$D$18) * ('Results Grouping'!$I$9:$I$322=$D47),0)),
    'Resource Summary'!$C:$C,H$37
  ),
  SUMIFS(
    'Resource Summary'!$V:$V,
    'Resource Summary'!$B:$B,zones_to_group,
    'Resource Summary'!$A:$A,TRANSPOSE(_xlfn._xlws.FILTER('Results Grouping'!$G$9:$G$322,('Results Grouping'!$H$9:$H$322=$D$18) * ('Results Grouping'!$I$9:$I$322=$D47),0)),
    'Resource Summary'!$C:$C,H$37
  ),
  SUMIFS(
    'Resource Summary'!$W:$W,
    'Resource Summary'!$B:$B,zones_to_group,
    'Resource Summary'!$A:$A,TRANSPOSE(_xlfn._xlws.FILTER('Results Grouping'!$G$9:$G$322,('Results Grouping'!$H$9:$H$322=$D$18) * ('Results Grouping'!$I$9:$I$322=$D47),0)),
    'Resource Summary'!$C:$C,H$37
  ),
  SUMIFS(
    'Resource Summary'!$X:$X,
    'Resource Summary'!$B:$B,zones_to_group,
    'Resource Summary'!$A:$A,TRANSPOSE(_xlfn._xlws.FILTER('Results Grouping'!$G$9:$G$322,('Results Grouping'!$H$9:$H$322=$D$18) * ('Results Grouping'!$I$9:$I$322=$D47),0)),
    'Resource Summary'!$C:$C,H$37
  ),
  SUMIFS(
    'Resource Summary'!$Y:$Y,
    'Resource Summary'!$B:$B,zones_to_group,
    'Resource Summary'!$A:$A,TRANSPOSE(_xlfn._xlws.FILTER('Results Grouping'!$G$9:$G$322,('Results Grouping'!$H$9:$H$322=$D$18) * ('Results Grouping'!$I$9:$I$322=$D47),0)),
    'Resource Summary'!$C:$C,H$37
  )
)</f>
        <v>0</v>
      </c>
      <c r="I47" s="10" cm="1">
        <f t="array" ref="I47">0.000001 * SUM(
  SUMIFS(
    'Resource Summary'!$U:$U,
    'Resource Summary'!$B:$B,zones_to_group,
    'Resource Summary'!$A:$A,TRANSPOSE(_xlfn._xlws.FILTER('Results Grouping'!$G$9:$G$322,('Results Grouping'!$H$9:$H$322=$D$18) * ('Results Grouping'!$I$9:$I$322=$D47),0)),
    'Resource Summary'!$C:$C,I$37
  ),
  SUMIFS(
    'Resource Summary'!$V:$V,
    'Resource Summary'!$B:$B,zones_to_group,
    'Resource Summary'!$A:$A,TRANSPOSE(_xlfn._xlws.FILTER('Results Grouping'!$G$9:$G$322,('Results Grouping'!$H$9:$H$322=$D$18) * ('Results Grouping'!$I$9:$I$322=$D47),0)),
    'Resource Summary'!$C:$C,I$37
  ),
  SUMIFS(
    'Resource Summary'!$W:$W,
    'Resource Summary'!$B:$B,zones_to_group,
    'Resource Summary'!$A:$A,TRANSPOSE(_xlfn._xlws.FILTER('Results Grouping'!$G$9:$G$322,('Results Grouping'!$H$9:$H$322=$D$18) * ('Results Grouping'!$I$9:$I$322=$D47),0)),
    'Resource Summary'!$C:$C,I$37
  ),
  SUMIFS(
    'Resource Summary'!$X:$X,
    'Resource Summary'!$B:$B,zones_to_group,
    'Resource Summary'!$A:$A,TRANSPOSE(_xlfn._xlws.FILTER('Results Grouping'!$G$9:$G$322,('Results Grouping'!$H$9:$H$322=$D$18) * ('Results Grouping'!$I$9:$I$322=$D47),0)),
    'Resource Summary'!$C:$C,I$37
  ),
  SUMIFS(
    'Resource Summary'!$Y:$Y,
    'Resource Summary'!$B:$B,zones_to_group,
    'Resource Summary'!$A:$A,TRANSPOSE(_xlfn._xlws.FILTER('Results Grouping'!$G$9:$G$322,('Results Grouping'!$H$9:$H$322=$D$18) * ('Results Grouping'!$I$9:$I$322=$D47),0)),
    'Resource Summary'!$C:$C,I$37
  )
)</f>
        <v>0</v>
      </c>
      <c r="J47" s="10" cm="1">
        <f t="array" ref="J47">0.000001 * SUM(
  SUMIFS(
    'Resource Summary'!$U:$U,
    'Resource Summary'!$B:$B,zones_to_group,
    'Resource Summary'!$A:$A,TRANSPOSE(_xlfn._xlws.FILTER('Results Grouping'!$G$9:$G$322,('Results Grouping'!$H$9:$H$322=$D$18) * ('Results Grouping'!$I$9:$I$322=$D47),0)),
    'Resource Summary'!$C:$C,J$37
  ),
  SUMIFS(
    'Resource Summary'!$V:$V,
    'Resource Summary'!$B:$B,zones_to_group,
    'Resource Summary'!$A:$A,TRANSPOSE(_xlfn._xlws.FILTER('Results Grouping'!$G$9:$G$322,('Results Grouping'!$H$9:$H$322=$D$18) * ('Results Grouping'!$I$9:$I$322=$D47),0)),
    'Resource Summary'!$C:$C,J$37
  ),
  SUMIFS(
    'Resource Summary'!$W:$W,
    'Resource Summary'!$B:$B,zones_to_group,
    'Resource Summary'!$A:$A,TRANSPOSE(_xlfn._xlws.FILTER('Results Grouping'!$G$9:$G$322,('Results Grouping'!$H$9:$H$322=$D$18) * ('Results Grouping'!$I$9:$I$322=$D47),0)),
    'Resource Summary'!$C:$C,J$37
  ),
  SUMIFS(
    'Resource Summary'!$X:$X,
    'Resource Summary'!$B:$B,zones_to_group,
    'Resource Summary'!$A:$A,TRANSPOSE(_xlfn._xlws.FILTER('Results Grouping'!$G$9:$G$322,('Results Grouping'!$H$9:$H$322=$D$18) * ('Results Grouping'!$I$9:$I$322=$D47),0)),
    'Resource Summary'!$C:$C,J$37
  ),
  SUMIFS(
    'Resource Summary'!$Y:$Y,
    'Resource Summary'!$B:$B,zones_to_group,
    'Resource Summary'!$A:$A,TRANSPOSE(_xlfn._xlws.FILTER('Results Grouping'!$G$9:$G$322,('Results Grouping'!$H$9:$H$322=$D$18) * ('Results Grouping'!$I$9:$I$322=$D47),0)),
    'Resource Summary'!$C:$C,J$37
  )
)</f>
        <v>0</v>
      </c>
      <c r="K47" s="10" cm="1">
        <f t="array" ref="K47">0.000001 * SUM(
  SUMIFS(
    'Resource Summary'!$U:$U,
    'Resource Summary'!$B:$B,zones_to_group,
    'Resource Summary'!$A:$A,TRANSPOSE(_xlfn._xlws.FILTER('Results Grouping'!$G$9:$G$322,('Results Grouping'!$H$9:$H$322=$D$18) * ('Results Grouping'!$I$9:$I$322=$D47),0)),
    'Resource Summary'!$C:$C,K$37
  ),
  SUMIFS(
    'Resource Summary'!$V:$V,
    'Resource Summary'!$B:$B,zones_to_group,
    'Resource Summary'!$A:$A,TRANSPOSE(_xlfn._xlws.FILTER('Results Grouping'!$G$9:$G$322,('Results Grouping'!$H$9:$H$322=$D$18) * ('Results Grouping'!$I$9:$I$322=$D47),0)),
    'Resource Summary'!$C:$C,K$37
  ),
  SUMIFS(
    'Resource Summary'!$W:$W,
    'Resource Summary'!$B:$B,zones_to_group,
    'Resource Summary'!$A:$A,TRANSPOSE(_xlfn._xlws.FILTER('Results Grouping'!$G$9:$G$322,('Results Grouping'!$H$9:$H$322=$D$18) * ('Results Grouping'!$I$9:$I$322=$D47),0)),
    'Resource Summary'!$C:$C,K$37
  ),
  SUMIFS(
    'Resource Summary'!$X:$X,
    'Resource Summary'!$B:$B,zones_to_group,
    'Resource Summary'!$A:$A,TRANSPOSE(_xlfn._xlws.FILTER('Results Grouping'!$G$9:$G$322,('Results Grouping'!$H$9:$H$322=$D$18) * ('Results Grouping'!$I$9:$I$322=$D47),0)),
    'Resource Summary'!$C:$C,K$37
  ),
  SUMIFS(
    'Resource Summary'!$Y:$Y,
    'Resource Summary'!$B:$B,zones_to_group,
    'Resource Summary'!$A:$A,TRANSPOSE(_xlfn._xlws.FILTER('Results Grouping'!$G$9:$G$322,('Results Grouping'!$H$9:$H$322=$D$18) * ('Results Grouping'!$I$9:$I$322=$D47),0)),
    'Resource Summary'!$C:$C,K$37
  )
)</f>
        <v>0</v>
      </c>
      <c r="L47" s="10" cm="1">
        <f t="array" ref="L47">0.000001 * SUM(
  SUMIFS(
    'Resource Summary'!$U:$U,
    'Resource Summary'!$B:$B,zones_to_group,
    'Resource Summary'!$A:$A,TRANSPOSE(_xlfn._xlws.FILTER('Results Grouping'!$G$9:$G$322,('Results Grouping'!$H$9:$H$322=$D$18) * ('Results Grouping'!$I$9:$I$322=$D47),0)),
    'Resource Summary'!$C:$C,L$37
  ),
  SUMIFS(
    'Resource Summary'!$V:$V,
    'Resource Summary'!$B:$B,zones_to_group,
    'Resource Summary'!$A:$A,TRANSPOSE(_xlfn._xlws.FILTER('Results Grouping'!$G$9:$G$322,('Results Grouping'!$H$9:$H$322=$D$18) * ('Results Grouping'!$I$9:$I$322=$D47),0)),
    'Resource Summary'!$C:$C,L$37
  ),
  SUMIFS(
    'Resource Summary'!$W:$W,
    'Resource Summary'!$B:$B,zones_to_group,
    'Resource Summary'!$A:$A,TRANSPOSE(_xlfn._xlws.FILTER('Results Grouping'!$G$9:$G$322,('Results Grouping'!$H$9:$H$322=$D$18) * ('Results Grouping'!$I$9:$I$322=$D47),0)),
    'Resource Summary'!$C:$C,L$37
  ),
  SUMIFS(
    'Resource Summary'!$X:$X,
    'Resource Summary'!$B:$B,zones_to_group,
    'Resource Summary'!$A:$A,TRANSPOSE(_xlfn._xlws.FILTER('Results Grouping'!$G$9:$G$322,('Results Grouping'!$H$9:$H$322=$D$18) * ('Results Grouping'!$I$9:$I$322=$D47),0)),
    'Resource Summary'!$C:$C,L$37
  ),
  SUMIFS(
    'Resource Summary'!$Y:$Y,
    'Resource Summary'!$B:$B,zones_to_group,
    'Resource Summary'!$A:$A,TRANSPOSE(_xlfn._xlws.FILTER('Results Grouping'!$G$9:$G$322,('Results Grouping'!$H$9:$H$322=$D$18) * ('Results Grouping'!$I$9:$I$322=$D47),0)),
    'Resource Summary'!$C:$C,L$37
  )
)</f>
        <v>0</v>
      </c>
      <c r="M47" s="10" cm="1">
        <f t="array" ref="M47">0.000001 * SUM(
  SUMIFS(
    'Resource Summary'!$U:$U,
    'Resource Summary'!$B:$B,zones_to_group,
    'Resource Summary'!$A:$A,TRANSPOSE(_xlfn._xlws.FILTER('Results Grouping'!$G$9:$G$322,('Results Grouping'!$H$9:$H$322=$D$18) * ('Results Grouping'!$I$9:$I$322=$D47),0)),
    'Resource Summary'!$C:$C,M$37
  ),
  SUMIFS(
    'Resource Summary'!$V:$V,
    'Resource Summary'!$B:$B,zones_to_group,
    'Resource Summary'!$A:$A,TRANSPOSE(_xlfn._xlws.FILTER('Results Grouping'!$G$9:$G$322,('Results Grouping'!$H$9:$H$322=$D$18) * ('Results Grouping'!$I$9:$I$322=$D47),0)),
    'Resource Summary'!$C:$C,M$37
  ),
  SUMIFS(
    'Resource Summary'!$W:$W,
    'Resource Summary'!$B:$B,zones_to_group,
    'Resource Summary'!$A:$A,TRANSPOSE(_xlfn._xlws.FILTER('Results Grouping'!$G$9:$G$322,('Results Grouping'!$H$9:$H$322=$D$18) * ('Results Grouping'!$I$9:$I$322=$D47),0)),
    'Resource Summary'!$C:$C,M$37
  ),
  SUMIFS(
    'Resource Summary'!$X:$X,
    'Resource Summary'!$B:$B,zones_to_group,
    'Resource Summary'!$A:$A,TRANSPOSE(_xlfn._xlws.FILTER('Results Grouping'!$G$9:$G$322,('Results Grouping'!$H$9:$H$322=$D$18) * ('Results Grouping'!$I$9:$I$322=$D47),0)),
    'Resource Summary'!$C:$C,M$37
  ),
  SUMIFS(
    'Resource Summary'!$Y:$Y,
    'Resource Summary'!$B:$B,zones_to_group,
    'Resource Summary'!$A:$A,TRANSPOSE(_xlfn._xlws.FILTER('Results Grouping'!$G$9:$G$322,('Results Grouping'!$H$9:$H$322=$D$18) * ('Results Grouping'!$I$9:$I$322=$D47),0)),
    'Resource Summary'!$C:$C,M$37
  )
)</f>
        <v>0</v>
      </c>
      <c r="N47" s="10" cm="1">
        <f t="array" ref="N47">0.000001 * SUM(
  SUMIFS(
    'Resource Summary'!$U:$U,
    'Resource Summary'!$B:$B,zones_to_group,
    'Resource Summary'!$A:$A,TRANSPOSE(_xlfn._xlws.FILTER('Results Grouping'!$G$9:$G$322,('Results Grouping'!$H$9:$H$322=$D$18) * ('Results Grouping'!$I$9:$I$322=$D47),0)),
    'Resource Summary'!$C:$C,N$37
  ),
  SUMIFS(
    'Resource Summary'!$V:$V,
    'Resource Summary'!$B:$B,zones_to_group,
    'Resource Summary'!$A:$A,TRANSPOSE(_xlfn._xlws.FILTER('Results Grouping'!$G$9:$G$322,('Results Grouping'!$H$9:$H$322=$D$18) * ('Results Grouping'!$I$9:$I$322=$D47),0)),
    'Resource Summary'!$C:$C,N$37
  ),
  SUMIFS(
    'Resource Summary'!$W:$W,
    'Resource Summary'!$B:$B,zones_to_group,
    'Resource Summary'!$A:$A,TRANSPOSE(_xlfn._xlws.FILTER('Results Grouping'!$G$9:$G$322,('Results Grouping'!$H$9:$H$322=$D$18) * ('Results Grouping'!$I$9:$I$322=$D47),0)),
    'Resource Summary'!$C:$C,N$37
  ),
  SUMIFS(
    'Resource Summary'!$X:$X,
    'Resource Summary'!$B:$B,zones_to_group,
    'Resource Summary'!$A:$A,TRANSPOSE(_xlfn._xlws.FILTER('Results Grouping'!$G$9:$G$322,('Results Grouping'!$H$9:$H$322=$D$18) * ('Results Grouping'!$I$9:$I$322=$D47),0)),
    'Resource Summary'!$C:$C,N$37
  ),
  SUMIFS(
    'Resource Summary'!$Y:$Y,
    'Resource Summary'!$B:$B,zones_to_group,
    'Resource Summary'!$A:$A,TRANSPOSE(_xlfn._xlws.FILTER('Results Grouping'!$G$9:$G$322,('Results Grouping'!$H$9:$H$322=$D$18) * ('Results Grouping'!$I$9:$I$322=$D47),0)),
    'Resource Summary'!$C:$C,N$37
  )
)</f>
        <v>0</v>
      </c>
      <c r="O47" s="10" cm="1">
        <f t="array" ref="O47">0.000001 * SUM(
  SUMIFS(
    'Resource Summary'!$U:$U,
    'Resource Summary'!$B:$B,zones_to_group,
    'Resource Summary'!$A:$A,TRANSPOSE(_xlfn._xlws.FILTER('Results Grouping'!$G$9:$G$322,('Results Grouping'!$H$9:$H$322=$D$18) * ('Results Grouping'!$I$9:$I$322=$D47),0)),
    'Resource Summary'!$C:$C,O$37
  ),
  SUMIFS(
    'Resource Summary'!$V:$V,
    'Resource Summary'!$B:$B,zones_to_group,
    'Resource Summary'!$A:$A,TRANSPOSE(_xlfn._xlws.FILTER('Results Grouping'!$G$9:$G$322,('Results Grouping'!$H$9:$H$322=$D$18) * ('Results Grouping'!$I$9:$I$322=$D47),0)),
    'Resource Summary'!$C:$C,O$37
  ),
  SUMIFS(
    'Resource Summary'!$W:$W,
    'Resource Summary'!$B:$B,zones_to_group,
    'Resource Summary'!$A:$A,TRANSPOSE(_xlfn._xlws.FILTER('Results Grouping'!$G$9:$G$322,('Results Grouping'!$H$9:$H$322=$D$18) * ('Results Grouping'!$I$9:$I$322=$D47),0)),
    'Resource Summary'!$C:$C,O$37
  ),
  SUMIFS(
    'Resource Summary'!$X:$X,
    'Resource Summary'!$B:$B,zones_to_group,
    'Resource Summary'!$A:$A,TRANSPOSE(_xlfn._xlws.FILTER('Results Grouping'!$G$9:$G$322,('Results Grouping'!$H$9:$H$322=$D$18) * ('Results Grouping'!$I$9:$I$322=$D47),0)),
    'Resource Summary'!$C:$C,O$37
  ),
  SUMIFS(
    'Resource Summary'!$Y:$Y,
    'Resource Summary'!$B:$B,zones_to_group,
    'Resource Summary'!$A:$A,TRANSPOSE(_xlfn._xlws.FILTER('Results Grouping'!$G$9:$G$322,('Results Grouping'!$H$9:$H$322=$D$18) * ('Results Grouping'!$I$9:$I$322=$D47),0)),
    'Resource Summary'!$C:$C,O$37
  )
)</f>
        <v>0</v>
      </c>
      <c r="P47" s="10" cm="1">
        <f t="array" ref="P47">0.000001 * SUM(
  SUMIFS(
    'Resource Summary'!$U:$U,
    'Resource Summary'!$B:$B,zones_to_group,
    'Resource Summary'!$A:$A,TRANSPOSE(_xlfn._xlws.FILTER('Results Grouping'!$G$9:$G$322,('Results Grouping'!$H$9:$H$322=$D$18) * ('Results Grouping'!$I$9:$I$322=$D47),0)),
    'Resource Summary'!$C:$C,P$37
  ),
  SUMIFS(
    'Resource Summary'!$V:$V,
    'Resource Summary'!$B:$B,zones_to_group,
    'Resource Summary'!$A:$A,TRANSPOSE(_xlfn._xlws.FILTER('Results Grouping'!$G$9:$G$322,('Results Grouping'!$H$9:$H$322=$D$18) * ('Results Grouping'!$I$9:$I$322=$D47),0)),
    'Resource Summary'!$C:$C,P$37
  ),
  SUMIFS(
    'Resource Summary'!$W:$W,
    'Resource Summary'!$B:$B,zones_to_group,
    'Resource Summary'!$A:$A,TRANSPOSE(_xlfn._xlws.FILTER('Results Grouping'!$G$9:$G$322,('Results Grouping'!$H$9:$H$322=$D$18) * ('Results Grouping'!$I$9:$I$322=$D47),0)),
    'Resource Summary'!$C:$C,P$37
  ),
  SUMIFS(
    'Resource Summary'!$X:$X,
    'Resource Summary'!$B:$B,zones_to_group,
    'Resource Summary'!$A:$A,TRANSPOSE(_xlfn._xlws.FILTER('Results Grouping'!$G$9:$G$322,('Results Grouping'!$H$9:$H$322=$D$18) * ('Results Grouping'!$I$9:$I$322=$D47),0)),
    'Resource Summary'!$C:$C,P$37
  ),
  SUMIFS(
    'Resource Summary'!$Y:$Y,
    'Resource Summary'!$B:$B,zones_to_group,
    'Resource Summary'!$A:$A,TRANSPOSE(_xlfn._xlws.FILTER('Results Grouping'!$G$9:$G$322,('Results Grouping'!$H$9:$H$322=$D$18) * ('Results Grouping'!$I$9:$I$322=$D47),0)),
    'Resource Summary'!$C:$C,P$37
  )
)</f>
        <v>0</v>
      </c>
      <c r="Q47" s="10" cm="1">
        <f t="array" ref="Q47">0.000001 * SUM(
  SUMIFS(
    'Resource Summary'!$U:$U,
    'Resource Summary'!$B:$B,zones_to_group,
    'Resource Summary'!$A:$A,TRANSPOSE(_xlfn._xlws.FILTER('Results Grouping'!$G$9:$G$322,('Results Grouping'!$H$9:$H$322=$D$18) * ('Results Grouping'!$I$9:$I$322=$D47),0)),
    'Resource Summary'!$C:$C,Q$37
  ),
  SUMIFS(
    'Resource Summary'!$V:$V,
    'Resource Summary'!$B:$B,zones_to_group,
    'Resource Summary'!$A:$A,TRANSPOSE(_xlfn._xlws.FILTER('Results Grouping'!$G$9:$G$322,('Results Grouping'!$H$9:$H$322=$D$18) * ('Results Grouping'!$I$9:$I$322=$D47),0)),
    'Resource Summary'!$C:$C,Q$37
  ),
  SUMIFS(
    'Resource Summary'!$W:$W,
    'Resource Summary'!$B:$B,zones_to_group,
    'Resource Summary'!$A:$A,TRANSPOSE(_xlfn._xlws.FILTER('Results Grouping'!$G$9:$G$322,('Results Grouping'!$H$9:$H$322=$D$18) * ('Results Grouping'!$I$9:$I$322=$D47),0)),
    'Resource Summary'!$C:$C,Q$37
  ),
  SUMIFS(
    'Resource Summary'!$X:$X,
    'Resource Summary'!$B:$B,zones_to_group,
    'Resource Summary'!$A:$A,TRANSPOSE(_xlfn._xlws.FILTER('Results Grouping'!$G$9:$G$322,('Results Grouping'!$H$9:$H$322=$D$18) * ('Results Grouping'!$I$9:$I$322=$D47),0)),
    'Resource Summary'!$C:$C,Q$37
  ),
  SUMIFS(
    'Resource Summary'!$Y:$Y,
    'Resource Summary'!$B:$B,zones_to_group,
    'Resource Summary'!$A:$A,TRANSPOSE(_xlfn._xlws.FILTER('Results Grouping'!$G$9:$G$322,('Results Grouping'!$H$9:$H$322=$D$18) * ('Results Grouping'!$I$9:$I$322=$D47),0)),
    'Resource Summary'!$C:$C,Q$37
  )
)</f>
        <v>0</v>
      </c>
      <c r="R47" s="10" cm="1">
        <f t="array" ref="R47">0.000001 * SUM(
  SUMIFS(
    'Resource Summary'!$U:$U,
    'Resource Summary'!$B:$B,zones_to_group,
    'Resource Summary'!$A:$A,TRANSPOSE(_xlfn._xlws.FILTER('Results Grouping'!$G$9:$G$322,('Results Grouping'!$H$9:$H$322=$D$18) * ('Results Grouping'!$I$9:$I$322=$D47),0)),
    'Resource Summary'!$C:$C,R$37
  ),
  SUMIFS(
    'Resource Summary'!$V:$V,
    'Resource Summary'!$B:$B,zones_to_group,
    'Resource Summary'!$A:$A,TRANSPOSE(_xlfn._xlws.FILTER('Results Grouping'!$G$9:$G$322,('Results Grouping'!$H$9:$H$322=$D$18) * ('Results Grouping'!$I$9:$I$322=$D47),0)),
    'Resource Summary'!$C:$C,R$37
  ),
  SUMIFS(
    'Resource Summary'!$W:$W,
    'Resource Summary'!$B:$B,zones_to_group,
    'Resource Summary'!$A:$A,TRANSPOSE(_xlfn._xlws.FILTER('Results Grouping'!$G$9:$G$322,('Results Grouping'!$H$9:$H$322=$D$18) * ('Results Grouping'!$I$9:$I$322=$D47),0)),
    'Resource Summary'!$C:$C,R$37
  ),
  SUMIFS(
    'Resource Summary'!$X:$X,
    'Resource Summary'!$B:$B,zones_to_group,
    'Resource Summary'!$A:$A,TRANSPOSE(_xlfn._xlws.FILTER('Results Grouping'!$G$9:$G$322,('Results Grouping'!$H$9:$H$322=$D$18) * ('Results Grouping'!$I$9:$I$322=$D47),0)),
    'Resource Summary'!$C:$C,R$37
  ),
  SUMIFS(
    'Resource Summary'!$Y:$Y,
    'Resource Summary'!$B:$B,zones_to_group,
    'Resource Summary'!$A:$A,TRANSPOSE(_xlfn._xlws.FILTER('Results Grouping'!$G$9:$G$322,('Results Grouping'!$H$9:$H$322=$D$18) * ('Results Grouping'!$I$9:$I$322=$D47),0)),
    'Resource Summary'!$C:$C,R$37
  )
)</f>
        <v>0</v>
      </c>
      <c r="S47" s="10" cm="1">
        <f t="array" ref="S47">0.000001 * SUM(
  SUMIFS(
    'Resource Summary'!$U:$U,
    'Resource Summary'!$B:$B,zones_to_group,
    'Resource Summary'!$A:$A,TRANSPOSE(_xlfn._xlws.FILTER('Results Grouping'!$G$9:$G$322,('Results Grouping'!$H$9:$H$322=$D$18) * ('Results Grouping'!$I$9:$I$322=$D47),0)),
    'Resource Summary'!$C:$C,S$37
  ),
  SUMIFS(
    'Resource Summary'!$V:$V,
    'Resource Summary'!$B:$B,zones_to_group,
    'Resource Summary'!$A:$A,TRANSPOSE(_xlfn._xlws.FILTER('Results Grouping'!$G$9:$G$322,('Results Grouping'!$H$9:$H$322=$D$18) * ('Results Grouping'!$I$9:$I$322=$D47),0)),
    'Resource Summary'!$C:$C,S$37
  ),
  SUMIFS(
    'Resource Summary'!$W:$W,
    'Resource Summary'!$B:$B,zones_to_group,
    'Resource Summary'!$A:$A,TRANSPOSE(_xlfn._xlws.FILTER('Results Grouping'!$G$9:$G$322,('Results Grouping'!$H$9:$H$322=$D$18) * ('Results Grouping'!$I$9:$I$322=$D47),0)),
    'Resource Summary'!$C:$C,S$37
  ),
  SUMIFS(
    'Resource Summary'!$X:$X,
    'Resource Summary'!$B:$B,zones_to_group,
    'Resource Summary'!$A:$A,TRANSPOSE(_xlfn._xlws.FILTER('Results Grouping'!$G$9:$G$322,('Results Grouping'!$H$9:$H$322=$D$18) * ('Results Grouping'!$I$9:$I$322=$D47),0)),
    'Resource Summary'!$C:$C,S$37
  ),
  SUMIFS(
    'Resource Summary'!$Y:$Y,
    'Resource Summary'!$B:$B,zones_to_group,
    'Resource Summary'!$A:$A,TRANSPOSE(_xlfn._xlws.FILTER('Results Grouping'!$G$9:$G$322,('Results Grouping'!$H$9:$H$322=$D$18) * ('Results Grouping'!$I$9:$I$322=$D47),0)),
    'Resource Summary'!$C:$C,S$37
  )
)</f>
        <v>0</v>
      </c>
      <c r="T47" s="10" cm="1">
        <f t="array" ref="T47">0.000001 * SUM(
  SUMIFS(
    'Resource Summary'!$U:$U,
    'Resource Summary'!$B:$B,zones_to_group,
    'Resource Summary'!$A:$A,TRANSPOSE(_xlfn._xlws.FILTER('Results Grouping'!$G$9:$G$322,('Results Grouping'!$H$9:$H$322=$D$18) * ('Results Grouping'!$I$9:$I$322=$D47),0)),
    'Resource Summary'!$C:$C,T$37
  ),
  SUMIFS(
    'Resource Summary'!$V:$V,
    'Resource Summary'!$B:$B,zones_to_group,
    'Resource Summary'!$A:$A,TRANSPOSE(_xlfn._xlws.FILTER('Results Grouping'!$G$9:$G$322,('Results Grouping'!$H$9:$H$322=$D$18) * ('Results Grouping'!$I$9:$I$322=$D47),0)),
    'Resource Summary'!$C:$C,T$37
  ),
  SUMIFS(
    'Resource Summary'!$W:$W,
    'Resource Summary'!$B:$B,zones_to_group,
    'Resource Summary'!$A:$A,TRANSPOSE(_xlfn._xlws.FILTER('Results Grouping'!$G$9:$G$322,('Results Grouping'!$H$9:$H$322=$D$18) * ('Results Grouping'!$I$9:$I$322=$D47),0)),
    'Resource Summary'!$C:$C,T$37
  ),
  SUMIFS(
    'Resource Summary'!$X:$X,
    'Resource Summary'!$B:$B,zones_to_group,
    'Resource Summary'!$A:$A,TRANSPOSE(_xlfn._xlws.FILTER('Results Grouping'!$G$9:$G$322,('Results Grouping'!$H$9:$H$322=$D$18) * ('Results Grouping'!$I$9:$I$322=$D47),0)),
    'Resource Summary'!$C:$C,T$37
  ),
  SUMIFS(
    'Resource Summary'!$Y:$Y,
    'Resource Summary'!$B:$B,zones_to_group,
    'Resource Summary'!$A:$A,TRANSPOSE(_xlfn._xlws.FILTER('Results Grouping'!$G$9:$G$322,('Results Grouping'!$H$9:$H$322=$D$18) * ('Results Grouping'!$I$9:$I$322=$D47),0)),
    'Resource Summary'!$C:$C,T$37
  )
)</f>
        <v>0</v>
      </c>
      <c r="U47" s="10" cm="1">
        <f t="array" ref="U47">0.000001 * SUM(
  SUMIFS(
    'Resource Summary'!$U:$U,
    'Resource Summary'!$B:$B,zones_to_group,
    'Resource Summary'!$A:$A,TRANSPOSE(_xlfn._xlws.FILTER('Results Grouping'!$G$9:$G$322,('Results Grouping'!$H$9:$H$322=$D$18) * ('Results Grouping'!$I$9:$I$322=$D47),0)),
    'Resource Summary'!$C:$C,U$37
  ),
  SUMIFS(
    'Resource Summary'!$V:$V,
    'Resource Summary'!$B:$B,zones_to_group,
    'Resource Summary'!$A:$A,TRANSPOSE(_xlfn._xlws.FILTER('Results Grouping'!$G$9:$G$322,('Results Grouping'!$H$9:$H$322=$D$18) * ('Results Grouping'!$I$9:$I$322=$D47),0)),
    'Resource Summary'!$C:$C,U$37
  ),
  SUMIFS(
    'Resource Summary'!$W:$W,
    'Resource Summary'!$B:$B,zones_to_group,
    'Resource Summary'!$A:$A,TRANSPOSE(_xlfn._xlws.FILTER('Results Grouping'!$G$9:$G$322,('Results Grouping'!$H$9:$H$322=$D$18) * ('Results Grouping'!$I$9:$I$322=$D47),0)),
    'Resource Summary'!$C:$C,U$37
  ),
  SUMIFS(
    'Resource Summary'!$X:$X,
    'Resource Summary'!$B:$B,zones_to_group,
    'Resource Summary'!$A:$A,TRANSPOSE(_xlfn._xlws.FILTER('Results Grouping'!$G$9:$G$322,('Results Grouping'!$H$9:$H$322=$D$18) * ('Results Grouping'!$I$9:$I$322=$D47),0)),
    'Resource Summary'!$C:$C,U$37
  ),
  SUMIFS(
    'Resource Summary'!$Y:$Y,
    'Resource Summary'!$B:$B,zones_to_group,
    'Resource Summary'!$A:$A,TRANSPOSE(_xlfn._xlws.FILTER('Results Grouping'!$G$9:$G$322,('Results Grouping'!$H$9:$H$322=$D$18) * ('Results Grouping'!$I$9:$I$322=$D47),0)),
    'Resource Summary'!$C:$C,U$37
  )
)</f>
        <v>0</v>
      </c>
      <c r="V47" s="10" cm="1">
        <f t="array" ref="V47">0.000001 * SUM(
  SUMIFS(
    'Resource Summary'!$U:$U,
    'Resource Summary'!$B:$B,zones_to_group,
    'Resource Summary'!$A:$A,TRANSPOSE(_xlfn._xlws.FILTER('Results Grouping'!$G$9:$G$322,('Results Grouping'!$H$9:$H$322=$D$18) * ('Results Grouping'!$I$9:$I$322=$D47),0)),
    'Resource Summary'!$C:$C,V$37
  ),
  SUMIFS(
    'Resource Summary'!$V:$V,
    'Resource Summary'!$B:$B,zones_to_group,
    'Resource Summary'!$A:$A,TRANSPOSE(_xlfn._xlws.FILTER('Results Grouping'!$G$9:$G$322,('Results Grouping'!$H$9:$H$322=$D$18) * ('Results Grouping'!$I$9:$I$322=$D47),0)),
    'Resource Summary'!$C:$C,V$37
  ),
  SUMIFS(
    'Resource Summary'!$W:$W,
    'Resource Summary'!$B:$B,zones_to_group,
    'Resource Summary'!$A:$A,TRANSPOSE(_xlfn._xlws.FILTER('Results Grouping'!$G$9:$G$322,('Results Grouping'!$H$9:$H$322=$D$18) * ('Results Grouping'!$I$9:$I$322=$D47),0)),
    'Resource Summary'!$C:$C,V$37
  ),
  SUMIFS(
    'Resource Summary'!$X:$X,
    'Resource Summary'!$B:$B,zones_to_group,
    'Resource Summary'!$A:$A,TRANSPOSE(_xlfn._xlws.FILTER('Results Grouping'!$G$9:$G$322,('Results Grouping'!$H$9:$H$322=$D$18) * ('Results Grouping'!$I$9:$I$322=$D47),0)),
    'Resource Summary'!$C:$C,V$37
  ),
  SUMIFS(
    'Resource Summary'!$Y:$Y,
    'Resource Summary'!$B:$B,zones_to_group,
    'Resource Summary'!$A:$A,TRANSPOSE(_xlfn._xlws.FILTER('Results Grouping'!$G$9:$G$322,('Results Grouping'!$H$9:$H$322=$D$18) * ('Results Grouping'!$I$9:$I$322=$D47),0)),
    'Resource Summary'!$C:$C,V$37
  )
)</f>
        <v>0</v>
      </c>
      <c r="W47" s="10" cm="1">
        <f t="array" ref="W47">0.000001 * SUM(
  SUMIFS(
    'Resource Summary'!$U:$U,
    'Resource Summary'!$B:$B,zones_to_group,
    'Resource Summary'!$A:$A,TRANSPOSE(_xlfn._xlws.FILTER('Results Grouping'!$G$9:$G$322,('Results Grouping'!$H$9:$H$322=$D$18) * ('Results Grouping'!$I$9:$I$322=$D47),0)),
    'Resource Summary'!$C:$C,W$37
  ),
  SUMIFS(
    'Resource Summary'!$V:$V,
    'Resource Summary'!$B:$B,zones_to_group,
    'Resource Summary'!$A:$A,TRANSPOSE(_xlfn._xlws.FILTER('Results Grouping'!$G$9:$G$322,('Results Grouping'!$H$9:$H$322=$D$18) * ('Results Grouping'!$I$9:$I$322=$D47),0)),
    'Resource Summary'!$C:$C,W$37
  ),
  SUMIFS(
    'Resource Summary'!$W:$W,
    'Resource Summary'!$B:$B,zones_to_group,
    'Resource Summary'!$A:$A,TRANSPOSE(_xlfn._xlws.FILTER('Results Grouping'!$G$9:$G$322,('Results Grouping'!$H$9:$H$322=$D$18) * ('Results Grouping'!$I$9:$I$322=$D47),0)),
    'Resource Summary'!$C:$C,W$37
  ),
  SUMIFS(
    'Resource Summary'!$X:$X,
    'Resource Summary'!$B:$B,zones_to_group,
    'Resource Summary'!$A:$A,TRANSPOSE(_xlfn._xlws.FILTER('Results Grouping'!$G$9:$G$322,('Results Grouping'!$H$9:$H$322=$D$18) * ('Results Grouping'!$I$9:$I$322=$D47),0)),
    'Resource Summary'!$C:$C,W$37
  ),
  SUMIFS(
    'Resource Summary'!$Y:$Y,
    'Resource Summary'!$B:$B,zones_to_group,
    'Resource Summary'!$A:$A,TRANSPOSE(_xlfn._xlws.FILTER('Results Grouping'!$G$9:$G$322,('Results Grouping'!$H$9:$H$322=$D$18) * ('Results Grouping'!$I$9:$I$322=$D47),0)),
    'Resource Summary'!$C:$C,W$37
  )
)</f>
        <v>0</v>
      </c>
      <c r="X47" s="10" cm="1">
        <f t="array" ref="X47">0.000001 * SUM(
  SUMIFS(
    'Resource Summary'!$U:$U,
    'Resource Summary'!$B:$B,zones_to_group,
    'Resource Summary'!$A:$A,TRANSPOSE(_xlfn._xlws.FILTER('Results Grouping'!$G$9:$G$322,('Results Grouping'!$H$9:$H$322=$D$18) * ('Results Grouping'!$I$9:$I$322=$D47),0)),
    'Resource Summary'!$C:$C,X$37
  ),
  SUMIFS(
    'Resource Summary'!$V:$V,
    'Resource Summary'!$B:$B,zones_to_group,
    'Resource Summary'!$A:$A,TRANSPOSE(_xlfn._xlws.FILTER('Results Grouping'!$G$9:$G$322,('Results Grouping'!$H$9:$H$322=$D$18) * ('Results Grouping'!$I$9:$I$322=$D47),0)),
    'Resource Summary'!$C:$C,X$37
  ),
  SUMIFS(
    'Resource Summary'!$W:$W,
    'Resource Summary'!$B:$B,zones_to_group,
    'Resource Summary'!$A:$A,TRANSPOSE(_xlfn._xlws.FILTER('Results Grouping'!$G$9:$G$322,('Results Grouping'!$H$9:$H$322=$D$18) * ('Results Grouping'!$I$9:$I$322=$D47),0)),
    'Resource Summary'!$C:$C,X$37
  ),
  SUMIFS(
    'Resource Summary'!$X:$X,
    'Resource Summary'!$B:$B,zones_to_group,
    'Resource Summary'!$A:$A,TRANSPOSE(_xlfn._xlws.FILTER('Results Grouping'!$G$9:$G$322,('Results Grouping'!$H$9:$H$322=$D$18) * ('Results Grouping'!$I$9:$I$322=$D47),0)),
    'Resource Summary'!$C:$C,X$37
  ),
  SUMIFS(
    'Resource Summary'!$Y:$Y,
    'Resource Summary'!$B:$B,zones_to_group,
    'Resource Summary'!$A:$A,TRANSPOSE(_xlfn._xlws.FILTER('Results Grouping'!$G$9:$G$322,('Results Grouping'!$H$9:$H$322=$D$18) * ('Results Grouping'!$I$9:$I$322=$D47),0)),
    'Resource Summary'!$C:$C,X$37
  )
)</f>
        <v>0</v>
      </c>
      <c r="Y47" s="10" cm="1">
        <f t="array" ref="Y47">0.000001 * SUM(
  SUMIFS(
    'Resource Summary'!$U:$U,
    'Resource Summary'!$B:$B,zones_to_group,
    'Resource Summary'!$A:$A,TRANSPOSE(_xlfn._xlws.FILTER('Results Grouping'!$G$9:$G$322,('Results Grouping'!$H$9:$H$322=$D$18) * ('Results Grouping'!$I$9:$I$322=$D47),0)),
    'Resource Summary'!$C:$C,Y$37
  ),
  SUMIFS(
    'Resource Summary'!$V:$V,
    'Resource Summary'!$B:$B,zones_to_group,
    'Resource Summary'!$A:$A,TRANSPOSE(_xlfn._xlws.FILTER('Results Grouping'!$G$9:$G$322,('Results Grouping'!$H$9:$H$322=$D$18) * ('Results Grouping'!$I$9:$I$322=$D47),0)),
    'Resource Summary'!$C:$C,Y$37
  ),
  SUMIFS(
    'Resource Summary'!$W:$W,
    'Resource Summary'!$B:$B,zones_to_group,
    'Resource Summary'!$A:$A,TRANSPOSE(_xlfn._xlws.FILTER('Results Grouping'!$G$9:$G$322,('Results Grouping'!$H$9:$H$322=$D$18) * ('Results Grouping'!$I$9:$I$322=$D47),0)),
    'Resource Summary'!$C:$C,Y$37
  ),
  SUMIFS(
    'Resource Summary'!$X:$X,
    'Resource Summary'!$B:$B,zones_to_group,
    'Resource Summary'!$A:$A,TRANSPOSE(_xlfn._xlws.FILTER('Results Grouping'!$G$9:$G$322,('Results Grouping'!$H$9:$H$322=$D$18) * ('Results Grouping'!$I$9:$I$322=$D47),0)),
    'Resource Summary'!$C:$C,Y$37
  ),
  SUMIFS(
    'Resource Summary'!$Y:$Y,
    'Resource Summary'!$B:$B,zones_to_group,
    'Resource Summary'!$A:$A,TRANSPOSE(_xlfn._xlws.FILTER('Results Grouping'!$G$9:$G$322,('Results Grouping'!$H$9:$H$322=$D$18) * ('Results Grouping'!$I$9:$I$322=$D47),0)),
    'Resource Summary'!$C:$C,Y$37
  )
)</f>
        <v>0</v>
      </c>
      <c r="Z47" s="10" cm="1">
        <f t="array" ref="Z47">0.000001 * SUM(
  SUMIFS(
    'Resource Summary'!$U:$U,
    'Resource Summary'!$B:$B,zones_to_group,
    'Resource Summary'!$A:$A,TRANSPOSE(_xlfn._xlws.FILTER('Results Grouping'!$G$9:$G$322,('Results Grouping'!$H$9:$H$322=$D$18) * ('Results Grouping'!$I$9:$I$322=$D47),0)),
    'Resource Summary'!$C:$C,Z$37
  ),
  SUMIFS(
    'Resource Summary'!$V:$V,
    'Resource Summary'!$B:$B,zones_to_group,
    'Resource Summary'!$A:$A,TRANSPOSE(_xlfn._xlws.FILTER('Results Grouping'!$G$9:$G$322,('Results Grouping'!$H$9:$H$322=$D$18) * ('Results Grouping'!$I$9:$I$322=$D47),0)),
    'Resource Summary'!$C:$C,Z$37
  ),
  SUMIFS(
    'Resource Summary'!$W:$W,
    'Resource Summary'!$B:$B,zones_to_group,
    'Resource Summary'!$A:$A,TRANSPOSE(_xlfn._xlws.FILTER('Results Grouping'!$G$9:$G$322,('Results Grouping'!$H$9:$H$322=$D$18) * ('Results Grouping'!$I$9:$I$322=$D47),0)),
    'Resource Summary'!$C:$C,Z$37
  ),
  SUMIFS(
    'Resource Summary'!$X:$X,
    'Resource Summary'!$B:$B,zones_to_group,
    'Resource Summary'!$A:$A,TRANSPOSE(_xlfn._xlws.FILTER('Results Grouping'!$G$9:$G$322,('Results Grouping'!$H$9:$H$322=$D$18) * ('Results Grouping'!$I$9:$I$322=$D47),0)),
    'Resource Summary'!$C:$C,Z$37
  ),
  SUMIFS(
    'Resource Summary'!$Y:$Y,
    'Resource Summary'!$B:$B,zones_to_group,
    'Resource Summary'!$A:$A,TRANSPOSE(_xlfn._xlws.FILTER('Results Grouping'!$G$9:$G$322,('Results Grouping'!$H$9:$H$322=$D$18) * ('Results Grouping'!$I$9:$I$322=$D47),0)),
    'Resource Summary'!$C:$C,Z$37
  )
)</f>
        <v>0</v>
      </c>
      <c r="AA47" s="10" cm="1">
        <f t="array" ref="AA47">0.000001 * SUM(
  SUMIFS(
    'Resource Summary'!$U:$U,
    'Resource Summary'!$B:$B,zones_to_group,
    'Resource Summary'!$A:$A,TRANSPOSE(_xlfn._xlws.FILTER('Results Grouping'!$G$9:$G$322,('Results Grouping'!$H$9:$H$322=$D$18) * ('Results Grouping'!$I$9:$I$322=$D47),0)),
    'Resource Summary'!$C:$C,AA$37
  ),
  SUMIFS(
    'Resource Summary'!$V:$V,
    'Resource Summary'!$B:$B,zones_to_group,
    'Resource Summary'!$A:$A,TRANSPOSE(_xlfn._xlws.FILTER('Results Grouping'!$G$9:$G$322,('Results Grouping'!$H$9:$H$322=$D$18) * ('Results Grouping'!$I$9:$I$322=$D47),0)),
    'Resource Summary'!$C:$C,AA$37
  ),
  SUMIFS(
    'Resource Summary'!$W:$W,
    'Resource Summary'!$B:$B,zones_to_group,
    'Resource Summary'!$A:$A,TRANSPOSE(_xlfn._xlws.FILTER('Results Grouping'!$G$9:$G$322,('Results Grouping'!$H$9:$H$322=$D$18) * ('Results Grouping'!$I$9:$I$322=$D47),0)),
    'Resource Summary'!$C:$C,AA$37
  ),
  SUMIFS(
    'Resource Summary'!$X:$X,
    'Resource Summary'!$B:$B,zones_to_group,
    'Resource Summary'!$A:$A,TRANSPOSE(_xlfn._xlws.FILTER('Results Grouping'!$G$9:$G$322,('Results Grouping'!$H$9:$H$322=$D$18) * ('Results Grouping'!$I$9:$I$322=$D47),0)),
    'Resource Summary'!$C:$C,AA$37
  ),
  SUMIFS(
    'Resource Summary'!$Y:$Y,
    'Resource Summary'!$B:$B,zones_to_group,
    'Resource Summary'!$A:$A,TRANSPOSE(_xlfn._xlws.FILTER('Results Grouping'!$G$9:$G$322,('Results Grouping'!$H$9:$H$322=$D$18) * ('Results Grouping'!$I$9:$I$322=$D47),0)),
    'Resource Summary'!$C:$C,AA$37
  )
)</f>
        <v>0</v>
      </c>
      <c r="AB47" s="10" cm="1">
        <f t="array" ref="AB47">0.000001 * SUM(
  SUMIFS(
    'Resource Summary'!$U:$U,
    'Resource Summary'!$B:$B,zones_to_group,
    'Resource Summary'!$A:$A,TRANSPOSE(_xlfn._xlws.FILTER('Results Grouping'!$G$9:$G$322,('Results Grouping'!$H$9:$H$322=$D$18) * ('Results Grouping'!$I$9:$I$322=$D47),0)),
    'Resource Summary'!$C:$C,AB$37
  ),
  SUMIFS(
    'Resource Summary'!$V:$V,
    'Resource Summary'!$B:$B,zones_to_group,
    'Resource Summary'!$A:$A,TRANSPOSE(_xlfn._xlws.FILTER('Results Grouping'!$G$9:$G$322,('Results Grouping'!$H$9:$H$322=$D$18) * ('Results Grouping'!$I$9:$I$322=$D47),0)),
    'Resource Summary'!$C:$C,AB$37
  ),
  SUMIFS(
    'Resource Summary'!$W:$W,
    'Resource Summary'!$B:$B,zones_to_group,
    'Resource Summary'!$A:$A,TRANSPOSE(_xlfn._xlws.FILTER('Results Grouping'!$G$9:$G$322,('Results Grouping'!$H$9:$H$322=$D$18) * ('Results Grouping'!$I$9:$I$322=$D47),0)),
    'Resource Summary'!$C:$C,AB$37
  ),
  SUMIFS(
    'Resource Summary'!$X:$X,
    'Resource Summary'!$B:$B,zones_to_group,
    'Resource Summary'!$A:$A,TRANSPOSE(_xlfn._xlws.FILTER('Results Grouping'!$G$9:$G$322,('Results Grouping'!$H$9:$H$322=$D$18) * ('Results Grouping'!$I$9:$I$322=$D47),0)),
    'Resource Summary'!$C:$C,AB$37
  ),
  SUMIFS(
    'Resource Summary'!$Y:$Y,
    'Resource Summary'!$B:$B,zones_to_group,
    'Resource Summary'!$A:$A,TRANSPOSE(_xlfn._xlws.FILTER('Results Grouping'!$G$9:$G$322,('Results Grouping'!$H$9:$H$322=$D$18) * ('Results Grouping'!$I$9:$I$322=$D47),0)),
    'Resource Summary'!$C:$C,AB$37
  )
)</f>
        <v>0</v>
      </c>
      <c r="AC47" s="10" cm="1">
        <f t="array" ref="AC47">0.000001 * SUM(
  SUMIFS(
    'Resource Summary'!$U:$U,
    'Resource Summary'!$B:$B,zones_to_group,
    'Resource Summary'!$A:$A,TRANSPOSE(_xlfn._xlws.FILTER('Results Grouping'!$G$9:$G$322,('Results Grouping'!$H$9:$H$322=$D$18) * ('Results Grouping'!$I$9:$I$322=$D47),0)),
    'Resource Summary'!$C:$C,AC$37
  ),
  SUMIFS(
    'Resource Summary'!$V:$V,
    'Resource Summary'!$B:$B,zones_to_group,
    'Resource Summary'!$A:$A,TRANSPOSE(_xlfn._xlws.FILTER('Results Grouping'!$G$9:$G$322,('Results Grouping'!$H$9:$H$322=$D$18) * ('Results Grouping'!$I$9:$I$322=$D47),0)),
    'Resource Summary'!$C:$C,AC$37
  ),
  SUMIFS(
    'Resource Summary'!$W:$W,
    'Resource Summary'!$B:$B,zones_to_group,
    'Resource Summary'!$A:$A,TRANSPOSE(_xlfn._xlws.FILTER('Results Grouping'!$G$9:$G$322,('Results Grouping'!$H$9:$H$322=$D$18) * ('Results Grouping'!$I$9:$I$322=$D47),0)),
    'Resource Summary'!$C:$C,AC$37
  ),
  SUMIFS(
    'Resource Summary'!$X:$X,
    'Resource Summary'!$B:$B,zones_to_group,
    'Resource Summary'!$A:$A,TRANSPOSE(_xlfn._xlws.FILTER('Results Grouping'!$G$9:$G$322,('Results Grouping'!$H$9:$H$322=$D$18) * ('Results Grouping'!$I$9:$I$322=$D47),0)),
    'Resource Summary'!$C:$C,AC$37
  ),
  SUMIFS(
    'Resource Summary'!$Y:$Y,
    'Resource Summary'!$B:$B,zones_to_group,
    'Resource Summary'!$A:$A,TRANSPOSE(_xlfn._xlws.FILTER('Results Grouping'!$G$9:$G$322,('Results Grouping'!$H$9:$H$322=$D$18) * ('Results Grouping'!$I$9:$I$322=$D47),0)),
    'Resource Summary'!$C:$C,AC$37
  )
)</f>
        <v>0</v>
      </c>
      <c r="AD47" s="10" cm="1">
        <f t="array" ref="AD47">0.000001 * SUM(
  SUMIFS(
    'Resource Summary'!$U:$U,
    'Resource Summary'!$B:$B,zones_to_group,
    'Resource Summary'!$A:$A,TRANSPOSE(_xlfn._xlws.FILTER('Results Grouping'!$G$9:$G$322,('Results Grouping'!$H$9:$H$322=$D$18) * ('Results Grouping'!$I$9:$I$322=$D47),0)),
    'Resource Summary'!$C:$C,AD$37
  ),
  SUMIFS(
    'Resource Summary'!$V:$V,
    'Resource Summary'!$B:$B,zones_to_group,
    'Resource Summary'!$A:$A,TRANSPOSE(_xlfn._xlws.FILTER('Results Grouping'!$G$9:$G$322,('Results Grouping'!$H$9:$H$322=$D$18) * ('Results Grouping'!$I$9:$I$322=$D47),0)),
    'Resource Summary'!$C:$C,AD$37
  ),
  SUMIFS(
    'Resource Summary'!$W:$W,
    'Resource Summary'!$B:$B,zones_to_group,
    'Resource Summary'!$A:$A,TRANSPOSE(_xlfn._xlws.FILTER('Results Grouping'!$G$9:$G$322,('Results Grouping'!$H$9:$H$322=$D$18) * ('Results Grouping'!$I$9:$I$322=$D47),0)),
    'Resource Summary'!$C:$C,AD$37
  ),
  SUMIFS(
    'Resource Summary'!$X:$X,
    'Resource Summary'!$B:$B,zones_to_group,
    'Resource Summary'!$A:$A,TRANSPOSE(_xlfn._xlws.FILTER('Results Grouping'!$G$9:$G$322,('Results Grouping'!$H$9:$H$322=$D$18) * ('Results Grouping'!$I$9:$I$322=$D47),0)),
    'Resource Summary'!$C:$C,AD$37
  ),
  SUMIFS(
    'Resource Summary'!$Y:$Y,
    'Resource Summary'!$B:$B,zones_to_group,
    'Resource Summary'!$A:$A,TRANSPOSE(_xlfn._xlws.FILTER('Results Grouping'!$G$9:$G$322,('Results Grouping'!$H$9:$H$322=$D$18) * ('Results Grouping'!$I$9:$I$322=$D47),0)),
    'Resource Summary'!$C:$C,AD$37
  )
)</f>
        <v>636.37482712977726</v>
      </c>
      <c r="AF47" s="10">
        <f t="shared" ref="AF47:AF53" si="61">SUMPRODUCT($E$400:$AD$400,$E47:$AD47)</f>
        <v>2459.0360270375591</v>
      </c>
      <c r="AH47" s="34"/>
    </row>
    <row r="48" spans="3:34" outlineLevel="1" x14ac:dyDescent="0.2">
      <c r="D48" s="8" t="s">
        <v>133</v>
      </c>
      <c r="E48" s="10" cm="1">
        <f t="array" ref="E48">0.000001 * SUM(
  SUMIFS(
    'Resource Summary'!$U:$U,
    'Resource Summary'!$B:$B,zones_to_group,
    'Resource Summary'!$A:$A,TRANSPOSE(_xlfn._xlws.FILTER('Results Grouping'!$G$9:$G$322,('Results Grouping'!$H$9:$H$322=$D$18) * ('Results Grouping'!$I$9:$I$322=$D48),0)),
    'Resource Summary'!$C:$C,E$37
  ),
  SUMIFS(
    'Resource Summary'!$V:$V,
    'Resource Summary'!$B:$B,zones_to_group,
    'Resource Summary'!$A:$A,TRANSPOSE(_xlfn._xlws.FILTER('Results Grouping'!$G$9:$G$322,('Results Grouping'!$H$9:$H$322=$D$18) * ('Results Grouping'!$I$9:$I$322=$D48),0)),
    'Resource Summary'!$C:$C,E$37
  ),
  SUMIFS(
    'Resource Summary'!$W:$W,
    'Resource Summary'!$B:$B,zones_to_group,
    'Resource Summary'!$A:$A,TRANSPOSE(_xlfn._xlws.FILTER('Results Grouping'!$G$9:$G$322,('Results Grouping'!$H$9:$H$322=$D$18) * ('Results Grouping'!$I$9:$I$322=$D48),0)),
    'Resource Summary'!$C:$C,E$37
  ),
  SUMIFS(
    'Resource Summary'!$X:$X,
    'Resource Summary'!$B:$B,zones_to_group,
    'Resource Summary'!$A:$A,TRANSPOSE(_xlfn._xlws.FILTER('Results Grouping'!$G$9:$G$322,('Results Grouping'!$H$9:$H$322=$D$18) * ('Results Grouping'!$I$9:$I$322=$D48),0)),
    'Resource Summary'!$C:$C,E$37
  ),
  SUMIFS(
    'Resource Summary'!$Y:$Y,
    'Resource Summary'!$B:$B,zones_to_group,
    'Resource Summary'!$A:$A,TRANSPOSE(_xlfn._xlws.FILTER('Results Grouping'!$G$9:$G$322,('Results Grouping'!$H$9:$H$322=$D$18) * ('Results Grouping'!$I$9:$I$322=$D48),0)),
    'Resource Summary'!$C:$C,E$37
  )
)</f>
        <v>0</v>
      </c>
      <c r="F48" s="10" cm="1">
        <f t="array" ref="F48">0.000001 * SUM(
  SUMIFS(
    'Resource Summary'!$U:$U,
    'Resource Summary'!$B:$B,zones_to_group,
    'Resource Summary'!$A:$A,TRANSPOSE(_xlfn._xlws.FILTER('Results Grouping'!$G$9:$G$322,('Results Grouping'!$H$9:$H$322=$D$18) * ('Results Grouping'!$I$9:$I$322=$D48),0)),
    'Resource Summary'!$C:$C,F$37
  ),
  SUMIFS(
    'Resource Summary'!$V:$V,
    'Resource Summary'!$B:$B,zones_to_group,
    'Resource Summary'!$A:$A,TRANSPOSE(_xlfn._xlws.FILTER('Results Grouping'!$G$9:$G$322,('Results Grouping'!$H$9:$H$322=$D$18) * ('Results Grouping'!$I$9:$I$322=$D48),0)),
    'Resource Summary'!$C:$C,F$37
  ),
  SUMIFS(
    'Resource Summary'!$W:$W,
    'Resource Summary'!$B:$B,zones_to_group,
    'Resource Summary'!$A:$A,TRANSPOSE(_xlfn._xlws.FILTER('Results Grouping'!$G$9:$G$322,('Results Grouping'!$H$9:$H$322=$D$18) * ('Results Grouping'!$I$9:$I$322=$D48),0)),
    'Resource Summary'!$C:$C,F$37
  ),
  SUMIFS(
    'Resource Summary'!$X:$X,
    'Resource Summary'!$B:$B,zones_to_group,
    'Resource Summary'!$A:$A,TRANSPOSE(_xlfn._xlws.FILTER('Results Grouping'!$G$9:$G$322,('Results Grouping'!$H$9:$H$322=$D$18) * ('Results Grouping'!$I$9:$I$322=$D48),0)),
    'Resource Summary'!$C:$C,F$37
  ),
  SUMIFS(
    'Resource Summary'!$Y:$Y,
    'Resource Summary'!$B:$B,zones_to_group,
    'Resource Summary'!$A:$A,TRANSPOSE(_xlfn._xlws.FILTER('Results Grouping'!$G$9:$G$322,('Results Grouping'!$H$9:$H$322=$D$18) * ('Results Grouping'!$I$9:$I$322=$D48),0)),
    'Resource Summary'!$C:$C,F$37
  )
)</f>
        <v>0</v>
      </c>
      <c r="G48" s="10" cm="1">
        <f t="array" ref="G48">0.000001 * SUM(
  SUMIFS(
    'Resource Summary'!$U:$U,
    'Resource Summary'!$B:$B,zones_to_group,
    'Resource Summary'!$A:$A,TRANSPOSE(_xlfn._xlws.FILTER('Results Grouping'!$G$9:$G$322,('Results Grouping'!$H$9:$H$322=$D$18) * ('Results Grouping'!$I$9:$I$322=$D48),0)),
    'Resource Summary'!$C:$C,G$37
  ),
  SUMIFS(
    'Resource Summary'!$V:$V,
    'Resource Summary'!$B:$B,zones_to_group,
    'Resource Summary'!$A:$A,TRANSPOSE(_xlfn._xlws.FILTER('Results Grouping'!$G$9:$G$322,('Results Grouping'!$H$9:$H$322=$D$18) * ('Results Grouping'!$I$9:$I$322=$D48),0)),
    'Resource Summary'!$C:$C,G$37
  ),
  SUMIFS(
    'Resource Summary'!$W:$W,
    'Resource Summary'!$B:$B,zones_to_group,
    'Resource Summary'!$A:$A,TRANSPOSE(_xlfn._xlws.FILTER('Results Grouping'!$G$9:$G$322,('Results Grouping'!$H$9:$H$322=$D$18) * ('Results Grouping'!$I$9:$I$322=$D48),0)),
    'Resource Summary'!$C:$C,G$37
  ),
  SUMIFS(
    'Resource Summary'!$X:$X,
    'Resource Summary'!$B:$B,zones_to_group,
    'Resource Summary'!$A:$A,TRANSPOSE(_xlfn._xlws.FILTER('Results Grouping'!$G$9:$G$322,('Results Grouping'!$H$9:$H$322=$D$18) * ('Results Grouping'!$I$9:$I$322=$D48),0)),
    'Resource Summary'!$C:$C,G$37
  ),
  SUMIFS(
    'Resource Summary'!$Y:$Y,
    'Resource Summary'!$B:$B,zones_to_group,
    'Resource Summary'!$A:$A,TRANSPOSE(_xlfn._xlws.FILTER('Results Grouping'!$G$9:$G$322,('Results Grouping'!$H$9:$H$322=$D$18) * ('Results Grouping'!$I$9:$I$322=$D48),0)),
    'Resource Summary'!$C:$C,G$37
  )
)</f>
        <v>0</v>
      </c>
      <c r="H48" s="10" cm="1">
        <f t="array" ref="H48">0.000001 * SUM(
  SUMIFS(
    'Resource Summary'!$U:$U,
    'Resource Summary'!$B:$B,zones_to_group,
    'Resource Summary'!$A:$A,TRANSPOSE(_xlfn._xlws.FILTER('Results Grouping'!$G$9:$G$322,('Results Grouping'!$H$9:$H$322=$D$18) * ('Results Grouping'!$I$9:$I$322=$D48),0)),
    'Resource Summary'!$C:$C,H$37
  ),
  SUMIFS(
    'Resource Summary'!$V:$V,
    'Resource Summary'!$B:$B,zones_to_group,
    'Resource Summary'!$A:$A,TRANSPOSE(_xlfn._xlws.FILTER('Results Grouping'!$G$9:$G$322,('Results Grouping'!$H$9:$H$322=$D$18) * ('Results Grouping'!$I$9:$I$322=$D48),0)),
    'Resource Summary'!$C:$C,H$37
  ),
  SUMIFS(
    'Resource Summary'!$W:$W,
    'Resource Summary'!$B:$B,zones_to_group,
    'Resource Summary'!$A:$A,TRANSPOSE(_xlfn._xlws.FILTER('Results Grouping'!$G$9:$G$322,('Results Grouping'!$H$9:$H$322=$D$18) * ('Results Grouping'!$I$9:$I$322=$D48),0)),
    'Resource Summary'!$C:$C,H$37
  ),
  SUMIFS(
    'Resource Summary'!$X:$X,
    'Resource Summary'!$B:$B,zones_to_group,
    'Resource Summary'!$A:$A,TRANSPOSE(_xlfn._xlws.FILTER('Results Grouping'!$G$9:$G$322,('Results Grouping'!$H$9:$H$322=$D$18) * ('Results Grouping'!$I$9:$I$322=$D48),0)),
    'Resource Summary'!$C:$C,H$37
  ),
  SUMIFS(
    'Resource Summary'!$Y:$Y,
    'Resource Summary'!$B:$B,zones_to_group,
    'Resource Summary'!$A:$A,TRANSPOSE(_xlfn._xlws.FILTER('Results Grouping'!$G$9:$G$322,('Results Grouping'!$H$9:$H$322=$D$18) * ('Results Grouping'!$I$9:$I$322=$D48),0)),
    'Resource Summary'!$C:$C,H$37
  )
)</f>
        <v>0</v>
      </c>
      <c r="I48" s="10" cm="1">
        <f t="array" ref="I48">0.000001 * SUM(
  SUMIFS(
    'Resource Summary'!$U:$U,
    'Resource Summary'!$B:$B,zones_to_group,
    'Resource Summary'!$A:$A,TRANSPOSE(_xlfn._xlws.FILTER('Results Grouping'!$G$9:$G$322,('Results Grouping'!$H$9:$H$322=$D$18) * ('Results Grouping'!$I$9:$I$322=$D48),0)),
    'Resource Summary'!$C:$C,I$37
  ),
  SUMIFS(
    'Resource Summary'!$V:$V,
    'Resource Summary'!$B:$B,zones_to_group,
    'Resource Summary'!$A:$A,TRANSPOSE(_xlfn._xlws.FILTER('Results Grouping'!$G$9:$G$322,('Results Grouping'!$H$9:$H$322=$D$18) * ('Results Grouping'!$I$9:$I$322=$D48),0)),
    'Resource Summary'!$C:$C,I$37
  ),
  SUMIFS(
    'Resource Summary'!$W:$W,
    'Resource Summary'!$B:$B,zones_to_group,
    'Resource Summary'!$A:$A,TRANSPOSE(_xlfn._xlws.FILTER('Results Grouping'!$G$9:$G$322,('Results Grouping'!$H$9:$H$322=$D$18) * ('Results Grouping'!$I$9:$I$322=$D48),0)),
    'Resource Summary'!$C:$C,I$37
  ),
  SUMIFS(
    'Resource Summary'!$X:$X,
    'Resource Summary'!$B:$B,zones_to_group,
    'Resource Summary'!$A:$A,TRANSPOSE(_xlfn._xlws.FILTER('Results Grouping'!$G$9:$G$322,('Results Grouping'!$H$9:$H$322=$D$18) * ('Results Grouping'!$I$9:$I$322=$D48),0)),
    'Resource Summary'!$C:$C,I$37
  ),
  SUMIFS(
    'Resource Summary'!$Y:$Y,
    'Resource Summary'!$B:$B,zones_to_group,
    'Resource Summary'!$A:$A,TRANSPOSE(_xlfn._xlws.FILTER('Results Grouping'!$G$9:$G$322,('Results Grouping'!$H$9:$H$322=$D$18) * ('Results Grouping'!$I$9:$I$322=$D48),0)),
    'Resource Summary'!$C:$C,I$37
  )
)</f>
        <v>0</v>
      </c>
      <c r="J48" s="10" cm="1">
        <f t="array" ref="J48">0.000001 * SUM(
  SUMIFS(
    'Resource Summary'!$U:$U,
    'Resource Summary'!$B:$B,zones_to_group,
    'Resource Summary'!$A:$A,TRANSPOSE(_xlfn._xlws.FILTER('Results Grouping'!$G$9:$G$322,('Results Grouping'!$H$9:$H$322=$D$18) * ('Results Grouping'!$I$9:$I$322=$D48),0)),
    'Resource Summary'!$C:$C,J$37
  ),
  SUMIFS(
    'Resource Summary'!$V:$V,
    'Resource Summary'!$B:$B,zones_to_group,
    'Resource Summary'!$A:$A,TRANSPOSE(_xlfn._xlws.FILTER('Results Grouping'!$G$9:$G$322,('Results Grouping'!$H$9:$H$322=$D$18) * ('Results Grouping'!$I$9:$I$322=$D48),0)),
    'Resource Summary'!$C:$C,J$37
  ),
  SUMIFS(
    'Resource Summary'!$W:$W,
    'Resource Summary'!$B:$B,zones_to_group,
    'Resource Summary'!$A:$A,TRANSPOSE(_xlfn._xlws.FILTER('Results Grouping'!$G$9:$G$322,('Results Grouping'!$H$9:$H$322=$D$18) * ('Results Grouping'!$I$9:$I$322=$D48),0)),
    'Resource Summary'!$C:$C,J$37
  ),
  SUMIFS(
    'Resource Summary'!$X:$X,
    'Resource Summary'!$B:$B,zones_to_group,
    'Resource Summary'!$A:$A,TRANSPOSE(_xlfn._xlws.FILTER('Results Grouping'!$G$9:$G$322,('Results Grouping'!$H$9:$H$322=$D$18) * ('Results Grouping'!$I$9:$I$322=$D48),0)),
    'Resource Summary'!$C:$C,J$37
  ),
  SUMIFS(
    'Resource Summary'!$Y:$Y,
    'Resource Summary'!$B:$B,zones_to_group,
    'Resource Summary'!$A:$A,TRANSPOSE(_xlfn._xlws.FILTER('Results Grouping'!$G$9:$G$322,('Results Grouping'!$H$9:$H$322=$D$18) * ('Results Grouping'!$I$9:$I$322=$D48),0)),
    'Resource Summary'!$C:$C,J$37
  )
)</f>
        <v>0</v>
      </c>
      <c r="K48" s="10" cm="1">
        <f t="array" ref="K48">0.000001 * SUM(
  SUMIFS(
    'Resource Summary'!$U:$U,
    'Resource Summary'!$B:$B,zones_to_group,
    'Resource Summary'!$A:$A,TRANSPOSE(_xlfn._xlws.FILTER('Results Grouping'!$G$9:$G$322,('Results Grouping'!$H$9:$H$322=$D$18) * ('Results Grouping'!$I$9:$I$322=$D48),0)),
    'Resource Summary'!$C:$C,K$37
  ),
  SUMIFS(
    'Resource Summary'!$V:$V,
    'Resource Summary'!$B:$B,zones_to_group,
    'Resource Summary'!$A:$A,TRANSPOSE(_xlfn._xlws.FILTER('Results Grouping'!$G$9:$G$322,('Results Grouping'!$H$9:$H$322=$D$18) * ('Results Grouping'!$I$9:$I$322=$D48),0)),
    'Resource Summary'!$C:$C,K$37
  ),
  SUMIFS(
    'Resource Summary'!$W:$W,
    'Resource Summary'!$B:$B,zones_to_group,
    'Resource Summary'!$A:$A,TRANSPOSE(_xlfn._xlws.FILTER('Results Grouping'!$G$9:$G$322,('Results Grouping'!$H$9:$H$322=$D$18) * ('Results Grouping'!$I$9:$I$322=$D48),0)),
    'Resource Summary'!$C:$C,K$37
  ),
  SUMIFS(
    'Resource Summary'!$X:$X,
    'Resource Summary'!$B:$B,zones_to_group,
    'Resource Summary'!$A:$A,TRANSPOSE(_xlfn._xlws.FILTER('Results Grouping'!$G$9:$G$322,('Results Grouping'!$H$9:$H$322=$D$18) * ('Results Grouping'!$I$9:$I$322=$D48),0)),
    'Resource Summary'!$C:$C,K$37
  ),
  SUMIFS(
    'Resource Summary'!$Y:$Y,
    'Resource Summary'!$B:$B,zones_to_group,
    'Resource Summary'!$A:$A,TRANSPOSE(_xlfn._xlws.FILTER('Results Grouping'!$G$9:$G$322,('Results Grouping'!$H$9:$H$322=$D$18) * ('Results Grouping'!$I$9:$I$322=$D48),0)),
    'Resource Summary'!$C:$C,K$37
  )
)</f>
        <v>0</v>
      </c>
      <c r="L48" s="10" cm="1">
        <f t="array" ref="L48">0.000001 * SUM(
  SUMIFS(
    'Resource Summary'!$U:$U,
    'Resource Summary'!$B:$B,zones_to_group,
    'Resource Summary'!$A:$A,TRANSPOSE(_xlfn._xlws.FILTER('Results Grouping'!$G$9:$G$322,('Results Grouping'!$H$9:$H$322=$D$18) * ('Results Grouping'!$I$9:$I$322=$D48),0)),
    'Resource Summary'!$C:$C,L$37
  ),
  SUMIFS(
    'Resource Summary'!$V:$V,
    'Resource Summary'!$B:$B,zones_to_group,
    'Resource Summary'!$A:$A,TRANSPOSE(_xlfn._xlws.FILTER('Results Grouping'!$G$9:$G$322,('Results Grouping'!$H$9:$H$322=$D$18) * ('Results Grouping'!$I$9:$I$322=$D48),0)),
    'Resource Summary'!$C:$C,L$37
  ),
  SUMIFS(
    'Resource Summary'!$W:$W,
    'Resource Summary'!$B:$B,zones_to_group,
    'Resource Summary'!$A:$A,TRANSPOSE(_xlfn._xlws.FILTER('Results Grouping'!$G$9:$G$322,('Results Grouping'!$H$9:$H$322=$D$18) * ('Results Grouping'!$I$9:$I$322=$D48),0)),
    'Resource Summary'!$C:$C,L$37
  ),
  SUMIFS(
    'Resource Summary'!$X:$X,
    'Resource Summary'!$B:$B,zones_to_group,
    'Resource Summary'!$A:$A,TRANSPOSE(_xlfn._xlws.FILTER('Results Grouping'!$G$9:$G$322,('Results Grouping'!$H$9:$H$322=$D$18) * ('Results Grouping'!$I$9:$I$322=$D48),0)),
    'Resource Summary'!$C:$C,L$37
  ),
  SUMIFS(
    'Resource Summary'!$Y:$Y,
    'Resource Summary'!$B:$B,zones_to_group,
    'Resource Summary'!$A:$A,TRANSPOSE(_xlfn._xlws.FILTER('Results Grouping'!$G$9:$G$322,('Results Grouping'!$H$9:$H$322=$D$18) * ('Results Grouping'!$I$9:$I$322=$D48),0)),
    'Resource Summary'!$C:$C,L$37
  )
)</f>
        <v>0</v>
      </c>
      <c r="M48" s="10" cm="1">
        <f t="array" ref="M48">0.000001 * SUM(
  SUMIFS(
    'Resource Summary'!$U:$U,
    'Resource Summary'!$B:$B,zones_to_group,
    'Resource Summary'!$A:$A,TRANSPOSE(_xlfn._xlws.FILTER('Results Grouping'!$G$9:$G$322,('Results Grouping'!$H$9:$H$322=$D$18) * ('Results Grouping'!$I$9:$I$322=$D48),0)),
    'Resource Summary'!$C:$C,M$37
  ),
  SUMIFS(
    'Resource Summary'!$V:$V,
    'Resource Summary'!$B:$B,zones_to_group,
    'Resource Summary'!$A:$A,TRANSPOSE(_xlfn._xlws.FILTER('Results Grouping'!$G$9:$G$322,('Results Grouping'!$H$9:$H$322=$D$18) * ('Results Grouping'!$I$9:$I$322=$D48),0)),
    'Resource Summary'!$C:$C,M$37
  ),
  SUMIFS(
    'Resource Summary'!$W:$W,
    'Resource Summary'!$B:$B,zones_to_group,
    'Resource Summary'!$A:$A,TRANSPOSE(_xlfn._xlws.FILTER('Results Grouping'!$G$9:$G$322,('Results Grouping'!$H$9:$H$322=$D$18) * ('Results Grouping'!$I$9:$I$322=$D48),0)),
    'Resource Summary'!$C:$C,M$37
  ),
  SUMIFS(
    'Resource Summary'!$X:$X,
    'Resource Summary'!$B:$B,zones_to_group,
    'Resource Summary'!$A:$A,TRANSPOSE(_xlfn._xlws.FILTER('Results Grouping'!$G$9:$G$322,('Results Grouping'!$H$9:$H$322=$D$18) * ('Results Grouping'!$I$9:$I$322=$D48),0)),
    'Resource Summary'!$C:$C,M$37
  ),
  SUMIFS(
    'Resource Summary'!$Y:$Y,
    'Resource Summary'!$B:$B,zones_to_group,
    'Resource Summary'!$A:$A,TRANSPOSE(_xlfn._xlws.FILTER('Results Grouping'!$G$9:$G$322,('Results Grouping'!$H$9:$H$322=$D$18) * ('Results Grouping'!$I$9:$I$322=$D48),0)),
    'Resource Summary'!$C:$C,M$37
  )
)</f>
        <v>0</v>
      </c>
      <c r="N48" s="10" cm="1">
        <f t="array" ref="N48">0.000001 * SUM(
  SUMIFS(
    'Resource Summary'!$U:$U,
    'Resource Summary'!$B:$B,zones_to_group,
    'Resource Summary'!$A:$A,TRANSPOSE(_xlfn._xlws.FILTER('Results Grouping'!$G$9:$G$322,('Results Grouping'!$H$9:$H$322=$D$18) * ('Results Grouping'!$I$9:$I$322=$D48),0)),
    'Resource Summary'!$C:$C,N$37
  ),
  SUMIFS(
    'Resource Summary'!$V:$V,
    'Resource Summary'!$B:$B,zones_to_group,
    'Resource Summary'!$A:$A,TRANSPOSE(_xlfn._xlws.FILTER('Results Grouping'!$G$9:$G$322,('Results Grouping'!$H$9:$H$322=$D$18) * ('Results Grouping'!$I$9:$I$322=$D48),0)),
    'Resource Summary'!$C:$C,N$37
  ),
  SUMIFS(
    'Resource Summary'!$W:$W,
    'Resource Summary'!$B:$B,zones_to_group,
    'Resource Summary'!$A:$A,TRANSPOSE(_xlfn._xlws.FILTER('Results Grouping'!$G$9:$G$322,('Results Grouping'!$H$9:$H$322=$D$18) * ('Results Grouping'!$I$9:$I$322=$D48),0)),
    'Resource Summary'!$C:$C,N$37
  ),
  SUMIFS(
    'Resource Summary'!$X:$X,
    'Resource Summary'!$B:$B,zones_to_group,
    'Resource Summary'!$A:$A,TRANSPOSE(_xlfn._xlws.FILTER('Results Grouping'!$G$9:$G$322,('Results Grouping'!$H$9:$H$322=$D$18) * ('Results Grouping'!$I$9:$I$322=$D48),0)),
    'Resource Summary'!$C:$C,N$37
  ),
  SUMIFS(
    'Resource Summary'!$Y:$Y,
    'Resource Summary'!$B:$B,zones_to_group,
    'Resource Summary'!$A:$A,TRANSPOSE(_xlfn._xlws.FILTER('Results Grouping'!$G$9:$G$322,('Results Grouping'!$H$9:$H$322=$D$18) * ('Results Grouping'!$I$9:$I$322=$D48),0)),
    'Resource Summary'!$C:$C,N$37
  )
)</f>
        <v>0</v>
      </c>
      <c r="O48" s="10" cm="1">
        <f t="array" ref="O48">0.000001 * SUM(
  SUMIFS(
    'Resource Summary'!$U:$U,
    'Resource Summary'!$B:$B,zones_to_group,
    'Resource Summary'!$A:$A,TRANSPOSE(_xlfn._xlws.FILTER('Results Grouping'!$G$9:$G$322,('Results Grouping'!$H$9:$H$322=$D$18) * ('Results Grouping'!$I$9:$I$322=$D48),0)),
    'Resource Summary'!$C:$C,O$37
  ),
  SUMIFS(
    'Resource Summary'!$V:$V,
    'Resource Summary'!$B:$B,zones_to_group,
    'Resource Summary'!$A:$A,TRANSPOSE(_xlfn._xlws.FILTER('Results Grouping'!$G$9:$G$322,('Results Grouping'!$H$9:$H$322=$D$18) * ('Results Grouping'!$I$9:$I$322=$D48),0)),
    'Resource Summary'!$C:$C,O$37
  ),
  SUMIFS(
    'Resource Summary'!$W:$W,
    'Resource Summary'!$B:$B,zones_to_group,
    'Resource Summary'!$A:$A,TRANSPOSE(_xlfn._xlws.FILTER('Results Grouping'!$G$9:$G$322,('Results Grouping'!$H$9:$H$322=$D$18) * ('Results Grouping'!$I$9:$I$322=$D48),0)),
    'Resource Summary'!$C:$C,O$37
  ),
  SUMIFS(
    'Resource Summary'!$X:$X,
    'Resource Summary'!$B:$B,zones_to_group,
    'Resource Summary'!$A:$A,TRANSPOSE(_xlfn._xlws.FILTER('Results Grouping'!$G$9:$G$322,('Results Grouping'!$H$9:$H$322=$D$18) * ('Results Grouping'!$I$9:$I$322=$D48),0)),
    'Resource Summary'!$C:$C,O$37
  ),
  SUMIFS(
    'Resource Summary'!$Y:$Y,
    'Resource Summary'!$B:$B,zones_to_group,
    'Resource Summary'!$A:$A,TRANSPOSE(_xlfn._xlws.FILTER('Results Grouping'!$G$9:$G$322,('Results Grouping'!$H$9:$H$322=$D$18) * ('Results Grouping'!$I$9:$I$322=$D48),0)),
    'Resource Summary'!$C:$C,O$37
  )
)</f>
        <v>0</v>
      </c>
      <c r="P48" s="10" cm="1">
        <f t="array" ref="P48">0.000001 * SUM(
  SUMIFS(
    'Resource Summary'!$U:$U,
    'Resource Summary'!$B:$B,zones_to_group,
    'Resource Summary'!$A:$A,TRANSPOSE(_xlfn._xlws.FILTER('Results Grouping'!$G$9:$G$322,('Results Grouping'!$H$9:$H$322=$D$18) * ('Results Grouping'!$I$9:$I$322=$D48),0)),
    'Resource Summary'!$C:$C,P$37
  ),
  SUMIFS(
    'Resource Summary'!$V:$V,
    'Resource Summary'!$B:$B,zones_to_group,
    'Resource Summary'!$A:$A,TRANSPOSE(_xlfn._xlws.FILTER('Results Grouping'!$G$9:$G$322,('Results Grouping'!$H$9:$H$322=$D$18) * ('Results Grouping'!$I$9:$I$322=$D48),0)),
    'Resource Summary'!$C:$C,P$37
  ),
  SUMIFS(
    'Resource Summary'!$W:$W,
    'Resource Summary'!$B:$B,zones_to_group,
    'Resource Summary'!$A:$A,TRANSPOSE(_xlfn._xlws.FILTER('Results Grouping'!$G$9:$G$322,('Results Grouping'!$H$9:$H$322=$D$18) * ('Results Grouping'!$I$9:$I$322=$D48),0)),
    'Resource Summary'!$C:$C,P$37
  ),
  SUMIFS(
    'Resource Summary'!$X:$X,
    'Resource Summary'!$B:$B,zones_to_group,
    'Resource Summary'!$A:$A,TRANSPOSE(_xlfn._xlws.FILTER('Results Grouping'!$G$9:$G$322,('Results Grouping'!$H$9:$H$322=$D$18) * ('Results Grouping'!$I$9:$I$322=$D48),0)),
    'Resource Summary'!$C:$C,P$37
  ),
  SUMIFS(
    'Resource Summary'!$Y:$Y,
    'Resource Summary'!$B:$B,zones_to_group,
    'Resource Summary'!$A:$A,TRANSPOSE(_xlfn._xlws.FILTER('Results Grouping'!$G$9:$G$322,('Results Grouping'!$H$9:$H$322=$D$18) * ('Results Grouping'!$I$9:$I$322=$D48),0)),
    'Resource Summary'!$C:$C,P$37
  )
)</f>
        <v>0</v>
      </c>
      <c r="Q48" s="10" cm="1">
        <f t="array" ref="Q48">0.000001 * SUM(
  SUMIFS(
    'Resource Summary'!$U:$U,
    'Resource Summary'!$B:$B,zones_to_group,
    'Resource Summary'!$A:$A,TRANSPOSE(_xlfn._xlws.FILTER('Results Grouping'!$G$9:$G$322,('Results Grouping'!$H$9:$H$322=$D$18) * ('Results Grouping'!$I$9:$I$322=$D48),0)),
    'Resource Summary'!$C:$C,Q$37
  ),
  SUMIFS(
    'Resource Summary'!$V:$V,
    'Resource Summary'!$B:$B,zones_to_group,
    'Resource Summary'!$A:$A,TRANSPOSE(_xlfn._xlws.FILTER('Results Grouping'!$G$9:$G$322,('Results Grouping'!$H$9:$H$322=$D$18) * ('Results Grouping'!$I$9:$I$322=$D48),0)),
    'Resource Summary'!$C:$C,Q$37
  ),
  SUMIFS(
    'Resource Summary'!$W:$W,
    'Resource Summary'!$B:$B,zones_to_group,
    'Resource Summary'!$A:$A,TRANSPOSE(_xlfn._xlws.FILTER('Results Grouping'!$G$9:$G$322,('Results Grouping'!$H$9:$H$322=$D$18) * ('Results Grouping'!$I$9:$I$322=$D48),0)),
    'Resource Summary'!$C:$C,Q$37
  ),
  SUMIFS(
    'Resource Summary'!$X:$X,
    'Resource Summary'!$B:$B,zones_to_group,
    'Resource Summary'!$A:$A,TRANSPOSE(_xlfn._xlws.FILTER('Results Grouping'!$G$9:$G$322,('Results Grouping'!$H$9:$H$322=$D$18) * ('Results Grouping'!$I$9:$I$322=$D48),0)),
    'Resource Summary'!$C:$C,Q$37
  ),
  SUMIFS(
    'Resource Summary'!$Y:$Y,
    'Resource Summary'!$B:$B,zones_to_group,
    'Resource Summary'!$A:$A,TRANSPOSE(_xlfn._xlws.FILTER('Results Grouping'!$G$9:$G$322,('Results Grouping'!$H$9:$H$322=$D$18) * ('Results Grouping'!$I$9:$I$322=$D48),0)),
    'Resource Summary'!$C:$C,Q$37
  )
)</f>
        <v>0</v>
      </c>
      <c r="R48" s="10" cm="1">
        <f t="array" ref="R48">0.000001 * SUM(
  SUMIFS(
    'Resource Summary'!$U:$U,
    'Resource Summary'!$B:$B,zones_to_group,
    'Resource Summary'!$A:$A,TRANSPOSE(_xlfn._xlws.FILTER('Results Grouping'!$G$9:$G$322,('Results Grouping'!$H$9:$H$322=$D$18) * ('Results Grouping'!$I$9:$I$322=$D48),0)),
    'Resource Summary'!$C:$C,R$37
  ),
  SUMIFS(
    'Resource Summary'!$V:$V,
    'Resource Summary'!$B:$B,zones_to_group,
    'Resource Summary'!$A:$A,TRANSPOSE(_xlfn._xlws.FILTER('Results Grouping'!$G$9:$G$322,('Results Grouping'!$H$9:$H$322=$D$18) * ('Results Grouping'!$I$9:$I$322=$D48),0)),
    'Resource Summary'!$C:$C,R$37
  ),
  SUMIFS(
    'Resource Summary'!$W:$W,
    'Resource Summary'!$B:$B,zones_to_group,
    'Resource Summary'!$A:$A,TRANSPOSE(_xlfn._xlws.FILTER('Results Grouping'!$G$9:$G$322,('Results Grouping'!$H$9:$H$322=$D$18) * ('Results Grouping'!$I$9:$I$322=$D48),0)),
    'Resource Summary'!$C:$C,R$37
  ),
  SUMIFS(
    'Resource Summary'!$X:$X,
    'Resource Summary'!$B:$B,zones_to_group,
    'Resource Summary'!$A:$A,TRANSPOSE(_xlfn._xlws.FILTER('Results Grouping'!$G$9:$G$322,('Results Grouping'!$H$9:$H$322=$D$18) * ('Results Grouping'!$I$9:$I$322=$D48),0)),
    'Resource Summary'!$C:$C,R$37
  ),
  SUMIFS(
    'Resource Summary'!$Y:$Y,
    'Resource Summary'!$B:$B,zones_to_group,
    'Resource Summary'!$A:$A,TRANSPOSE(_xlfn._xlws.FILTER('Results Grouping'!$G$9:$G$322,('Results Grouping'!$H$9:$H$322=$D$18) * ('Results Grouping'!$I$9:$I$322=$D48),0)),
    'Resource Summary'!$C:$C,R$37
  )
)</f>
        <v>0</v>
      </c>
      <c r="S48" s="10" cm="1">
        <f t="array" ref="S48">0.000001 * SUM(
  SUMIFS(
    'Resource Summary'!$U:$U,
    'Resource Summary'!$B:$B,zones_to_group,
    'Resource Summary'!$A:$A,TRANSPOSE(_xlfn._xlws.FILTER('Results Grouping'!$G$9:$G$322,('Results Grouping'!$H$9:$H$322=$D$18) * ('Results Grouping'!$I$9:$I$322=$D48),0)),
    'Resource Summary'!$C:$C,S$37
  ),
  SUMIFS(
    'Resource Summary'!$V:$V,
    'Resource Summary'!$B:$B,zones_to_group,
    'Resource Summary'!$A:$A,TRANSPOSE(_xlfn._xlws.FILTER('Results Grouping'!$G$9:$G$322,('Results Grouping'!$H$9:$H$322=$D$18) * ('Results Grouping'!$I$9:$I$322=$D48),0)),
    'Resource Summary'!$C:$C,S$37
  ),
  SUMIFS(
    'Resource Summary'!$W:$W,
    'Resource Summary'!$B:$B,zones_to_group,
    'Resource Summary'!$A:$A,TRANSPOSE(_xlfn._xlws.FILTER('Results Grouping'!$G$9:$G$322,('Results Grouping'!$H$9:$H$322=$D$18) * ('Results Grouping'!$I$9:$I$322=$D48),0)),
    'Resource Summary'!$C:$C,S$37
  ),
  SUMIFS(
    'Resource Summary'!$X:$X,
    'Resource Summary'!$B:$B,zones_to_group,
    'Resource Summary'!$A:$A,TRANSPOSE(_xlfn._xlws.FILTER('Results Grouping'!$G$9:$G$322,('Results Grouping'!$H$9:$H$322=$D$18) * ('Results Grouping'!$I$9:$I$322=$D48),0)),
    'Resource Summary'!$C:$C,S$37
  ),
  SUMIFS(
    'Resource Summary'!$Y:$Y,
    'Resource Summary'!$B:$B,zones_to_group,
    'Resource Summary'!$A:$A,TRANSPOSE(_xlfn._xlws.FILTER('Results Grouping'!$G$9:$G$322,('Results Grouping'!$H$9:$H$322=$D$18) * ('Results Grouping'!$I$9:$I$322=$D48),0)),
    'Resource Summary'!$C:$C,S$37
  )
)</f>
        <v>0</v>
      </c>
      <c r="T48" s="10" cm="1">
        <f t="array" ref="T48">0.000001 * SUM(
  SUMIFS(
    'Resource Summary'!$U:$U,
    'Resource Summary'!$B:$B,zones_to_group,
    'Resource Summary'!$A:$A,TRANSPOSE(_xlfn._xlws.FILTER('Results Grouping'!$G$9:$G$322,('Results Grouping'!$H$9:$H$322=$D$18) * ('Results Grouping'!$I$9:$I$322=$D48),0)),
    'Resource Summary'!$C:$C,T$37
  ),
  SUMIFS(
    'Resource Summary'!$V:$V,
    'Resource Summary'!$B:$B,zones_to_group,
    'Resource Summary'!$A:$A,TRANSPOSE(_xlfn._xlws.FILTER('Results Grouping'!$G$9:$G$322,('Results Grouping'!$H$9:$H$322=$D$18) * ('Results Grouping'!$I$9:$I$322=$D48),0)),
    'Resource Summary'!$C:$C,T$37
  ),
  SUMIFS(
    'Resource Summary'!$W:$W,
    'Resource Summary'!$B:$B,zones_to_group,
    'Resource Summary'!$A:$A,TRANSPOSE(_xlfn._xlws.FILTER('Results Grouping'!$G$9:$G$322,('Results Grouping'!$H$9:$H$322=$D$18) * ('Results Grouping'!$I$9:$I$322=$D48),0)),
    'Resource Summary'!$C:$C,T$37
  ),
  SUMIFS(
    'Resource Summary'!$X:$X,
    'Resource Summary'!$B:$B,zones_to_group,
    'Resource Summary'!$A:$A,TRANSPOSE(_xlfn._xlws.FILTER('Results Grouping'!$G$9:$G$322,('Results Grouping'!$H$9:$H$322=$D$18) * ('Results Grouping'!$I$9:$I$322=$D48),0)),
    'Resource Summary'!$C:$C,T$37
  ),
  SUMIFS(
    'Resource Summary'!$Y:$Y,
    'Resource Summary'!$B:$B,zones_to_group,
    'Resource Summary'!$A:$A,TRANSPOSE(_xlfn._xlws.FILTER('Results Grouping'!$G$9:$G$322,('Results Grouping'!$H$9:$H$322=$D$18) * ('Results Grouping'!$I$9:$I$322=$D48),0)),
    'Resource Summary'!$C:$C,T$37
  )
)</f>
        <v>0</v>
      </c>
      <c r="U48" s="10" cm="1">
        <f t="array" ref="U48">0.000001 * SUM(
  SUMIFS(
    'Resource Summary'!$U:$U,
    'Resource Summary'!$B:$B,zones_to_group,
    'Resource Summary'!$A:$A,TRANSPOSE(_xlfn._xlws.FILTER('Results Grouping'!$G$9:$G$322,('Results Grouping'!$H$9:$H$322=$D$18) * ('Results Grouping'!$I$9:$I$322=$D48),0)),
    'Resource Summary'!$C:$C,U$37
  ),
  SUMIFS(
    'Resource Summary'!$V:$V,
    'Resource Summary'!$B:$B,zones_to_group,
    'Resource Summary'!$A:$A,TRANSPOSE(_xlfn._xlws.FILTER('Results Grouping'!$G$9:$G$322,('Results Grouping'!$H$9:$H$322=$D$18) * ('Results Grouping'!$I$9:$I$322=$D48),0)),
    'Resource Summary'!$C:$C,U$37
  ),
  SUMIFS(
    'Resource Summary'!$W:$W,
    'Resource Summary'!$B:$B,zones_to_group,
    'Resource Summary'!$A:$A,TRANSPOSE(_xlfn._xlws.FILTER('Results Grouping'!$G$9:$G$322,('Results Grouping'!$H$9:$H$322=$D$18) * ('Results Grouping'!$I$9:$I$322=$D48),0)),
    'Resource Summary'!$C:$C,U$37
  ),
  SUMIFS(
    'Resource Summary'!$X:$X,
    'Resource Summary'!$B:$B,zones_to_group,
    'Resource Summary'!$A:$A,TRANSPOSE(_xlfn._xlws.FILTER('Results Grouping'!$G$9:$G$322,('Results Grouping'!$H$9:$H$322=$D$18) * ('Results Grouping'!$I$9:$I$322=$D48),0)),
    'Resource Summary'!$C:$C,U$37
  ),
  SUMIFS(
    'Resource Summary'!$Y:$Y,
    'Resource Summary'!$B:$B,zones_to_group,
    'Resource Summary'!$A:$A,TRANSPOSE(_xlfn._xlws.FILTER('Results Grouping'!$G$9:$G$322,('Results Grouping'!$H$9:$H$322=$D$18) * ('Results Grouping'!$I$9:$I$322=$D48),0)),
    'Resource Summary'!$C:$C,U$37
  )
)</f>
        <v>0</v>
      </c>
      <c r="V48" s="10" cm="1">
        <f t="array" ref="V48">0.000001 * SUM(
  SUMIFS(
    'Resource Summary'!$U:$U,
    'Resource Summary'!$B:$B,zones_to_group,
    'Resource Summary'!$A:$A,TRANSPOSE(_xlfn._xlws.FILTER('Results Grouping'!$G$9:$G$322,('Results Grouping'!$H$9:$H$322=$D$18) * ('Results Grouping'!$I$9:$I$322=$D48),0)),
    'Resource Summary'!$C:$C,V$37
  ),
  SUMIFS(
    'Resource Summary'!$V:$V,
    'Resource Summary'!$B:$B,zones_to_group,
    'Resource Summary'!$A:$A,TRANSPOSE(_xlfn._xlws.FILTER('Results Grouping'!$G$9:$G$322,('Results Grouping'!$H$9:$H$322=$D$18) * ('Results Grouping'!$I$9:$I$322=$D48),0)),
    'Resource Summary'!$C:$C,V$37
  ),
  SUMIFS(
    'Resource Summary'!$W:$W,
    'Resource Summary'!$B:$B,zones_to_group,
    'Resource Summary'!$A:$A,TRANSPOSE(_xlfn._xlws.FILTER('Results Grouping'!$G$9:$G$322,('Results Grouping'!$H$9:$H$322=$D$18) * ('Results Grouping'!$I$9:$I$322=$D48),0)),
    'Resource Summary'!$C:$C,V$37
  ),
  SUMIFS(
    'Resource Summary'!$X:$X,
    'Resource Summary'!$B:$B,zones_to_group,
    'Resource Summary'!$A:$A,TRANSPOSE(_xlfn._xlws.FILTER('Results Grouping'!$G$9:$G$322,('Results Grouping'!$H$9:$H$322=$D$18) * ('Results Grouping'!$I$9:$I$322=$D48),0)),
    'Resource Summary'!$C:$C,V$37
  ),
  SUMIFS(
    'Resource Summary'!$Y:$Y,
    'Resource Summary'!$B:$B,zones_to_group,
    'Resource Summary'!$A:$A,TRANSPOSE(_xlfn._xlws.FILTER('Results Grouping'!$G$9:$G$322,('Results Grouping'!$H$9:$H$322=$D$18) * ('Results Grouping'!$I$9:$I$322=$D48),0)),
    'Resource Summary'!$C:$C,V$37
  )
)</f>
        <v>0</v>
      </c>
      <c r="W48" s="10" cm="1">
        <f t="array" ref="W48">0.000001 * SUM(
  SUMIFS(
    'Resource Summary'!$U:$U,
    'Resource Summary'!$B:$B,zones_to_group,
    'Resource Summary'!$A:$A,TRANSPOSE(_xlfn._xlws.FILTER('Results Grouping'!$G$9:$G$322,('Results Grouping'!$H$9:$H$322=$D$18) * ('Results Grouping'!$I$9:$I$322=$D48),0)),
    'Resource Summary'!$C:$C,W$37
  ),
  SUMIFS(
    'Resource Summary'!$V:$V,
    'Resource Summary'!$B:$B,zones_to_group,
    'Resource Summary'!$A:$A,TRANSPOSE(_xlfn._xlws.FILTER('Results Grouping'!$G$9:$G$322,('Results Grouping'!$H$9:$H$322=$D$18) * ('Results Grouping'!$I$9:$I$322=$D48),0)),
    'Resource Summary'!$C:$C,W$37
  ),
  SUMIFS(
    'Resource Summary'!$W:$W,
    'Resource Summary'!$B:$B,zones_to_group,
    'Resource Summary'!$A:$A,TRANSPOSE(_xlfn._xlws.FILTER('Results Grouping'!$G$9:$G$322,('Results Grouping'!$H$9:$H$322=$D$18) * ('Results Grouping'!$I$9:$I$322=$D48),0)),
    'Resource Summary'!$C:$C,W$37
  ),
  SUMIFS(
    'Resource Summary'!$X:$X,
    'Resource Summary'!$B:$B,zones_to_group,
    'Resource Summary'!$A:$A,TRANSPOSE(_xlfn._xlws.FILTER('Results Grouping'!$G$9:$G$322,('Results Grouping'!$H$9:$H$322=$D$18) * ('Results Grouping'!$I$9:$I$322=$D48),0)),
    'Resource Summary'!$C:$C,W$37
  ),
  SUMIFS(
    'Resource Summary'!$Y:$Y,
    'Resource Summary'!$B:$B,zones_to_group,
    'Resource Summary'!$A:$A,TRANSPOSE(_xlfn._xlws.FILTER('Results Grouping'!$G$9:$G$322,('Results Grouping'!$H$9:$H$322=$D$18) * ('Results Grouping'!$I$9:$I$322=$D48),0)),
    'Resource Summary'!$C:$C,W$37
  )
)</f>
        <v>0</v>
      </c>
      <c r="X48" s="10" cm="1">
        <f t="array" ref="X48">0.000001 * SUM(
  SUMIFS(
    'Resource Summary'!$U:$U,
    'Resource Summary'!$B:$B,zones_to_group,
    'Resource Summary'!$A:$A,TRANSPOSE(_xlfn._xlws.FILTER('Results Grouping'!$G$9:$G$322,('Results Grouping'!$H$9:$H$322=$D$18) * ('Results Grouping'!$I$9:$I$322=$D48),0)),
    'Resource Summary'!$C:$C,X$37
  ),
  SUMIFS(
    'Resource Summary'!$V:$V,
    'Resource Summary'!$B:$B,zones_to_group,
    'Resource Summary'!$A:$A,TRANSPOSE(_xlfn._xlws.FILTER('Results Grouping'!$G$9:$G$322,('Results Grouping'!$H$9:$H$322=$D$18) * ('Results Grouping'!$I$9:$I$322=$D48),0)),
    'Resource Summary'!$C:$C,X$37
  ),
  SUMIFS(
    'Resource Summary'!$W:$W,
    'Resource Summary'!$B:$B,zones_to_group,
    'Resource Summary'!$A:$A,TRANSPOSE(_xlfn._xlws.FILTER('Results Grouping'!$G$9:$G$322,('Results Grouping'!$H$9:$H$322=$D$18) * ('Results Grouping'!$I$9:$I$322=$D48),0)),
    'Resource Summary'!$C:$C,X$37
  ),
  SUMIFS(
    'Resource Summary'!$X:$X,
    'Resource Summary'!$B:$B,zones_to_group,
    'Resource Summary'!$A:$A,TRANSPOSE(_xlfn._xlws.FILTER('Results Grouping'!$G$9:$G$322,('Results Grouping'!$H$9:$H$322=$D$18) * ('Results Grouping'!$I$9:$I$322=$D48),0)),
    'Resource Summary'!$C:$C,X$37
  ),
  SUMIFS(
    'Resource Summary'!$Y:$Y,
    'Resource Summary'!$B:$B,zones_to_group,
    'Resource Summary'!$A:$A,TRANSPOSE(_xlfn._xlws.FILTER('Results Grouping'!$G$9:$G$322,('Results Grouping'!$H$9:$H$322=$D$18) * ('Results Grouping'!$I$9:$I$322=$D48),0)),
    'Resource Summary'!$C:$C,X$37
  )
)</f>
        <v>0</v>
      </c>
      <c r="Y48" s="10" cm="1">
        <f t="array" ref="Y48">0.000001 * SUM(
  SUMIFS(
    'Resource Summary'!$U:$U,
    'Resource Summary'!$B:$B,zones_to_group,
    'Resource Summary'!$A:$A,TRANSPOSE(_xlfn._xlws.FILTER('Results Grouping'!$G$9:$G$322,('Results Grouping'!$H$9:$H$322=$D$18) * ('Results Grouping'!$I$9:$I$322=$D48),0)),
    'Resource Summary'!$C:$C,Y$37
  ),
  SUMIFS(
    'Resource Summary'!$V:$V,
    'Resource Summary'!$B:$B,zones_to_group,
    'Resource Summary'!$A:$A,TRANSPOSE(_xlfn._xlws.FILTER('Results Grouping'!$G$9:$G$322,('Results Grouping'!$H$9:$H$322=$D$18) * ('Results Grouping'!$I$9:$I$322=$D48),0)),
    'Resource Summary'!$C:$C,Y$37
  ),
  SUMIFS(
    'Resource Summary'!$W:$W,
    'Resource Summary'!$B:$B,zones_to_group,
    'Resource Summary'!$A:$A,TRANSPOSE(_xlfn._xlws.FILTER('Results Grouping'!$G$9:$G$322,('Results Grouping'!$H$9:$H$322=$D$18) * ('Results Grouping'!$I$9:$I$322=$D48),0)),
    'Resource Summary'!$C:$C,Y$37
  ),
  SUMIFS(
    'Resource Summary'!$X:$X,
    'Resource Summary'!$B:$B,zones_to_group,
    'Resource Summary'!$A:$A,TRANSPOSE(_xlfn._xlws.FILTER('Results Grouping'!$G$9:$G$322,('Results Grouping'!$H$9:$H$322=$D$18) * ('Results Grouping'!$I$9:$I$322=$D48),0)),
    'Resource Summary'!$C:$C,Y$37
  ),
  SUMIFS(
    'Resource Summary'!$Y:$Y,
    'Resource Summary'!$B:$B,zones_to_group,
    'Resource Summary'!$A:$A,TRANSPOSE(_xlfn._xlws.FILTER('Results Grouping'!$G$9:$G$322,('Results Grouping'!$H$9:$H$322=$D$18) * ('Results Grouping'!$I$9:$I$322=$D48),0)),
    'Resource Summary'!$C:$C,Y$37
  )
)</f>
        <v>0</v>
      </c>
      <c r="Z48" s="10" cm="1">
        <f t="array" ref="Z48">0.000001 * SUM(
  SUMIFS(
    'Resource Summary'!$U:$U,
    'Resource Summary'!$B:$B,zones_to_group,
    'Resource Summary'!$A:$A,TRANSPOSE(_xlfn._xlws.FILTER('Results Grouping'!$G$9:$G$322,('Results Grouping'!$H$9:$H$322=$D$18) * ('Results Grouping'!$I$9:$I$322=$D48),0)),
    'Resource Summary'!$C:$C,Z$37
  ),
  SUMIFS(
    'Resource Summary'!$V:$V,
    'Resource Summary'!$B:$B,zones_to_group,
    'Resource Summary'!$A:$A,TRANSPOSE(_xlfn._xlws.FILTER('Results Grouping'!$G$9:$G$322,('Results Grouping'!$H$9:$H$322=$D$18) * ('Results Grouping'!$I$9:$I$322=$D48),0)),
    'Resource Summary'!$C:$C,Z$37
  ),
  SUMIFS(
    'Resource Summary'!$W:$W,
    'Resource Summary'!$B:$B,zones_to_group,
    'Resource Summary'!$A:$A,TRANSPOSE(_xlfn._xlws.FILTER('Results Grouping'!$G$9:$G$322,('Results Grouping'!$H$9:$H$322=$D$18) * ('Results Grouping'!$I$9:$I$322=$D48),0)),
    'Resource Summary'!$C:$C,Z$37
  ),
  SUMIFS(
    'Resource Summary'!$X:$X,
    'Resource Summary'!$B:$B,zones_to_group,
    'Resource Summary'!$A:$A,TRANSPOSE(_xlfn._xlws.FILTER('Results Grouping'!$G$9:$G$322,('Results Grouping'!$H$9:$H$322=$D$18) * ('Results Grouping'!$I$9:$I$322=$D48),0)),
    'Resource Summary'!$C:$C,Z$37
  ),
  SUMIFS(
    'Resource Summary'!$Y:$Y,
    'Resource Summary'!$B:$B,zones_to_group,
    'Resource Summary'!$A:$A,TRANSPOSE(_xlfn._xlws.FILTER('Results Grouping'!$G$9:$G$322,('Results Grouping'!$H$9:$H$322=$D$18) * ('Results Grouping'!$I$9:$I$322=$D48),0)),
    'Resource Summary'!$C:$C,Z$37
  )
)</f>
        <v>0</v>
      </c>
      <c r="AA48" s="10" cm="1">
        <f t="array" ref="AA48">0.000001 * SUM(
  SUMIFS(
    'Resource Summary'!$U:$U,
    'Resource Summary'!$B:$B,zones_to_group,
    'Resource Summary'!$A:$A,TRANSPOSE(_xlfn._xlws.FILTER('Results Grouping'!$G$9:$G$322,('Results Grouping'!$H$9:$H$322=$D$18) * ('Results Grouping'!$I$9:$I$322=$D48),0)),
    'Resource Summary'!$C:$C,AA$37
  ),
  SUMIFS(
    'Resource Summary'!$V:$V,
    'Resource Summary'!$B:$B,zones_to_group,
    'Resource Summary'!$A:$A,TRANSPOSE(_xlfn._xlws.FILTER('Results Grouping'!$G$9:$G$322,('Results Grouping'!$H$9:$H$322=$D$18) * ('Results Grouping'!$I$9:$I$322=$D48),0)),
    'Resource Summary'!$C:$C,AA$37
  ),
  SUMIFS(
    'Resource Summary'!$W:$W,
    'Resource Summary'!$B:$B,zones_to_group,
    'Resource Summary'!$A:$A,TRANSPOSE(_xlfn._xlws.FILTER('Results Grouping'!$G$9:$G$322,('Results Grouping'!$H$9:$H$322=$D$18) * ('Results Grouping'!$I$9:$I$322=$D48),0)),
    'Resource Summary'!$C:$C,AA$37
  ),
  SUMIFS(
    'Resource Summary'!$X:$X,
    'Resource Summary'!$B:$B,zones_to_group,
    'Resource Summary'!$A:$A,TRANSPOSE(_xlfn._xlws.FILTER('Results Grouping'!$G$9:$G$322,('Results Grouping'!$H$9:$H$322=$D$18) * ('Results Grouping'!$I$9:$I$322=$D48),0)),
    'Resource Summary'!$C:$C,AA$37
  ),
  SUMIFS(
    'Resource Summary'!$Y:$Y,
    'Resource Summary'!$B:$B,zones_to_group,
    'Resource Summary'!$A:$A,TRANSPOSE(_xlfn._xlws.FILTER('Results Grouping'!$G$9:$G$322,('Results Grouping'!$H$9:$H$322=$D$18) * ('Results Grouping'!$I$9:$I$322=$D48),0)),
    'Resource Summary'!$C:$C,AA$37
  )
)</f>
        <v>0</v>
      </c>
      <c r="AB48" s="10" cm="1">
        <f t="array" ref="AB48">0.000001 * SUM(
  SUMIFS(
    'Resource Summary'!$U:$U,
    'Resource Summary'!$B:$B,zones_to_group,
    'Resource Summary'!$A:$A,TRANSPOSE(_xlfn._xlws.FILTER('Results Grouping'!$G$9:$G$322,('Results Grouping'!$H$9:$H$322=$D$18) * ('Results Grouping'!$I$9:$I$322=$D48),0)),
    'Resource Summary'!$C:$C,AB$37
  ),
  SUMIFS(
    'Resource Summary'!$V:$V,
    'Resource Summary'!$B:$B,zones_to_group,
    'Resource Summary'!$A:$A,TRANSPOSE(_xlfn._xlws.FILTER('Results Grouping'!$G$9:$G$322,('Results Grouping'!$H$9:$H$322=$D$18) * ('Results Grouping'!$I$9:$I$322=$D48),0)),
    'Resource Summary'!$C:$C,AB$37
  ),
  SUMIFS(
    'Resource Summary'!$W:$W,
    'Resource Summary'!$B:$B,zones_to_group,
    'Resource Summary'!$A:$A,TRANSPOSE(_xlfn._xlws.FILTER('Results Grouping'!$G$9:$G$322,('Results Grouping'!$H$9:$H$322=$D$18) * ('Results Grouping'!$I$9:$I$322=$D48),0)),
    'Resource Summary'!$C:$C,AB$37
  ),
  SUMIFS(
    'Resource Summary'!$X:$X,
    'Resource Summary'!$B:$B,zones_to_group,
    'Resource Summary'!$A:$A,TRANSPOSE(_xlfn._xlws.FILTER('Results Grouping'!$G$9:$G$322,('Results Grouping'!$H$9:$H$322=$D$18) * ('Results Grouping'!$I$9:$I$322=$D48),0)),
    'Resource Summary'!$C:$C,AB$37
  ),
  SUMIFS(
    'Resource Summary'!$Y:$Y,
    'Resource Summary'!$B:$B,zones_to_group,
    'Resource Summary'!$A:$A,TRANSPOSE(_xlfn._xlws.FILTER('Results Grouping'!$G$9:$G$322,('Results Grouping'!$H$9:$H$322=$D$18) * ('Results Grouping'!$I$9:$I$322=$D48),0)),
    'Resource Summary'!$C:$C,AB$37
  )
)</f>
        <v>0</v>
      </c>
      <c r="AC48" s="10" cm="1">
        <f t="array" ref="AC48">0.000001 * SUM(
  SUMIFS(
    'Resource Summary'!$U:$U,
    'Resource Summary'!$B:$B,zones_to_group,
    'Resource Summary'!$A:$A,TRANSPOSE(_xlfn._xlws.FILTER('Results Grouping'!$G$9:$G$322,('Results Grouping'!$H$9:$H$322=$D$18) * ('Results Grouping'!$I$9:$I$322=$D48),0)),
    'Resource Summary'!$C:$C,AC$37
  ),
  SUMIFS(
    'Resource Summary'!$V:$V,
    'Resource Summary'!$B:$B,zones_to_group,
    'Resource Summary'!$A:$A,TRANSPOSE(_xlfn._xlws.FILTER('Results Grouping'!$G$9:$G$322,('Results Grouping'!$H$9:$H$322=$D$18) * ('Results Grouping'!$I$9:$I$322=$D48),0)),
    'Resource Summary'!$C:$C,AC$37
  ),
  SUMIFS(
    'Resource Summary'!$W:$W,
    'Resource Summary'!$B:$B,zones_to_group,
    'Resource Summary'!$A:$A,TRANSPOSE(_xlfn._xlws.FILTER('Results Grouping'!$G$9:$G$322,('Results Grouping'!$H$9:$H$322=$D$18) * ('Results Grouping'!$I$9:$I$322=$D48),0)),
    'Resource Summary'!$C:$C,AC$37
  ),
  SUMIFS(
    'Resource Summary'!$X:$X,
    'Resource Summary'!$B:$B,zones_to_group,
    'Resource Summary'!$A:$A,TRANSPOSE(_xlfn._xlws.FILTER('Results Grouping'!$G$9:$G$322,('Results Grouping'!$H$9:$H$322=$D$18) * ('Results Grouping'!$I$9:$I$322=$D48),0)),
    'Resource Summary'!$C:$C,AC$37
  ),
  SUMIFS(
    'Resource Summary'!$Y:$Y,
    'Resource Summary'!$B:$B,zones_to_group,
    'Resource Summary'!$A:$A,TRANSPOSE(_xlfn._xlws.FILTER('Results Grouping'!$G$9:$G$322,('Results Grouping'!$H$9:$H$322=$D$18) * ('Results Grouping'!$I$9:$I$322=$D48),0)),
    'Resource Summary'!$C:$C,AC$37
  )
)</f>
        <v>0</v>
      </c>
      <c r="AD48" s="10" cm="1">
        <f t="array" ref="AD48">0.000001 * SUM(
  SUMIFS(
    'Resource Summary'!$U:$U,
    'Resource Summary'!$B:$B,zones_to_group,
    'Resource Summary'!$A:$A,TRANSPOSE(_xlfn._xlws.FILTER('Results Grouping'!$G$9:$G$322,('Results Grouping'!$H$9:$H$322=$D$18) * ('Results Grouping'!$I$9:$I$322=$D48),0)),
    'Resource Summary'!$C:$C,AD$37
  ),
  SUMIFS(
    'Resource Summary'!$V:$V,
    'Resource Summary'!$B:$B,zones_to_group,
    'Resource Summary'!$A:$A,TRANSPOSE(_xlfn._xlws.FILTER('Results Grouping'!$G$9:$G$322,('Results Grouping'!$H$9:$H$322=$D$18) * ('Results Grouping'!$I$9:$I$322=$D48),0)),
    'Resource Summary'!$C:$C,AD$37
  ),
  SUMIFS(
    'Resource Summary'!$W:$W,
    'Resource Summary'!$B:$B,zones_to_group,
    'Resource Summary'!$A:$A,TRANSPOSE(_xlfn._xlws.FILTER('Results Grouping'!$G$9:$G$322,('Results Grouping'!$H$9:$H$322=$D$18) * ('Results Grouping'!$I$9:$I$322=$D48),0)),
    'Resource Summary'!$C:$C,AD$37
  ),
  SUMIFS(
    'Resource Summary'!$X:$X,
    'Resource Summary'!$B:$B,zones_to_group,
    'Resource Summary'!$A:$A,TRANSPOSE(_xlfn._xlws.FILTER('Results Grouping'!$G$9:$G$322,('Results Grouping'!$H$9:$H$322=$D$18) * ('Results Grouping'!$I$9:$I$322=$D48),0)),
    'Resource Summary'!$C:$C,AD$37
  ),
  SUMIFS(
    'Resource Summary'!$Y:$Y,
    'Resource Summary'!$B:$B,zones_to_group,
    'Resource Summary'!$A:$A,TRANSPOSE(_xlfn._xlws.FILTER('Results Grouping'!$G$9:$G$322,('Results Grouping'!$H$9:$H$322=$D$18) * ('Results Grouping'!$I$9:$I$322=$D48),0)),
    'Resource Summary'!$C:$C,AD$37
  )
)</f>
        <v>347.22100917225288</v>
      </c>
      <c r="AF48" s="10">
        <f t="shared" si="61"/>
        <v>1341.7076453980878</v>
      </c>
      <c r="AH48" s="34"/>
    </row>
    <row r="49" spans="2:34" outlineLevel="1" x14ac:dyDescent="0.2">
      <c r="D49" s="8" t="s">
        <v>168</v>
      </c>
      <c r="E49" s="10" cm="1">
        <f t="array" ref="E49">0.000001 * SUM(
  SUMIFS(
    'Resource Summary'!$U:$U,
    'Resource Summary'!$B:$B,zones_to_group,
    'Resource Summary'!$A:$A,TRANSPOSE(_xlfn._xlws.FILTER('Results Grouping'!$G$9:$G$322,('Results Grouping'!$H$9:$H$322=$D$18) * ('Results Grouping'!$I$9:$I$322=$D49),0)),
    'Resource Summary'!$C:$C,E$37
  ),
  SUMIFS(
    'Resource Summary'!$V:$V,
    'Resource Summary'!$B:$B,zones_to_group,
    'Resource Summary'!$A:$A,TRANSPOSE(_xlfn._xlws.FILTER('Results Grouping'!$G$9:$G$322,('Results Grouping'!$H$9:$H$322=$D$18) * ('Results Grouping'!$I$9:$I$322=$D49),0)),
    'Resource Summary'!$C:$C,E$37
  ),
  SUMIFS(
    'Resource Summary'!$W:$W,
    'Resource Summary'!$B:$B,zones_to_group,
    'Resource Summary'!$A:$A,TRANSPOSE(_xlfn._xlws.FILTER('Results Grouping'!$G$9:$G$322,('Results Grouping'!$H$9:$H$322=$D$18) * ('Results Grouping'!$I$9:$I$322=$D49),0)),
    'Resource Summary'!$C:$C,E$37
  ),
  SUMIFS(
    'Resource Summary'!$X:$X,
    'Resource Summary'!$B:$B,zones_to_group,
    'Resource Summary'!$A:$A,TRANSPOSE(_xlfn._xlws.FILTER('Results Grouping'!$G$9:$G$322,('Results Grouping'!$H$9:$H$322=$D$18) * ('Results Grouping'!$I$9:$I$322=$D49),0)),
    'Resource Summary'!$C:$C,E$37
  ),
  SUMIFS(
    'Resource Summary'!$Y:$Y,
    'Resource Summary'!$B:$B,zones_to_group,
    'Resource Summary'!$A:$A,TRANSPOSE(_xlfn._xlws.FILTER('Results Grouping'!$G$9:$G$322,('Results Grouping'!$H$9:$H$322=$D$18) * ('Results Grouping'!$I$9:$I$322=$D49),0)),
    'Resource Summary'!$C:$C,E$37
  )
)</f>
        <v>0</v>
      </c>
      <c r="F49" s="10" cm="1">
        <f t="array" ref="F49">0.000001 * SUM(
  SUMIFS(
    'Resource Summary'!$U:$U,
    'Resource Summary'!$B:$B,zones_to_group,
    'Resource Summary'!$A:$A,TRANSPOSE(_xlfn._xlws.FILTER('Results Grouping'!$G$9:$G$322,('Results Grouping'!$H$9:$H$322=$D$18) * ('Results Grouping'!$I$9:$I$322=$D49),0)),
    'Resource Summary'!$C:$C,F$37
  ),
  SUMIFS(
    'Resource Summary'!$V:$V,
    'Resource Summary'!$B:$B,zones_to_group,
    'Resource Summary'!$A:$A,TRANSPOSE(_xlfn._xlws.FILTER('Results Grouping'!$G$9:$G$322,('Results Grouping'!$H$9:$H$322=$D$18) * ('Results Grouping'!$I$9:$I$322=$D49),0)),
    'Resource Summary'!$C:$C,F$37
  ),
  SUMIFS(
    'Resource Summary'!$W:$W,
    'Resource Summary'!$B:$B,zones_to_group,
    'Resource Summary'!$A:$A,TRANSPOSE(_xlfn._xlws.FILTER('Results Grouping'!$G$9:$G$322,('Results Grouping'!$H$9:$H$322=$D$18) * ('Results Grouping'!$I$9:$I$322=$D49),0)),
    'Resource Summary'!$C:$C,F$37
  ),
  SUMIFS(
    'Resource Summary'!$X:$X,
    'Resource Summary'!$B:$B,zones_to_group,
    'Resource Summary'!$A:$A,TRANSPOSE(_xlfn._xlws.FILTER('Results Grouping'!$G$9:$G$322,('Results Grouping'!$H$9:$H$322=$D$18) * ('Results Grouping'!$I$9:$I$322=$D49),0)),
    'Resource Summary'!$C:$C,F$37
  ),
  SUMIFS(
    'Resource Summary'!$Y:$Y,
    'Resource Summary'!$B:$B,zones_to_group,
    'Resource Summary'!$A:$A,TRANSPOSE(_xlfn._xlws.FILTER('Results Grouping'!$G$9:$G$322,('Results Grouping'!$H$9:$H$322=$D$18) * ('Results Grouping'!$I$9:$I$322=$D49),0)),
    'Resource Summary'!$C:$C,F$37
  )
)</f>
        <v>0</v>
      </c>
      <c r="G49" s="10" cm="1">
        <f t="array" ref="G49">0.000001 * SUM(
  SUMIFS(
    'Resource Summary'!$U:$U,
    'Resource Summary'!$B:$B,zones_to_group,
    'Resource Summary'!$A:$A,TRANSPOSE(_xlfn._xlws.FILTER('Results Grouping'!$G$9:$G$322,('Results Grouping'!$H$9:$H$322=$D$18) * ('Results Grouping'!$I$9:$I$322=$D49),0)),
    'Resource Summary'!$C:$C,G$37
  ),
  SUMIFS(
    'Resource Summary'!$V:$V,
    'Resource Summary'!$B:$B,zones_to_group,
    'Resource Summary'!$A:$A,TRANSPOSE(_xlfn._xlws.FILTER('Results Grouping'!$G$9:$G$322,('Results Grouping'!$H$9:$H$322=$D$18) * ('Results Grouping'!$I$9:$I$322=$D49),0)),
    'Resource Summary'!$C:$C,G$37
  ),
  SUMIFS(
    'Resource Summary'!$W:$W,
    'Resource Summary'!$B:$B,zones_to_group,
    'Resource Summary'!$A:$A,TRANSPOSE(_xlfn._xlws.FILTER('Results Grouping'!$G$9:$G$322,('Results Grouping'!$H$9:$H$322=$D$18) * ('Results Grouping'!$I$9:$I$322=$D49),0)),
    'Resource Summary'!$C:$C,G$37
  ),
  SUMIFS(
    'Resource Summary'!$X:$X,
    'Resource Summary'!$B:$B,zones_to_group,
    'Resource Summary'!$A:$A,TRANSPOSE(_xlfn._xlws.FILTER('Results Grouping'!$G$9:$G$322,('Results Grouping'!$H$9:$H$322=$D$18) * ('Results Grouping'!$I$9:$I$322=$D49),0)),
    'Resource Summary'!$C:$C,G$37
  ),
  SUMIFS(
    'Resource Summary'!$Y:$Y,
    'Resource Summary'!$B:$B,zones_to_group,
    'Resource Summary'!$A:$A,TRANSPOSE(_xlfn._xlws.FILTER('Results Grouping'!$G$9:$G$322,('Results Grouping'!$H$9:$H$322=$D$18) * ('Results Grouping'!$I$9:$I$322=$D49),0)),
    'Resource Summary'!$C:$C,G$37
  )
)</f>
        <v>0</v>
      </c>
      <c r="H49" s="10" cm="1">
        <f t="array" ref="H49">0.000001 * SUM(
  SUMIFS(
    'Resource Summary'!$U:$U,
    'Resource Summary'!$B:$B,zones_to_group,
    'Resource Summary'!$A:$A,TRANSPOSE(_xlfn._xlws.FILTER('Results Grouping'!$G$9:$G$322,('Results Grouping'!$H$9:$H$322=$D$18) * ('Results Grouping'!$I$9:$I$322=$D49),0)),
    'Resource Summary'!$C:$C,H$37
  ),
  SUMIFS(
    'Resource Summary'!$V:$V,
    'Resource Summary'!$B:$B,zones_to_group,
    'Resource Summary'!$A:$A,TRANSPOSE(_xlfn._xlws.FILTER('Results Grouping'!$G$9:$G$322,('Results Grouping'!$H$9:$H$322=$D$18) * ('Results Grouping'!$I$9:$I$322=$D49),0)),
    'Resource Summary'!$C:$C,H$37
  ),
  SUMIFS(
    'Resource Summary'!$W:$W,
    'Resource Summary'!$B:$B,zones_to_group,
    'Resource Summary'!$A:$A,TRANSPOSE(_xlfn._xlws.FILTER('Results Grouping'!$G$9:$G$322,('Results Grouping'!$H$9:$H$322=$D$18) * ('Results Grouping'!$I$9:$I$322=$D49),0)),
    'Resource Summary'!$C:$C,H$37
  ),
  SUMIFS(
    'Resource Summary'!$X:$X,
    'Resource Summary'!$B:$B,zones_to_group,
    'Resource Summary'!$A:$A,TRANSPOSE(_xlfn._xlws.FILTER('Results Grouping'!$G$9:$G$322,('Results Grouping'!$H$9:$H$322=$D$18) * ('Results Grouping'!$I$9:$I$322=$D49),0)),
    'Resource Summary'!$C:$C,H$37
  ),
  SUMIFS(
    'Resource Summary'!$Y:$Y,
    'Resource Summary'!$B:$B,zones_to_group,
    'Resource Summary'!$A:$A,TRANSPOSE(_xlfn._xlws.FILTER('Results Grouping'!$G$9:$G$322,('Results Grouping'!$H$9:$H$322=$D$18) * ('Results Grouping'!$I$9:$I$322=$D49),0)),
    'Resource Summary'!$C:$C,H$37
  )
)</f>
        <v>0</v>
      </c>
      <c r="I49" s="10" cm="1">
        <f t="array" ref="I49">0.000001 * SUM(
  SUMIFS(
    'Resource Summary'!$U:$U,
    'Resource Summary'!$B:$B,zones_to_group,
    'Resource Summary'!$A:$A,TRANSPOSE(_xlfn._xlws.FILTER('Results Grouping'!$G$9:$G$322,('Results Grouping'!$H$9:$H$322=$D$18) * ('Results Grouping'!$I$9:$I$322=$D49),0)),
    'Resource Summary'!$C:$C,I$37
  ),
  SUMIFS(
    'Resource Summary'!$V:$V,
    'Resource Summary'!$B:$B,zones_to_group,
    'Resource Summary'!$A:$A,TRANSPOSE(_xlfn._xlws.FILTER('Results Grouping'!$G$9:$G$322,('Results Grouping'!$H$9:$H$322=$D$18) * ('Results Grouping'!$I$9:$I$322=$D49),0)),
    'Resource Summary'!$C:$C,I$37
  ),
  SUMIFS(
    'Resource Summary'!$W:$W,
    'Resource Summary'!$B:$B,zones_to_group,
    'Resource Summary'!$A:$A,TRANSPOSE(_xlfn._xlws.FILTER('Results Grouping'!$G$9:$G$322,('Results Grouping'!$H$9:$H$322=$D$18) * ('Results Grouping'!$I$9:$I$322=$D49),0)),
    'Resource Summary'!$C:$C,I$37
  ),
  SUMIFS(
    'Resource Summary'!$X:$X,
    'Resource Summary'!$B:$B,zones_to_group,
    'Resource Summary'!$A:$A,TRANSPOSE(_xlfn._xlws.FILTER('Results Grouping'!$G$9:$G$322,('Results Grouping'!$H$9:$H$322=$D$18) * ('Results Grouping'!$I$9:$I$322=$D49),0)),
    'Resource Summary'!$C:$C,I$37
  ),
  SUMIFS(
    'Resource Summary'!$Y:$Y,
    'Resource Summary'!$B:$B,zones_to_group,
    'Resource Summary'!$A:$A,TRANSPOSE(_xlfn._xlws.FILTER('Results Grouping'!$G$9:$G$322,('Results Grouping'!$H$9:$H$322=$D$18) * ('Results Grouping'!$I$9:$I$322=$D49),0)),
    'Resource Summary'!$C:$C,I$37
  )
)</f>
        <v>0</v>
      </c>
      <c r="J49" s="10" cm="1">
        <f t="array" ref="J49">0.000001 * SUM(
  SUMIFS(
    'Resource Summary'!$U:$U,
    'Resource Summary'!$B:$B,zones_to_group,
    'Resource Summary'!$A:$A,TRANSPOSE(_xlfn._xlws.FILTER('Results Grouping'!$G$9:$G$322,('Results Grouping'!$H$9:$H$322=$D$18) * ('Results Grouping'!$I$9:$I$322=$D49),0)),
    'Resource Summary'!$C:$C,J$37
  ),
  SUMIFS(
    'Resource Summary'!$V:$V,
    'Resource Summary'!$B:$B,zones_to_group,
    'Resource Summary'!$A:$A,TRANSPOSE(_xlfn._xlws.FILTER('Results Grouping'!$G$9:$G$322,('Results Grouping'!$H$9:$H$322=$D$18) * ('Results Grouping'!$I$9:$I$322=$D49),0)),
    'Resource Summary'!$C:$C,J$37
  ),
  SUMIFS(
    'Resource Summary'!$W:$W,
    'Resource Summary'!$B:$B,zones_to_group,
    'Resource Summary'!$A:$A,TRANSPOSE(_xlfn._xlws.FILTER('Results Grouping'!$G$9:$G$322,('Results Grouping'!$H$9:$H$322=$D$18) * ('Results Grouping'!$I$9:$I$322=$D49),0)),
    'Resource Summary'!$C:$C,J$37
  ),
  SUMIFS(
    'Resource Summary'!$X:$X,
    'Resource Summary'!$B:$B,zones_to_group,
    'Resource Summary'!$A:$A,TRANSPOSE(_xlfn._xlws.FILTER('Results Grouping'!$G$9:$G$322,('Results Grouping'!$H$9:$H$322=$D$18) * ('Results Grouping'!$I$9:$I$322=$D49),0)),
    'Resource Summary'!$C:$C,J$37
  ),
  SUMIFS(
    'Resource Summary'!$Y:$Y,
    'Resource Summary'!$B:$B,zones_to_group,
    'Resource Summary'!$A:$A,TRANSPOSE(_xlfn._xlws.FILTER('Results Grouping'!$G$9:$G$322,('Results Grouping'!$H$9:$H$322=$D$18) * ('Results Grouping'!$I$9:$I$322=$D49),0)),
    'Resource Summary'!$C:$C,J$37
  )
)</f>
        <v>0</v>
      </c>
      <c r="K49" s="10" cm="1">
        <f t="array" ref="K49">0.000001 * SUM(
  SUMIFS(
    'Resource Summary'!$U:$U,
    'Resource Summary'!$B:$B,zones_to_group,
    'Resource Summary'!$A:$A,TRANSPOSE(_xlfn._xlws.FILTER('Results Grouping'!$G$9:$G$322,('Results Grouping'!$H$9:$H$322=$D$18) * ('Results Grouping'!$I$9:$I$322=$D49),0)),
    'Resource Summary'!$C:$C,K$37
  ),
  SUMIFS(
    'Resource Summary'!$V:$V,
    'Resource Summary'!$B:$B,zones_to_group,
    'Resource Summary'!$A:$A,TRANSPOSE(_xlfn._xlws.FILTER('Results Grouping'!$G$9:$G$322,('Results Grouping'!$H$9:$H$322=$D$18) * ('Results Grouping'!$I$9:$I$322=$D49),0)),
    'Resource Summary'!$C:$C,K$37
  ),
  SUMIFS(
    'Resource Summary'!$W:$W,
    'Resource Summary'!$B:$B,zones_to_group,
    'Resource Summary'!$A:$A,TRANSPOSE(_xlfn._xlws.FILTER('Results Grouping'!$G$9:$G$322,('Results Grouping'!$H$9:$H$322=$D$18) * ('Results Grouping'!$I$9:$I$322=$D49),0)),
    'Resource Summary'!$C:$C,K$37
  ),
  SUMIFS(
    'Resource Summary'!$X:$X,
    'Resource Summary'!$B:$B,zones_to_group,
    'Resource Summary'!$A:$A,TRANSPOSE(_xlfn._xlws.FILTER('Results Grouping'!$G$9:$G$322,('Results Grouping'!$H$9:$H$322=$D$18) * ('Results Grouping'!$I$9:$I$322=$D49),0)),
    'Resource Summary'!$C:$C,K$37
  ),
  SUMIFS(
    'Resource Summary'!$Y:$Y,
    'Resource Summary'!$B:$B,zones_to_group,
    'Resource Summary'!$A:$A,TRANSPOSE(_xlfn._xlws.FILTER('Results Grouping'!$G$9:$G$322,('Results Grouping'!$H$9:$H$322=$D$18) * ('Results Grouping'!$I$9:$I$322=$D49),0)),
    'Resource Summary'!$C:$C,K$37
  )
)</f>
        <v>0</v>
      </c>
      <c r="L49" s="10" cm="1">
        <f t="array" ref="L49">0.000001 * SUM(
  SUMIFS(
    'Resource Summary'!$U:$U,
    'Resource Summary'!$B:$B,zones_to_group,
    'Resource Summary'!$A:$A,TRANSPOSE(_xlfn._xlws.FILTER('Results Grouping'!$G$9:$G$322,('Results Grouping'!$H$9:$H$322=$D$18) * ('Results Grouping'!$I$9:$I$322=$D49),0)),
    'Resource Summary'!$C:$C,L$37
  ),
  SUMIFS(
    'Resource Summary'!$V:$V,
    'Resource Summary'!$B:$B,zones_to_group,
    'Resource Summary'!$A:$A,TRANSPOSE(_xlfn._xlws.FILTER('Results Grouping'!$G$9:$G$322,('Results Grouping'!$H$9:$H$322=$D$18) * ('Results Grouping'!$I$9:$I$322=$D49),0)),
    'Resource Summary'!$C:$C,L$37
  ),
  SUMIFS(
    'Resource Summary'!$W:$W,
    'Resource Summary'!$B:$B,zones_to_group,
    'Resource Summary'!$A:$A,TRANSPOSE(_xlfn._xlws.FILTER('Results Grouping'!$G$9:$G$322,('Results Grouping'!$H$9:$H$322=$D$18) * ('Results Grouping'!$I$9:$I$322=$D49),0)),
    'Resource Summary'!$C:$C,L$37
  ),
  SUMIFS(
    'Resource Summary'!$X:$X,
    'Resource Summary'!$B:$B,zones_to_group,
    'Resource Summary'!$A:$A,TRANSPOSE(_xlfn._xlws.FILTER('Results Grouping'!$G$9:$G$322,('Results Grouping'!$H$9:$H$322=$D$18) * ('Results Grouping'!$I$9:$I$322=$D49),0)),
    'Resource Summary'!$C:$C,L$37
  ),
  SUMIFS(
    'Resource Summary'!$Y:$Y,
    'Resource Summary'!$B:$B,zones_to_group,
    'Resource Summary'!$A:$A,TRANSPOSE(_xlfn._xlws.FILTER('Results Grouping'!$G$9:$G$322,('Results Grouping'!$H$9:$H$322=$D$18) * ('Results Grouping'!$I$9:$I$322=$D49),0)),
    'Resource Summary'!$C:$C,L$37
  )
)</f>
        <v>0</v>
      </c>
      <c r="M49" s="10" cm="1">
        <f t="array" ref="M49">0.000001 * SUM(
  SUMIFS(
    'Resource Summary'!$U:$U,
    'Resource Summary'!$B:$B,zones_to_group,
    'Resource Summary'!$A:$A,TRANSPOSE(_xlfn._xlws.FILTER('Results Grouping'!$G$9:$G$322,('Results Grouping'!$H$9:$H$322=$D$18) * ('Results Grouping'!$I$9:$I$322=$D49),0)),
    'Resource Summary'!$C:$C,M$37
  ),
  SUMIFS(
    'Resource Summary'!$V:$V,
    'Resource Summary'!$B:$B,zones_to_group,
    'Resource Summary'!$A:$A,TRANSPOSE(_xlfn._xlws.FILTER('Results Grouping'!$G$9:$G$322,('Results Grouping'!$H$9:$H$322=$D$18) * ('Results Grouping'!$I$9:$I$322=$D49),0)),
    'Resource Summary'!$C:$C,M$37
  ),
  SUMIFS(
    'Resource Summary'!$W:$W,
    'Resource Summary'!$B:$B,zones_to_group,
    'Resource Summary'!$A:$A,TRANSPOSE(_xlfn._xlws.FILTER('Results Grouping'!$G$9:$G$322,('Results Grouping'!$H$9:$H$322=$D$18) * ('Results Grouping'!$I$9:$I$322=$D49),0)),
    'Resource Summary'!$C:$C,M$37
  ),
  SUMIFS(
    'Resource Summary'!$X:$X,
    'Resource Summary'!$B:$B,zones_to_group,
    'Resource Summary'!$A:$A,TRANSPOSE(_xlfn._xlws.FILTER('Results Grouping'!$G$9:$G$322,('Results Grouping'!$H$9:$H$322=$D$18) * ('Results Grouping'!$I$9:$I$322=$D49),0)),
    'Resource Summary'!$C:$C,M$37
  ),
  SUMIFS(
    'Resource Summary'!$Y:$Y,
    'Resource Summary'!$B:$B,zones_to_group,
    'Resource Summary'!$A:$A,TRANSPOSE(_xlfn._xlws.FILTER('Results Grouping'!$G$9:$G$322,('Results Grouping'!$H$9:$H$322=$D$18) * ('Results Grouping'!$I$9:$I$322=$D49),0)),
    'Resource Summary'!$C:$C,M$37
  )
)</f>
        <v>0</v>
      </c>
      <c r="N49" s="10" cm="1">
        <f t="array" ref="N49">0.000001 * SUM(
  SUMIFS(
    'Resource Summary'!$U:$U,
    'Resource Summary'!$B:$B,zones_to_group,
    'Resource Summary'!$A:$A,TRANSPOSE(_xlfn._xlws.FILTER('Results Grouping'!$G$9:$G$322,('Results Grouping'!$H$9:$H$322=$D$18) * ('Results Grouping'!$I$9:$I$322=$D49),0)),
    'Resource Summary'!$C:$C,N$37
  ),
  SUMIFS(
    'Resource Summary'!$V:$V,
    'Resource Summary'!$B:$B,zones_to_group,
    'Resource Summary'!$A:$A,TRANSPOSE(_xlfn._xlws.FILTER('Results Grouping'!$G$9:$G$322,('Results Grouping'!$H$9:$H$322=$D$18) * ('Results Grouping'!$I$9:$I$322=$D49),0)),
    'Resource Summary'!$C:$C,N$37
  ),
  SUMIFS(
    'Resource Summary'!$W:$W,
    'Resource Summary'!$B:$B,zones_to_group,
    'Resource Summary'!$A:$A,TRANSPOSE(_xlfn._xlws.FILTER('Results Grouping'!$G$9:$G$322,('Results Grouping'!$H$9:$H$322=$D$18) * ('Results Grouping'!$I$9:$I$322=$D49),0)),
    'Resource Summary'!$C:$C,N$37
  ),
  SUMIFS(
    'Resource Summary'!$X:$X,
    'Resource Summary'!$B:$B,zones_to_group,
    'Resource Summary'!$A:$A,TRANSPOSE(_xlfn._xlws.FILTER('Results Grouping'!$G$9:$G$322,('Results Grouping'!$H$9:$H$322=$D$18) * ('Results Grouping'!$I$9:$I$322=$D49),0)),
    'Resource Summary'!$C:$C,N$37
  ),
  SUMIFS(
    'Resource Summary'!$Y:$Y,
    'Resource Summary'!$B:$B,zones_to_group,
    'Resource Summary'!$A:$A,TRANSPOSE(_xlfn._xlws.FILTER('Results Grouping'!$G$9:$G$322,('Results Grouping'!$H$9:$H$322=$D$18) * ('Results Grouping'!$I$9:$I$322=$D49),0)),
    'Resource Summary'!$C:$C,N$37
  )
)</f>
        <v>0</v>
      </c>
      <c r="O49" s="10" cm="1">
        <f t="array" ref="O49">0.000001 * SUM(
  SUMIFS(
    'Resource Summary'!$U:$U,
    'Resource Summary'!$B:$B,zones_to_group,
    'Resource Summary'!$A:$A,TRANSPOSE(_xlfn._xlws.FILTER('Results Grouping'!$G$9:$G$322,('Results Grouping'!$H$9:$H$322=$D$18) * ('Results Grouping'!$I$9:$I$322=$D49),0)),
    'Resource Summary'!$C:$C,O$37
  ),
  SUMIFS(
    'Resource Summary'!$V:$V,
    'Resource Summary'!$B:$B,zones_to_group,
    'Resource Summary'!$A:$A,TRANSPOSE(_xlfn._xlws.FILTER('Results Grouping'!$G$9:$G$322,('Results Grouping'!$H$9:$H$322=$D$18) * ('Results Grouping'!$I$9:$I$322=$D49),0)),
    'Resource Summary'!$C:$C,O$37
  ),
  SUMIFS(
    'Resource Summary'!$W:$W,
    'Resource Summary'!$B:$B,zones_to_group,
    'Resource Summary'!$A:$A,TRANSPOSE(_xlfn._xlws.FILTER('Results Grouping'!$G$9:$G$322,('Results Grouping'!$H$9:$H$322=$D$18) * ('Results Grouping'!$I$9:$I$322=$D49),0)),
    'Resource Summary'!$C:$C,O$37
  ),
  SUMIFS(
    'Resource Summary'!$X:$X,
    'Resource Summary'!$B:$B,zones_to_group,
    'Resource Summary'!$A:$A,TRANSPOSE(_xlfn._xlws.FILTER('Results Grouping'!$G$9:$G$322,('Results Grouping'!$H$9:$H$322=$D$18) * ('Results Grouping'!$I$9:$I$322=$D49),0)),
    'Resource Summary'!$C:$C,O$37
  ),
  SUMIFS(
    'Resource Summary'!$Y:$Y,
    'Resource Summary'!$B:$B,zones_to_group,
    'Resource Summary'!$A:$A,TRANSPOSE(_xlfn._xlws.FILTER('Results Grouping'!$G$9:$G$322,('Results Grouping'!$H$9:$H$322=$D$18) * ('Results Grouping'!$I$9:$I$322=$D49),0)),
    'Resource Summary'!$C:$C,O$37
  )
)</f>
        <v>0</v>
      </c>
      <c r="P49" s="10" cm="1">
        <f t="array" ref="P49">0.000001 * SUM(
  SUMIFS(
    'Resource Summary'!$U:$U,
    'Resource Summary'!$B:$B,zones_to_group,
    'Resource Summary'!$A:$A,TRANSPOSE(_xlfn._xlws.FILTER('Results Grouping'!$G$9:$G$322,('Results Grouping'!$H$9:$H$322=$D$18) * ('Results Grouping'!$I$9:$I$322=$D49),0)),
    'Resource Summary'!$C:$C,P$37
  ),
  SUMIFS(
    'Resource Summary'!$V:$V,
    'Resource Summary'!$B:$B,zones_to_group,
    'Resource Summary'!$A:$A,TRANSPOSE(_xlfn._xlws.FILTER('Results Grouping'!$G$9:$G$322,('Results Grouping'!$H$9:$H$322=$D$18) * ('Results Grouping'!$I$9:$I$322=$D49),0)),
    'Resource Summary'!$C:$C,P$37
  ),
  SUMIFS(
    'Resource Summary'!$W:$W,
    'Resource Summary'!$B:$B,zones_to_group,
    'Resource Summary'!$A:$A,TRANSPOSE(_xlfn._xlws.FILTER('Results Grouping'!$G$9:$G$322,('Results Grouping'!$H$9:$H$322=$D$18) * ('Results Grouping'!$I$9:$I$322=$D49),0)),
    'Resource Summary'!$C:$C,P$37
  ),
  SUMIFS(
    'Resource Summary'!$X:$X,
    'Resource Summary'!$B:$B,zones_to_group,
    'Resource Summary'!$A:$A,TRANSPOSE(_xlfn._xlws.FILTER('Results Grouping'!$G$9:$G$322,('Results Grouping'!$H$9:$H$322=$D$18) * ('Results Grouping'!$I$9:$I$322=$D49),0)),
    'Resource Summary'!$C:$C,P$37
  ),
  SUMIFS(
    'Resource Summary'!$Y:$Y,
    'Resource Summary'!$B:$B,zones_to_group,
    'Resource Summary'!$A:$A,TRANSPOSE(_xlfn._xlws.FILTER('Results Grouping'!$G$9:$G$322,('Results Grouping'!$H$9:$H$322=$D$18) * ('Results Grouping'!$I$9:$I$322=$D49),0)),
    'Resource Summary'!$C:$C,P$37
  )
)</f>
        <v>0</v>
      </c>
      <c r="Q49" s="10" cm="1">
        <f t="array" ref="Q49">0.000001 * SUM(
  SUMIFS(
    'Resource Summary'!$U:$U,
    'Resource Summary'!$B:$B,zones_to_group,
    'Resource Summary'!$A:$A,TRANSPOSE(_xlfn._xlws.FILTER('Results Grouping'!$G$9:$G$322,('Results Grouping'!$H$9:$H$322=$D$18) * ('Results Grouping'!$I$9:$I$322=$D49),0)),
    'Resource Summary'!$C:$C,Q$37
  ),
  SUMIFS(
    'Resource Summary'!$V:$V,
    'Resource Summary'!$B:$B,zones_to_group,
    'Resource Summary'!$A:$A,TRANSPOSE(_xlfn._xlws.FILTER('Results Grouping'!$G$9:$G$322,('Results Grouping'!$H$9:$H$322=$D$18) * ('Results Grouping'!$I$9:$I$322=$D49),0)),
    'Resource Summary'!$C:$C,Q$37
  ),
  SUMIFS(
    'Resource Summary'!$W:$W,
    'Resource Summary'!$B:$B,zones_to_group,
    'Resource Summary'!$A:$A,TRANSPOSE(_xlfn._xlws.FILTER('Results Grouping'!$G$9:$G$322,('Results Grouping'!$H$9:$H$322=$D$18) * ('Results Grouping'!$I$9:$I$322=$D49),0)),
    'Resource Summary'!$C:$C,Q$37
  ),
  SUMIFS(
    'Resource Summary'!$X:$X,
    'Resource Summary'!$B:$B,zones_to_group,
    'Resource Summary'!$A:$A,TRANSPOSE(_xlfn._xlws.FILTER('Results Grouping'!$G$9:$G$322,('Results Grouping'!$H$9:$H$322=$D$18) * ('Results Grouping'!$I$9:$I$322=$D49),0)),
    'Resource Summary'!$C:$C,Q$37
  ),
  SUMIFS(
    'Resource Summary'!$Y:$Y,
    'Resource Summary'!$B:$B,zones_to_group,
    'Resource Summary'!$A:$A,TRANSPOSE(_xlfn._xlws.FILTER('Results Grouping'!$G$9:$G$322,('Results Grouping'!$H$9:$H$322=$D$18) * ('Results Grouping'!$I$9:$I$322=$D49),0)),
    'Resource Summary'!$C:$C,Q$37
  )
)</f>
        <v>0</v>
      </c>
      <c r="R49" s="10" cm="1">
        <f t="array" ref="R49">0.000001 * SUM(
  SUMIFS(
    'Resource Summary'!$U:$U,
    'Resource Summary'!$B:$B,zones_to_group,
    'Resource Summary'!$A:$A,TRANSPOSE(_xlfn._xlws.FILTER('Results Grouping'!$G$9:$G$322,('Results Grouping'!$H$9:$H$322=$D$18) * ('Results Grouping'!$I$9:$I$322=$D49),0)),
    'Resource Summary'!$C:$C,R$37
  ),
  SUMIFS(
    'Resource Summary'!$V:$V,
    'Resource Summary'!$B:$B,zones_to_group,
    'Resource Summary'!$A:$A,TRANSPOSE(_xlfn._xlws.FILTER('Results Grouping'!$G$9:$G$322,('Results Grouping'!$H$9:$H$322=$D$18) * ('Results Grouping'!$I$9:$I$322=$D49),0)),
    'Resource Summary'!$C:$C,R$37
  ),
  SUMIFS(
    'Resource Summary'!$W:$W,
    'Resource Summary'!$B:$B,zones_to_group,
    'Resource Summary'!$A:$A,TRANSPOSE(_xlfn._xlws.FILTER('Results Grouping'!$G$9:$G$322,('Results Grouping'!$H$9:$H$322=$D$18) * ('Results Grouping'!$I$9:$I$322=$D49),0)),
    'Resource Summary'!$C:$C,R$37
  ),
  SUMIFS(
    'Resource Summary'!$X:$X,
    'Resource Summary'!$B:$B,zones_to_group,
    'Resource Summary'!$A:$A,TRANSPOSE(_xlfn._xlws.FILTER('Results Grouping'!$G$9:$G$322,('Results Grouping'!$H$9:$H$322=$D$18) * ('Results Grouping'!$I$9:$I$322=$D49),0)),
    'Resource Summary'!$C:$C,R$37
  ),
  SUMIFS(
    'Resource Summary'!$Y:$Y,
    'Resource Summary'!$B:$B,zones_to_group,
    'Resource Summary'!$A:$A,TRANSPOSE(_xlfn._xlws.FILTER('Results Grouping'!$G$9:$G$322,('Results Grouping'!$H$9:$H$322=$D$18) * ('Results Grouping'!$I$9:$I$322=$D49),0)),
    'Resource Summary'!$C:$C,R$37
  )
)</f>
        <v>0</v>
      </c>
      <c r="S49" s="10" cm="1">
        <f t="array" ref="S49">0.000001 * SUM(
  SUMIFS(
    'Resource Summary'!$U:$U,
    'Resource Summary'!$B:$B,zones_to_group,
    'Resource Summary'!$A:$A,TRANSPOSE(_xlfn._xlws.FILTER('Results Grouping'!$G$9:$G$322,('Results Grouping'!$H$9:$H$322=$D$18) * ('Results Grouping'!$I$9:$I$322=$D49),0)),
    'Resource Summary'!$C:$C,S$37
  ),
  SUMIFS(
    'Resource Summary'!$V:$V,
    'Resource Summary'!$B:$B,zones_to_group,
    'Resource Summary'!$A:$A,TRANSPOSE(_xlfn._xlws.FILTER('Results Grouping'!$G$9:$G$322,('Results Grouping'!$H$9:$H$322=$D$18) * ('Results Grouping'!$I$9:$I$322=$D49),0)),
    'Resource Summary'!$C:$C,S$37
  ),
  SUMIFS(
    'Resource Summary'!$W:$W,
    'Resource Summary'!$B:$B,zones_to_group,
    'Resource Summary'!$A:$A,TRANSPOSE(_xlfn._xlws.FILTER('Results Grouping'!$G$9:$G$322,('Results Grouping'!$H$9:$H$322=$D$18) * ('Results Grouping'!$I$9:$I$322=$D49),0)),
    'Resource Summary'!$C:$C,S$37
  ),
  SUMIFS(
    'Resource Summary'!$X:$X,
    'Resource Summary'!$B:$B,zones_to_group,
    'Resource Summary'!$A:$A,TRANSPOSE(_xlfn._xlws.FILTER('Results Grouping'!$G$9:$G$322,('Results Grouping'!$H$9:$H$322=$D$18) * ('Results Grouping'!$I$9:$I$322=$D49),0)),
    'Resource Summary'!$C:$C,S$37
  ),
  SUMIFS(
    'Resource Summary'!$Y:$Y,
    'Resource Summary'!$B:$B,zones_to_group,
    'Resource Summary'!$A:$A,TRANSPOSE(_xlfn._xlws.FILTER('Results Grouping'!$G$9:$G$322,('Results Grouping'!$H$9:$H$322=$D$18) * ('Results Grouping'!$I$9:$I$322=$D49),0)),
    'Resource Summary'!$C:$C,S$37
  )
)</f>
        <v>0</v>
      </c>
      <c r="T49" s="10" cm="1">
        <f t="array" ref="T49">0.000001 * SUM(
  SUMIFS(
    'Resource Summary'!$U:$U,
    'Resource Summary'!$B:$B,zones_to_group,
    'Resource Summary'!$A:$A,TRANSPOSE(_xlfn._xlws.FILTER('Results Grouping'!$G$9:$G$322,('Results Grouping'!$H$9:$H$322=$D$18) * ('Results Grouping'!$I$9:$I$322=$D49),0)),
    'Resource Summary'!$C:$C,T$37
  ),
  SUMIFS(
    'Resource Summary'!$V:$V,
    'Resource Summary'!$B:$B,zones_to_group,
    'Resource Summary'!$A:$A,TRANSPOSE(_xlfn._xlws.FILTER('Results Grouping'!$G$9:$G$322,('Results Grouping'!$H$9:$H$322=$D$18) * ('Results Grouping'!$I$9:$I$322=$D49),0)),
    'Resource Summary'!$C:$C,T$37
  ),
  SUMIFS(
    'Resource Summary'!$W:$W,
    'Resource Summary'!$B:$B,zones_to_group,
    'Resource Summary'!$A:$A,TRANSPOSE(_xlfn._xlws.FILTER('Results Grouping'!$G$9:$G$322,('Results Grouping'!$H$9:$H$322=$D$18) * ('Results Grouping'!$I$9:$I$322=$D49),0)),
    'Resource Summary'!$C:$C,T$37
  ),
  SUMIFS(
    'Resource Summary'!$X:$X,
    'Resource Summary'!$B:$B,zones_to_group,
    'Resource Summary'!$A:$A,TRANSPOSE(_xlfn._xlws.FILTER('Results Grouping'!$G$9:$G$322,('Results Grouping'!$H$9:$H$322=$D$18) * ('Results Grouping'!$I$9:$I$322=$D49),0)),
    'Resource Summary'!$C:$C,T$37
  ),
  SUMIFS(
    'Resource Summary'!$Y:$Y,
    'Resource Summary'!$B:$B,zones_to_group,
    'Resource Summary'!$A:$A,TRANSPOSE(_xlfn._xlws.FILTER('Results Grouping'!$G$9:$G$322,('Results Grouping'!$H$9:$H$322=$D$18) * ('Results Grouping'!$I$9:$I$322=$D49),0)),
    'Resource Summary'!$C:$C,T$37
  )
)</f>
        <v>0</v>
      </c>
      <c r="U49" s="10" cm="1">
        <f t="array" ref="U49">0.000001 * SUM(
  SUMIFS(
    'Resource Summary'!$U:$U,
    'Resource Summary'!$B:$B,zones_to_group,
    'Resource Summary'!$A:$A,TRANSPOSE(_xlfn._xlws.FILTER('Results Grouping'!$G$9:$G$322,('Results Grouping'!$H$9:$H$322=$D$18) * ('Results Grouping'!$I$9:$I$322=$D49),0)),
    'Resource Summary'!$C:$C,U$37
  ),
  SUMIFS(
    'Resource Summary'!$V:$V,
    'Resource Summary'!$B:$B,zones_to_group,
    'Resource Summary'!$A:$A,TRANSPOSE(_xlfn._xlws.FILTER('Results Grouping'!$G$9:$G$322,('Results Grouping'!$H$9:$H$322=$D$18) * ('Results Grouping'!$I$9:$I$322=$D49),0)),
    'Resource Summary'!$C:$C,U$37
  ),
  SUMIFS(
    'Resource Summary'!$W:$W,
    'Resource Summary'!$B:$B,zones_to_group,
    'Resource Summary'!$A:$A,TRANSPOSE(_xlfn._xlws.FILTER('Results Grouping'!$G$9:$G$322,('Results Grouping'!$H$9:$H$322=$D$18) * ('Results Grouping'!$I$9:$I$322=$D49),0)),
    'Resource Summary'!$C:$C,U$37
  ),
  SUMIFS(
    'Resource Summary'!$X:$X,
    'Resource Summary'!$B:$B,zones_to_group,
    'Resource Summary'!$A:$A,TRANSPOSE(_xlfn._xlws.FILTER('Results Grouping'!$G$9:$G$322,('Results Grouping'!$H$9:$H$322=$D$18) * ('Results Grouping'!$I$9:$I$322=$D49),0)),
    'Resource Summary'!$C:$C,U$37
  ),
  SUMIFS(
    'Resource Summary'!$Y:$Y,
    'Resource Summary'!$B:$B,zones_to_group,
    'Resource Summary'!$A:$A,TRANSPOSE(_xlfn._xlws.FILTER('Results Grouping'!$G$9:$G$322,('Results Grouping'!$H$9:$H$322=$D$18) * ('Results Grouping'!$I$9:$I$322=$D49),0)),
    'Resource Summary'!$C:$C,U$37
  )
)</f>
        <v>0</v>
      </c>
      <c r="V49" s="10" cm="1">
        <f t="array" ref="V49">0.000001 * SUM(
  SUMIFS(
    'Resource Summary'!$U:$U,
    'Resource Summary'!$B:$B,zones_to_group,
    'Resource Summary'!$A:$A,TRANSPOSE(_xlfn._xlws.FILTER('Results Grouping'!$G$9:$G$322,('Results Grouping'!$H$9:$H$322=$D$18) * ('Results Grouping'!$I$9:$I$322=$D49),0)),
    'Resource Summary'!$C:$C,V$37
  ),
  SUMIFS(
    'Resource Summary'!$V:$V,
    'Resource Summary'!$B:$B,zones_to_group,
    'Resource Summary'!$A:$A,TRANSPOSE(_xlfn._xlws.FILTER('Results Grouping'!$G$9:$G$322,('Results Grouping'!$H$9:$H$322=$D$18) * ('Results Grouping'!$I$9:$I$322=$D49),0)),
    'Resource Summary'!$C:$C,V$37
  ),
  SUMIFS(
    'Resource Summary'!$W:$W,
    'Resource Summary'!$B:$B,zones_to_group,
    'Resource Summary'!$A:$A,TRANSPOSE(_xlfn._xlws.FILTER('Results Grouping'!$G$9:$G$322,('Results Grouping'!$H$9:$H$322=$D$18) * ('Results Grouping'!$I$9:$I$322=$D49),0)),
    'Resource Summary'!$C:$C,V$37
  ),
  SUMIFS(
    'Resource Summary'!$X:$X,
    'Resource Summary'!$B:$B,zones_to_group,
    'Resource Summary'!$A:$A,TRANSPOSE(_xlfn._xlws.FILTER('Results Grouping'!$G$9:$G$322,('Results Grouping'!$H$9:$H$322=$D$18) * ('Results Grouping'!$I$9:$I$322=$D49),0)),
    'Resource Summary'!$C:$C,V$37
  ),
  SUMIFS(
    'Resource Summary'!$Y:$Y,
    'Resource Summary'!$B:$B,zones_to_group,
    'Resource Summary'!$A:$A,TRANSPOSE(_xlfn._xlws.FILTER('Results Grouping'!$G$9:$G$322,('Results Grouping'!$H$9:$H$322=$D$18) * ('Results Grouping'!$I$9:$I$322=$D49),0)),
    'Resource Summary'!$C:$C,V$37
  )
)</f>
        <v>0</v>
      </c>
      <c r="W49" s="10" cm="1">
        <f t="array" ref="W49">0.000001 * SUM(
  SUMIFS(
    'Resource Summary'!$U:$U,
    'Resource Summary'!$B:$B,zones_to_group,
    'Resource Summary'!$A:$A,TRANSPOSE(_xlfn._xlws.FILTER('Results Grouping'!$G$9:$G$322,('Results Grouping'!$H$9:$H$322=$D$18) * ('Results Grouping'!$I$9:$I$322=$D49),0)),
    'Resource Summary'!$C:$C,W$37
  ),
  SUMIFS(
    'Resource Summary'!$V:$V,
    'Resource Summary'!$B:$B,zones_to_group,
    'Resource Summary'!$A:$A,TRANSPOSE(_xlfn._xlws.FILTER('Results Grouping'!$G$9:$G$322,('Results Grouping'!$H$9:$H$322=$D$18) * ('Results Grouping'!$I$9:$I$322=$D49),0)),
    'Resource Summary'!$C:$C,W$37
  ),
  SUMIFS(
    'Resource Summary'!$W:$W,
    'Resource Summary'!$B:$B,zones_to_group,
    'Resource Summary'!$A:$A,TRANSPOSE(_xlfn._xlws.FILTER('Results Grouping'!$G$9:$G$322,('Results Grouping'!$H$9:$H$322=$D$18) * ('Results Grouping'!$I$9:$I$322=$D49),0)),
    'Resource Summary'!$C:$C,W$37
  ),
  SUMIFS(
    'Resource Summary'!$X:$X,
    'Resource Summary'!$B:$B,zones_to_group,
    'Resource Summary'!$A:$A,TRANSPOSE(_xlfn._xlws.FILTER('Results Grouping'!$G$9:$G$322,('Results Grouping'!$H$9:$H$322=$D$18) * ('Results Grouping'!$I$9:$I$322=$D49),0)),
    'Resource Summary'!$C:$C,W$37
  ),
  SUMIFS(
    'Resource Summary'!$Y:$Y,
    'Resource Summary'!$B:$B,zones_to_group,
    'Resource Summary'!$A:$A,TRANSPOSE(_xlfn._xlws.FILTER('Results Grouping'!$G$9:$G$322,('Results Grouping'!$H$9:$H$322=$D$18) * ('Results Grouping'!$I$9:$I$322=$D49),0)),
    'Resource Summary'!$C:$C,W$37
  )
)</f>
        <v>0</v>
      </c>
      <c r="X49" s="10" cm="1">
        <f t="array" ref="X49">0.000001 * SUM(
  SUMIFS(
    'Resource Summary'!$U:$U,
    'Resource Summary'!$B:$B,zones_to_group,
    'Resource Summary'!$A:$A,TRANSPOSE(_xlfn._xlws.FILTER('Results Grouping'!$G$9:$G$322,('Results Grouping'!$H$9:$H$322=$D$18) * ('Results Grouping'!$I$9:$I$322=$D49),0)),
    'Resource Summary'!$C:$C,X$37
  ),
  SUMIFS(
    'Resource Summary'!$V:$V,
    'Resource Summary'!$B:$B,zones_to_group,
    'Resource Summary'!$A:$A,TRANSPOSE(_xlfn._xlws.FILTER('Results Grouping'!$G$9:$G$322,('Results Grouping'!$H$9:$H$322=$D$18) * ('Results Grouping'!$I$9:$I$322=$D49),0)),
    'Resource Summary'!$C:$C,X$37
  ),
  SUMIFS(
    'Resource Summary'!$W:$W,
    'Resource Summary'!$B:$B,zones_to_group,
    'Resource Summary'!$A:$A,TRANSPOSE(_xlfn._xlws.FILTER('Results Grouping'!$G$9:$G$322,('Results Grouping'!$H$9:$H$322=$D$18) * ('Results Grouping'!$I$9:$I$322=$D49),0)),
    'Resource Summary'!$C:$C,X$37
  ),
  SUMIFS(
    'Resource Summary'!$X:$X,
    'Resource Summary'!$B:$B,zones_to_group,
    'Resource Summary'!$A:$A,TRANSPOSE(_xlfn._xlws.FILTER('Results Grouping'!$G$9:$G$322,('Results Grouping'!$H$9:$H$322=$D$18) * ('Results Grouping'!$I$9:$I$322=$D49),0)),
    'Resource Summary'!$C:$C,X$37
  ),
  SUMIFS(
    'Resource Summary'!$Y:$Y,
    'Resource Summary'!$B:$B,zones_to_group,
    'Resource Summary'!$A:$A,TRANSPOSE(_xlfn._xlws.FILTER('Results Grouping'!$G$9:$G$322,('Results Grouping'!$H$9:$H$322=$D$18) * ('Results Grouping'!$I$9:$I$322=$D49),0)),
    'Resource Summary'!$C:$C,X$37
  )
)</f>
        <v>0</v>
      </c>
      <c r="Y49" s="10" cm="1">
        <f t="array" ref="Y49">0.000001 * SUM(
  SUMIFS(
    'Resource Summary'!$U:$U,
    'Resource Summary'!$B:$B,zones_to_group,
    'Resource Summary'!$A:$A,TRANSPOSE(_xlfn._xlws.FILTER('Results Grouping'!$G$9:$G$322,('Results Grouping'!$H$9:$H$322=$D$18) * ('Results Grouping'!$I$9:$I$322=$D49),0)),
    'Resource Summary'!$C:$C,Y$37
  ),
  SUMIFS(
    'Resource Summary'!$V:$V,
    'Resource Summary'!$B:$B,zones_to_group,
    'Resource Summary'!$A:$A,TRANSPOSE(_xlfn._xlws.FILTER('Results Grouping'!$G$9:$G$322,('Results Grouping'!$H$9:$H$322=$D$18) * ('Results Grouping'!$I$9:$I$322=$D49),0)),
    'Resource Summary'!$C:$C,Y$37
  ),
  SUMIFS(
    'Resource Summary'!$W:$W,
    'Resource Summary'!$B:$B,zones_to_group,
    'Resource Summary'!$A:$A,TRANSPOSE(_xlfn._xlws.FILTER('Results Grouping'!$G$9:$G$322,('Results Grouping'!$H$9:$H$322=$D$18) * ('Results Grouping'!$I$9:$I$322=$D49),0)),
    'Resource Summary'!$C:$C,Y$37
  ),
  SUMIFS(
    'Resource Summary'!$X:$X,
    'Resource Summary'!$B:$B,zones_to_group,
    'Resource Summary'!$A:$A,TRANSPOSE(_xlfn._xlws.FILTER('Results Grouping'!$G$9:$G$322,('Results Grouping'!$H$9:$H$322=$D$18) * ('Results Grouping'!$I$9:$I$322=$D49),0)),
    'Resource Summary'!$C:$C,Y$37
  ),
  SUMIFS(
    'Resource Summary'!$Y:$Y,
    'Resource Summary'!$B:$B,zones_to_group,
    'Resource Summary'!$A:$A,TRANSPOSE(_xlfn._xlws.FILTER('Results Grouping'!$G$9:$G$322,('Results Grouping'!$H$9:$H$322=$D$18) * ('Results Grouping'!$I$9:$I$322=$D49),0)),
    'Resource Summary'!$C:$C,Y$37
  )
)</f>
        <v>0</v>
      </c>
      <c r="Z49" s="10" cm="1">
        <f t="array" ref="Z49">0.000001 * SUM(
  SUMIFS(
    'Resource Summary'!$U:$U,
    'Resource Summary'!$B:$B,zones_to_group,
    'Resource Summary'!$A:$A,TRANSPOSE(_xlfn._xlws.FILTER('Results Grouping'!$G$9:$G$322,('Results Grouping'!$H$9:$H$322=$D$18) * ('Results Grouping'!$I$9:$I$322=$D49),0)),
    'Resource Summary'!$C:$C,Z$37
  ),
  SUMIFS(
    'Resource Summary'!$V:$V,
    'Resource Summary'!$B:$B,zones_to_group,
    'Resource Summary'!$A:$A,TRANSPOSE(_xlfn._xlws.FILTER('Results Grouping'!$G$9:$G$322,('Results Grouping'!$H$9:$H$322=$D$18) * ('Results Grouping'!$I$9:$I$322=$D49),0)),
    'Resource Summary'!$C:$C,Z$37
  ),
  SUMIFS(
    'Resource Summary'!$W:$W,
    'Resource Summary'!$B:$B,zones_to_group,
    'Resource Summary'!$A:$A,TRANSPOSE(_xlfn._xlws.FILTER('Results Grouping'!$G$9:$G$322,('Results Grouping'!$H$9:$H$322=$D$18) * ('Results Grouping'!$I$9:$I$322=$D49),0)),
    'Resource Summary'!$C:$C,Z$37
  ),
  SUMIFS(
    'Resource Summary'!$X:$X,
    'Resource Summary'!$B:$B,zones_to_group,
    'Resource Summary'!$A:$A,TRANSPOSE(_xlfn._xlws.FILTER('Results Grouping'!$G$9:$G$322,('Results Grouping'!$H$9:$H$322=$D$18) * ('Results Grouping'!$I$9:$I$322=$D49),0)),
    'Resource Summary'!$C:$C,Z$37
  ),
  SUMIFS(
    'Resource Summary'!$Y:$Y,
    'Resource Summary'!$B:$B,zones_to_group,
    'Resource Summary'!$A:$A,TRANSPOSE(_xlfn._xlws.FILTER('Results Grouping'!$G$9:$G$322,('Results Grouping'!$H$9:$H$322=$D$18) * ('Results Grouping'!$I$9:$I$322=$D49),0)),
    'Resource Summary'!$C:$C,Z$37
  )
)</f>
        <v>0</v>
      </c>
      <c r="AA49" s="10" cm="1">
        <f t="array" ref="AA49">0.000001 * SUM(
  SUMIFS(
    'Resource Summary'!$U:$U,
    'Resource Summary'!$B:$B,zones_to_group,
    'Resource Summary'!$A:$A,TRANSPOSE(_xlfn._xlws.FILTER('Results Grouping'!$G$9:$G$322,('Results Grouping'!$H$9:$H$322=$D$18) * ('Results Grouping'!$I$9:$I$322=$D49),0)),
    'Resource Summary'!$C:$C,AA$37
  ),
  SUMIFS(
    'Resource Summary'!$V:$V,
    'Resource Summary'!$B:$B,zones_to_group,
    'Resource Summary'!$A:$A,TRANSPOSE(_xlfn._xlws.FILTER('Results Grouping'!$G$9:$G$322,('Results Grouping'!$H$9:$H$322=$D$18) * ('Results Grouping'!$I$9:$I$322=$D49),0)),
    'Resource Summary'!$C:$C,AA$37
  ),
  SUMIFS(
    'Resource Summary'!$W:$W,
    'Resource Summary'!$B:$B,zones_to_group,
    'Resource Summary'!$A:$A,TRANSPOSE(_xlfn._xlws.FILTER('Results Grouping'!$G$9:$G$322,('Results Grouping'!$H$9:$H$322=$D$18) * ('Results Grouping'!$I$9:$I$322=$D49),0)),
    'Resource Summary'!$C:$C,AA$37
  ),
  SUMIFS(
    'Resource Summary'!$X:$X,
    'Resource Summary'!$B:$B,zones_to_group,
    'Resource Summary'!$A:$A,TRANSPOSE(_xlfn._xlws.FILTER('Results Grouping'!$G$9:$G$322,('Results Grouping'!$H$9:$H$322=$D$18) * ('Results Grouping'!$I$9:$I$322=$D49),0)),
    'Resource Summary'!$C:$C,AA$37
  ),
  SUMIFS(
    'Resource Summary'!$Y:$Y,
    'Resource Summary'!$B:$B,zones_to_group,
    'Resource Summary'!$A:$A,TRANSPOSE(_xlfn._xlws.FILTER('Results Grouping'!$G$9:$G$322,('Results Grouping'!$H$9:$H$322=$D$18) * ('Results Grouping'!$I$9:$I$322=$D49),0)),
    'Resource Summary'!$C:$C,AA$37
  )
)</f>
        <v>0</v>
      </c>
      <c r="AB49" s="10" cm="1">
        <f t="array" ref="AB49">0.000001 * SUM(
  SUMIFS(
    'Resource Summary'!$U:$U,
    'Resource Summary'!$B:$B,zones_to_group,
    'Resource Summary'!$A:$A,TRANSPOSE(_xlfn._xlws.FILTER('Results Grouping'!$G$9:$G$322,('Results Grouping'!$H$9:$H$322=$D$18) * ('Results Grouping'!$I$9:$I$322=$D49),0)),
    'Resource Summary'!$C:$C,AB$37
  ),
  SUMIFS(
    'Resource Summary'!$V:$V,
    'Resource Summary'!$B:$B,zones_to_group,
    'Resource Summary'!$A:$A,TRANSPOSE(_xlfn._xlws.FILTER('Results Grouping'!$G$9:$G$322,('Results Grouping'!$H$9:$H$322=$D$18) * ('Results Grouping'!$I$9:$I$322=$D49),0)),
    'Resource Summary'!$C:$C,AB$37
  ),
  SUMIFS(
    'Resource Summary'!$W:$W,
    'Resource Summary'!$B:$B,zones_to_group,
    'Resource Summary'!$A:$A,TRANSPOSE(_xlfn._xlws.FILTER('Results Grouping'!$G$9:$G$322,('Results Grouping'!$H$9:$H$322=$D$18) * ('Results Grouping'!$I$9:$I$322=$D49),0)),
    'Resource Summary'!$C:$C,AB$37
  ),
  SUMIFS(
    'Resource Summary'!$X:$X,
    'Resource Summary'!$B:$B,zones_to_group,
    'Resource Summary'!$A:$A,TRANSPOSE(_xlfn._xlws.FILTER('Results Grouping'!$G$9:$G$322,('Results Grouping'!$H$9:$H$322=$D$18) * ('Results Grouping'!$I$9:$I$322=$D49),0)),
    'Resource Summary'!$C:$C,AB$37
  ),
  SUMIFS(
    'Resource Summary'!$Y:$Y,
    'Resource Summary'!$B:$B,zones_to_group,
    'Resource Summary'!$A:$A,TRANSPOSE(_xlfn._xlws.FILTER('Results Grouping'!$G$9:$G$322,('Results Grouping'!$H$9:$H$322=$D$18) * ('Results Grouping'!$I$9:$I$322=$D49),0)),
    'Resource Summary'!$C:$C,AB$37
  )
)</f>
        <v>0</v>
      </c>
      <c r="AC49" s="10" cm="1">
        <f t="array" ref="AC49">0.000001 * SUM(
  SUMIFS(
    'Resource Summary'!$U:$U,
    'Resource Summary'!$B:$B,zones_to_group,
    'Resource Summary'!$A:$A,TRANSPOSE(_xlfn._xlws.FILTER('Results Grouping'!$G$9:$G$322,('Results Grouping'!$H$9:$H$322=$D$18) * ('Results Grouping'!$I$9:$I$322=$D49),0)),
    'Resource Summary'!$C:$C,AC$37
  ),
  SUMIFS(
    'Resource Summary'!$V:$V,
    'Resource Summary'!$B:$B,zones_to_group,
    'Resource Summary'!$A:$A,TRANSPOSE(_xlfn._xlws.FILTER('Results Grouping'!$G$9:$G$322,('Results Grouping'!$H$9:$H$322=$D$18) * ('Results Grouping'!$I$9:$I$322=$D49),0)),
    'Resource Summary'!$C:$C,AC$37
  ),
  SUMIFS(
    'Resource Summary'!$W:$W,
    'Resource Summary'!$B:$B,zones_to_group,
    'Resource Summary'!$A:$A,TRANSPOSE(_xlfn._xlws.FILTER('Results Grouping'!$G$9:$G$322,('Results Grouping'!$H$9:$H$322=$D$18) * ('Results Grouping'!$I$9:$I$322=$D49),0)),
    'Resource Summary'!$C:$C,AC$37
  ),
  SUMIFS(
    'Resource Summary'!$X:$X,
    'Resource Summary'!$B:$B,zones_to_group,
    'Resource Summary'!$A:$A,TRANSPOSE(_xlfn._xlws.FILTER('Results Grouping'!$G$9:$G$322,('Results Grouping'!$H$9:$H$322=$D$18) * ('Results Grouping'!$I$9:$I$322=$D49),0)),
    'Resource Summary'!$C:$C,AC$37
  ),
  SUMIFS(
    'Resource Summary'!$Y:$Y,
    'Resource Summary'!$B:$B,zones_to_group,
    'Resource Summary'!$A:$A,TRANSPOSE(_xlfn._xlws.FILTER('Results Grouping'!$G$9:$G$322,('Results Grouping'!$H$9:$H$322=$D$18) * ('Results Grouping'!$I$9:$I$322=$D49),0)),
    'Resource Summary'!$C:$C,AC$37
  )
)</f>
        <v>0</v>
      </c>
      <c r="AD49" s="10" cm="1">
        <f t="array" ref="AD49">0.000001 * SUM(
  SUMIFS(
    'Resource Summary'!$U:$U,
    'Resource Summary'!$B:$B,zones_to_group,
    'Resource Summary'!$A:$A,TRANSPOSE(_xlfn._xlws.FILTER('Results Grouping'!$G$9:$G$322,('Results Grouping'!$H$9:$H$322=$D$18) * ('Results Grouping'!$I$9:$I$322=$D49),0)),
    'Resource Summary'!$C:$C,AD$37
  ),
  SUMIFS(
    'Resource Summary'!$V:$V,
    'Resource Summary'!$B:$B,zones_to_group,
    'Resource Summary'!$A:$A,TRANSPOSE(_xlfn._xlws.FILTER('Results Grouping'!$G$9:$G$322,('Results Grouping'!$H$9:$H$322=$D$18) * ('Results Grouping'!$I$9:$I$322=$D49),0)),
    'Resource Summary'!$C:$C,AD$37
  ),
  SUMIFS(
    'Resource Summary'!$W:$W,
    'Resource Summary'!$B:$B,zones_to_group,
    'Resource Summary'!$A:$A,TRANSPOSE(_xlfn._xlws.FILTER('Results Grouping'!$G$9:$G$322,('Results Grouping'!$H$9:$H$322=$D$18) * ('Results Grouping'!$I$9:$I$322=$D49),0)),
    'Resource Summary'!$C:$C,AD$37
  ),
  SUMIFS(
    'Resource Summary'!$X:$X,
    'Resource Summary'!$B:$B,zones_to_group,
    'Resource Summary'!$A:$A,TRANSPOSE(_xlfn._xlws.FILTER('Results Grouping'!$G$9:$G$322,('Results Grouping'!$H$9:$H$322=$D$18) * ('Results Grouping'!$I$9:$I$322=$D49),0)),
    'Resource Summary'!$C:$C,AD$37
  ),
  SUMIFS(
    'Resource Summary'!$Y:$Y,
    'Resource Summary'!$B:$B,zones_to_group,
    'Resource Summary'!$A:$A,TRANSPOSE(_xlfn._xlws.FILTER('Results Grouping'!$G$9:$G$322,('Results Grouping'!$H$9:$H$322=$D$18) * ('Results Grouping'!$I$9:$I$322=$D49),0)),
    'Resource Summary'!$C:$C,AD$37
  )
)</f>
        <v>18.095366081849079</v>
      </c>
      <c r="AF49" s="10">
        <f t="shared" si="61"/>
        <v>69.922874414116265</v>
      </c>
      <c r="AH49" s="34"/>
    </row>
    <row r="50" spans="2:34" outlineLevel="1" x14ac:dyDescent="0.2">
      <c r="D50" s="8" t="s">
        <v>167</v>
      </c>
      <c r="E50" s="25" cm="1">
        <f t="array" ref="E50">0.000001 * SUM(
  SUMIFS(
    'Resource Summary'!$U:$U,
    'Resource Summary'!$B:$B,zones_to_group,
    'Resource Summary'!$A:$A,TRANSPOSE(_xlfn._xlws.FILTER('Results Grouping'!$G$9:$G$322,('Results Grouping'!$H$9:$H$322=$D$18) * ('Results Grouping'!$I$9:$I$322=$D50),0)),
    'Resource Summary'!$C:$C,E$37
  ),
  SUMIFS(
    'Resource Summary'!$V:$V,
    'Resource Summary'!$B:$B,zones_to_group,
    'Resource Summary'!$A:$A,TRANSPOSE(_xlfn._xlws.FILTER('Results Grouping'!$G$9:$G$322,('Results Grouping'!$H$9:$H$322=$D$18) * ('Results Grouping'!$I$9:$I$322=$D50),0)),
    'Resource Summary'!$C:$C,E$37
  ),
  SUMIFS(
    'Resource Summary'!$W:$W,
    'Resource Summary'!$B:$B,zones_to_group,
    'Resource Summary'!$A:$A,TRANSPOSE(_xlfn._xlws.FILTER('Results Grouping'!$G$9:$G$322,('Results Grouping'!$H$9:$H$322=$D$18) * ('Results Grouping'!$I$9:$I$322=$D50),0)),
    'Resource Summary'!$C:$C,E$37
  ),
  SUMIFS(
    'Resource Summary'!$X:$X,
    'Resource Summary'!$B:$B,zones_to_group,
    'Resource Summary'!$A:$A,TRANSPOSE(_xlfn._xlws.FILTER('Results Grouping'!$G$9:$G$322,('Results Grouping'!$H$9:$H$322=$D$18) * ('Results Grouping'!$I$9:$I$322=$D50),0)),
    'Resource Summary'!$C:$C,E$37
  ),
  SUMIFS(
    'Resource Summary'!$Y:$Y,
    'Resource Summary'!$B:$B,zones_to_group,
    'Resource Summary'!$A:$A,TRANSPOSE(_xlfn._xlws.FILTER('Results Grouping'!$G$9:$G$322,('Results Grouping'!$H$9:$H$322=$D$18) * ('Results Grouping'!$I$9:$I$322=$D50),0)),
    'Resource Summary'!$C:$C,E$37
  )
)</f>
        <v>0</v>
      </c>
      <c r="F50" s="25" cm="1">
        <f t="array" ref="F50">0.000001 * SUM(
  SUMIFS(
    'Resource Summary'!$U:$U,
    'Resource Summary'!$B:$B,zones_to_group,
    'Resource Summary'!$A:$A,TRANSPOSE(_xlfn._xlws.FILTER('Results Grouping'!$G$9:$G$322,('Results Grouping'!$H$9:$H$322=$D$18) * ('Results Grouping'!$I$9:$I$322=$D50),0)),
    'Resource Summary'!$C:$C,F$37
  ),
  SUMIFS(
    'Resource Summary'!$V:$V,
    'Resource Summary'!$B:$B,zones_to_group,
    'Resource Summary'!$A:$A,TRANSPOSE(_xlfn._xlws.FILTER('Results Grouping'!$G$9:$G$322,('Results Grouping'!$H$9:$H$322=$D$18) * ('Results Grouping'!$I$9:$I$322=$D50),0)),
    'Resource Summary'!$C:$C,F$37
  ),
  SUMIFS(
    'Resource Summary'!$W:$W,
    'Resource Summary'!$B:$B,zones_to_group,
    'Resource Summary'!$A:$A,TRANSPOSE(_xlfn._xlws.FILTER('Results Grouping'!$G$9:$G$322,('Results Grouping'!$H$9:$H$322=$D$18) * ('Results Grouping'!$I$9:$I$322=$D50),0)),
    'Resource Summary'!$C:$C,F$37
  ),
  SUMIFS(
    'Resource Summary'!$X:$X,
    'Resource Summary'!$B:$B,zones_to_group,
    'Resource Summary'!$A:$A,TRANSPOSE(_xlfn._xlws.FILTER('Results Grouping'!$G$9:$G$322,('Results Grouping'!$H$9:$H$322=$D$18) * ('Results Grouping'!$I$9:$I$322=$D50),0)),
    'Resource Summary'!$C:$C,F$37
  ),
  SUMIFS(
    'Resource Summary'!$Y:$Y,
    'Resource Summary'!$B:$B,zones_to_group,
    'Resource Summary'!$A:$A,TRANSPOSE(_xlfn._xlws.FILTER('Results Grouping'!$G$9:$G$322,('Results Grouping'!$H$9:$H$322=$D$18) * ('Results Grouping'!$I$9:$I$322=$D50),0)),
    'Resource Summary'!$C:$C,F$37
  )
)</f>
        <v>0</v>
      </c>
      <c r="G50" s="25" cm="1">
        <f t="array" ref="G50">0.000001 * SUM(
  SUMIFS(
    'Resource Summary'!$U:$U,
    'Resource Summary'!$B:$B,zones_to_group,
    'Resource Summary'!$A:$A,TRANSPOSE(_xlfn._xlws.FILTER('Results Grouping'!$G$9:$G$322,('Results Grouping'!$H$9:$H$322=$D$18) * ('Results Grouping'!$I$9:$I$322=$D50),0)),
    'Resource Summary'!$C:$C,G$37
  ),
  SUMIFS(
    'Resource Summary'!$V:$V,
    'Resource Summary'!$B:$B,zones_to_group,
    'Resource Summary'!$A:$A,TRANSPOSE(_xlfn._xlws.FILTER('Results Grouping'!$G$9:$G$322,('Results Grouping'!$H$9:$H$322=$D$18) * ('Results Grouping'!$I$9:$I$322=$D50),0)),
    'Resource Summary'!$C:$C,G$37
  ),
  SUMIFS(
    'Resource Summary'!$W:$W,
    'Resource Summary'!$B:$B,zones_to_group,
    'Resource Summary'!$A:$A,TRANSPOSE(_xlfn._xlws.FILTER('Results Grouping'!$G$9:$G$322,('Results Grouping'!$H$9:$H$322=$D$18) * ('Results Grouping'!$I$9:$I$322=$D50),0)),
    'Resource Summary'!$C:$C,G$37
  ),
  SUMIFS(
    'Resource Summary'!$X:$X,
    'Resource Summary'!$B:$B,zones_to_group,
    'Resource Summary'!$A:$A,TRANSPOSE(_xlfn._xlws.FILTER('Results Grouping'!$G$9:$G$322,('Results Grouping'!$H$9:$H$322=$D$18) * ('Results Grouping'!$I$9:$I$322=$D50),0)),
    'Resource Summary'!$C:$C,G$37
  ),
  SUMIFS(
    'Resource Summary'!$Y:$Y,
    'Resource Summary'!$B:$B,zones_to_group,
    'Resource Summary'!$A:$A,TRANSPOSE(_xlfn._xlws.FILTER('Results Grouping'!$G$9:$G$322,('Results Grouping'!$H$9:$H$322=$D$18) * ('Results Grouping'!$I$9:$I$322=$D50),0)),
    'Resource Summary'!$C:$C,G$37
  )
)</f>
        <v>0</v>
      </c>
      <c r="H50" s="25" cm="1">
        <f t="array" ref="H50">0.000001 * SUM(
  SUMIFS(
    'Resource Summary'!$U:$U,
    'Resource Summary'!$B:$B,zones_to_group,
    'Resource Summary'!$A:$A,TRANSPOSE(_xlfn._xlws.FILTER('Results Grouping'!$G$9:$G$322,('Results Grouping'!$H$9:$H$322=$D$18) * ('Results Grouping'!$I$9:$I$322=$D50),0)),
    'Resource Summary'!$C:$C,H$37
  ),
  SUMIFS(
    'Resource Summary'!$V:$V,
    'Resource Summary'!$B:$B,zones_to_group,
    'Resource Summary'!$A:$A,TRANSPOSE(_xlfn._xlws.FILTER('Results Grouping'!$G$9:$G$322,('Results Grouping'!$H$9:$H$322=$D$18) * ('Results Grouping'!$I$9:$I$322=$D50),0)),
    'Resource Summary'!$C:$C,H$37
  ),
  SUMIFS(
    'Resource Summary'!$W:$W,
    'Resource Summary'!$B:$B,zones_to_group,
    'Resource Summary'!$A:$A,TRANSPOSE(_xlfn._xlws.FILTER('Results Grouping'!$G$9:$G$322,('Results Grouping'!$H$9:$H$322=$D$18) * ('Results Grouping'!$I$9:$I$322=$D50),0)),
    'Resource Summary'!$C:$C,H$37
  ),
  SUMIFS(
    'Resource Summary'!$X:$X,
    'Resource Summary'!$B:$B,zones_to_group,
    'Resource Summary'!$A:$A,TRANSPOSE(_xlfn._xlws.FILTER('Results Grouping'!$G$9:$G$322,('Results Grouping'!$H$9:$H$322=$D$18) * ('Results Grouping'!$I$9:$I$322=$D50),0)),
    'Resource Summary'!$C:$C,H$37
  ),
  SUMIFS(
    'Resource Summary'!$Y:$Y,
    'Resource Summary'!$B:$B,zones_to_group,
    'Resource Summary'!$A:$A,TRANSPOSE(_xlfn._xlws.FILTER('Results Grouping'!$G$9:$G$322,('Results Grouping'!$H$9:$H$322=$D$18) * ('Results Grouping'!$I$9:$I$322=$D50),0)),
    'Resource Summary'!$C:$C,H$37
  )
)</f>
        <v>0</v>
      </c>
      <c r="I50" s="25" cm="1">
        <f t="array" ref="I50">0.000001 * SUM(
  SUMIFS(
    'Resource Summary'!$U:$U,
    'Resource Summary'!$B:$B,zones_to_group,
    'Resource Summary'!$A:$A,TRANSPOSE(_xlfn._xlws.FILTER('Results Grouping'!$G$9:$G$322,('Results Grouping'!$H$9:$H$322=$D$18) * ('Results Grouping'!$I$9:$I$322=$D50),0)),
    'Resource Summary'!$C:$C,I$37
  ),
  SUMIFS(
    'Resource Summary'!$V:$V,
    'Resource Summary'!$B:$B,zones_to_group,
    'Resource Summary'!$A:$A,TRANSPOSE(_xlfn._xlws.FILTER('Results Grouping'!$G$9:$G$322,('Results Grouping'!$H$9:$H$322=$D$18) * ('Results Grouping'!$I$9:$I$322=$D50),0)),
    'Resource Summary'!$C:$C,I$37
  ),
  SUMIFS(
    'Resource Summary'!$W:$W,
    'Resource Summary'!$B:$B,zones_to_group,
    'Resource Summary'!$A:$A,TRANSPOSE(_xlfn._xlws.FILTER('Results Grouping'!$G$9:$G$322,('Results Grouping'!$H$9:$H$322=$D$18) * ('Results Grouping'!$I$9:$I$322=$D50),0)),
    'Resource Summary'!$C:$C,I$37
  ),
  SUMIFS(
    'Resource Summary'!$X:$X,
    'Resource Summary'!$B:$B,zones_to_group,
    'Resource Summary'!$A:$A,TRANSPOSE(_xlfn._xlws.FILTER('Results Grouping'!$G$9:$G$322,('Results Grouping'!$H$9:$H$322=$D$18) * ('Results Grouping'!$I$9:$I$322=$D50),0)),
    'Resource Summary'!$C:$C,I$37
  ),
  SUMIFS(
    'Resource Summary'!$Y:$Y,
    'Resource Summary'!$B:$B,zones_to_group,
    'Resource Summary'!$A:$A,TRANSPOSE(_xlfn._xlws.FILTER('Results Grouping'!$G$9:$G$322,('Results Grouping'!$H$9:$H$322=$D$18) * ('Results Grouping'!$I$9:$I$322=$D50),0)),
    'Resource Summary'!$C:$C,I$37
  )
)</f>
        <v>0</v>
      </c>
      <c r="J50" s="25" cm="1">
        <f t="array" ref="J50">0.000001 * SUM(
  SUMIFS(
    'Resource Summary'!$U:$U,
    'Resource Summary'!$B:$B,zones_to_group,
    'Resource Summary'!$A:$A,TRANSPOSE(_xlfn._xlws.FILTER('Results Grouping'!$G$9:$G$322,('Results Grouping'!$H$9:$H$322=$D$18) * ('Results Grouping'!$I$9:$I$322=$D50),0)),
    'Resource Summary'!$C:$C,J$37
  ),
  SUMIFS(
    'Resource Summary'!$V:$V,
    'Resource Summary'!$B:$B,zones_to_group,
    'Resource Summary'!$A:$A,TRANSPOSE(_xlfn._xlws.FILTER('Results Grouping'!$G$9:$G$322,('Results Grouping'!$H$9:$H$322=$D$18) * ('Results Grouping'!$I$9:$I$322=$D50),0)),
    'Resource Summary'!$C:$C,J$37
  ),
  SUMIFS(
    'Resource Summary'!$W:$W,
    'Resource Summary'!$B:$B,zones_to_group,
    'Resource Summary'!$A:$A,TRANSPOSE(_xlfn._xlws.FILTER('Results Grouping'!$G$9:$G$322,('Results Grouping'!$H$9:$H$322=$D$18) * ('Results Grouping'!$I$9:$I$322=$D50),0)),
    'Resource Summary'!$C:$C,J$37
  ),
  SUMIFS(
    'Resource Summary'!$X:$X,
    'Resource Summary'!$B:$B,zones_to_group,
    'Resource Summary'!$A:$A,TRANSPOSE(_xlfn._xlws.FILTER('Results Grouping'!$G$9:$G$322,('Results Grouping'!$H$9:$H$322=$D$18) * ('Results Grouping'!$I$9:$I$322=$D50),0)),
    'Resource Summary'!$C:$C,J$37
  ),
  SUMIFS(
    'Resource Summary'!$Y:$Y,
    'Resource Summary'!$B:$B,zones_to_group,
    'Resource Summary'!$A:$A,TRANSPOSE(_xlfn._xlws.FILTER('Results Grouping'!$G$9:$G$322,('Results Grouping'!$H$9:$H$322=$D$18) * ('Results Grouping'!$I$9:$I$322=$D50),0)),
    'Resource Summary'!$C:$C,J$37
  )
)</f>
        <v>0</v>
      </c>
      <c r="K50" s="25" cm="1">
        <f t="array" ref="K50">0.000001 * SUM(
  SUMIFS(
    'Resource Summary'!$U:$U,
    'Resource Summary'!$B:$B,zones_to_group,
    'Resource Summary'!$A:$A,TRANSPOSE(_xlfn._xlws.FILTER('Results Grouping'!$G$9:$G$322,('Results Grouping'!$H$9:$H$322=$D$18) * ('Results Grouping'!$I$9:$I$322=$D50),0)),
    'Resource Summary'!$C:$C,K$37
  ),
  SUMIFS(
    'Resource Summary'!$V:$V,
    'Resource Summary'!$B:$B,zones_to_group,
    'Resource Summary'!$A:$A,TRANSPOSE(_xlfn._xlws.FILTER('Results Grouping'!$G$9:$G$322,('Results Grouping'!$H$9:$H$322=$D$18) * ('Results Grouping'!$I$9:$I$322=$D50),0)),
    'Resource Summary'!$C:$C,K$37
  ),
  SUMIFS(
    'Resource Summary'!$W:$W,
    'Resource Summary'!$B:$B,zones_to_group,
    'Resource Summary'!$A:$A,TRANSPOSE(_xlfn._xlws.FILTER('Results Grouping'!$G$9:$G$322,('Results Grouping'!$H$9:$H$322=$D$18) * ('Results Grouping'!$I$9:$I$322=$D50),0)),
    'Resource Summary'!$C:$C,K$37
  ),
  SUMIFS(
    'Resource Summary'!$X:$X,
    'Resource Summary'!$B:$B,zones_to_group,
    'Resource Summary'!$A:$A,TRANSPOSE(_xlfn._xlws.FILTER('Results Grouping'!$G$9:$G$322,('Results Grouping'!$H$9:$H$322=$D$18) * ('Results Grouping'!$I$9:$I$322=$D50),0)),
    'Resource Summary'!$C:$C,K$37
  ),
  SUMIFS(
    'Resource Summary'!$Y:$Y,
    'Resource Summary'!$B:$B,zones_to_group,
    'Resource Summary'!$A:$A,TRANSPOSE(_xlfn._xlws.FILTER('Results Grouping'!$G$9:$G$322,('Results Grouping'!$H$9:$H$322=$D$18) * ('Results Grouping'!$I$9:$I$322=$D50),0)),
    'Resource Summary'!$C:$C,K$37
  )
)</f>
        <v>0</v>
      </c>
      <c r="L50" s="25" cm="1">
        <f t="array" ref="L50">0.000001 * SUM(
  SUMIFS(
    'Resource Summary'!$U:$U,
    'Resource Summary'!$B:$B,zones_to_group,
    'Resource Summary'!$A:$A,TRANSPOSE(_xlfn._xlws.FILTER('Results Grouping'!$G$9:$G$322,('Results Grouping'!$H$9:$H$322=$D$18) * ('Results Grouping'!$I$9:$I$322=$D50),0)),
    'Resource Summary'!$C:$C,L$37
  ),
  SUMIFS(
    'Resource Summary'!$V:$V,
    'Resource Summary'!$B:$B,zones_to_group,
    'Resource Summary'!$A:$A,TRANSPOSE(_xlfn._xlws.FILTER('Results Grouping'!$G$9:$G$322,('Results Grouping'!$H$9:$H$322=$D$18) * ('Results Grouping'!$I$9:$I$322=$D50),0)),
    'Resource Summary'!$C:$C,L$37
  ),
  SUMIFS(
    'Resource Summary'!$W:$W,
    'Resource Summary'!$B:$B,zones_to_group,
    'Resource Summary'!$A:$A,TRANSPOSE(_xlfn._xlws.FILTER('Results Grouping'!$G$9:$G$322,('Results Grouping'!$H$9:$H$322=$D$18) * ('Results Grouping'!$I$9:$I$322=$D50),0)),
    'Resource Summary'!$C:$C,L$37
  ),
  SUMIFS(
    'Resource Summary'!$X:$X,
    'Resource Summary'!$B:$B,zones_to_group,
    'Resource Summary'!$A:$A,TRANSPOSE(_xlfn._xlws.FILTER('Results Grouping'!$G$9:$G$322,('Results Grouping'!$H$9:$H$322=$D$18) * ('Results Grouping'!$I$9:$I$322=$D50),0)),
    'Resource Summary'!$C:$C,L$37
  ),
  SUMIFS(
    'Resource Summary'!$Y:$Y,
    'Resource Summary'!$B:$B,zones_to_group,
    'Resource Summary'!$A:$A,TRANSPOSE(_xlfn._xlws.FILTER('Results Grouping'!$G$9:$G$322,('Results Grouping'!$H$9:$H$322=$D$18) * ('Results Grouping'!$I$9:$I$322=$D50),0)),
    'Resource Summary'!$C:$C,L$37
  )
)</f>
        <v>0</v>
      </c>
      <c r="M50" s="25" cm="1">
        <f t="array" ref="M50">0.000001 * SUM(
  SUMIFS(
    'Resource Summary'!$U:$U,
    'Resource Summary'!$B:$B,zones_to_group,
    'Resource Summary'!$A:$A,TRANSPOSE(_xlfn._xlws.FILTER('Results Grouping'!$G$9:$G$322,('Results Grouping'!$H$9:$H$322=$D$18) * ('Results Grouping'!$I$9:$I$322=$D50),0)),
    'Resource Summary'!$C:$C,M$37
  ),
  SUMIFS(
    'Resource Summary'!$V:$V,
    'Resource Summary'!$B:$B,zones_to_group,
    'Resource Summary'!$A:$A,TRANSPOSE(_xlfn._xlws.FILTER('Results Grouping'!$G$9:$G$322,('Results Grouping'!$H$9:$H$322=$D$18) * ('Results Grouping'!$I$9:$I$322=$D50),0)),
    'Resource Summary'!$C:$C,M$37
  ),
  SUMIFS(
    'Resource Summary'!$W:$W,
    'Resource Summary'!$B:$B,zones_to_group,
    'Resource Summary'!$A:$A,TRANSPOSE(_xlfn._xlws.FILTER('Results Grouping'!$G$9:$G$322,('Results Grouping'!$H$9:$H$322=$D$18) * ('Results Grouping'!$I$9:$I$322=$D50),0)),
    'Resource Summary'!$C:$C,M$37
  ),
  SUMIFS(
    'Resource Summary'!$X:$X,
    'Resource Summary'!$B:$B,zones_to_group,
    'Resource Summary'!$A:$A,TRANSPOSE(_xlfn._xlws.FILTER('Results Grouping'!$G$9:$G$322,('Results Grouping'!$H$9:$H$322=$D$18) * ('Results Grouping'!$I$9:$I$322=$D50),0)),
    'Resource Summary'!$C:$C,M$37
  ),
  SUMIFS(
    'Resource Summary'!$Y:$Y,
    'Resource Summary'!$B:$B,zones_to_group,
    'Resource Summary'!$A:$A,TRANSPOSE(_xlfn._xlws.FILTER('Results Grouping'!$G$9:$G$322,('Results Grouping'!$H$9:$H$322=$D$18) * ('Results Grouping'!$I$9:$I$322=$D50),0)),
    'Resource Summary'!$C:$C,M$37
  )
)</f>
        <v>0</v>
      </c>
      <c r="N50" s="25" cm="1">
        <f t="array" ref="N50">0.000001 * SUM(
  SUMIFS(
    'Resource Summary'!$U:$U,
    'Resource Summary'!$B:$B,zones_to_group,
    'Resource Summary'!$A:$A,TRANSPOSE(_xlfn._xlws.FILTER('Results Grouping'!$G$9:$G$322,('Results Grouping'!$H$9:$H$322=$D$18) * ('Results Grouping'!$I$9:$I$322=$D50),0)),
    'Resource Summary'!$C:$C,N$37
  ),
  SUMIFS(
    'Resource Summary'!$V:$V,
    'Resource Summary'!$B:$B,zones_to_group,
    'Resource Summary'!$A:$A,TRANSPOSE(_xlfn._xlws.FILTER('Results Grouping'!$G$9:$G$322,('Results Grouping'!$H$9:$H$322=$D$18) * ('Results Grouping'!$I$9:$I$322=$D50),0)),
    'Resource Summary'!$C:$C,N$37
  ),
  SUMIFS(
    'Resource Summary'!$W:$W,
    'Resource Summary'!$B:$B,zones_to_group,
    'Resource Summary'!$A:$A,TRANSPOSE(_xlfn._xlws.FILTER('Results Grouping'!$G$9:$G$322,('Results Grouping'!$H$9:$H$322=$D$18) * ('Results Grouping'!$I$9:$I$322=$D50),0)),
    'Resource Summary'!$C:$C,N$37
  ),
  SUMIFS(
    'Resource Summary'!$X:$X,
    'Resource Summary'!$B:$B,zones_to_group,
    'Resource Summary'!$A:$A,TRANSPOSE(_xlfn._xlws.FILTER('Results Grouping'!$G$9:$G$322,('Results Grouping'!$H$9:$H$322=$D$18) * ('Results Grouping'!$I$9:$I$322=$D50),0)),
    'Resource Summary'!$C:$C,N$37
  ),
  SUMIFS(
    'Resource Summary'!$Y:$Y,
    'Resource Summary'!$B:$B,zones_to_group,
    'Resource Summary'!$A:$A,TRANSPOSE(_xlfn._xlws.FILTER('Results Grouping'!$G$9:$G$322,('Results Grouping'!$H$9:$H$322=$D$18) * ('Results Grouping'!$I$9:$I$322=$D50),0)),
    'Resource Summary'!$C:$C,N$37
  )
)</f>
        <v>0</v>
      </c>
      <c r="O50" s="25" cm="1">
        <f t="array" ref="O50">0.000001 * SUM(
  SUMIFS(
    'Resource Summary'!$U:$U,
    'Resource Summary'!$B:$B,zones_to_group,
    'Resource Summary'!$A:$A,TRANSPOSE(_xlfn._xlws.FILTER('Results Grouping'!$G$9:$G$322,('Results Grouping'!$H$9:$H$322=$D$18) * ('Results Grouping'!$I$9:$I$322=$D50),0)),
    'Resource Summary'!$C:$C,O$37
  ),
  SUMIFS(
    'Resource Summary'!$V:$V,
    'Resource Summary'!$B:$B,zones_to_group,
    'Resource Summary'!$A:$A,TRANSPOSE(_xlfn._xlws.FILTER('Results Grouping'!$G$9:$G$322,('Results Grouping'!$H$9:$H$322=$D$18) * ('Results Grouping'!$I$9:$I$322=$D50),0)),
    'Resource Summary'!$C:$C,O$37
  ),
  SUMIFS(
    'Resource Summary'!$W:$W,
    'Resource Summary'!$B:$B,zones_to_group,
    'Resource Summary'!$A:$A,TRANSPOSE(_xlfn._xlws.FILTER('Results Grouping'!$G$9:$G$322,('Results Grouping'!$H$9:$H$322=$D$18) * ('Results Grouping'!$I$9:$I$322=$D50),0)),
    'Resource Summary'!$C:$C,O$37
  ),
  SUMIFS(
    'Resource Summary'!$X:$X,
    'Resource Summary'!$B:$B,zones_to_group,
    'Resource Summary'!$A:$A,TRANSPOSE(_xlfn._xlws.FILTER('Results Grouping'!$G$9:$G$322,('Results Grouping'!$H$9:$H$322=$D$18) * ('Results Grouping'!$I$9:$I$322=$D50),0)),
    'Resource Summary'!$C:$C,O$37
  ),
  SUMIFS(
    'Resource Summary'!$Y:$Y,
    'Resource Summary'!$B:$B,zones_to_group,
    'Resource Summary'!$A:$A,TRANSPOSE(_xlfn._xlws.FILTER('Results Grouping'!$G$9:$G$322,('Results Grouping'!$H$9:$H$322=$D$18) * ('Results Grouping'!$I$9:$I$322=$D50),0)),
    'Resource Summary'!$C:$C,O$37
  )
)</f>
        <v>0</v>
      </c>
      <c r="P50" s="25" cm="1">
        <f t="array" ref="P50">0.000001 * SUM(
  SUMIFS(
    'Resource Summary'!$U:$U,
    'Resource Summary'!$B:$B,zones_to_group,
    'Resource Summary'!$A:$A,TRANSPOSE(_xlfn._xlws.FILTER('Results Grouping'!$G$9:$G$322,('Results Grouping'!$H$9:$H$322=$D$18) * ('Results Grouping'!$I$9:$I$322=$D50),0)),
    'Resource Summary'!$C:$C,P$37
  ),
  SUMIFS(
    'Resource Summary'!$V:$V,
    'Resource Summary'!$B:$B,zones_to_group,
    'Resource Summary'!$A:$A,TRANSPOSE(_xlfn._xlws.FILTER('Results Grouping'!$G$9:$G$322,('Results Grouping'!$H$9:$H$322=$D$18) * ('Results Grouping'!$I$9:$I$322=$D50),0)),
    'Resource Summary'!$C:$C,P$37
  ),
  SUMIFS(
    'Resource Summary'!$W:$W,
    'Resource Summary'!$B:$B,zones_to_group,
    'Resource Summary'!$A:$A,TRANSPOSE(_xlfn._xlws.FILTER('Results Grouping'!$G$9:$G$322,('Results Grouping'!$H$9:$H$322=$D$18) * ('Results Grouping'!$I$9:$I$322=$D50),0)),
    'Resource Summary'!$C:$C,P$37
  ),
  SUMIFS(
    'Resource Summary'!$X:$X,
    'Resource Summary'!$B:$B,zones_to_group,
    'Resource Summary'!$A:$A,TRANSPOSE(_xlfn._xlws.FILTER('Results Grouping'!$G$9:$G$322,('Results Grouping'!$H$9:$H$322=$D$18) * ('Results Grouping'!$I$9:$I$322=$D50),0)),
    'Resource Summary'!$C:$C,P$37
  ),
  SUMIFS(
    'Resource Summary'!$Y:$Y,
    'Resource Summary'!$B:$B,zones_to_group,
    'Resource Summary'!$A:$A,TRANSPOSE(_xlfn._xlws.FILTER('Results Grouping'!$G$9:$G$322,('Results Grouping'!$H$9:$H$322=$D$18) * ('Results Grouping'!$I$9:$I$322=$D50),0)),
    'Resource Summary'!$C:$C,P$37
  )
)</f>
        <v>0</v>
      </c>
      <c r="Q50" s="25" cm="1">
        <f t="array" ref="Q50">0.000001 * SUM(
  SUMIFS(
    'Resource Summary'!$U:$U,
    'Resource Summary'!$B:$B,zones_to_group,
    'Resource Summary'!$A:$A,TRANSPOSE(_xlfn._xlws.FILTER('Results Grouping'!$G$9:$G$322,('Results Grouping'!$H$9:$H$322=$D$18) * ('Results Grouping'!$I$9:$I$322=$D50),0)),
    'Resource Summary'!$C:$C,Q$37
  ),
  SUMIFS(
    'Resource Summary'!$V:$V,
    'Resource Summary'!$B:$B,zones_to_group,
    'Resource Summary'!$A:$A,TRANSPOSE(_xlfn._xlws.FILTER('Results Grouping'!$G$9:$G$322,('Results Grouping'!$H$9:$H$322=$D$18) * ('Results Grouping'!$I$9:$I$322=$D50),0)),
    'Resource Summary'!$C:$C,Q$37
  ),
  SUMIFS(
    'Resource Summary'!$W:$W,
    'Resource Summary'!$B:$B,zones_to_group,
    'Resource Summary'!$A:$A,TRANSPOSE(_xlfn._xlws.FILTER('Results Grouping'!$G$9:$G$322,('Results Grouping'!$H$9:$H$322=$D$18) * ('Results Grouping'!$I$9:$I$322=$D50),0)),
    'Resource Summary'!$C:$C,Q$37
  ),
  SUMIFS(
    'Resource Summary'!$X:$X,
    'Resource Summary'!$B:$B,zones_to_group,
    'Resource Summary'!$A:$A,TRANSPOSE(_xlfn._xlws.FILTER('Results Grouping'!$G$9:$G$322,('Results Grouping'!$H$9:$H$322=$D$18) * ('Results Grouping'!$I$9:$I$322=$D50),0)),
    'Resource Summary'!$C:$C,Q$37
  ),
  SUMIFS(
    'Resource Summary'!$Y:$Y,
    'Resource Summary'!$B:$B,zones_to_group,
    'Resource Summary'!$A:$A,TRANSPOSE(_xlfn._xlws.FILTER('Results Grouping'!$G$9:$G$322,('Results Grouping'!$H$9:$H$322=$D$18) * ('Results Grouping'!$I$9:$I$322=$D50),0)),
    'Resource Summary'!$C:$C,Q$37
  )
)</f>
        <v>0</v>
      </c>
      <c r="R50" s="25" cm="1">
        <f t="array" ref="R50">0.000001 * SUM(
  SUMIFS(
    'Resource Summary'!$U:$U,
    'Resource Summary'!$B:$B,zones_to_group,
    'Resource Summary'!$A:$A,TRANSPOSE(_xlfn._xlws.FILTER('Results Grouping'!$G$9:$G$322,('Results Grouping'!$H$9:$H$322=$D$18) * ('Results Grouping'!$I$9:$I$322=$D50),0)),
    'Resource Summary'!$C:$C,R$37
  ),
  SUMIFS(
    'Resource Summary'!$V:$V,
    'Resource Summary'!$B:$B,zones_to_group,
    'Resource Summary'!$A:$A,TRANSPOSE(_xlfn._xlws.FILTER('Results Grouping'!$G$9:$G$322,('Results Grouping'!$H$9:$H$322=$D$18) * ('Results Grouping'!$I$9:$I$322=$D50),0)),
    'Resource Summary'!$C:$C,R$37
  ),
  SUMIFS(
    'Resource Summary'!$W:$W,
    'Resource Summary'!$B:$B,zones_to_group,
    'Resource Summary'!$A:$A,TRANSPOSE(_xlfn._xlws.FILTER('Results Grouping'!$G$9:$G$322,('Results Grouping'!$H$9:$H$322=$D$18) * ('Results Grouping'!$I$9:$I$322=$D50),0)),
    'Resource Summary'!$C:$C,R$37
  ),
  SUMIFS(
    'Resource Summary'!$X:$X,
    'Resource Summary'!$B:$B,zones_to_group,
    'Resource Summary'!$A:$A,TRANSPOSE(_xlfn._xlws.FILTER('Results Grouping'!$G$9:$G$322,('Results Grouping'!$H$9:$H$322=$D$18) * ('Results Grouping'!$I$9:$I$322=$D50),0)),
    'Resource Summary'!$C:$C,R$37
  ),
  SUMIFS(
    'Resource Summary'!$Y:$Y,
    'Resource Summary'!$B:$B,zones_to_group,
    'Resource Summary'!$A:$A,TRANSPOSE(_xlfn._xlws.FILTER('Results Grouping'!$G$9:$G$322,('Results Grouping'!$H$9:$H$322=$D$18) * ('Results Grouping'!$I$9:$I$322=$D50),0)),
    'Resource Summary'!$C:$C,R$37
  )
)</f>
        <v>0</v>
      </c>
      <c r="S50" s="25" cm="1">
        <f t="array" ref="S50">0.000001 * SUM(
  SUMIFS(
    'Resource Summary'!$U:$U,
    'Resource Summary'!$B:$B,zones_to_group,
    'Resource Summary'!$A:$A,TRANSPOSE(_xlfn._xlws.FILTER('Results Grouping'!$G$9:$G$322,('Results Grouping'!$H$9:$H$322=$D$18) * ('Results Grouping'!$I$9:$I$322=$D50),0)),
    'Resource Summary'!$C:$C,S$37
  ),
  SUMIFS(
    'Resource Summary'!$V:$V,
    'Resource Summary'!$B:$B,zones_to_group,
    'Resource Summary'!$A:$A,TRANSPOSE(_xlfn._xlws.FILTER('Results Grouping'!$G$9:$G$322,('Results Grouping'!$H$9:$H$322=$D$18) * ('Results Grouping'!$I$9:$I$322=$D50),0)),
    'Resource Summary'!$C:$C,S$37
  ),
  SUMIFS(
    'Resource Summary'!$W:$W,
    'Resource Summary'!$B:$B,zones_to_group,
    'Resource Summary'!$A:$A,TRANSPOSE(_xlfn._xlws.FILTER('Results Grouping'!$G$9:$G$322,('Results Grouping'!$H$9:$H$322=$D$18) * ('Results Grouping'!$I$9:$I$322=$D50),0)),
    'Resource Summary'!$C:$C,S$37
  ),
  SUMIFS(
    'Resource Summary'!$X:$X,
    'Resource Summary'!$B:$B,zones_to_group,
    'Resource Summary'!$A:$A,TRANSPOSE(_xlfn._xlws.FILTER('Results Grouping'!$G$9:$G$322,('Results Grouping'!$H$9:$H$322=$D$18) * ('Results Grouping'!$I$9:$I$322=$D50),0)),
    'Resource Summary'!$C:$C,S$37
  ),
  SUMIFS(
    'Resource Summary'!$Y:$Y,
    'Resource Summary'!$B:$B,zones_to_group,
    'Resource Summary'!$A:$A,TRANSPOSE(_xlfn._xlws.FILTER('Results Grouping'!$G$9:$G$322,('Results Grouping'!$H$9:$H$322=$D$18) * ('Results Grouping'!$I$9:$I$322=$D50),0)),
    'Resource Summary'!$C:$C,S$37
  )
)</f>
        <v>0</v>
      </c>
      <c r="T50" s="25" cm="1">
        <f t="array" ref="T50">0.000001 * SUM(
  SUMIFS(
    'Resource Summary'!$U:$U,
    'Resource Summary'!$B:$B,zones_to_group,
    'Resource Summary'!$A:$A,TRANSPOSE(_xlfn._xlws.FILTER('Results Grouping'!$G$9:$G$322,('Results Grouping'!$H$9:$H$322=$D$18) * ('Results Grouping'!$I$9:$I$322=$D50),0)),
    'Resource Summary'!$C:$C,T$37
  ),
  SUMIFS(
    'Resource Summary'!$V:$V,
    'Resource Summary'!$B:$B,zones_to_group,
    'Resource Summary'!$A:$A,TRANSPOSE(_xlfn._xlws.FILTER('Results Grouping'!$G$9:$G$322,('Results Grouping'!$H$9:$H$322=$D$18) * ('Results Grouping'!$I$9:$I$322=$D50),0)),
    'Resource Summary'!$C:$C,T$37
  ),
  SUMIFS(
    'Resource Summary'!$W:$W,
    'Resource Summary'!$B:$B,zones_to_group,
    'Resource Summary'!$A:$A,TRANSPOSE(_xlfn._xlws.FILTER('Results Grouping'!$G$9:$G$322,('Results Grouping'!$H$9:$H$322=$D$18) * ('Results Grouping'!$I$9:$I$322=$D50),0)),
    'Resource Summary'!$C:$C,T$37
  ),
  SUMIFS(
    'Resource Summary'!$X:$X,
    'Resource Summary'!$B:$B,zones_to_group,
    'Resource Summary'!$A:$A,TRANSPOSE(_xlfn._xlws.FILTER('Results Grouping'!$G$9:$G$322,('Results Grouping'!$H$9:$H$322=$D$18) * ('Results Grouping'!$I$9:$I$322=$D50),0)),
    'Resource Summary'!$C:$C,T$37
  ),
  SUMIFS(
    'Resource Summary'!$Y:$Y,
    'Resource Summary'!$B:$B,zones_to_group,
    'Resource Summary'!$A:$A,TRANSPOSE(_xlfn._xlws.FILTER('Results Grouping'!$G$9:$G$322,('Results Grouping'!$H$9:$H$322=$D$18) * ('Results Grouping'!$I$9:$I$322=$D50),0)),
    'Resource Summary'!$C:$C,T$37
  )
)</f>
        <v>0</v>
      </c>
      <c r="U50" s="25" cm="1">
        <f t="array" ref="U50">0.000001 * SUM(
  SUMIFS(
    'Resource Summary'!$U:$U,
    'Resource Summary'!$B:$B,zones_to_group,
    'Resource Summary'!$A:$A,TRANSPOSE(_xlfn._xlws.FILTER('Results Grouping'!$G$9:$G$322,('Results Grouping'!$H$9:$H$322=$D$18) * ('Results Grouping'!$I$9:$I$322=$D50),0)),
    'Resource Summary'!$C:$C,U$37
  ),
  SUMIFS(
    'Resource Summary'!$V:$V,
    'Resource Summary'!$B:$B,zones_to_group,
    'Resource Summary'!$A:$A,TRANSPOSE(_xlfn._xlws.FILTER('Results Grouping'!$G$9:$G$322,('Results Grouping'!$H$9:$H$322=$D$18) * ('Results Grouping'!$I$9:$I$322=$D50),0)),
    'Resource Summary'!$C:$C,U$37
  ),
  SUMIFS(
    'Resource Summary'!$W:$W,
    'Resource Summary'!$B:$B,zones_to_group,
    'Resource Summary'!$A:$A,TRANSPOSE(_xlfn._xlws.FILTER('Results Grouping'!$G$9:$G$322,('Results Grouping'!$H$9:$H$322=$D$18) * ('Results Grouping'!$I$9:$I$322=$D50),0)),
    'Resource Summary'!$C:$C,U$37
  ),
  SUMIFS(
    'Resource Summary'!$X:$X,
    'Resource Summary'!$B:$B,zones_to_group,
    'Resource Summary'!$A:$A,TRANSPOSE(_xlfn._xlws.FILTER('Results Grouping'!$G$9:$G$322,('Results Grouping'!$H$9:$H$322=$D$18) * ('Results Grouping'!$I$9:$I$322=$D50),0)),
    'Resource Summary'!$C:$C,U$37
  ),
  SUMIFS(
    'Resource Summary'!$Y:$Y,
    'Resource Summary'!$B:$B,zones_to_group,
    'Resource Summary'!$A:$A,TRANSPOSE(_xlfn._xlws.FILTER('Results Grouping'!$G$9:$G$322,('Results Grouping'!$H$9:$H$322=$D$18) * ('Results Grouping'!$I$9:$I$322=$D50),0)),
    'Resource Summary'!$C:$C,U$37
  )
)</f>
        <v>0</v>
      </c>
      <c r="V50" s="25" cm="1">
        <f t="array" ref="V50">0.000001 * SUM(
  SUMIFS(
    'Resource Summary'!$U:$U,
    'Resource Summary'!$B:$B,zones_to_group,
    'Resource Summary'!$A:$A,TRANSPOSE(_xlfn._xlws.FILTER('Results Grouping'!$G$9:$G$322,('Results Grouping'!$H$9:$H$322=$D$18) * ('Results Grouping'!$I$9:$I$322=$D50),0)),
    'Resource Summary'!$C:$C,V$37
  ),
  SUMIFS(
    'Resource Summary'!$V:$V,
    'Resource Summary'!$B:$B,zones_to_group,
    'Resource Summary'!$A:$A,TRANSPOSE(_xlfn._xlws.FILTER('Results Grouping'!$G$9:$G$322,('Results Grouping'!$H$9:$H$322=$D$18) * ('Results Grouping'!$I$9:$I$322=$D50),0)),
    'Resource Summary'!$C:$C,V$37
  ),
  SUMIFS(
    'Resource Summary'!$W:$W,
    'Resource Summary'!$B:$B,zones_to_group,
    'Resource Summary'!$A:$A,TRANSPOSE(_xlfn._xlws.FILTER('Results Grouping'!$G$9:$G$322,('Results Grouping'!$H$9:$H$322=$D$18) * ('Results Grouping'!$I$9:$I$322=$D50),0)),
    'Resource Summary'!$C:$C,V$37
  ),
  SUMIFS(
    'Resource Summary'!$X:$X,
    'Resource Summary'!$B:$B,zones_to_group,
    'Resource Summary'!$A:$A,TRANSPOSE(_xlfn._xlws.FILTER('Results Grouping'!$G$9:$G$322,('Results Grouping'!$H$9:$H$322=$D$18) * ('Results Grouping'!$I$9:$I$322=$D50),0)),
    'Resource Summary'!$C:$C,V$37
  ),
  SUMIFS(
    'Resource Summary'!$Y:$Y,
    'Resource Summary'!$B:$B,zones_to_group,
    'Resource Summary'!$A:$A,TRANSPOSE(_xlfn._xlws.FILTER('Results Grouping'!$G$9:$G$322,('Results Grouping'!$H$9:$H$322=$D$18) * ('Results Grouping'!$I$9:$I$322=$D50),0)),
    'Resource Summary'!$C:$C,V$37
  )
)</f>
        <v>0</v>
      </c>
      <c r="W50" s="25" cm="1">
        <f t="array" ref="W50">0.000001 * SUM(
  SUMIFS(
    'Resource Summary'!$U:$U,
    'Resource Summary'!$B:$B,zones_to_group,
    'Resource Summary'!$A:$A,TRANSPOSE(_xlfn._xlws.FILTER('Results Grouping'!$G$9:$G$322,('Results Grouping'!$H$9:$H$322=$D$18) * ('Results Grouping'!$I$9:$I$322=$D50),0)),
    'Resource Summary'!$C:$C,W$37
  ),
  SUMIFS(
    'Resource Summary'!$V:$V,
    'Resource Summary'!$B:$B,zones_to_group,
    'Resource Summary'!$A:$A,TRANSPOSE(_xlfn._xlws.FILTER('Results Grouping'!$G$9:$G$322,('Results Grouping'!$H$9:$H$322=$D$18) * ('Results Grouping'!$I$9:$I$322=$D50),0)),
    'Resource Summary'!$C:$C,W$37
  ),
  SUMIFS(
    'Resource Summary'!$W:$W,
    'Resource Summary'!$B:$B,zones_to_group,
    'Resource Summary'!$A:$A,TRANSPOSE(_xlfn._xlws.FILTER('Results Grouping'!$G$9:$G$322,('Results Grouping'!$H$9:$H$322=$D$18) * ('Results Grouping'!$I$9:$I$322=$D50),0)),
    'Resource Summary'!$C:$C,W$37
  ),
  SUMIFS(
    'Resource Summary'!$X:$X,
    'Resource Summary'!$B:$B,zones_to_group,
    'Resource Summary'!$A:$A,TRANSPOSE(_xlfn._xlws.FILTER('Results Grouping'!$G$9:$G$322,('Results Grouping'!$H$9:$H$322=$D$18) * ('Results Grouping'!$I$9:$I$322=$D50),0)),
    'Resource Summary'!$C:$C,W$37
  ),
  SUMIFS(
    'Resource Summary'!$Y:$Y,
    'Resource Summary'!$B:$B,zones_to_group,
    'Resource Summary'!$A:$A,TRANSPOSE(_xlfn._xlws.FILTER('Results Grouping'!$G$9:$G$322,('Results Grouping'!$H$9:$H$322=$D$18) * ('Results Grouping'!$I$9:$I$322=$D50),0)),
    'Resource Summary'!$C:$C,W$37
  )
)</f>
        <v>0</v>
      </c>
      <c r="X50" s="25" cm="1">
        <f t="array" ref="X50">0.000001 * SUM(
  SUMIFS(
    'Resource Summary'!$U:$U,
    'Resource Summary'!$B:$B,zones_to_group,
    'Resource Summary'!$A:$A,TRANSPOSE(_xlfn._xlws.FILTER('Results Grouping'!$G$9:$G$322,('Results Grouping'!$H$9:$H$322=$D$18) * ('Results Grouping'!$I$9:$I$322=$D50),0)),
    'Resource Summary'!$C:$C,X$37
  ),
  SUMIFS(
    'Resource Summary'!$V:$V,
    'Resource Summary'!$B:$B,zones_to_group,
    'Resource Summary'!$A:$A,TRANSPOSE(_xlfn._xlws.FILTER('Results Grouping'!$G$9:$G$322,('Results Grouping'!$H$9:$H$322=$D$18) * ('Results Grouping'!$I$9:$I$322=$D50),0)),
    'Resource Summary'!$C:$C,X$37
  ),
  SUMIFS(
    'Resource Summary'!$W:$W,
    'Resource Summary'!$B:$B,zones_to_group,
    'Resource Summary'!$A:$A,TRANSPOSE(_xlfn._xlws.FILTER('Results Grouping'!$G$9:$G$322,('Results Grouping'!$H$9:$H$322=$D$18) * ('Results Grouping'!$I$9:$I$322=$D50),0)),
    'Resource Summary'!$C:$C,X$37
  ),
  SUMIFS(
    'Resource Summary'!$X:$X,
    'Resource Summary'!$B:$B,zones_to_group,
    'Resource Summary'!$A:$A,TRANSPOSE(_xlfn._xlws.FILTER('Results Grouping'!$G$9:$G$322,('Results Grouping'!$H$9:$H$322=$D$18) * ('Results Grouping'!$I$9:$I$322=$D50),0)),
    'Resource Summary'!$C:$C,X$37
  ),
  SUMIFS(
    'Resource Summary'!$Y:$Y,
    'Resource Summary'!$B:$B,zones_to_group,
    'Resource Summary'!$A:$A,TRANSPOSE(_xlfn._xlws.FILTER('Results Grouping'!$G$9:$G$322,('Results Grouping'!$H$9:$H$322=$D$18) * ('Results Grouping'!$I$9:$I$322=$D50),0)),
    'Resource Summary'!$C:$C,X$37
  )
)</f>
        <v>0</v>
      </c>
      <c r="Y50" s="25" cm="1">
        <f t="array" ref="Y50">0.000001 * SUM(
  SUMIFS(
    'Resource Summary'!$U:$U,
    'Resource Summary'!$B:$B,zones_to_group,
    'Resource Summary'!$A:$A,TRANSPOSE(_xlfn._xlws.FILTER('Results Grouping'!$G$9:$G$322,('Results Grouping'!$H$9:$H$322=$D$18) * ('Results Grouping'!$I$9:$I$322=$D50),0)),
    'Resource Summary'!$C:$C,Y$37
  ),
  SUMIFS(
    'Resource Summary'!$V:$V,
    'Resource Summary'!$B:$B,zones_to_group,
    'Resource Summary'!$A:$A,TRANSPOSE(_xlfn._xlws.FILTER('Results Grouping'!$G$9:$G$322,('Results Grouping'!$H$9:$H$322=$D$18) * ('Results Grouping'!$I$9:$I$322=$D50),0)),
    'Resource Summary'!$C:$C,Y$37
  ),
  SUMIFS(
    'Resource Summary'!$W:$W,
    'Resource Summary'!$B:$B,zones_to_group,
    'Resource Summary'!$A:$A,TRANSPOSE(_xlfn._xlws.FILTER('Results Grouping'!$G$9:$G$322,('Results Grouping'!$H$9:$H$322=$D$18) * ('Results Grouping'!$I$9:$I$322=$D50),0)),
    'Resource Summary'!$C:$C,Y$37
  ),
  SUMIFS(
    'Resource Summary'!$X:$X,
    'Resource Summary'!$B:$B,zones_to_group,
    'Resource Summary'!$A:$A,TRANSPOSE(_xlfn._xlws.FILTER('Results Grouping'!$G$9:$G$322,('Results Grouping'!$H$9:$H$322=$D$18) * ('Results Grouping'!$I$9:$I$322=$D50),0)),
    'Resource Summary'!$C:$C,Y$37
  ),
  SUMIFS(
    'Resource Summary'!$Y:$Y,
    'Resource Summary'!$B:$B,zones_to_group,
    'Resource Summary'!$A:$A,TRANSPOSE(_xlfn._xlws.FILTER('Results Grouping'!$G$9:$G$322,('Results Grouping'!$H$9:$H$322=$D$18) * ('Results Grouping'!$I$9:$I$322=$D50),0)),
    'Resource Summary'!$C:$C,Y$37
  )
)</f>
        <v>0</v>
      </c>
      <c r="Z50" s="25" cm="1">
        <f t="array" ref="Z50">0.000001 * SUM(
  SUMIFS(
    'Resource Summary'!$U:$U,
    'Resource Summary'!$B:$B,zones_to_group,
    'Resource Summary'!$A:$A,TRANSPOSE(_xlfn._xlws.FILTER('Results Grouping'!$G$9:$G$322,('Results Grouping'!$H$9:$H$322=$D$18) * ('Results Grouping'!$I$9:$I$322=$D50),0)),
    'Resource Summary'!$C:$C,Z$37
  ),
  SUMIFS(
    'Resource Summary'!$V:$V,
    'Resource Summary'!$B:$B,zones_to_group,
    'Resource Summary'!$A:$A,TRANSPOSE(_xlfn._xlws.FILTER('Results Grouping'!$G$9:$G$322,('Results Grouping'!$H$9:$H$322=$D$18) * ('Results Grouping'!$I$9:$I$322=$D50),0)),
    'Resource Summary'!$C:$C,Z$37
  ),
  SUMIFS(
    'Resource Summary'!$W:$W,
    'Resource Summary'!$B:$B,zones_to_group,
    'Resource Summary'!$A:$A,TRANSPOSE(_xlfn._xlws.FILTER('Results Grouping'!$G$9:$G$322,('Results Grouping'!$H$9:$H$322=$D$18) * ('Results Grouping'!$I$9:$I$322=$D50),0)),
    'Resource Summary'!$C:$C,Z$37
  ),
  SUMIFS(
    'Resource Summary'!$X:$X,
    'Resource Summary'!$B:$B,zones_to_group,
    'Resource Summary'!$A:$A,TRANSPOSE(_xlfn._xlws.FILTER('Results Grouping'!$G$9:$G$322,('Results Grouping'!$H$9:$H$322=$D$18) * ('Results Grouping'!$I$9:$I$322=$D50),0)),
    'Resource Summary'!$C:$C,Z$37
  ),
  SUMIFS(
    'Resource Summary'!$Y:$Y,
    'Resource Summary'!$B:$B,zones_to_group,
    'Resource Summary'!$A:$A,TRANSPOSE(_xlfn._xlws.FILTER('Results Grouping'!$G$9:$G$322,('Results Grouping'!$H$9:$H$322=$D$18) * ('Results Grouping'!$I$9:$I$322=$D50),0)),
    'Resource Summary'!$C:$C,Z$37
  )
)</f>
        <v>0</v>
      </c>
      <c r="AA50" s="25" cm="1">
        <f t="array" ref="AA50">0.000001 * SUM(
  SUMIFS(
    'Resource Summary'!$U:$U,
    'Resource Summary'!$B:$B,zones_to_group,
    'Resource Summary'!$A:$A,TRANSPOSE(_xlfn._xlws.FILTER('Results Grouping'!$G$9:$G$322,('Results Grouping'!$H$9:$H$322=$D$18) * ('Results Grouping'!$I$9:$I$322=$D50),0)),
    'Resource Summary'!$C:$C,AA$37
  ),
  SUMIFS(
    'Resource Summary'!$V:$V,
    'Resource Summary'!$B:$B,zones_to_group,
    'Resource Summary'!$A:$A,TRANSPOSE(_xlfn._xlws.FILTER('Results Grouping'!$G$9:$G$322,('Results Grouping'!$H$9:$H$322=$D$18) * ('Results Grouping'!$I$9:$I$322=$D50),0)),
    'Resource Summary'!$C:$C,AA$37
  ),
  SUMIFS(
    'Resource Summary'!$W:$W,
    'Resource Summary'!$B:$B,zones_to_group,
    'Resource Summary'!$A:$A,TRANSPOSE(_xlfn._xlws.FILTER('Results Grouping'!$G$9:$G$322,('Results Grouping'!$H$9:$H$322=$D$18) * ('Results Grouping'!$I$9:$I$322=$D50),0)),
    'Resource Summary'!$C:$C,AA$37
  ),
  SUMIFS(
    'Resource Summary'!$X:$X,
    'Resource Summary'!$B:$B,zones_to_group,
    'Resource Summary'!$A:$A,TRANSPOSE(_xlfn._xlws.FILTER('Results Grouping'!$G$9:$G$322,('Results Grouping'!$H$9:$H$322=$D$18) * ('Results Grouping'!$I$9:$I$322=$D50),0)),
    'Resource Summary'!$C:$C,AA$37
  ),
  SUMIFS(
    'Resource Summary'!$Y:$Y,
    'Resource Summary'!$B:$B,zones_to_group,
    'Resource Summary'!$A:$A,TRANSPOSE(_xlfn._xlws.FILTER('Results Grouping'!$G$9:$G$322,('Results Grouping'!$H$9:$H$322=$D$18) * ('Results Grouping'!$I$9:$I$322=$D50),0)),
    'Resource Summary'!$C:$C,AA$37
  )
)</f>
        <v>0</v>
      </c>
      <c r="AB50" s="25" cm="1">
        <f t="array" ref="AB50">0.000001 * SUM(
  SUMIFS(
    'Resource Summary'!$U:$U,
    'Resource Summary'!$B:$B,zones_to_group,
    'Resource Summary'!$A:$A,TRANSPOSE(_xlfn._xlws.FILTER('Results Grouping'!$G$9:$G$322,('Results Grouping'!$H$9:$H$322=$D$18) * ('Results Grouping'!$I$9:$I$322=$D50),0)),
    'Resource Summary'!$C:$C,AB$37
  ),
  SUMIFS(
    'Resource Summary'!$V:$V,
    'Resource Summary'!$B:$B,zones_to_group,
    'Resource Summary'!$A:$A,TRANSPOSE(_xlfn._xlws.FILTER('Results Grouping'!$G$9:$G$322,('Results Grouping'!$H$9:$H$322=$D$18) * ('Results Grouping'!$I$9:$I$322=$D50),0)),
    'Resource Summary'!$C:$C,AB$37
  ),
  SUMIFS(
    'Resource Summary'!$W:$W,
    'Resource Summary'!$B:$B,zones_to_group,
    'Resource Summary'!$A:$A,TRANSPOSE(_xlfn._xlws.FILTER('Results Grouping'!$G$9:$G$322,('Results Grouping'!$H$9:$H$322=$D$18) * ('Results Grouping'!$I$9:$I$322=$D50),0)),
    'Resource Summary'!$C:$C,AB$37
  ),
  SUMIFS(
    'Resource Summary'!$X:$X,
    'Resource Summary'!$B:$B,zones_to_group,
    'Resource Summary'!$A:$A,TRANSPOSE(_xlfn._xlws.FILTER('Results Grouping'!$G$9:$G$322,('Results Grouping'!$H$9:$H$322=$D$18) * ('Results Grouping'!$I$9:$I$322=$D50),0)),
    'Resource Summary'!$C:$C,AB$37
  ),
  SUMIFS(
    'Resource Summary'!$Y:$Y,
    'Resource Summary'!$B:$B,zones_to_group,
    'Resource Summary'!$A:$A,TRANSPOSE(_xlfn._xlws.FILTER('Results Grouping'!$G$9:$G$322,('Results Grouping'!$H$9:$H$322=$D$18) * ('Results Grouping'!$I$9:$I$322=$D50),0)),
    'Resource Summary'!$C:$C,AB$37
  )
)</f>
        <v>0</v>
      </c>
      <c r="AC50" s="25" cm="1">
        <f t="array" ref="AC50">0.000001 * SUM(
  SUMIFS(
    'Resource Summary'!$U:$U,
    'Resource Summary'!$B:$B,zones_to_group,
    'Resource Summary'!$A:$A,TRANSPOSE(_xlfn._xlws.FILTER('Results Grouping'!$G$9:$G$322,('Results Grouping'!$H$9:$H$322=$D$18) * ('Results Grouping'!$I$9:$I$322=$D50),0)),
    'Resource Summary'!$C:$C,AC$37
  ),
  SUMIFS(
    'Resource Summary'!$V:$V,
    'Resource Summary'!$B:$B,zones_to_group,
    'Resource Summary'!$A:$A,TRANSPOSE(_xlfn._xlws.FILTER('Results Grouping'!$G$9:$G$322,('Results Grouping'!$H$9:$H$322=$D$18) * ('Results Grouping'!$I$9:$I$322=$D50),0)),
    'Resource Summary'!$C:$C,AC$37
  ),
  SUMIFS(
    'Resource Summary'!$W:$W,
    'Resource Summary'!$B:$B,zones_to_group,
    'Resource Summary'!$A:$A,TRANSPOSE(_xlfn._xlws.FILTER('Results Grouping'!$G$9:$G$322,('Results Grouping'!$H$9:$H$322=$D$18) * ('Results Grouping'!$I$9:$I$322=$D50),0)),
    'Resource Summary'!$C:$C,AC$37
  ),
  SUMIFS(
    'Resource Summary'!$X:$X,
    'Resource Summary'!$B:$B,zones_to_group,
    'Resource Summary'!$A:$A,TRANSPOSE(_xlfn._xlws.FILTER('Results Grouping'!$G$9:$G$322,('Results Grouping'!$H$9:$H$322=$D$18) * ('Results Grouping'!$I$9:$I$322=$D50),0)),
    'Resource Summary'!$C:$C,AC$37
  ),
  SUMIFS(
    'Resource Summary'!$Y:$Y,
    'Resource Summary'!$B:$B,zones_to_group,
    'Resource Summary'!$A:$A,TRANSPOSE(_xlfn._xlws.FILTER('Results Grouping'!$G$9:$G$322,('Results Grouping'!$H$9:$H$322=$D$18) * ('Results Grouping'!$I$9:$I$322=$D50),0)),
    'Resource Summary'!$C:$C,AC$37
  )
)</f>
        <v>0</v>
      </c>
      <c r="AD50" s="25" cm="1">
        <f t="array" ref="AD50">0.000001 * SUM(
  SUMIFS(
    'Resource Summary'!$U:$U,
    'Resource Summary'!$B:$B,zones_to_group,
    'Resource Summary'!$A:$A,TRANSPOSE(_xlfn._xlws.FILTER('Results Grouping'!$G$9:$G$322,('Results Grouping'!$H$9:$H$322=$D$18) * ('Results Grouping'!$I$9:$I$322=$D50),0)),
    'Resource Summary'!$C:$C,AD$37
  ),
  SUMIFS(
    'Resource Summary'!$V:$V,
    'Resource Summary'!$B:$B,zones_to_group,
    'Resource Summary'!$A:$A,TRANSPOSE(_xlfn._xlws.FILTER('Results Grouping'!$G$9:$G$322,('Results Grouping'!$H$9:$H$322=$D$18) * ('Results Grouping'!$I$9:$I$322=$D50),0)),
    'Resource Summary'!$C:$C,AD$37
  ),
  SUMIFS(
    'Resource Summary'!$W:$W,
    'Resource Summary'!$B:$B,zones_to_group,
    'Resource Summary'!$A:$A,TRANSPOSE(_xlfn._xlws.FILTER('Results Grouping'!$G$9:$G$322,('Results Grouping'!$H$9:$H$322=$D$18) * ('Results Grouping'!$I$9:$I$322=$D50),0)),
    'Resource Summary'!$C:$C,AD$37
  ),
  SUMIFS(
    'Resource Summary'!$X:$X,
    'Resource Summary'!$B:$B,zones_to_group,
    'Resource Summary'!$A:$A,TRANSPOSE(_xlfn._xlws.FILTER('Results Grouping'!$G$9:$G$322,('Results Grouping'!$H$9:$H$322=$D$18) * ('Results Grouping'!$I$9:$I$322=$D50),0)),
    'Resource Summary'!$C:$C,AD$37
  ),
  SUMIFS(
    'Resource Summary'!$Y:$Y,
    'Resource Summary'!$B:$B,zones_to_group,
    'Resource Summary'!$A:$A,TRANSPOSE(_xlfn._xlws.FILTER('Results Grouping'!$G$9:$G$322,('Results Grouping'!$H$9:$H$322=$D$18) * ('Results Grouping'!$I$9:$I$322=$D50),0)),
    'Resource Summary'!$C:$C,AD$37
  )
)</f>
        <v>0</v>
      </c>
      <c r="AF50" s="25">
        <f t="shared" si="61"/>
        <v>0</v>
      </c>
      <c r="AH50" s="34"/>
    </row>
    <row r="51" spans="2:34" outlineLevel="1" x14ac:dyDescent="0.2">
      <c r="D51" s="8" t="s">
        <v>171</v>
      </c>
      <c r="E51" s="26">
        <f>E365+E383</f>
        <v>0</v>
      </c>
      <c r="F51" s="26">
        <f t="shared" ref="F51:AD51" si="62">F365+F383</f>
        <v>0</v>
      </c>
      <c r="G51" s="26">
        <f t="shared" si="62"/>
        <v>0</v>
      </c>
      <c r="H51" s="26">
        <f t="shared" si="62"/>
        <v>0</v>
      </c>
      <c r="I51" s="26">
        <f t="shared" si="62"/>
        <v>0</v>
      </c>
      <c r="J51" s="26">
        <f t="shared" si="62"/>
        <v>0</v>
      </c>
      <c r="K51" s="26">
        <f t="shared" si="62"/>
        <v>0</v>
      </c>
      <c r="L51" s="26">
        <f t="shared" si="62"/>
        <v>0</v>
      </c>
      <c r="M51" s="26">
        <f t="shared" si="62"/>
        <v>0</v>
      </c>
      <c r="N51" s="26">
        <f t="shared" si="62"/>
        <v>0</v>
      </c>
      <c r="O51" s="26">
        <f t="shared" si="62"/>
        <v>0</v>
      </c>
      <c r="P51" s="26">
        <f t="shared" si="62"/>
        <v>0</v>
      </c>
      <c r="Q51" s="26">
        <f t="shared" si="62"/>
        <v>0</v>
      </c>
      <c r="R51" s="26">
        <f t="shared" si="62"/>
        <v>0</v>
      </c>
      <c r="S51" s="26">
        <f t="shared" si="62"/>
        <v>0</v>
      </c>
      <c r="T51" s="26">
        <f t="shared" si="62"/>
        <v>0</v>
      </c>
      <c r="U51" s="26">
        <f t="shared" si="62"/>
        <v>0</v>
      </c>
      <c r="V51" s="26">
        <f t="shared" si="62"/>
        <v>0</v>
      </c>
      <c r="W51" s="26">
        <f t="shared" si="62"/>
        <v>0</v>
      </c>
      <c r="X51" s="26">
        <f t="shared" si="62"/>
        <v>0</v>
      </c>
      <c r="Y51" s="26">
        <f t="shared" si="62"/>
        <v>0</v>
      </c>
      <c r="Z51" s="26">
        <f t="shared" si="62"/>
        <v>0</v>
      </c>
      <c r="AA51" s="26">
        <f t="shared" si="62"/>
        <v>0</v>
      </c>
      <c r="AB51" s="26">
        <f t="shared" si="62"/>
        <v>0</v>
      </c>
      <c r="AC51" s="26">
        <f t="shared" si="62"/>
        <v>0</v>
      </c>
      <c r="AD51" s="26">
        <f t="shared" si="62"/>
        <v>905.21774875009748</v>
      </c>
      <c r="AF51" s="26">
        <f t="shared" si="61"/>
        <v>3497.8804339731964</v>
      </c>
      <c r="AH51" s="34"/>
    </row>
    <row r="52" spans="2:34" outlineLevel="1" x14ac:dyDescent="0.2">
      <c r="D52" s="8" t="s">
        <v>172</v>
      </c>
      <c r="E52" s="26">
        <f>-E374</f>
        <v>0</v>
      </c>
      <c r="F52" s="26">
        <f t="shared" ref="F52:AD52" si="63">-F374</f>
        <v>0</v>
      </c>
      <c r="G52" s="26">
        <f t="shared" si="63"/>
        <v>0</v>
      </c>
      <c r="H52" s="26">
        <f t="shared" si="63"/>
        <v>0</v>
      </c>
      <c r="I52" s="26">
        <f t="shared" si="63"/>
        <v>0</v>
      </c>
      <c r="J52" s="26">
        <f t="shared" si="63"/>
        <v>0</v>
      </c>
      <c r="K52" s="26">
        <f t="shared" si="63"/>
        <v>0</v>
      </c>
      <c r="L52" s="26">
        <f t="shared" si="63"/>
        <v>0</v>
      </c>
      <c r="M52" s="26">
        <f t="shared" si="63"/>
        <v>0</v>
      </c>
      <c r="N52" s="26">
        <f t="shared" si="63"/>
        <v>0</v>
      </c>
      <c r="O52" s="26">
        <f t="shared" si="63"/>
        <v>0</v>
      </c>
      <c r="P52" s="26">
        <f t="shared" si="63"/>
        <v>0</v>
      </c>
      <c r="Q52" s="26">
        <f t="shared" si="63"/>
        <v>0</v>
      </c>
      <c r="R52" s="26">
        <f t="shared" si="63"/>
        <v>0</v>
      </c>
      <c r="S52" s="26">
        <f t="shared" si="63"/>
        <v>0</v>
      </c>
      <c r="T52" s="26">
        <f t="shared" si="63"/>
        <v>0</v>
      </c>
      <c r="U52" s="26">
        <f t="shared" si="63"/>
        <v>0</v>
      </c>
      <c r="V52" s="26">
        <f t="shared" si="63"/>
        <v>0</v>
      </c>
      <c r="W52" s="26">
        <f t="shared" si="63"/>
        <v>0</v>
      </c>
      <c r="X52" s="26">
        <f t="shared" si="63"/>
        <v>0</v>
      </c>
      <c r="Y52" s="26">
        <f t="shared" si="63"/>
        <v>0</v>
      </c>
      <c r="Z52" s="26">
        <f t="shared" si="63"/>
        <v>0</v>
      </c>
      <c r="AA52" s="26">
        <f t="shared" si="63"/>
        <v>0</v>
      </c>
      <c r="AB52" s="26">
        <f t="shared" si="63"/>
        <v>0</v>
      </c>
      <c r="AC52" s="26">
        <f t="shared" si="63"/>
        <v>0</v>
      </c>
      <c r="AD52" s="26">
        <f t="shared" si="63"/>
        <v>-420.04911920715557</v>
      </c>
      <c r="AF52" s="26">
        <f t="shared" si="61"/>
        <v>-1623.1250408104927</v>
      </c>
      <c r="AH52" s="34"/>
    </row>
    <row r="53" spans="2:34" ht="12.6" outlineLevel="1" thickBot="1" x14ac:dyDescent="0.25">
      <c r="D53" s="9" t="s">
        <v>139</v>
      </c>
      <c r="E53" s="17">
        <f t="shared" ref="E53:AD53" si="64">SUM(E47:E52)</f>
        <v>0</v>
      </c>
      <c r="F53" s="17">
        <f t="shared" si="64"/>
        <v>0</v>
      </c>
      <c r="G53" s="17">
        <f t="shared" si="64"/>
        <v>0</v>
      </c>
      <c r="H53" s="17">
        <f t="shared" si="64"/>
        <v>0</v>
      </c>
      <c r="I53" s="17">
        <f t="shared" si="64"/>
        <v>0</v>
      </c>
      <c r="J53" s="17">
        <f t="shared" si="64"/>
        <v>0</v>
      </c>
      <c r="K53" s="17">
        <f t="shared" si="64"/>
        <v>0</v>
      </c>
      <c r="L53" s="17">
        <f t="shared" si="64"/>
        <v>0</v>
      </c>
      <c r="M53" s="17">
        <f t="shared" si="64"/>
        <v>0</v>
      </c>
      <c r="N53" s="17">
        <f t="shared" si="64"/>
        <v>0</v>
      </c>
      <c r="O53" s="17">
        <f t="shared" si="64"/>
        <v>0</v>
      </c>
      <c r="P53" s="17">
        <f t="shared" si="64"/>
        <v>0</v>
      </c>
      <c r="Q53" s="17">
        <f t="shared" si="64"/>
        <v>0</v>
      </c>
      <c r="R53" s="17">
        <f t="shared" si="64"/>
        <v>0</v>
      </c>
      <c r="S53" s="17">
        <f t="shared" si="64"/>
        <v>0</v>
      </c>
      <c r="T53" s="17">
        <f t="shared" si="64"/>
        <v>0</v>
      </c>
      <c r="U53" s="17">
        <f t="shared" si="64"/>
        <v>0</v>
      </c>
      <c r="V53" s="17">
        <f t="shared" si="64"/>
        <v>0</v>
      </c>
      <c r="W53" s="17">
        <f t="shared" si="64"/>
        <v>0</v>
      </c>
      <c r="X53" s="17">
        <f t="shared" si="64"/>
        <v>0</v>
      </c>
      <c r="Y53" s="17">
        <f t="shared" si="64"/>
        <v>0</v>
      </c>
      <c r="Z53" s="17">
        <f t="shared" si="64"/>
        <v>0</v>
      </c>
      <c r="AA53" s="17">
        <f t="shared" si="64"/>
        <v>0</v>
      </c>
      <c r="AB53" s="17">
        <f t="shared" si="64"/>
        <v>0</v>
      </c>
      <c r="AC53" s="17">
        <f t="shared" si="64"/>
        <v>0</v>
      </c>
      <c r="AD53" s="17">
        <f t="shared" si="64"/>
        <v>1486.859831926821</v>
      </c>
      <c r="AF53" s="17">
        <f t="shared" si="61"/>
        <v>5745.4219400124666</v>
      </c>
      <c r="AH53" s="34"/>
    </row>
    <row r="54" spans="2:34" ht="12" thickTop="1" x14ac:dyDescent="0.2">
      <c r="AH54" s="34"/>
    </row>
    <row r="55" spans="2:34" x14ac:dyDescent="0.2">
      <c r="AH55" s="34"/>
    </row>
    <row r="56" spans="2:34" ht="18" thickBot="1" x14ac:dyDescent="0.25">
      <c r="B56" s="6" t="s">
        <v>137</v>
      </c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H56" s="34"/>
    </row>
    <row r="57" spans="2:34" outlineLevel="1" x14ac:dyDescent="0.2">
      <c r="C57" s="15" t="s">
        <v>173</v>
      </c>
      <c r="D57" s="15" t="s">
        <v>131</v>
      </c>
      <c r="AH57" s="34"/>
    </row>
    <row r="58" spans="2:34" outlineLevel="1" x14ac:dyDescent="0.2">
      <c r="AH58" s="34"/>
    </row>
    <row r="59" spans="2:34" ht="13.2" outlineLevel="1" x14ac:dyDescent="0.2">
      <c r="E59" s="2" t="s">
        <v>155</v>
      </c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H59" s="34"/>
    </row>
    <row r="60" spans="2:34" outlineLevel="1" x14ac:dyDescent="0.2">
      <c r="E60" s="7">
        <v>43831</v>
      </c>
      <c r="F60" s="7">
        <f>EDATE(E60,12)</f>
        <v>44197</v>
      </c>
      <c r="G60" s="7">
        <f t="shared" ref="G60:AD60" si="65">EDATE(F60,12)</f>
        <v>44562</v>
      </c>
      <c r="H60" s="7">
        <f t="shared" si="65"/>
        <v>44927</v>
      </c>
      <c r="I60" s="7">
        <f t="shared" si="65"/>
        <v>45292</v>
      </c>
      <c r="J60" s="7">
        <f t="shared" si="65"/>
        <v>45658</v>
      </c>
      <c r="K60" s="7">
        <f t="shared" si="65"/>
        <v>46023</v>
      </c>
      <c r="L60" s="7">
        <f t="shared" si="65"/>
        <v>46388</v>
      </c>
      <c r="M60" s="7">
        <f t="shared" si="65"/>
        <v>46753</v>
      </c>
      <c r="N60" s="7">
        <f t="shared" si="65"/>
        <v>47119</v>
      </c>
      <c r="O60" s="7">
        <f t="shared" si="65"/>
        <v>47484</v>
      </c>
      <c r="P60" s="7">
        <f t="shared" si="65"/>
        <v>47849</v>
      </c>
      <c r="Q60" s="7">
        <f t="shared" si="65"/>
        <v>48214</v>
      </c>
      <c r="R60" s="7">
        <f t="shared" si="65"/>
        <v>48580</v>
      </c>
      <c r="S60" s="7">
        <f t="shared" si="65"/>
        <v>48945</v>
      </c>
      <c r="T60" s="7">
        <f t="shared" si="65"/>
        <v>49310</v>
      </c>
      <c r="U60" s="7">
        <f t="shared" si="65"/>
        <v>49675</v>
      </c>
      <c r="V60" s="7">
        <f t="shared" si="65"/>
        <v>50041</v>
      </c>
      <c r="W60" s="7">
        <f t="shared" si="65"/>
        <v>50406</v>
      </c>
      <c r="X60" s="7">
        <f t="shared" si="65"/>
        <v>50771</v>
      </c>
      <c r="Y60" s="7">
        <f t="shared" si="65"/>
        <v>51136</v>
      </c>
      <c r="Z60" s="7">
        <f t="shared" si="65"/>
        <v>51502</v>
      </c>
      <c r="AA60" s="7">
        <f t="shared" si="65"/>
        <v>51867</v>
      </c>
      <c r="AB60" s="7">
        <f t="shared" si="65"/>
        <v>52232</v>
      </c>
      <c r="AC60" s="7">
        <f t="shared" si="65"/>
        <v>52597</v>
      </c>
      <c r="AD60" s="7">
        <f t="shared" si="65"/>
        <v>52963</v>
      </c>
      <c r="AH60" s="34"/>
    </row>
    <row r="61" spans="2:34" outlineLevel="1" x14ac:dyDescent="0.2">
      <c r="D61" s="8" t="s">
        <v>148</v>
      </c>
      <c r="E61" s="21" cm="1">
        <f t="array" ref="E61">0.001 * SUM(
  SUMIFS(
    'Resource Summary'!$G:$G,
    'Resource Summary'!$B:$B,zones_to_group,
    'Resource Summary'!$A:$A,TRANSPOSE(_xlfn._xlws.FILTER('Results Grouping'!$G$9:$G$322,('Results Grouping'!$H$9:$H$322=$D$57) * ('Results Grouping'!$I$9:$I$322=$D61),0)),
    'Resource Summary'!$C:$C,E$60
  )
)</f>
        <v>0</v>
      </c>
      <c r="F61" s="21" cm="1">
        <f t="array" ref="F61">0.001 * SUM(
  SUMIFS(
    'Resource Summary'!$G:$G,
    'Resource Summary'!$B:$B,zones_to_group,
    'Resource Summary'!$A:$A,TRANSPOSE(_xlfn._xlws.FILTER('Results Grouping'!$G$9:$G$322,('Results Grouping'!$H$9:$H$322=$D$57) * ('Results Grouping'!$I$9:$I$322=$D61),0)),
    'Resource Summary'!$C:$C,F$60
  )
)</f>
        <v>0</v>
      </c>
      <c r="G61" s="21" cm="1">
        <f t="array" ref="G61">0.001 * SUM(
  SUMIFS(
    'Resource Summary'!$G:$G,
    'Resource Summary'!$B:$B,zones_to_group,
    'Resource Summary'!$A:$A,TRANSPOSE(_xlfn._xlws.FILTER('Results Grouping'!$G$9:$G$322,('Results Grouping'!$H$9:$H$322=$D$57) * ('Results Grouping'!$I$9:$I$322=$D61),0)),
    'Resource Summary'!$C:$C,G$60
  )
)</f>
        <v>0</v>
      </c>
      <c r="H61" s="21" cm="1">
        <f t="array" ref="H61">0.001 * SUM(
  SUMIFS(
    'Resource Summary'!$G:$G,
    'Resource Summary'!$B:$B,zones_to_group,
    'Resource Summary'!$A:$A,TRANSPOSE(_xlfn._xlws.FILTER('Results Grouping'!$G$9:$G$322,('Results Grouping'!$H$9:$H$322=$D$57) * ('Results Grouping'!$I$9:$I$322=$D61),0)),
    'Resource Summary'!$C:$C,H$60
  )
)</f>
        <v>0</v>
      </c>
      <c r="I61" s="21" cm="1">
        <f t="array" ref="I61">0.001 * SUM(
  SUMIFS(
    'Resource Summary'!$G:$G,
    'Resource Summary'!$B:$B,zones_to_group,
    'Resource Summary'!$A:$A,TRANSPOSE(_xlfn._xlws.FILTER('Results Grouping'!$G$9:$G$322,('Results Grouping'!$H$9:$H$322=$D$57) * ('Results Grouping'!$I$9:$I$322=$D61),0)),
    'Resource Summary'!$C:$C,I$60
  )
)</f>
        <v>0</v>
      </c>
      <c r="J61" s="21" cm="1">
        <f t="array" ref="J61">0.001 * SUM(
  SUMIFS(
    'Resource Summary'!$G:$G,
    'Resource Summary'!$B:$B,zones_to_group,
    'Resource Summary'!$A:$A,TRANSPOSE(_xlfn._xlws.FILTER('Results Grouping'!$G$9:$G$322,('Results Grouping'!$H$9:$H$322=$D$57) * ('Results Grouping'!$I$9:$I$322=$D61),0)),
    'Resource Summary'!$C:$C,J$60
  )
)</f>
        <v>0</v>
      </c>
      <c r="K61" s="21" cm="1">
        <f t="array" ref="K61">0.001 * SUM(
  SUMIFS(
    'Resource Summary'!$G:$G,
    'Resource Summary'!$B:$B,zones_to_group,
    'Resource Summary'!$A:$A,TRANSPOSE(_xlfn._xlws.FILTER('Results Grouping'!$G$9:$G$322,('Results Grouping'!$H$9:$H$322=$D$57) * ('Results Grouping'!$I$9:$I$322=$D61),0)),
    'Resource Summary'!$C:$C,K$60
  )
)</f>
        <v>0</v>
      </c>
      <c r="L61" s="21" cm="1">
        <f t="array" ref="L61">0.001 * SUM(
  SUMIFS(
    'Resource Summary'!$G:$G,
    'Resource Summary'!$B:$B,zones_to_group,
    'Resource Summary'!$A:$A,TRANSPOSE(_xlfn._xlws.FILTER('Results Grouping'!$G$9:$G$322,('Results Grouping'!$H$9:$H$322=$D$57) * ('Results Grouping'!$I$9:$I$322=$D61),0)),
    'Resource Summary'!$C:$C,L$60
  )
)</f>
        <v>0</v>
      </c>
      <c r="M61" s="21" cm="1">
        <f t="array" ref="M61">0.001 * SUM(
  SUMIFS(
    'Resource Summary'!$G:$G,
    'Resource Summary'!$B:$B,zones_to_group,
    'Resource Summary'!$A:$A,TRANSPOSE(_xlfn._xlws.FILTER('Results Grouping'!$G$9:$G$322,('Results Grouping'!$H$9:$H$322=$D$57) * ('Results Grouping'!$I$9:$I$322=$D61),0)),
    'Resource Summary'!$C:$C,M$60
  )
)</f>
        <v>0</v>
      </c>
      <c r="N61" s="21" cm="1">
        <f t="array" ref="N61">0.001 * SUM(
  SUMIFS(
    'Resource Summary'!$G:$G,
    'Resource Summary'!$B:$B,zones_to_group,
    'Resource Summary'!$A:$A,TRANSPOSE(_xlfn._xlws.FILTER('Results Grouping'!$G$9:$G$322,('Results Grouping'!$H$9:$H$322=$D$57) * ('Results Grouping'!$I$9:$I$322=$D61),0)),
    'Resource Summary'!$C:$C,N$60
  )
)</f>
        <v>0</v>
      </c>
      <c r="O61" s="21" cm="1">
        <f t="array" ref="O61">0.001 * SUM(
  SUMIFS(
    'Resource Summary'!$G:$G,
    'Resource Summary'!$B:$B,zones_to_group,
    'Resource Summary'!$A:$A,TRANSPOSE(_xlfn._xlws.FILTER('Results Grouping'!$G$9:$G$322,('Results Grouping'!$H$9:$H$322=$D$57) * ('Results Grouping'!$I$9:$I$322=$D61),0)),
    'Resource Summary'!$C:$C,O$60
  )
)</f>
        <v>0</v>
      </c>
      <c r="P61" s="21" cm="1">
        <f t="array" ref="P61">0.001 * SUM(
  SUMIFS(
    'Resource Summary'!$G:$G,
    'Resource Summary'!$B:$B,zones_to_group,
    'Resource Summary'!$A:$A,TRANSPOSE(_xlfn._xlws.FILTER('Results Grouping'!$G$9:$G$322,('Results Grouping'!$H$9:$H$322=$D$57) * ('Results Grouping'!$I$9:$I$322=$D61),0)),
    'Resource Summary'!$C:$C,P$60
  )
)</f>
        <v>0</v>
      </c>
      <c r="Q61" s="21" cm="1">
        <f t="array" ref="Q61">0.001 * SUM(
  SUMIFS(
    'Resource Summary'!$G:$G,
    'Resource Summary'!$B:$B,zones_to_group,
    'Resource Summary'!$A:$A,TRANSPOSE(_xlfn._xlws.FILTER('Results Grouping'!$G$9:$G$322,('Results Grouping'!$H$9:$H$322=$D$57) * ('Results Grouping'!$I$9:$I$322=$D61),0)),
    'Resource Summary'!$C:$C,Q$60
  )
)</f>
        <v>0</v>
      </c>
      <c r="R61" s="21" cm="1">
        <f t="array" ref="R61">0.001 * SUM(
  SUMIFS(
    'Resource Summary'!$G:$G,
    'Resource Summary'!$B:$B,zones_to_group,
    'Resource Summary'!$A:$A,TRANSPOSE(_xlfn._xlws.FILTER('Results Grouping'!$G$9:$G$322,('Results Grouping'!$H$9:$H$322=$D$57) * ('Results Grouping'!$I$9:$I$322=$D61),0)),
    'Resource Summary'!$C:$C,R$60
  )
)</f>
        <v>0</v>
      </c>
      <c r="S61" s="21" cm="1">
        <f t="array" ref="S61">0.001 * SUM(
  SUMIFS(
    'Resource Summary'!$G:$G,
    'Resource Summary'!$B:$B,zones_to_group,
    'Resource Summary'!$A:$A,TRANSPOSE(_xlfn._xlws.FILTER('Results Grouping'!$G$9:$G$322,('Results Grouping'!$H$9:$H$322=$D$57) * ('Results Grouping'!$I$9:$I$322=$D61),0)),
    'Resource Summary'!$C:$C,S$60
  )
)</f>
        <v>0</v>
      </c>
      <c r="T61" s="21" cm="1">
        <f t="array" ref="T61">0.001 * SUM(
  SUMIFS(
    'Resource Summary'!$G:$G,
    'Resource Summary'!$B:$B,zones_to_group,
    'Resource Summary'!$A:$A,TRANSPOSE(_xlfn._xlws.FILTER('Results Grouping'!$G$9:$G$322,('Results Grouping'!$H$9:$H$322=$D$57) * ('Results Grouping'!$I$9:$I$322=$D61),0)),
    'Resource Summary'!$C:$C,T$60
  )
)</f>
        <v>0</v>
      </c>
      <c r="U61" s="21" cm="1">
        <f t="array" ref="U61">0.001 * SUM(
  SUMIFS(
    'Resource Summary'!$G:$G,
    'Resource Summary'!$B:$B,zones_to_group,
    'Resource Summary'!$A:$A,TRANSPOSE(_xlfn._xlws.FILTER('Results Grouping'!$G$9:$G$322,('Results Grouping'!$H$9:$H$322=$D$57) * ('Results Grouping'!$I$9:$I$322=$D61),0)),
    'Resource Summary'!$C:$C,U$60
  )
)</f>
        <v>0</v>
      </c>
      <c r="V61" s="21" cm="1">
        <f t="array" ref="V61">0.001 * SUM(
  SUMIFS(
    'Resource Summary'!$G:$G,
    'Resource Summary'!$B:$B,zones_to_group,
    'Resource Summary'!$A:$A,TRANSPOSE(_xlfn._xlws.FILTER('Results Grouping'!$G$9:$G$322,('Results Grouping'!$H$9:$H$322=$D$57) * ('Results Grouping'!$I$9:$I$322=$D61),0)),
    'Resource Summary'!$C:$C,V$60
  )
)</f>
        <v>0</v>
      </c>
      <c r="W61" s="21" cm="1">
        <f t="array" ref="W61">0.001 * SUM(
  SUMIFS(
    'Resource Summary'!$G:$G,
    'Resource Summary'!$B:$B,zones_to_group,
    'Resource Summary'!$A:$A,TRANSPOSE(_xlfn._xlws.FILTER('Results Grouping'!$G$9:$G$322,('Results Grouping'!$H$9:$H$322=$D$57) * ('Results Grouping'!$I$9:$I$322=$D61),0)),
    'Resource Summary'!$C:$C,W$60
  )
)</f>
        <v>0</v>
      </c>
      <c r="X61" s="21" cm="1">
        <f t="array" ref="X61">0.001 * SUM(
  SUMIFS(
    'Resource Summary'!$G:$G,
    'Resource Summary'!$B:$B,zones_to_group,
    'Resource Summary'!$A:$A,TRANSPOSE(_xlfn._xlws.FILTER('Results Grouping'!$G$9:$G$322,('Results Grouping'!$H$9:$H$322=$D$57) * ('Results Grouping'!$I$9:$I$322=$D61),0)),
    'Resource Summary'!$C:$C,X$60
  )
)</f>
        <v>0</v>
      </c>
      <c r="Y61" s="21" cm="1">
        <f t="array" ref="Y61">0.001 * SUM(
  SUMIFS(
    'Resource Summary'!$G:$G,
    'Resource Summary'!$B:$B,zones_to_group,
    'Resource Summary'!$A:$A,TRANSPOSE(_xlfn._xlws.FILTER('Results Grouping'!$G$9:$G$322,('Results Grouping'!$H$9:$H$322=$D$57) * ('Results Grouping'!$I$9:$I$322=$D61),0)),
    'Resource Summary'!$C:$C,Y$60
  )
)</f>
        <v>0</v>
      </c>
      <c r="Z61" s="21" cm="1">
        <f t="array" ref="Z61">0.001 * SUM(
  SUMIFS(
    'Resource Summary'!$G:$G,
    'Resource Summary'!$B:$B,zones_to_group,
    'Resource Summary'!$A:$A,TRANSPOSE(_xlfn._xlws.FILTER('Results Grouping'!$G$9:$G$322,('Results Grouping'!$H$9:$H$322=$D$57) * ('Results Grouping'!$I$9:$I$322=$D61),0)),
    'Resource Summary'!$C:$C,Z$60
  )
)</f>
        <v>0</v>
      </c>
      <c r="AA61" s="21" cm="1">
        <f t="array" ref="AA61">0.001 * SUM(
  SUMIFS(
    'Resource Summary'!$G:$G,
    'Resource Summary'!$B:$B,zones_to_group,
    'Resource Summary'!$A:$A,TRANSPOSE(_xlfn._xlws.FILTER('Results Grouping'!$G$9:$G$322,('Results Grouping'!$H$9:$H$322=$D$57) * ('Results Grouping'!$I$9:$I$322=$D61),0)),
    'Resource Summary'!$C:$C,AA$60
  )
)</f>
        <v>0</v>
      </c>
      <c r="AB61" s="21" cm="1">
        <f t="array" ref="AB61">0.001 * SUM(
  SUMIFS(
    'Resource Summary'!$G:$G,
    'Resource Summary'!$B:$B,zones_to_group,
    'Resource Summary'!$A:$A,TRANSPOSE(_xlfn._xlws.FILTER('Results Grouping'!$G$9:$G$322,('Results Grouping'!$H$9:$H$322=$D$57) * ('Results Grouping'!$I$9:$I$322=$D61),0)),
    'Resource Summary'!$C:$C,AB$60
  )
)</f>
        <v>0</v>
      </c>
      <c r="AC61" s="21" cm="1">
        <f t="array" ref="AC61">0.001 * SUM(
  SUMIFS(
    'Resource Summary'!$G:$G,
    'Resource Summary'!$B:$B,zones_to_group,
    'Resource Summary'!$A:$A,TRANSPOSE(_xlfn._xlws.FILTER('Results Grouping'!$G$9:$G$322,('Results Grouping'!$H$9:$H$322=$D$57) * ('Results Grouping'!$I$9:$I$322=$D61),0)),
    'Resource Summary'!$C:$C,AC$60
  )
)</f>
        <v>0</v>
      </c>
      <c r="AD61" s="21" cm="1">
        <f t="array" ref="AD61">0.001 * SUM(
  SUMIFS(
    'Resource Summary'!$G:$G,
    'Resource Summary'!$B:$B,zones_to_group,
    'Resource Summary'!$A:$A,TRANSPOSE(_xlfn._xlws.FILTER('Results Grouping'!$G$9:$G$322,('Results Grouping'!$H$9:$H$322=$D$57) * ('Results Grouping'!$I$9:$I$322=$D61),0)),
    'Resource Summary'!$C:$C,AD$60
  )
)</f>
        <v>0.63500000000000001</v>
      </c>
      <c r="AH61" s="34"/>
    </row>
    <row r="62" spans="2:34" outlineLevel="1" x14ac:dyDescent="0.2">
      <c r="D62" s="8" t="s">
        <v>145</v>
      </c>
      <c r="E62" s="21" cm="1">
        <f t="array" ref="E62">0.001 * SUM(
  SUMIFS(
    'Resource Summary'!$G:$G,
    'Resource Summary'!$B:$B,zones_to_group,
    'Resource Summary'!$A:$A,TRANSPOSE(_xlfn._xlws.FILTER('Results Grouping'!$G$9:$G$322,('Results Grouping'!$H$9:$H$322=$D$57) * ('Results Grouping'!$I$9:$I$322=$D62),0)),
    'Resource Summary'!$C:$C,E$60
  )
)</f>
        <v>0</v>
      </c>
      <c r="F62" s="21" cm="1">
        <f t="array" ref="F62">0.001 * SUM(
  SUMIFS(
    'Resource Summary'!$G:$G,
    'Resource Summary'!$B:$B,zones_to_group,
    'Resource Summary'!$A:$A,TRANSPOSE(_xlfn._xlws.FILTER('Results Grouping'!$G$9:$G$322,('Results Grouping'!$H$9:$H$322=$D$57) * ('Results Grouping'!$I$9:$I$322=$D62),0)),
    'Resource Summary'!$C:$C,F$60
  )
)</f>
        <v>0</v>
      </c>
      <c r="G62" s="21" cm="1">
        <f t="array" ref="G62">0.001 * SUM(
  SUMIFS(
    'Resource Summary'!$G:$G,
    'Resource Summary'!$B:$B,zones_to_group,
    'Resource Summary'!$A:$A,TRANSPOSE(_xlfn._xlws.FILTER('Results Grouping'!$G$9:$G$322,('Results Grouping'!$H$9:$H$322=$D$57) * ('Results Grouping'!$I$9:$I$322=$D62),0)),
    'Resource Summary'!$C:$C,G$60
  )
)</f>
        <v>0</v>
      </c>
      <c r="H62" s="21" cm="1">
        <f t="array" ref="H62">0.001 * SUM(
  SUMIFS(
    'Resource Summary'!$G:$G,
    'Resource Summary'!$B:$B,zones_to_group,
    'Resource Summary'!$A:$A,TRANSPOSE(_xlfn._xlws.FILTER('Results Grouping'!$G$9:$G$322,('Results Grouping'!$H$9:$H$322=$D$57) * ('Results Grouping'!$I$9:$I$322=$D62),0)),
    'Resource Summary'!$C:$C,H$60
  )
)</f>
        <v>0</v>
      </c>
      <c r="I62" s="21" cm="1">
        <f t="array" ref="I62">0.001 * SUM(
  SUMIFS(
    'Resource Summary'!$G:$G,
    'Resource Summary'!$B:$B,zones_to_group,
    'Resource Summary'!$A:$A,TRANSPOSE(_xlfn._xlws.FILTER('Results Grouping'!$G$9:$G$322,('Results Grouping'!$H$9:$H$322=$D$57) * ('Results Grouping'!$I$9:$I$322=$D62),0)),
    'Resource Summary'!$C:$C,I$60
  )
)</f>
        <v>0</v>
      </c>
      <c r="J62" s="21" cm="1">
        <f t="array" ref="J62">0.001 * SUM(
  SUMIFS(
    'Resource Summary'!$G:$G,
    'Resource Summary'!$B:$B,zones_to_group,
    'Resource Summary'!$A:$A,TRANSPOSE(_xlfn._xlws.FILTER('Results Grouping'!$G$9:$G$322,('Results Grouping'!$H$9:$H$322=$D$57) * ('Results Grouping'!$I$9:$I$322=$D62),0)),
    'Resource Summary'!$C:$C,J$60
  )
)</f>
        <v>0</v>
      </c>
      <c r="K62" s="21" cm="1">
        <f t="array" ref="K62">0.001 * SUM(
  SUMIFS(
    'Resource Summary'!$G:$G,
    'Resource Summary'!$B:$B,zones_to_group,
    'Resource Summary'!$A:$A,TRANSPOSE(_xlfn._xlws.FILTER('Results Grouping'!$G$9:$G$322,('Results Grouping'!$H$9:$H$322=$D$57) * ('Results Grouping'!$I$9:$I$322=$D62),0)),
    'Resource Summary'!$C:$C,K$60
  )
)</f>
        <v>0</v>
      </c>
      <c r="L62" s="21" cm="1">
        <f t="array" ref="L62">0.001 * SUM(
  SUMIFS(
    'Resource Summary'!$G:$G,
    'Resource Summary'!$B:$B,zones_to_group,
    'Resource Summary'!$A:$A,TRANSPOSE(_xlfn._xlws.FILTER('Results Grouping'!$G$9:$G$322,('Results Grouping'!$H$9:$H$322=$D$57) * ('Results Grouping'!$I$9:$I$322=$D62),0)),
    'Resource Summary'!$C:$C,L$60
  )
)</f>
        <v>0</v>
      </c>
      <c r="M62" s="21" cm="1">
        <f t="array" ref="M62">0.001 * SUM(
  SUMIFS(
    'Resource Summary'!$G:$G,
    'Resource Summary'!$B:$B,zones_to_group,
    'Resource Summary'!$A:$A,TRANSPOSE(_xlfn._xlws.FILTER('Results Grouping'!$G$9:$G$322,('Results Grouping'!$H$9:$H$322=$D$57) * ('Results Grouping'!$I$9:$I$322=$D62),0)),
    'Resource Summary'!$C:$C,M$60
  )
)</f>
        <v>0</v>
      </c>
      <c r="N62" s="21" cm="1">
        <f t="array" ref="N62">0.001 * SUM(
  SUMIFS(
    'Resource Summary'!$G:$G,
    'Resource Summary'!$B:$B,zones_to_group,
    'Resource Summary'!$A:$A,TRANSPOSE(_xlfn._xlws.FILTER('Results Grouping'!$G$9:$G$322,('Results Grouping'!$H$9:$H$322=$D$57) * ('Results Grouping'!$I$9:$I$322=$D62),0)),
    'Resource Summary'!$C:$C,N$60
  )
)</f>
        <v>0</v>
      </c>
      <c r="O62" s="21" cm="1">
        <f t="array" ref="O62">0.001 * SUM(
  SUMIFS(
    'Resource Summary'!$G:$G,
    'Resource Summary'!$B:$B,zones_to_group,
    'Resource Summary'!$A:$A,TRANSPOSE(_xlfn._xlws.FILTER('Results Grouping'!$G$9:$G$322,('Results Grouping'!$H$9:$H$322=$D$57) * ('Results Grouping'!$I$9:$I$322=$D62),0)),
    'Resource Summary'!$C:$C,O$60
  )
)</f>
        <v>0</v>
      </c>
      <c r="P62" s="21" cm="1">
        <f t="array" ref="P62">0.001 * SUM(
  SUMIFS(
    'Resource Summary'!$G:$G,
    'Resource Summary'!$B:$B,zones_to_group,
    'Resource Summary'!$A:$A,TRANSPOSE(_xlfn._xlws.FILTER('Results Grouping'!$G$9:$G$322,('Results Grouping'!$H$9:$H$322=$D$57) * ('Results Grouping'!$I$9:$I$322=$D62),0)),
    'Resource Summary'!$C:$C,P$60
  )
)</f>
        <v>0</v>
      </c>
      <c r="Q62" s="21" cm="1">
        <f t="array" ref="Q62">0.001 * SUM(
  SUMIFS(
    'Resource Summary'!$G:$G,
    'Resource Summary'!$B:$B,zones_to_group,
    'Resource Summary'!$A:$A,TRANSPOSE(_xlfn._xlws.FILTER('Results Grouping'!$G$9:$G$322,('Results Grouping'!$H$9:$H$322=$D$57) * ('Results Grouping'!$I$9:$I$322=$D62),0)),
    'Resource Summary'!$C:$C,Q$60
  )
)</f>
        <v>0</v>
      </c>
      <c r="R62" s="21" cm="1">
        <f t="array" ref="R62">0.001 * SUM(
  SUMIFS(
    'Resource Summary'!$G:$G,
    'Resource Summary'!$B:$B,zones_to_group,
    'Resource Summary'!$A:$A,TRANSPOSE(_xlfn._xlws.FILTER('Results Grouping'!$G$9:$G$322,('Results Grouping'!$H$9:$H$322=$D$57) * ('Results Grouping'!$I$9:$I$322=$D62),0)),
    'Resource Summary'!$C:$C,R$60
  )
)</f>
        <v>0</v>
      </c>
      <c r="S62" s="21" cm="1">
        <f t="array" ref="S62">0.001 * SUM(
  SUMIFS(
    'Resource Summary'!$G:$G,
    'Resource Summary'!$B:$B,zones_to_group,
    'Resource Summary'!$A:$A,TRANSPOSE(_xlfn._xlws.FILTER('Results Grouping'!$G$9:$G$322,('Results Grouping'!$H$9:$H$322=$D$57) * ('Results Grouping'!$I$9:$I$322=$D62),0)),
    'Resource Summary'!$C:$C,S$60
  )
)</f>
        <v>0</v>
      </c>
      <c r="T62" s="21" cm="1">
        <f t="array" ref="T62">0.001 * SUM(
  SUMIFS(
    'Resource Summary'!$G:$G,
    'Resource Summary'!$B:$B,zones_to_group,
    'Resource Summary'!$A:$A,TRANSPOSE(_xlfn._xlws.FILTER('Results Grouping'!$G$9:$G$322,('Results Grouping'!$H$9:$H$322=$D$57) * ('Results Grouping'!$I$9:$I$322=$D62),0)),
    'Resource Summary'!$C:$C,T$60
  )
)</f>
        <v>0</v>
      </c>
      <c r="U62" s="21" cm="1">
        <f t="array" ref="U62">0.001 * SUM(
  SUMIFS(
    'Resource Summary'!$G:$G,
    'Resource Summary'!$B:$B,zones_to_group,
    'Resource Summary'!$A:$A,TRANSPOSE(_xlfn._xlws.FILTER('Results Grouping'!$G$9:$G$322,('Results Grouping'!$H$9:$H$322=$D$57) * ('Results Grouping'!$I$9:$I$322=$D62),0)),
    'Resource Summary'!$C:$C,U$60
  )
)</f>
        <v>0</v>
      </c>
      <c r="V62" s="21" cm="1">
        <f t="array" ref="V62">0.001 * SUM(
  SUMIFS(
    'Resource Summary'!$G:$G,
    'Resource Summary'!$B:$B,zones_to_group,
    'Resource Summary'!$A:$A,TRANSPOSE(_xlfn._xlws.FILTER('Results Grouping'!$G$9:$G$322,('Results Grouping'!$H$9:$H$322=$D$57) * ('Results Grouping'!$I$9:$I$322=$D62),0)),
    'Resource Summary'!$C:$C,V$60
  )
)</f>
        <v>0</v>
      </c>
      <c r="W62" s="21" cm="1">
        <f t="array" ref="W62">0.001 * SUM(
  SUMIFS(
    'Resource Summary'!$G:$G,
    'Resource Summary'!$B:$B,zones_to_group,
    'Resource Summary'!$A:$A,TRANSPOSE(_xlfn._xlws.FILTER('Results Grouping'!$G$9:$G$322,('Results Grouping'!$H$9:$H$322=$D$57) * ('Results Grouping'!$I$9:$I$322=$D62),0)),
    'Resource Summary'!$C:$C,W$60
  )
)</f>
        <v>0</v>
      </c>
      <c r="X62" s="21" cm="1">
        <f t="array" ref="X62">0.001 * SUM(
  SUMIFS(
    'Resource Summary'!$G:$G,
    'Resource Summary'!$B:$B,zones_to_group,
    'Resource Summary'!$A:$A,TRANSPOSE(_xlfn._xlws.FILTER('Results Grouping'!$G$9:$G$322,('Results Grouping'!$H$9:$H$322=$D$57) * ('Results Grouping'!$I$9:$I$322=$D62),0)),
    'Resource Summary'!$C:$C,X$60
  )
)</f>
        <v>0</v>
      </c>
      <c r="Y62" s="21" cm="1">
        <f t="array" ref="Y62">0.001 * SUM(
  SUMIFS(
    'Resource Summary'!$G:$G,
    'Resource Summary'!$B:$B,zones_to_group,
    'Resource Summary'!$A:$A,TRANSPOSE(_xlfn._xlws.FILTER('Results Grouping'!$G$9:$G$322,('Results Grouping'!$H$9:$H$322=$D$57) * ('Results Grouping'!$I$9:$I$322=$D62),0)),
    'Resource Summary'!$C:$C,Y$60
  )
)</f>
        <v>0</v>
      </c>
      <c r="Z62" s="21" cm="1">
        <f t="array" ref="Z62">0.001 * SUM(
  SUMIFS(
    'Resource Summary'!$G:$G,
    'Resource Summary'!$B:$B,zones_to_group,
    'Resource Summary'!$A:$A,TRANSPOSE(_xlfn._xlws.FILTER('Results Grouping'!$G$9:$G$322,('Results Grouping'!$H$9:$H$322=$D$57) * ('Results Grouping'!$I$9:$I$322=$D62),0)),
    'Resource Summary'!$C:$C,Z$60
  )
)</f>
        <v>0</v>
      </c>
      <c r="AA62" s="21" cm="1">
        <f t="array" ref="AA62">0.001 * SUM(
  SUMIFS(
    'Resource Summary'!$G:$G,
    'Resource Summary'!$B:$B,zones_to_group,
    'Resource Summary'!$A:$A,TRANSPOSE(_xlfn._xlws.FILTER('Results Grouping'!$G$9:$G$322,('Results Grouping'!$H$9:$H$322=$D$57) * ('Results Grouping'!$I$9:$I$322=$D62),0)),
    'Resource Summary'!$C:$C,AA$60
  )
)</f>
        <v>0</v>
      </c>
      <c r="AB62" s="21" cm="1">
        <f t="array" ref="AB62">0.001 * SUM(
  SUMIFS(
    'Resource Summary'!$G:$G,
    'Resource Summary'!$B:$B,zones_to_group,
    'Resource Summary'!$A:$A,TRANSPOSE(_xlfn._xlws.FILTER('Results Grouping'!$G$9:$G$322,('Results Grouping'!$H$9:$H$322=$D$57) * ('Results Grouping'!$I$9:$I$322=$D62),0)),
    'Resource Summary'!$C:$C,AB$60
  )
)</f>
        <v>0</v>
      </c>
      <c r="AC62" s="21" cm="1">
        <f t="array" ref="AC62">0.001 * SUM(
  SUMIFS(
    'Resource Summary'!$G:$G,
    'Resource Summary'!$B:$B,zones_to_group,
    'Resource Summary'!$A:$A,TRANSPOSE(_xlfn._xlws.FILTER('Results Grouping'!$G$9:$G$322,('Results Grouping'!$H$9:$H$322=$D$57) * ('Results Grouping'!$I$9:$I$322=$D62),0)),
    'Resource Summary'!$C:$C,AC$60
  )
)</f>
        <v>0</v>
      </c>
      <c r="AD62" s="21" cm="1">
        <f t="array" ref="AD62">0.001 * SUM(
  SUMIFS(
    'Resource Summary'!$G:$G,
    'Resource Summary'!$B:$B,zones_to_group,
    'Resource Summary'!$A:$A,TRANSPOSE(_xlfn._xlws.FILTER('Results Grouping'!$G$9:$G$322,('Results Grouping'!$H$9:$H$322=$D$57) * ('Results Grouping'!$I$9:$I$322=$D62),0)),
    'Resource Summary'!$C:$C,AD$60
  )
)</f>
        <v>0</v>
      </c>
      <c r="AH62" s="34"/>
    </row>
    <row r="63" spans="2:34" outlineLevel="1" x14ac:dyDescent="0.2">
      <c r="D63" s="8" t="s">
        <v>149</v>
      </c>
      <c r="E63" s="21" cm="1">
        <f t="array" ref="E63">0.001 * SUM(
  SUMIFS(
    'Resource Summary'!$G:$G,
    'Resource Summary'!$B:$B,zones_to_group,
    'Resource Summary'!$A:$A,TRANSPOSE(_xlfn._xlws.FILTER('Results Grouping'!$G$9:$G$322,('Results Grouping'!$H$9:$H$322=$D$57) * ('Results Grouping'!$I$9:$I$322=$D63),0)),
    'Resource Summary'!$C:$C,E$60
  )
)</f>
        <v>0</v>
      </c>
      <c r="F63" s="21" cm="1">
        <f t="array" ref="F63">0.001 * SUM(
  SUMIFS(
    'Resource Summary'!$G:$G,
    'Resource Summary'!$B:$B,zones_to_group,
    'Resource Summary'!$A:$A,TRANSPOSE(_xlfn._xlws.FILTER('Results Grouping'!$G$9:$G$322,('Results Grouping'!$H$9:$H$322=$D$57) * ('Results Grouping'!$I$9:$I$322=$D63),0)),
    'Resource Summary'!$C:$C,F$60
  )
)</f>
        <v>0</v>
      </c>
      <c r="G63" s="21" cm="1">
        <f t="array" ref="G63">0.001 * SUM(
  SUMIFS(
    'Resource Summary'!$G:$G,
    'Resource Summary'!$B:$B,zones_to_group,
    'Resource Summary'!$A:$A,TRANSPOSE(_xlfn._xlws.FILTER('Results Grouping'!$G$9:$G$322,('Results Grouping'!$H$9:$H$322=$D$57) * ('Results Grouping'!$I$9:$I$322=$D63),0)),
    'Resource Summary'!$C:$C,G$60
  )
)</f>
        <v>0</v>
      </c>
      <c r="H63" s="21" cm="1">
        <f t="array" ref="H63">0.001 * SUM(
  SUMIFS(
    'Resource Summary'!$G:$G,
    'Resource Summary'!$B:$B,zones_to_group,
    'Resource Summary'!$A:$A,TRANSPOSE(_xlfn._xlws.FILTER('Results Grouping'!$G$9:$G$322,('Results Grouping'!$H$9:$H$322=$D$57) * ('Results Grouping'!$I$9:$I$322=$D63),0)),
    'Resource Summary'!$C:$C,H$60
  )
)</f>
        <v>0</v>
      </c>
      <c r="I63" s="21" cm="1">
        <f t="array" ref="I63">0.001 * SUM(
  SUMIFS(
    'Resource Summary'!$G:$G,
    'Resource Summary'!$B:$B,zones_to_group,
    'Resource Summary'!$A:$A,TRANSPOSE(_xlfn._xlws.FILTER('Results Grouping'!$G$9:$G$322,('Results Grouping'!$H$9:$H$322=$D$57) * ('Results Grouping'!$I$9:$I$322=$D63),0)),
    'Resource Summary'!$C:$C,I$60
  )
)</f>
        <v>0</v>
      </c>
      <c r="J63" s="21" cm="1">
        <f t="array" ref="J63">0.001 * SUM(
  SUMIFS(
    'Resource Summary'!$G:$G,
    'Resource Summary'!$B:$B,zones_to_group,
    'Resource Summary'!$A:$A,TRANSPOSE(_xlfn._xlws.FILTER('Results Grouping'!$G$9:$G$322,('Results Grouping'!$H$9:$H$322=$D$57) * ('Results Grouping'!$I$9:$I$322=$D63),0)),
    'Resource Summary'!$C:$C,J$60
  )
)</f>
        <v>0</v>
      </c>
      <c r="K63" s="21" cm="1">
        <f t="array" ref="K63">0.001 * SUM(
  SUMIFS(
    'Resource Summary'!$G:$G,
    'Resource Summary'!$B:$B,zones_to_group,
    'Resource Summary'!$A:$A,TRANSPOSE(_xlfn._xlws.FILTER('Results Grouping'!$G$9:$G$322,('Results Grouping'!$H$9:$H$322=$D$57) * ('Results Grouping'!$I$9:$I$322=$D63),0)),
    'Resource Summary'!$C:$C,K$60
  )
)</f>
        <v>0</v>
      </c>
      <c r="L63" s="21" cm="1">
        <f t="array" ref="L63">0.001 * SUM(
  SUMIFS(
    'Resource Summary'!$G:$G,
    'Resource Summary'!$B:$B,zones_to_group,
    'Resource Summary'!$A:$A,TRANSPOSE(_xlfn._xlws.FILTER('Results Grouping'!$G$9:$G$322,('Results Grouping'!$H$9:$H$322=$D$57) * ('Results Grouping'!$I$9:$I$322=$D63),0)),
    'Resource Summary'!$C:$C,L$60
  )
)</f>
        <v>0</v>
      </c>
      <c r="M63" s="21" cm="1">
        <f t="array" ref="M63">0.001 * SUM(
  SUMIFS(
    'Resource Summary'!$G:$G,
    'Resource Summary'!$B:$B,zones_to_group,
    'Resource Summary'!$A:$A,TRANSPOSE(_xlfn._xlws.FILTER('Results Grouping'!$G$9:$G$322,('Results Grouping'!$H$9:$H$322=$D$57) * ('Results Grouping'!$I$9:$I$322=$D63),0)),
    'Resource Summary'!$C:$C,M$60
  )
)</f>
        <v>0</v>
      </c>
      <c r="N63" s="21" cm="1">
        <f t="array" ref="N63">0.001 * SUM(
  SUMIFS(
    'Resource Summary'!$G:$G,
    'Resource Summary'!$B:$B,zones_to_group,
    'Resource Summary'!$A:$A,TRANSPOSE(_xlfn._xlws.FILTER('Results Grouping'!$G$9:$G$322,('Results Grouping'!$H$9:$H$322=$D$57) * ('Results Grouping'!$I$9:$I$322=$D63),0)),
    'Resource Summary'!$C:$C,N$60
  )
)</f>
        <v>0</v>
      </c>
      <c r="O63" s="21" cm="1">
        <f t="array" ref="O63">0.001 * SUM(
  SUMIFS(
    'Resource Summary'!$G:$G,
    'Resource Summary'!$B:$B,zones_to_group,
    'Resource Summary'!$A:$A,TRANSPOSE(_xlfn._xlws.FILTER('Results Grouping'!$G$9:$G$322,('Results Grouping'!$H$9:$H$322=$D$57) * ('Results Grouping'!$I$9:$I$322=$D63),0)),
    'Resource Summary'!$C:$C,O$60
  )
)</f>
        <v>0</v>
      </c>
      <c r="P63" s="21" cm="1">
        <f t="array" ref="P63">0.001 * SUM(
  SUMIFS(
    'Resource Summary'!$G:$G,
    'Resource Summary'!$B:$B,zones_to_group,
    'Resource Summary'!$A:$A,TRANSPOSE(_xlfn._xlws.FILTER('Results Grouping'!$G$9:$G$322,('Results Grouping'!$H$9:$H$322=$D$57) * ('Results Grouping'!$I$9:$I$322=$D63),0)),
    'Resource Summary'!$C:$C,P$60
  )
)</f>
        <v>0</v>
      </c>
      <c r="Q63" s="21" cm="1">
        <f t="array" ref="Q63">0.001 * SUM(
  SUMIFS(
    'Resource Summary'!$G:$G,
    'Resource Summary'!$B:$B,zones_to_group,
    'Resource Summary'!$A:$A,TRANSPOSE(_xlfn._xlws.FILTER('Results Grouping'!$G$9:$G$322,('Results Grouping'!$H$9:$H$322=$D$57) * ('Results Grouping'!$I$9:$I$322=$D63),0)),
    'Resource Summary'!$C:$C,Q$60
  )
)</f>
        <v>0</v>
      </c>
      <c r="R63" s="21" cm="1">
        <f t="array" ref="R63">0.001 * SUM(
  SUMIFS(
    'Resource Summary'!$G:$G,
    'Resource Summary'!$B:$B,zones_to_group,
    'Resource Summary'!$A:$A,TRANSPOSE(_xlfn._xlws.FILTER('Results Grouping'!$G$9:$G$322,('Results Grouping'!$H$9:$H$322=$D$57) * ('Results Grouping'!$I$9:$I$322=$D63),0)),
    'Resource Summary'!$C:$C,R$60
  )
)</f>
        <v>0</v>
      </c>
      <c r="S63" s="21" cm="1">
        <f t="array" ref="S63">0.001 * SUM(
  SUMIFS(
    'Resource Summary'!$G:$G,
    'Resource Summary'!$B:$B,zones_to_group,
    'Resource Summary'!$A:$A,TRANSPOSE(_xlfn._xlws.FILTER('Results Grouping'!$G$9:$G$322,('Results Grouping'!$H$9:$H$322=$D$57) * ('Results Grouping'!$I$9:$I$322=$D63),0)),
    'Resource Summary'!$C:$C,S$60
  )
)</f>
        <v>0</v>
      </c>
      <c r="T63" s="21" cm="1">
        <f t="array" ref="T63">0.001 * SUM(
  SUMIFS(
    'Resource Summary'!$G:$G,
    'Resource Summary'!$B:$B,zones_to_group,
    'Resource Summary'!$A:$A,TRANSPOSE(_xlfn._xlws.FILTER('Results Grouping'!$G$9:$G$322,('Results Grouping'!$H$9:$H$322=$D$57) * ('Results Grouping'!$I$9:$I$322=$D63),0)),
    'Resource Summary'!$C:$C,T$60
  )
)</f>
        <v>0</v>
      </c>
      <c r="U63" s="21" cm="1">
        <f t="array" ref="U63">0.001 * SUM(
  SUMIFS(
    'Resource Summary'!$G:$G,
    'Resource Summary'!$B:$B,zones_to_group,
    'Resource Summary'!$A:$A,TRANSPOSE(_xlfn._xlws.FILTER('Results Grouping'!$G$9:$G$322,('Results Grouping'!$H$9:$H$322=$D$57) * ('Results Grouping'!$I$9:$I$322=$D63),0)),
    'Resource Summary'!$C:$C,U$60
  )
)</f>
        <v>0</v>
      </c>
      <c r="V63" s="21" cm="1">
        <f t="array" ref="V63">0.001 * SUM(
  SUMIFS(
    'Resource Summary'!$G:$G,
    'Resource Summary'!$B:$B,zones_to_group,
    'Resource Summary'!$A:$A,TRANSPOSE(_xlfn._xlws.FILTER('Results Grouping'!$G$9:$G$322,('Results Grouping'!$H$9:$H$322=$D$57) * ('Results Grouping'!$I$9:$I$322=$D63),0)),
    'Resource Summary'!$C:$C,V$60
  )
)</f>
        <v>0</v>
      </c>
      <c r="W63" s="21" cm="1">
        <f t="array" ref="W63">0.001 * SUM(
  SUMIFS(
    'Resource Summary'!$G:$G,
    'Resource Summary'!$B:$B,zones_to_group,
    'Resource Summary'!$A:$A,TRANSPOSE(_xlfn._xlws.FILTER('Results Grouping'!$G$9:$G$322,('Results Grouping'!$H$9:$H$322=$D$57) * ('Results Grouping'!$I$9:$I$322=$D63),0)),
    'Resource Summary'!$C:$C,W$60
  )
)</f>
        <v>0</v>
      </c>
      <c r="X63" s="21" cm="1">
        <f t="array" ref="X63">0.001 * SUM(
  SUMIFS(
    'Resource Summary'!$G:$G,
    'Resource Summary'!$B:$B,zones_to_group,
    'Resource Summary'!$A:$A,TRANSPOSE(_xlfn._xlws.FILTER('Results Grouping'!$G$9:$G$322,('Results Grouping'!$H$9:$H$322=$D$57) * ('Results Grouping'!$I$9:$I$322=$D63),0)),
    'Resource Summary'!$C:$C,X$60
  )
)</f>
        <v>0</v>
      </c>
      <c r="Y63" s="21" cm="1">
        <f t="array" ref="Y63">0.001 * SUM(
  SUMIFS(
    'Resource Summary'!$G:$G,
    'Resource Summary'!$B:$B,zones_to_group,
    'Resource Summary'!$A:$A,TRANSPOSE(_xlfn._xlws.FILTER('Results Grouping'!$G$9:$G$322,('Results Grouping'!$H$9:$H$322=$D$57) * ('Results Grouping'!$I$9:$I$322=$D63),0)),
    'Resource Summary'!$C:$C,Y$60
  )
)</f>
        <v>0</v>
      </c>
      <c r="Z63" s="21" cm="1">
        <f t="array" ref="Z63">0.001 * SUM(
  SUMIFS(
    'Resource Summary'!$G:$G,
    'Resource Summary'!$B:$B,zones_to_group,
    'Resource Summary'!$A:$A,TRANSPOSE(_xlfn._xlws.FILTER('Results Grouping'!$G$9:$G$322,('Results Grouping'!$H$9:$H$322=$D$57) * ('Results Grouping'!$I$9:$I$322=$D63),0)),
    'Resource Summary'!$C:$C,Z$60
  )
)</f>
        <v>0</v>
      </c>
      <c r="AA63" s="21" cm="1">
        <f t="array" ref="AA63">0.001 * SUM(
  SUMIFS(
    'Resource Summary'!$G:$G,
    'Resource Summary'!$B:$B,zones_to_group,
    'Resource Summary'!$A:$A,TRANSPOSE(_xlfn._xlws.FILTER('Results Grouping'!$G$9:$G$322,('Results Grouping'!$H$9:$H$322=$D$57) * ('Results Grouping'!$I$9:$I$322=$D63),0)),
    'Resource Summary'!$C:$C,AA$60
  )
)</f>
        <v>0</v>
      </c>
      <c r="AB63" s="21" cm="1">
        <f t="array" ref="AB63">0.001 * SUM(
  SUMIFS(
    'Resource Summary'!$G:$G,
    'Resource Summary'!$B:$B,zones_to_group,
    'Resource Summary'!$A:$A,TRANSPOSE(_xlfn._xlws.FILTER('Results Grouping'!$G$9:$G$322,('Results Grouping'!$H$9:$H$322=$D$57) * ('Results Grouping'!$I$9:$I$322=$D63),0)),
    'Resource Summary'!$C:$C,AB$60
  )
)</f>
        <v>0</v>
      </c>
      <c r="AC63" s="21" cm="1">
        <f t="array" ref="AC63">0.001 * SUM(
  SUMIFS(
    'Resource Summary'!$G:$G,
    'Resource Summary'!$B:$B,zones_to_group,
    'Resource Summary'!$A:$A,TRANSPOSE(_xlfn._xlws.FILTER('Results Grouping'!$G$9:$G$322,('Results Grouping'!$H$9:$H$322=$D$57) * ('Results Grouping'!$I$9:$I$322=$D63),0)),
    'Resource Summary'!$C:$C,AC$60
  )
)</f>
        <v>0</v>
      </c>
      <c r="AD63" s="21" cm="1">
        <f t="array" ref="AD63">0.001 * SUM(
  SUMIFS(
    'Resource Summary'!$G:$G,
    'Resource Summary'!$B:$B,zones_to_group,
    'Resource Summary'!$A:$A,TRANSPOSE(_xlfn._xlws.FILTER('Results Grouping'!$G$9:$G$322,('Results Grouping'!$H$9:$H$322=$D$57) * ('Results Grouping'!$I$9:$I$322=$D63),0)),
    'Resource Summary'!$C:$C,AD$60
  )
)</f>
        <v>0</v>
      </c>
      <c r="AH63" s="34"/>
    </row>
    <row r="64" spans="2:34" outlineLevel="1" x14ac:dyDescent="0.2">
      <c r="D64" s="8" t="s">
        <v>150</v>
      </c>
      <c r="E64" s="21" cm="1">
        <f t="array" ref="E64">0.001 * SUM(
  SUMIFS(
    'Resource Summary'!$G:$G,
    'Resource Summary'!$B:$B,zones_to_group,
    'Resource Summary'!$A:$A,TRANSPOSE(_xlfn._xlws.FILTER('Results Grouping'!$G$9:$G$322,('Results Grouping'!$H$9:$H$322=$D$57) * ('Results Grouping'!$I$9:$I$322=$D64),0)),
    'Resource Summary'!$C:$C,E$60
  )
)</f>
        <v>0</v>
      </c>
      <c r="F64" s="21" cm="1">
        <f t="array" ref="F64">0.001 * SUM(
  SUMIFS(
    'Resource Summary'!$G:$G,
    'Resource Summary'!$B:$B,zones_to_group,
    'Resource Summary'!$A:$A,TRANSPOSE(_xlfn._xlws.FILTER('Results Grouping'!$G$9:$G$322,('Results Grouping'!$H$9:$H$322=$D$57) * ('Results Grouping'!$I$9:$I$322=$D64),0)),
    'Resource Summary'!$C:$C,F$60
  )
)</f>
        <v>0</v>
      </c>
      <c r="G64" s="21" cm="1">
        <f t="array" ref="G64">0.001 * SUM(
  SUMIFS(
    'Resource Summary'!$G:$G,
    'Resource Summary'!$B:$B,zones_to_group,
    'Resource Summary'!$A:$A,TRANSPOSE(_xlfn._xlws.FILTER('Results Grouping'!$G$9:$G$322,('Results Grouping'!$H$9:$H$322=$D$57) * ('Results Grouping'!$I$9:$I$322=$D64),0)),
    'Resource Summary'!$C:$C,G$60
  )
)</f>
        <v>0</v>
      </c>
      <c r="H64" s="21" cm="1">
        <f t="array" ref="H64">0.001 * SUM(
  SUMIFS(
    'Resource Summary'!$G:$G,
    'Resource Summary'!$B:$B,zones_to_group,
    'Resource Summary'!$A:$A,TRANSPOSE(_xlfn._xlws.FILTER('Results Grouping'!$G$9:$G$322,('Results Grouping'!$H$9:$H$322=$D$57) * ('Results Grouping'!$I$9:$I$322=$D64),0)),
    'Resource Summary'!$C:$C,H$60
  )
)</f>
        <v>0</v>
      </c>
      <c r="I64" s="21" cm="1">
        <f t="array" ref="I64">0.001 * SUM(
  SUMIFS(
    'Resource Summary'!$G:$G,
    'Resource Summary'!$B:$B,zones_to_group,
    'Resource Summary'!$A:$A,TRANSPOSE(_xlfn._xlws.FILTER('Results Grouping'!$G$9:$G$322,('Results Grouping'!$H$9:$H$322=$D$57) * ('Results Grouping'!$I$9:$I$322=$D64),0)),
    'Resource Summary'!$C:$C,I$60
  )
)</f>
        <v>0</v>
      </c>
      <c r="J64" s="21" cm="1">
        <f t="array" ref="J64">0.001 * SUM(
  SUMIFS(
    'Resource Summary'!$G:$G,
    'Resource Summary'!$B:$B,zones_to_group,
    'Resource Summary'!$A:$A,TRANSPOSE(_xlfn._xlws.FILTER('Results Grouping'!$G$9:$G$322,('Results Grouping'!$H$9:$H$322=$D$57) * ('Results Grouping'!$I$9:$I$322=$D64),0)),
    'Resource Summary'!$C:$C,J$60
  )
)</f>
        <v>0</v>
      </c>
      <c r="K64" s="21" cm="1">
        <f t="array" ref="K64">0.001 * SUM(
  SUMIFS(
    'Resource Summary'!$G:$G,
    'Resource Summary'!$B:$B,zones_to_group,
    'Resource Summary'!$A:$A,TRANSPOSE(_xlfn._xlws.FILTER('Results Grouping'!$G$9:$G$322,('Results Grouping'!$H$9:$H$322=$D$57) * ('Results Grouping'!$I$9:$I$322=$D64),0)),
    'Resource Summary'!$C:$C,K$60
  )
)</f>
        <v>0</v>
      </c>
      <c r="L64" s="21" cm="1">
        <f t="array" ref="L64">0.001 * SUM(
  SUMIFS(
    'Resource Summary'!$G:$G,
    'Resource Summary'!$B:$B,zones_to_group,
    'Resource Summary'!$A:$A,TRANSPOSE(_xlfn._xlws.FILTER('Results Grouping'!$G$9:$G$322,('Results Grouping'!$H$9:$H$322=$D$57) * ('Results Grouping'!$I$9:$I$322=$D64),0)),
    'Resource Summary'!$C:$C,L$60
  )
)</f>
        <v>0</v>
      </c>
      <c r="M64" s="21" cm="1">
        <f t="array" ref="M64">0.001 * SUM(
  SUMIFS(
    'Resource Summary'!$G:$G,
    'Resource Summary'!$B:$B,zones_to_group,
    'Resource Summary'!$A:$A,TRANSPOSE(_xlfn._xlws.FILTER('Results Grouping'!$G$9:$G$322,('Results Grouping'!$H$9:$H$322=$D$57) * ('Results Grouping'!$I$9:$I$322=$D64),0)),
    'Resource Summary'!$C:$C,M$60
  )
)</f>
        <v>0</v>
      </c>
      <c r="N64" s="21" cm="1">
        <f t="array" ref="N64">0.001 * SUM(
  SUMIFS(
    'Resource Summary'!$G:$G,
    'Resource Summary'!$B:$B,zones_to_group,
    'Resource Summary'!$A:$A,TRANSPOSE(_xlfn._xlws.FILTER('Results Grouping'!$G$9:$G$322,('Results Grouping'!$H$9:$H$322=$D$57) * ('Results Grouping'!$I$9:$I$322=$D64),0)),
    'Resource Summary'!$C:$C,N$60
  )
)</f>
        <v>0</v>
      </c>
      <c r="O64" s="21" cm="1">
        <f t="array" ref="O64">0.001 * SUM(
  SUMIFS(
    'Resource Summary'!$G:$G,
    'Resource Summary'!$B:$B,zones_to_group,
    'Resource Summary'!$A:$A,TRANSPOSE(_xlfn._xlws.FILTER('Results Grouping'!$G$9:$G$322,('Results Grouping'!$H$9:$H$322=$D$57) * ('Results Grouping'!$I$9:$I$322=$D64),0)),
    'Resource Summary'!$C:$C,O$60
  )
)</f>
        <v>0</v>
      </c>
      <c r="P64" s="21" cm="1">
        <f t="array" ref="P64">0.001 * SUM(
  SUMIFS(
    'Resource Summary'!$G:$G,
    'Resource Summary'!$B:$B,zones_to_group,
    'Resource Summary'!$A:$A,TRANSPOSE(_xlfn._xlws.FILTER('Results Grouping'!$G$9:$G$322,('Results Grouping'!$H$9:$H$322=$D$57) * ('Results Grouping'!$I$9:$I$322=$D64),0)),
    'Resource Summary'!$C:$C,P$60
  )
)</f>
        <v>0</v>
      </c>
      <c r="Q64" s="21" cm="1">
        <f t="array" ref="Q64">0.001 * SUM(
  SUMIFS(
    'Resource Summary'!$G:$G,
    'Resource Summary'!$B:$B,zones_to_group,
    'Resource Summary'!$A:$A,TRANSPOSE(_xlfn._xlws.FILTER('Results Grouping'!$G$9:$G$322,('Results Grouping'!$H$9:$H$322=$D$57) * ('Results Grouping'!$I$9:$I$322=$D64),0)),
    'Resource Summary'!$C:$C,Q$60
  )
)</f>
        <v>0</v>
      </c>
      <c r="R64" s="21" cm="1">
        <f t="array" ref="R64">0.001 * SUM(
  SUMIFS(
    'Resource Summary'!$G:$G,
    'Resource Summary'!$B:$B,zones_to_group,
    'Resource Summary'!$A:$A,TRANSPOSE(_xlfn._xlws.FILTER('Results Grouping'!$G$9:$G$322,('Results Grouping'!$H$9:$H$322=$D$57) * ('Results Grouping'!$I$9:$I$322=$D64),0)),
    'Resource Summary'!$C:$C,R$60
  )
)</f>
        <v>0</v>
      </c>
      <c r="S64" s="21" cm="1">
        <f t="array" ref="S64">0.001 * SUM(
  SUMIFS(
    'Resource Summary'!$G:$G,
    'Resource Summary'!$B:$B,zones_to_group,
    'Resource Summary'!$A:$A,TRANSPOSE(_xlfn._xlws.FILTER('Results Grouping'!$G$9:$G$322,('Results Grouping'!$H$9:$H$322=$D$57) * ('Results Grouping'!$I$9:$I$322=$D64),0)),
    'Resource Summary'!$C:$C,S$60
  )
)</f>
        <v>0</v>
      </c>
      <c r="T64" s="21" cm="1">
        <f t="array" ref="T64">0.001 * SUM(
  SUMIFS(
    'Resource Summary'!$G:$G,
    'Resource Summary'!$B:$B,zones_to_group,
    'Resource Summary'!$A:$A,TRANSPOSE(_xlfn._xlws.FILTER('Results Grouping'!$G$9:$G$322,('Results Grouping'!$H$9:$H$322=$D$57) * ('Results Grouping'!$I$9:$I$322=$D64),0)),
    'Resource Summary'!$C:$C,T$60
  )
)</f>
        <v>0</v>
      </c>
      <c r="U64" s="21" cm="1">
        <f t="array" ref="U64">0.001 * SUM(
  SUMIFS(
    'Resource Summary'!$G:$G,
    'Resource Summary'!$B:$B,zones_to_group,
    'Resource Summary'!$A:$A,TRANSPOSE(_xlfn._xlws.FILTER('Results Grouping'!$G$9:$G$322,('Results Grouping'!$H$9:$H$322=$D$57) * ('Results Grouping'!$I$9:$I$322=$D64),0)),
    'Resource Summary'!$C:$C,U$60
  )
)</f>
        <v>0</v>
      </c>
      <c r="V64" s="21" cm="1">
        <f t="array" ref="V64">0.001 * SUM(
  SUMIFS(
    'Resource Summary'!$G:$G,
    'Resource Summary'!$B:$B,zones_to_group,
    'Resource Summary'!$A:$A,TRANSPOSE(_xlfn._xlws.FILTER('Results Grouping'!$G$9:$G$322,('Results Grouping'!$H$9:$H$322=$D$57) * ('Results Grouping'!$I$9:$I$322=$D64),0)),
    'Resource Summary'!$C:$C,V$60
  )
)</f>
        <v>0</v>
      </c>
      <c r="W64" s="21" cm="1">
        <f t="array" ref="W64">0.001 * SUM(
  SUMIFS(
    'Resource Summary'!$G:$G,
    'Resource Summary'!$B:$B,zones_to_group,
    'Resource Summary'!$A:$A,TRANSPOSE(_xlfn._xlws.FILTER('Results Grouping'!$G$9:$G$322,('Results Grouping'!$H$9:$H$322=$D$57) * ('Results Grouping'!$I$9:$I$322=$D64),0)),
    'Resource Summary'!$C:$C,W$60
  )
)</f>
        <v>0</v>
      </c>
      <c r="X64" s="21" cm="1">
        <f t="array" ref="X64">0.001 * SUM(
  SUMIFS(
    'Resource Summary'!$G:$G,
    'Resource Summary'!$B:$B,zones_to_group,
    'Resource Summary'!$A:$A,TRANSPOSE(_xlfn._xlws.FILTER('Results Grouping'!$G$9:$G$322,('Results Grouping'!$H$9:$H$322=$D$57) * ('Results Grouping'!$I$9:$I$322=$D64),0)),
    'Resource Summary'!$C:$C,X$60
  )
)</f>
        <v>0</v>
      </c>
      <c r="Y64" s="21" cm="1">
        <f t="array" ref="Y64">0.001 * SUM(
  SUMIFS(
    'Resource Summary'!$G:$G,
    'Resource Summary'!$B:$B,zones_to_group,
    'Resource Summary'!$A:$A,TRANSPOSE(_xlfn._xlws.FILTER('Results Grouping'!$G$9:$G$322,('Results Grouping'!$H$9:$H$322=$D$57) * ('Results Grouping'!$I$9:$I$322=$D64),0)),
    'Resource Summary'!$C:$C,Y$60
  )
)</f>
        <v>0</v>
      </c>
      <c r="Z64" s="21" cm="1">
        <f t="array" ref="Z64">0.001 * SUM(
  SUMIFS(
    'Resource Summary'!$G:$G,
    'Resource Summary'!$B:$B,zones_to_group,
    'Resource Summary'!$A:$A,TRANSPOSE(_xlfn._xlws.FILTER('Results Grouping'!$G$9:$G$322,('Results Grouping'!$H$9:$H$322=$D$57) * ('Results Grouping'!$I$9:$I$322=$D64),0)),
    'Resource Summary'!$C:$C,Z$60
  )
)</f>
        <v>0</v>
      </c>
      <c r="AA64" s="21" cm="1">
        <f t="array" ref="AA64">0.001 * SUM(
  SUMIFS(
    'Resource Summary'!$G:$G,
    'Resource Summary'!$B:$B,zones_to_group,
    'Resource Summary'!$A:$A,TRANSPOSE(_xlfn._xlws.FILTER('Results Grouping'!$G$9:$G$322,('Results Grouping'!$H$9:$H$322=$D$57) * ('Results Grouping'!$I$9:$I$322=$D64),0)),
    'Resource Summary'!$C:$C,AA$60
  )
)</f>
        <v>0</v>
      </c>
      <c r="AB64" s="21" cm="1">
        <f t="array" ref="AB64">0.001 * SUM(
  SUMIFS(
    'Resource Summary'!$G:$G,
    'Resource Summary'!$B:$B,zones_to_group,
    'Resource Summary'!$A:$A,TRANSPOSE(_xlfn._xlws.FILTER('Results Grouping'!$G$9:$G$322,('Results Grouping'!$H$9:$H$322=$D$57) * ('Results Grouping'!$I$9:$I$322=$D64),0)),
    'Resource Summary'!$C:$C,AB$60
  )
)</f>
        <v>0</v>
      </c>
      <c r="AC64" s="21" cm="1">
        <f t="array" ref="AC64">0.001 * SUM(
  SUMIFS(
    'Resource Summary'!$G:$G,
    'Resource Summary'!$B:$B,zones_to_group,
    'Resource Summary'!$A:$A,TRANSPOSE(_xlfn._xlws.FILTER('Results Grouping'!$G$9:$G$322,('Results Grouping'!$H$9:$H$322=$D$57) * ('Results Grouping'!$I$9:$I$322=$D64),0)),
    'Resource Summary'!$C:$C,AC$60
  )
)</f>
        <v>0</v>
      </c>
      <c r="AD64" s="21" cm="1">
        <f t="array" ref="AD64">0.001 * SUM(
  SUMIFS(
    'Resource Summary'!$G:$G,
    'Resource Summary'!$B:$B,zones_to_group,
    'Resource Summary'!$A:$A,TRANSPOSE(_xlfn._xlws.FILTER('Results Grouping'!$G$9:$G$322,('Results Grouping'!$H$9:$H$322=$D$57) * ('Results Grouping'!$I$9:$I$322=$D64),0)),
    'Resource Summary'!$C:$C,AD$60
  )
)</f>
        <v>28.163094300384742</v>
      </c>
      <c r="AH64" s="34"/>
    </row>
    <row r="65" spans="4:34" outlineLevel="1" x14ac:dyDescent="0.2">
      <c r="D65" s="8" t="s">
        <v>121</v>
      </c>
      <c r="E65" s="21" cm="1">
        <f t="array" ref="E65">0.001 * SUM(
  SUMIFS(
    'Resource Summary'!$G:$G,
    'Resource Summary'!$B:$B,zones_to_group,
    'Resource Summary'!$A:$A,TRANSPOSE(_xlfn._xlws.FILTER('Results Grouping'!$G$9:$G$322,('Results Grouping'!$H$9:$H$322=$D$57) * ('Results Grouping'!$I$9:$I$322=$D65),0)),
    'Resource Summary'!$C:$C,E$60
  )
)</f>
        <v>0</v>
      </c>
      <c r="F65" s="21" cm="1">
        <f t="array" ref="F65">0.001 * SUM(
  SUMIFS(
    'Resource Summary'!$G:$G,
    'Resource Summary'!$B:$B,zones_to_group,
    'Resource Summary'!$A:$A,TRANSPOSE(_xlfn._xlws.FILTER('Results Grouping'!$G$9:$G$322,('Results Grouping'!$H$9:$H$322=$D$57) * ('Results Grouping'!$I$9:$I$322=$D65),0)),
    'Resource Summary'!$C:$C,F$60
  )
)</f>
        <v>0</v>
      </c>
      <c r="G65" s="21" cm="1">
        <f t="array" ref="G65">0.001 * SUM(
  SUMIFS(
    'Resource Summary'!$G:$G,
    'Resource Summary'!$B:$B,zones_to_group,
    'Resource Summary'!$A:$A,TRANSPOSE(_xlfn._xlws.FILTER('Results Grouping'!$G$9:$G$322,('Results Grouping'!$H$9:$H$322=$D$57) * ('Results Grouping'!$I$9:$I$322=$D65),0)),
    'Resource Summary'!$C:$C,G$60
  )
)</f>
        <v>0</v>
      </c>
      <c r="H65" s="21" cm="1">
        <f t="array" ref="H65">0.001 * SUM(
  SUMIFS(
    'Resource Summary'!$G:$G,
    'Resource Summary'!$B:$B,zones_to_group,
    'Resource Summary'!$A:$A,TRANSPOSE(_xlfn._xlws.FILTER('Results Grouping'!$G$9:$G$322,('Results Grouping'!$H$9:$H$322=$D$57) * ('Results Grouping'!$I$9:$I$322=$D65),0)),
    'Resource Summary'!$C:$C,H$60
  )
)</f>
        <v>0</v>
      </c>
      <c r="I65" s="21" cm="1">
        <f t="array" ref="I65">0.001 * SUM(
  SUMIFS(
    'Resource Summary'!$G:$G,
    'Resource Summary'!$B:$B,zones_to_group,
    'Resource Summary'!$A:$A,TRANSPOSE(_xlfn._xlws.FILTER('Results Grouping'!$G$9:$G$322,('Results Grouping'!$H$9:$H$322=$D$57) * ('Results Grouping'!$I$9:$I$322=$D65),0)),
    'Resource Summary'!$C:$C,I$60
  )
)</f>
        <v>0</v>
      </c>
      <c r="J65" s="21" cm="1">
        <f t="array" ref="J65">0.001 * SUM(
  SUMIFS(
    'Resource Summary'!$G:$G,
    'Resource Summary'!$B:$B,zones_to_group,
    'Resource Summary'!$A:$A,TRANSPOSE(_xlfn._xlws.FILTER('Results Grouping'!$G$9:$G$322,('Results Grouping'!$H$9:$H$322=$D$57) * ('Results Grouping'!$I$9:$I$322=$D65),0)),
    'Resource Summary'!$C:$C,J$60
  )
)</f>
        <v>0</v>
      </c>
      <c r="K65" s="21" cm="1">
        <f t="array" ref="K65">0.001 * SUM(
  SUMIFS(
    'Resource Summary'!$G:$G,
    'Resource Summary'!$B:$B,zones_to_group,
    'Resource Summary'!$A:$A,TRANSPOSE(_xlfn._xlws.FILTER('Results Grouping'!$G$9:$G$322,('Results Grouping'!$H$9:$H$322=$D$57) * ('Results Grouping'!$I$9:$I$322=$D65),0)),
    'Resource Summary'!$C:$C,K$60
  )
)</f>
        <v>0</v>
      </c>
      <c r="L65" s="21" cm="1">
        <f t="array" ref="L65">0.001 * SUM(
  SUMIFS(
    'Resource Summary'!$G:$G,
    'Resource Summary'!$B:$B,zones_to_group,
    'Resource Summary'!$A:$A,TRANSPOSE(_xlfn._xlws.FILTER('Results Grouping'!$G$9:$G$322,('Results Grouping'!$H$9:$H$322=$D$57) * ('Results Grouping'!$I$9:$I$322=$D65),0)),
    'Resource Summary'!$C:$C,L$60
  )
)</f>
        <v>0</v>
      </c>
      <c r="M65" s="21" cm="1">
        <f t="array" ref="M65">0.001 * SUM(
  SUMIFS(
    'Resource Summary'!$G:$G,
    'Resource Summary'!$B:$B,zones_to_group,
    'Resource Summary'!$A:$A,TRANSPOSE(_xlfn._xlws.FILTER('Results Grouping'!$G$9:$G$322,('Results Grouping'!$H$9:$H$322=$D$57) * ('Results Grouping'!$I$9:$I$322=$D65),0)),
    'Resource Summary'!$C:$C,M$60
  )
)</f>
        <v>0</v>
      </c>
      <c r="N65" s="21" cm="1">
        <f t="array" ref="N65">0.001 * SUM(
  SUMIFS(
    'Resource Summary'!$G:$G,
    'Resource Summary'!$B:$B,zones_to_group,
    'Resource Summary'!$A:$A,TRANSPOSE(_xlfn._xlws.FILTER('Results Grouping'!$G$9:$G$322,('Results Grouping'!$H$9:$H$322=$D$57) * ('Results Grouping'!$I$9:$I$322=$D65),0)),
    'Resource Summary'!$C:$C,N$60
  )
)</f>
        <v>0</v>
      </c>
      <c r="O65" s="21" cm="1">
        <f t="array" ref="O65">0.001 * SUM(
  SUMIFS(
    'Resource Summary'!$G:$G,
    'Resource Summary'!$B:$B,zones_to_group,
    'Resource Summary'!$A:$A,TRANSPOSE(_xlfn._xlws.FILTER('Results Grouping'!$G$9:$G$322,('Results Grouping'!$H$9:$H$322=$D$57) * ('Results Grouping'!$I$9:$I$322=$D65),0)),
    'Resource Summary'!$C:$C,O$60
  )
)</f>
        <v>0</v>
      </c>
      <c r="P65" s="21" cm="1">
        <f t="array" ref="P65">0.001 * SUM(
  SUMIFS(
    'Resource Summary'!$G:$G,
    'Resource Summary'!$B:$B,zones_to_group,
    'Resource Summary'!$A:$A,TRANSPOSE(_xlfn._xlws.FILTER('Results Grouping'!$G$9:$G$322,('Results Grouping'!$H$9:$H$322=$D$57) * ('Results Grouping'!$I$9:$I$322=$D65),0)),
    'Resource Summary'!$C:$C,P$60
  )
)</f>
        <v>0</v>
      </c>
      <c r="Q65" s="21" cm="1">
        <f t="array" ref="Q65">0.001 * SUM(
  SUMIFS(
    'Resource Summary'!$G:$G,
    'Resource Summary'!$B:$B,zones_to_group,
    'Resource Summary'!$A:$A,TRANSPOSE(_xlfn._xlws.FILTER('Results Grouping'!$G$9:$G$322,('Results Grouping'!$H$9:$H$322=$D$57) * ('Results Grouping'!$I$9:$I$322=$D65),0)),
    'Resource Summary'!$C:$C,Q$60
  )
)</f>
        <v>0</v>
      </c>
      <c r="R65" s="21" cm="1">
        <f t="array" ref="R65">0.001 * SUM(
  SUMIFS(
    'Resource Summary'!$G:$G,
    'Resource Summary'!$B:$B,zones_to_group,
    'Resource Summary'!$A:$A,TRANSPOSE(_xlfn._xlws.FILTER('Results Grouping'!$G$9:$G$322,('Results Grouping'!$H$9:$H$322=$D$57) * ('Results Grouping'!$I$9:$I$322=$D65),0)),
    'Resource Summary'!$C:$C,R$60
  )
)</f>
        <v>0</v>
      </c>
      <c r="S65" s="21" cm="1">
        <f t="array" ref="S65">0.001 * SUM(
  SUMIFS(
    'Resource Summary'!$G:$G,
    'Resource Summary'!$B:$B,zones_to_group,
    'Resource Summary'!$A:$A,TRANSPOSE(_xlfn._xlws.FILTER('Results Grouping'!$G$9:$G$322,('Results Grouping'!$H$9:$H$322=$D$57) * ('Results Grouping'!$I$9:$I$322=$D65),0)),
    'Resource Summary'!$C:$C,S$60
  )
)</f>
        <v>0</v>
      </c>
      <c r="T65" s="21" cm="1">
        <f t="array" ref="T65">0.001 * SUM(
  SUMIFS(
    'Resource Summary'!$G:$G,
    'Resource Summary'!$B:$B,zones_to_group,
    'Resource Summary'!$A:$A,TRANSPOSE(_xlfn._xlws.FILTER('Results Grouping'!$G$9:$G$322,('Results Grouping'!$H$9:$H$322=$D$57) * ('Results Grouping'!$I$9:$I$322=$D65),0)),
    'Resource Summary'!$C:$C,T$60
  )
)</f>
        <v>0</v>
      </c>
      <c r="U65" s="21" cm="1">
        <f t="array" ref="U65">0.001 * SUM(
  SUMIFS(
    'Resource Summary'!$G:$G,
    'Resource Summary'!$B:$B,zones_to_group,
    'Resource Summary'!$A:$A,TRANSPOSE(_xlfn._xlws.FILTER('Results Grouping'!$G$9:$G$322,('Results Grouping'!$H$9:$H$322=$D$57) * ('Results Grouping'!$I$9:$I$322=$D65),0)),
    'Resource Summary'!$C:$C,U$60
  )
)</f>
        <v>0</v>
      </c>
      <c r="V65" s="21" cm="1">
        <f t="array" ref="V65">0.001 * SUM(
  SUMIFS(
    'Resource Summary'!$G:$G,
    'Resource Summary'!$B:$B,zones_to_group,
    'Resource Summary'!$A:$A,TRANSPOSE(_xlfn._xlws.FILTER('Results Grouping'!$G$9:$G$322,('Results Grouping'!$H$9:$H$322=$D$57) * ('Results Grouping'!$I$9:$I$322=$D65),0)),
    'Resource Summary'!$C:$C,V$60
  )
)</f>
        <v>0</v>
      </c>
      <c r="W65" s="21" cm="1">
        <f t="array" ref="W65">0.001 * SUM(
  SUMIFS(
    'Resource Summary'!$G:$G,
    'Resource Summary'!$B:$B,zones_to_group,
    'Resource Summary'!$A:$A,TRANSPOSE(_xlfn._xlws.FILTER('Results Grouping'!$G$9:$G$322,('Results Grouping'!$H$9:$H$322=$D$57) * ('Results Grouping'!$I$9:$I$322=$D65),0)),
    'Resource Summary'!$C:$C,W$60
  )
)</f>
        <v>0</v>
      </c>
      <c r="X65" s="21" cm="1">
        <f t="array" ref="X65">0.001 * SUM(
  SUMIFS(
    'Resource Summary'!$G:$G,
    'Resource Summary'!$B:$B,zones_to_group,
    'Resource Summary'!$A:$A,TRANSPOSE(_xlfn._xlws.FILTER('Results Grouping'!$G$9:$G$322,('Results Grouping'!$H$9:$H$322=$D$57) * ('Results Grouping'!$I$9:$I$322=$D65),0)),
    'Resource Summary'!$C:$C,X$60
  )
)</f>
        <v>0</v>
      </c>
      <c r="Y65" s="21" cm="1">
        <f t="array" ref="Y65">0.001 * SUM(
  SUMIFS(
    'Resource Summary'!$G:$G,
    'Resource Summary'!$B:$B,zones_to_group,
    'Resource Summary'!$A:$A,TRANSPOSE(_xlfn._xlws.FILTER('Results Grouping'!$G$9:$G$322,('Results Grouping'!$H$9:$H$322=$D$57) * ('Results Grouping'!$I$9:$I$322=$D65),0)),
    'Resource Summary'!$C:$C,Y$60
  )
)</f>
        <v>0</v>
      </c>
      <c r="Z65" s="21" cm="1">
        <f t="array" ref="Z65">0.001 * SUM(
  SUMIFS(
    'Resource Summary'!$G:$G,
    'Resource Summary'!$B:$B,zones_to_group,
    'Resource Summary'!$A:$A,TRANSPOSE(_xlfn._xlws.FILTER('Results Grouping'!$G$9:$G$322,('Results Grouping'!$H$9:$H$322=$D$57) * ('Results Grouping'!$I$9:$I$322=$D65),0)),
    'Resource Summary'!$C:$C,Z$60
  )
)</f>
        <v>0</v>
      </c>
      <c r="AA65" s="21" cm="1">
        <f t="array" ref="AA65">0.001 * SUM(
  SUMIFS(
    'Resource Summary'!$G:$G,
    'Resource Summary'!$B:$B,zones_to_group,
    'Resource Summary'!$A:$A,TRANSPOSE(_xlfn._xlws.FILTER('Results Grouping'!$G$9:$G$322,('Results Grouping'!$H$9:$H$322=$D$57) * ('Results Grouping'!$I$9:$I$322=$D65),0)),
    'Resource Summary'!$C:$C,AA$60
  )
)</f>
        <v>0</v>
      </c>
      <c r="AB65" s="21" cm="1">
        <f t="array" ref="AB65">0.001 * SUM(
  SUMIFS(
    'Resource Summary'!$G:$G,
    'Resource Summary'!$B:$B,zones_to_group,
    'Resource Summary'!$A:$A,TRANSPOSE(_xlfn._xlws.FILTER('Results Grouping'!$G$9:$G$322,('Results Grouping'!$H$9:$H$322=$D$57) * ('Results Grouping'!$I$9:$I$322=$D65),0)),
    'Resource Summary'!$C:$C,AB$60
  )
)</f>
        <v>0</v>
      </c>
      <c r="AC65" s="21" cm="1">
        <f t="array" ref="AC65">0.001 * SUM(
  SUMIFS(
    'Resource Summary'!$G:$G,
    'Resource Summary'!$B:$B,zones_to_group,
    'Resource Summary'!$A:$A,TRANSPOSE(_xlfn._xlws.FILTER('Results Grouping'!$G$9:$G$322,('Results Grouping'!$H$9:$H$322=$D$57) * ('Results Grouping'!$I$9:$I$322=$D65),0)),
    'Resource Summary'!$C:$C,AC$60
  )
)</f>
        <v>0</v>
      </c>
      <c r="AD65" s="21" cm="1">
        <f t="array" ref="AD65">0.001 * SUM(
  SUMIFS(
    'Resource Summary'!$G:$G,
    'Resource Summary'!$B:$B,zones_to_group,
    'Resource Summary'!$A:$A,TRANSPOSE(_xlfn._xlws.FILTER('Results Grouping'!$G$9:$G$322,('Results Grouping'!$H$9:$H$322=$D$57) * ('Results Grouping'!$I$9:$I$322=$D65),0)),
    'Resource Summary'!$C:$C,AD$60
  )
)</f>
        <v>1.689740458628</v>
      </c>
      <c r="AH65" s="34"/>
    </row>
    <row r="66" spans="4:34" outlineLevel="1" x14ac:dyDescent="0.2">
      <c r="D66" s="8" t="s">
        <v>120</v>
      </c>
      <c r="E66" s="21" cm="1">
        <f t="array" ref="E66">0.001 * SUM(
  SUMIFS(
    'Resource Summary'!$G:$G,
    'Resource Summary'!$B:$B,zones_to_group,
    'Resource Summary'!$A:$A,TRANSPOSE(_xlfn._xlws.FILTER('Results Grouping'!$G$9:$G$322,('Results Grouping'!$H$9:$H$322=$D$57) * ('Results Grouping'!$I$9:$I$322=$D66),0)),
    'Resource Summary'!$C:$C,E$60
  )
)</f>
        <v>0</v>
      </c>
      <c r="F66" s="21" cm="1">
        <f t="array" ref="F66">0.001 * SUM(
  SUMIFS(
    'Resource Summary'!$G:$G,
    'Resource Summary'!$B:$B,zones_to_group,
    'Resource Summary'!$A:$A,TRANSPOSE(_xlfn._xlws.FILTER('Results Grouping'!$G$9:$G$322,('Results Grouping'!$H$9:$H$322=$D$57) * ('Results Grouping'!$I$9:$I$322=$D66),0)),
    'Resource Summary'!$C:$C,F$60
  )
)</f>
        <v>0</v>
      </c>
      <c r="G66" s="21" cm="1">
        <f t="array" ref="G66">0.001 * SUM(
  SUMIFS(
    'Resource Summary'!$G:$G,
    'Resource Summary'!$B:$B,zones_to_group,
    'Resource Summary'!$A:$A,TRANSPOSE(_xlfn._xlws.FILTER('Results Grouping'!$G$9:$G$322,('Results Grouping'!$H$9:$H$322=$D$57) * ('Results Grouping'!$I$9:$I$322=$D66),0)),
    'Resource Summary'!$C:$C,G$60
  )
)</f>
        <v>0</v>
      </c>
      <c r="H66" s="21" cm="1">
        <f t="array" ref="H66">0.001 * SUM(
  SUMIFS(
    'Resource Summary'!$G:$G,
    'Resource Summary'!$B:$B,zones_to_group,
    'Resource Summary'!$A:$A,TRANSPOSE(_xlfn._xlws.FILTER('Results Grouping'!$G$9:$G$322,('Results Grouping'!$H$9:$H$322=$D$57) * ('Results Grouping'!$I$9:$I$322=$D66),0)),
    'Resource Summary'!$C:$C,H$60
  )
)</f>
        <v>0</v>
      </c>
      <c r="I66" s="21" cm="1">
        <f t="array" ref="I66">0.001 * SUM(
  SUMIFS(
    'Resource Summary'!$G:$G,
    'Resource Summary'!$B:$B,zones_to_group,
    'Resource Summary'!$A:$A,TRANSPOSE(_xlfn._xlws.FILTER('Results Grouping'!$G$9:$G$322,('Results Grouping'!$H$9:$H$322=$D$57) * ('Results Grouping'!$I$9:$I$322=$D66),0)),
    'Resource Summary'!$C:$C,I$60
  )
)</f>
        <v>0</v>
      </c>
      <c r="J66" s="21" cm="1">
        <f t="array" ref="J66">0.001 * SUM(
  SUMIFS(
    'Resource Summary'!$G:$G,
    'Resource Summary'!$B:$B,zones_to_group,
    'Resource Summary'!$A:$A,TRANSPOSE(_xlfn._xlws.FILTER('Results Grouping'!$G$9:$G$322,('Results Grouping'!$H$9:$H$322=$D$57) * ('Results Grouping'!$I$9:$I$322=$D66),0)),
    'Resource Summary'!$C:$C,J$60
  )
)</f>
        <v>0</v>
      </c>
      <c r="K66" s="21" cm="1">
        <f t="array" ref="K66">0.001 * SUM(
  SUMIFS(
    'Resource Summary'!$G:$G,
    'Resource Summary'!$B:$B,zones_to_group,
    'Resource Summary'!$A:$A,TRANSPOSE(_xlfn._xlws.FILTER('Results Grouping'!$G$9:$G$322,('Results Grouping'!$H$9:$H$322=$D$57) * ('Results Grouping'!$I$9:$I$322=$D66),0)),
    'Resource Summary'!$C:$C,K$60
  )
)</f>
        <v>0</v>
      </c>
      <c r="L66" s="21" cm="1">
        <f t="array" ref="L66">0.001 * SUM(
  SUMIFS(
    'Resource Summary'!$G:$G,
    'Resource Summary'!$B:$B,zones_to_group,
    'Resource Summary'!$A:$A,TRANSPOSE(_xlfn._xlws.FILTER('Results Grouping'!$G$9:$G$322,('Results Grouping'!$H$9:$H$322=$D$57) * ('Results Grouping'!$I$9:$I$322=$D66),0)),
    'Resource Summary'!$C:$C,L$60
  )
)</f>
        <v>0</v>
      </c>
      <c r="M66" s="21" cm="1">
        <f t="array" ref="M66">0.001 * SUM(
  SUMIFS(
    'Resource Summary'!$G:$G,
    'Resource Summary'!$B:$B,zones_to_group,
    'Resource Summary'!$A:$A,TRANSPOSE(_xlfn._xlws.FILTER('Results Grouping'!$G$9:$G$322,('Results Grouping'!$H$9:$H$322=$D$57) * ('Results Grouping'!$I$9:$I$322=$D66),0)),
    'Resource Summary'!$C:$C,M$60
  )
)</f>
        <v>0</v>
      </c>
      <c r="N66" s="21" cm="1">
        <f t="array" ref="N66">0.001 * SUM(
  SUMIFS(
    'Resource Summary'!$G:$G,
    'Resource Summary'!$B:$B,zones_to_group,
    'Resource Summary'!$A:$A,TRANSPOSE(_xlfn._xlws.FILTER('Results Grouping'!$G$9:$G$322,('Results Grouping'!$H$9:$H$322=$D$57) * ('Results Grouping'!$I$9:$I$322=$D66),0)),
    'Resource Summary'!$C:$C,N$60
  )
)</f>
        <v>0</v>
      </c>
      <c r="O66" s="21" cm="1">
        <f t="array" ref="O66">0.001 * SUM(
  SUMIFS(
    'Resource Summary'!$G:$G,
    'Resource Summary'!$B:$B,zones_to_group,
    'Resource Summary'!$A:$A,TRANSPOSE(_xlfn._xlws.FILTER('Results Grouping'!$G$9:$G$322,('Results Grouping'!$H$9:$H$322=$D$57) * ('Results Grouping'!$I$9:$I$322=$D66),0)),
    'Resource Summary'!$C:$C,O$60
  )
)</f>
        <v>0</v>
      </c>
      <c r="P66" s="21" cm="1">
        <f t="array" ref="P66">0.001 * SUM(
  SUMIFS(
    'Resource Summary'!$G:$G,
    'Resource Summary'!$B:$B,zones_to_group,
    'Resource Summary'!$A:$A,TRANSPOSE(_xlfn._xlws.FILTER('Results Grouping'!$G$9:$G$322,('Results Grouping'!$H$9:$H$322=$D$57) * ('Results Grouping'!$I$9:$I$322=$D66),0)),
    'Resource Summary'!$C:$C,P$60
  )
)</f>
        <v>0</v>
      </c>
      <c r="Q66" s="21" cm="1">
        <f t="array" ref="Q66">0.001 * SUM(
  SUMIFS(
    'Resource Summary'!$G:$G,
    'Resource Summary'!$B:$B,zones_to_group,
    'Resource Summary'!$A:$A,TRANSPOSE(_xlfn._xlws.FILTER('Results Grouping'!$G$9:$G$322,('Results Grouping'!$H$9:$H$322=$D$57) * ('Results Grouping'!$I$9:$I$322=$D66),0)),
    'Resource Summary'!$C:$C,Q$60
  )
)</f>
        <v>0</v>
      </c>
      <c r="R66" s="21" cm="1">
        <f t="array" ref="R66">0.001 * SUM(
  SUMIFS(
    'Resource Summary'!$G:$G,
    'Resource Summary'!$B:$B,zones_to_group,
    'Resource Summary'!$A:$A,TRANSPOSE(_xlfn._xlws.FILTER('Results Grouping'!$G$9:$G$322,('Results Grouping'!$H$9:$H$322=$D$57) * ('Results Grouping'!$I$9:$I$322=$D66),0)),
    'Resource Summary'!$C:$C,R$60
  )
)</f>
        <v>0</v>
      </c>
      <c r="S66" s="21" cm="1">
        <f t="array" ref="S66">0.001 * SUM(
  SUMIFS(
    'Resource Summary'!$G:$G,
    'Resource Summary'!$B:$B,zones_to_group,
    'Resource Summary'!$A:$A,TRANSPOSE(_xlfn._xlws.FILTER('Results Grouping'!$G$9:$G$322,('Results Grouping'!$H$9:$H$322=$D$57) * ('Results Grouping'!$I$9:$I$322=$D66),0)),
    'Resource Summary'!$C:$C,S$60
  )
)</f>
        <v>0</v>
      </c>
      <c r="T66" s="21" cm="1">
        <f t="array" ref="T66">0.001 * SUM(
  SUMIFS(
    'Resource Summary'!$G:$G,
    'Resource Summary'!$B:$B,zones_to_group,
    'Resource Summary'!$A:$A,TRANSPOSE(_xlfn._xlws.FILTER('Results Grouping'!$G$9:$G$322,('Results Grouping'!$H$9:$H$322=$D$57) * ('Results Grouping'!$I$9:$I$322=$D66),0)),
    'Resource Summary'!$C:$C,T$60
  )
)</f>
        <v>0</v>
      </c>
      <c r="U66" s="21" cm="1">
        <f t="array" ref="U66">0.001 * SUM(
  SUMIFS(
    'Resource Summary'!$G:$G,
    'Resource Summary'!$B:$B,zones_to_group,
    'Resource Summary'!$A:$A,TRANSPOSE(_xlfn._xlws.FILTER('Results Grouping'!$G$9:$G$322,('Results Grouping'!$H$9:$H$322=$D$57) * ('Results Grouping'!$I$9:$I$322=$D66),0)),
    'Resource Summary'!$C:$C,U$60
  )
)</f>
        <v>0</v>
      </c>
      <c r="V66" s="21" cm="1">
        <f t="array" ref="V66">0.001 * SUM(
  SUMIFS(
    'Resource Summary'!$G:$G,
    'Resource Summary'!$B:$B,zones_to_group,
    'Resource Summary'!$A:$A,TRANSPOSE(_xlfn._xlws.FILTER('Results Grouping'!$G$9:$G$322,('Results Grouping'!$H$9:$H$322=$D$57) * ('Results Grouping'!$I$9:$I$322=$D66),0)),
    'Resource Summary'!$C:$C,V$60
  )
)</f>
        <v>0</v>
      </c>
      <c r="W66" s="21" cm="1">
        <f t="array" ref="W66">0.001 * SUM(
  SUMIFS(
    'Resource Summary'!$G:$G,
    'Resource Summary'!$B:$B,zones_to_group,
    'Resource Summary'!$A:$A,TRANSPOSE(_xlfn._xlws.FILTER('Results Grouping'!$G$9:$G$322,('Results Grouping'!$H$9:$H$322=$D$57) * ('Results Grouping'!$I$9:$I$322=$D66),0)),
    'Resource Summary'!$C:$C,W$60
  )
)</f>
        <v>0</v>
      </c>
      <c r="X66" s="21" cm="1">
        <f t="array" ref="X66">0.001 * SUM(
  SUMIFS(
    'Resource Summary'!$G:$G,
    'Resource Summary'!$B:$B,zones_to_group,
    'Resource Summary'!$A:$A,TRANSPOSE(_xlfn._xlws.FILTER('Results Grouping'!$G$9:$G$322,('Results Grouping'!$H$9:$H$322=$D$57) * ('Results Grouping'!$I$9:$I$322=$D66),0)),
    'Resource Summary'!$C:$C,X$60
  )
)</f>
        <v>0</v>
      </c>
      <c r="Y66" s="21" cm="1">
        <f t="array" ref="Y66">0.001 * SUM(
  SUMIFS(
    'Resource Summary'!$G:$G,
    'Resource Summary'!$B:$B,zones_to_group,
    'Resource Summary'!$A:$A,TRANSPOSE(_xlfn._xlws.FILTER('Results Grouping'!$G$9:$G$322,('Results Grouping'!$H$9:$H$322=$D$57) * ('Results Grouping'!$I$9:$I$322=$D66),0)),
    'Resource Summary'!$C:$C,Y$60
  )
)</f>
        <v>0</v>
      </c>
      <c r="Z66" s="21" cm="1">
        <f t="array" ref="Z66">0.001 * SUM(
  SUMIFS(
    'Resource Summary'!$G:$G,
    'Resource Summary'!$B:$B,zones_to_group,
    'Resource Summary'!$A:$A,TRANSPOSE(_xlfn._xlws.FILTER('Results Grouping'!$G$9:$G$322,('Results Grouping'!$H$9:$H$322=$D$57) * ('Results Grouping'!$I$9:$I$322=$D66),0)),
    'Resource Summary'!$C:$C,Z$60
  )
)</f>
        <v>0</v>
      </c>
      <c r="AA66" s="21" cm="1">
        <f t="array" ref="AA66">0.001 * SUM(
  SUMIFS(
    'Resource Summary'!$G:$G,
    'Resource Summary'!$B:$B,zones_to_group,
    'Resource Summary'!$A:$A,TRANSPOSE(_xlfn._xlws.FILTER('Results Grouping'!$G$9:$G$322,('Results Grouping'!$H$9:$H$322=$D$57) * ('Results Grouping'!$I$9:$I$322=$D66),0)),
    'Resource Summary'!$C:$C,AA$60
  )
)</f>
        <v>0</v>
      </c>
      <c r="AB66" s="21" cm="1">
        <f t="array" ref="AB66">0.001 * SUM(
  SUMIFS(
    'Resource Summary'!$G:$G,
    'Resource Summary'!$B:$B,zones_to_group,
    'Resource Summary'!$A:$A,TRANSPOSE(_xlfn._xlws.FILTER('Results Grouping'!$G$9:$G$322,('Results Grouping'!$H$9:$H$322=$D$57) * ('Results Grouping'!$I$9:$I$322=$D66),0)),
    'Resource Summary'!$C:$C,AB$60
  )
)</f>
        <v>0</v>
      </c>
      <c r="AC66" s="21" cm="1">
        <f t="array" ref="AC66">0.001 * SUM(
  SUMIFS(
    'Resource Summary'!$G:$G,
    'Resource Summary'!$B:$B,zones_to_group,
    'Resource Summary'!$A:$A,TRANSPOSE(_xlfn._xlws.FILTER('Results Grouping'!$G$9:$G$322,('Results Grouping'!$H$9:$H$322=$D$57) * ('Results Grouping'!$I$9:$I$322=$D66),0)),
    'Resource Summary'!$C:$C,AC$60
  )
)</f>
        <v>0</v>
      </c>
      <c r="AD66" s="21" cm="1">
        <f t="array" ref="AD66">0.001 * SUM(
  SUMIFS(
    'Resource Summary'!$G:$G,
    'Resource Summary'!$B:$B,zones_to_group,
    'Resource Summary'!$A:$A,TRANSPOSE(_xlfn._xlws.FILTER('Results Grouping'!$G$9:$G$322,('Results Grouping'!$H$9:$H$322=$D$57) * ('Results Grouping'!$I$9:$I$322=$D66),0)),
    'Resource Summary'!$C:$C,AD$60
  )
)</f>
        <v>0.80772100000000002</v>
      </c>
      <c r="AH66" s="34"/>
    </row>
    <row r="67" spans="4:34" outlineLevel="1" x14ac:dyDescent="0.2">
      <c r="D67" s="8" t="s">
        <v>122</v>
      </c>
      <c r="E67" s="21" cm="1">
        <f t="array" ref="E67">0.001 * SUM(
  SUMIFS(
    'Resource Summary'!$G:$G,
    'Resource Summary'!$B:$B,zones_to_group,
    'Resource Summary'!$A:$A,TRANSPOSE(_xlfn._xlws.FILTER('Results Grouping'!$G$9:$G$322,('Results Grouping'!$H$9:$H$322=$D$57) * ('Results Grouping'!$I$9:$I$322=$D67),0)),
    'Resource Summary'!$C:$C,E$60
  )
)</f>
        <v>0</v>
      </c>
      <c r="F67" s="21" cm="1">
        <f t="array" ref="F67">0.001 * SUM(
  SUMIFS(
    'Resource Summary'!$G:$G,
    'Resource Summary'!$B:$B,zones_to_group,
    'Resource Summary'!$A:$A,TRANSPOSE(_xlfn._xlws.FILTER('Results Grouping'!$G$9:$G$322,('Results Grouping'!$H$9:$H$322=$D$57) * ('Results Grouping'!$I$9:$I$322=$D67),0)),
    'Resource Summary'!$C:$C,F$60
  )
)</f>
        <v>0</v>
      </c>
      <c r="G67" s="21" cm="1">
        <f t="array" ref="G67">0.001 * SUM(
  SUMIFS(
    'Resource Summary'!$G:$G,
    'Resource Summary'!$B:$B,zones_to_group,
    'Resource Summary'!$A:$A,TRANSPOSE(_xlfn._xlws.FILTER('Results Grouping'!$G$9:$G$322,('Results Grouping'!$H$9:$H$322=$D$57) * ('Results Grouping'!$I$9:$I$322=$D67),0)),
    'Resource Summary'!$C:$C,G$60
  )
)</f>
        <v>0</v>
      </c>
      <c r="H67" s="21" cm="1">
        <f t="array" ref="H67">0.001 * SUM(
  SUMIFS(
    'Resource Summary'!$G:$G,
    'Resource Summary'!$B:$B,zones_to_group,
    'Resource Summary'!$A:$A,TRANSPOSE(_xlfn._xlws.FILTER('Results Grouping'!$G$9:$G$322,('Results Grouping'!$H$9:$H$322=$D$57) * ('Results Grouping'!$I$9:$I$322=$D67),0)),
    'Resource Summary'!$C:$C,H$60
  )
)</f>
        <v>0</v>
      </c>
      <c r="I67" s="21" cm="1">
        <f t="array" ref="I67">0.001 * SUM(
  SUMIFS(
    'Resource Summary'!$G:$G,
    'Resource Summary'!$B:$B,zones_to_group,
    'Resource Summary'!$A:$A,TRANSPOSE(_xlfn._xlws.FILTER('Results Grouping'!$G$9:$G$322,('Results Grouping'!$H$9:$H$322=$D$57) * ('Results Grouping'!$I$9:$I$322=$D67),0)),
    'Resource Summary'!$C:$C,I$60
  )
)</f>
        <v>0</v>
      </c>
      <c r="J67" s="21" cm="1">
        <f t="array" ref="J67">0.001 * SUM(
  SUMIFS(
    'Resource Summary'!$G:$G,
    'Resource Summary'!$B:$B,zones_to_group,
    'Resource Summary'!$A:$A,TRANSPOSE(_xlfn._xlws.FILTER('Results Grouping'!$G$9:$G$322,('Results Grouping'!$H$9:$H$322=$D$57) * ('Results Grouping'!$I$9:$I$322=$D67),0)),
    'Resource Summary'!$C:$C,J$60
  )
)</f>
        <v>0</v>
      </c>
      <c r="K67" s="21" cm="1">
        <f t="array" ref="K67">0.001 * SUM(
  SUMIFS(
    'Resource Summary'!$G:$G,
    'Resource Summary'!$B:$B,zones_to_group,
    'Resource Summary'!$A:$A,TRANSPOSE(_xlfn._xlws.FILTER('Results Grouping'!$G$9:$G$322,('Results Grouping'!$H$9:$H$322=$D$57) * ('Results Grouping'!$I$9:$I$322=$D67),0)),
    'Resource Summary'!$C:$C,K$60
  )
)</f>
        <v>0</v>
      </c>
      <c r="L67" s="21" cm="1">
        <f t="array" ref="L67">0.001 * SUM(
  SUMIFS(
    'Resource Summary'!$G:$G,
    'Resource Summary'!$B:$B,zones_to_group,
    'Resource Summary'!$A:$A,TRANSPOSE(_xlfn._xlws.FILTER('Results Grouping'!$G$9:$G$322,('Results Grouping'!$H$9:$H$322=$D$57) * ('Results Grouping'!$I$9:$I$322=$D67),0)),
    'Resource Summary'!$C:$C,L$60
  )
)</f>
        <v>0</v>
      </c>
      <c r="M67" s="21" cm="1">
        <f t="array" ref="M67">0.001 * SUM(
  SUMIFS(
    'Resource Summary'!$G:$G,
    'Resource Summary'!$B:$B,zones_to_group,
    'Resource Summary'!$A:$A,TRANSPOSE(_xlfn._xlws.FILTER('Results Grouping'!$G$9:$G$322,('Results Grouping'!$H$9:$H$322=$D$57) * ('Results Grouping'!$I$9:$I$322=$D67),0)),
    'Resource Summary'!$C:$C,M$60
  )
)</f>
        <v>0</v>
      </c>
      <c r="N67" s="21" cm="1">
        <f t="array" ref="N67">0.001 * SUM(
  SUMIFS(
    'Resource Summary'!$G:$G,
    'Resource Summary'!$B:$B,zones_to_group,
    'Resource Summary'!$A:$A,TRANSPOSE(_xlfn._xlws.FILTER('Results Grouping'!$G$9:$G$322,('Results Grouping'!$H$9:$H$322=$D$57) * ('Results Grouping'!$I$9:$I$322=$D67),0)),
    'Resource Summary'!$C:$C,N$60
  )
)</f>
        <v>0</v>
      </c>
      <c r="O67" s="21" cm="1">
        <f t="array" ref="O67">0.001 * SUM(
  SUMIFS(
    'Resource Summary'!$G:$G,
    'Resource Summary'!$B:$B,zones_to_group,
    'Resource Summary'!$A:$A,TRANSPOSE(_xlfn._xlws.FILTER('Results Grouping'!$G$9:$G$322,('Results Grouping'!$H$9:$H$322=$D$57) * ('Results Grouping'!$I$9:$I$322=$D67),0)),
    'Resource Summary'!$C:$C,O$60
  )
)</f>
        <v>0</v>
      </c>
      <c r="P67" s="21" cm="1">
        <f t="array" ref="P67">0.001 * SUM(
  SUMIFS(
    'Resource Summary'!$G:$G,
    'Resource Summary'!$B:$B,zones_to_group,
    'Resource Summary'!$A:$A,TRANSPOSE(_xlfn._xlws.FILTER('Results Grouping'!$G$9:$G$322,('Results Grouping'!$H$9:$H$322=$D$57) * ('Results Grouping'!$I$9:$I$322=$D67),0)),
    'Resource Summary'!$C:$C,P$60
  )
)</f>
        <v>0</v>
      </c>
      <c r="Q67" s="21" cm="1">
        <f t="array" ref="Q67">0.001 * SUM(
  SUMIFS(
    'Resource Summary'!$G:$G,
    'Resource Summary'!$B:$B,zones_to_group,
    'Resource Summary'!$A:$A,TRANSPOSE(_xlfn._xlws.FILTER('Results Grouping'!$G$9:$G$322,('Results Grouping'!$H$9:$H$322=$D$57) * ('Results Grouping'!$I$9:$I$322=$D67),0)),
    'Resource Summary'!$C:$C,Q$60
  )
)</f>
        <v>0</v>
      </c>
      <c r="R67" s="21" cm="1">
        <f t="array" ref="R67">0.001 * SUM(
  SUMIFS(
    'Resource Summary'!$G:$G,
    'Resource Summary'!$B:$B,zones_to_group,
    'Resource Summary'!$A:$A,TRANSPOSE(_xlfn._xlws.FILTER('Results Grouping'!$G$9:$G$322,('Results Grouping'!$H$9:$H$322=$D$57) * ('Results Grouping'!$I$9:$I$322=$D67),0)),
    'Resource Summary'!$C:$C,R$60
  )
)</f>
        <v>0</v>
      </c>
      <c r="S67" s="21" cm="1">
        <f t="array" ref="S67">0.001 * SUM(
  SUMIFS(
    'Resource Summary'!$G:$G,
    'Resource Summary'!$B:$B,zones_to_group,
    'Resource Summary'!$A:$A,TRANSPOSE(_xlfn._xlws.FILTER('Results Grouping'!$G$9:$G$322,('Results Grouping'!$H$9:$H$322=$D$57) * ('Results Grouping'!$I$9:$I$322=$D67),0)),
    'Resource Summary'!$C:$C,S$60
  )
)</f>
        <v>0</v>
      </c>
      <c r="T67" s="21" cm="1">
        <f t="array" ref="T67">0.001 * SUM(
  SUMIFS(
    'Resource Summary'!$G:$G,
    'Resource Summary'!$B:$B,zones_to_group,
    'Resource Summary'!$A:$A,TRANSPOSE(_xlfn._xlws.FILTER('Results Grouping'!$G$9:$G$322,('Results Grouping'!$H$9:$H$322=$D$57) * ('Results Grouping'!$I$9:$I$322=$D67),0)),
    'Resource Summary'!$C:$C,T$60
  )
)</f>
        <v>0</v>
      </c>
      <c r="U67" s="21" cm="1">
        <f t="array" ref="U67">0.001 * SUM(
  SUMIFS(
    'Resource Summary'!$G:$G,
    'Resource Summary'!$B:$B,zones_to_group,
    'Resource Summary'!$A:$A,TRANSPOSE(_xlfn._xlws.FILTER('Results Grouping'!$G$9:$G$322,('Results Grouping'!$H$9:$H$322=$D$57) * ('Results Grouping'!$I$9:$I$322=$D67),0)),
    'Resource Summary'!$C:$C,U$60
  )
)</f>
        <v>0</v>
      </c>
      <c r="V67" s="21" cm="1">
        <f t="array" ref="V67">0.001 * SUM(
  SUMIFS(
    'Resource Summary'!$G:$G,
    'Resource Summary'!$B:$B,zones_to_group,
    'Resource Summary'!$A:$A,TRANSPOSE(_xlfn._xlws.FILTER('Results Grouping'!$G$9:$G$322,('Results Grouping'!$H$9:$H$322=$D$57) * ('Results Grouping'!$I$9:$I$322=$D67),0)),
    'Resource Summary'!$C:$C,V$60
  )
)</f>
        <v>0</v>
      </c>
      <c r="W67" s="21" cm="1">
        <f t="array" ref="W67">0.001 * SUM(
  SUMIFS(
    'Resource Summary'!$G:$G,
    'Resource Summary'!$B:$B,zones_to_group,
    'Resource Summary'!$A:$A,TRANSPOSE(_xlfn._xlws.FILTER('Results Grouping'!$G$9:$G$322,('Results Grouping'!$H$9:$H$322=$D$57) * ('Results Grouping'!$I$9:$I$322=$D67),0)),
    'Resource Summary'!$C:$C,W$60
  )
)</f>
        <v>0</v>
      </c>
      <c r="X67" s="21" cm="1">
        <f t="array" ref="X67">0.001 * SUM(
  SUMIFS(
    'Resource Summary'!$G:$G,
    'Resource Summary'!$B:$B,zones_to_group,
    'Resource Summary'!$A:$A,TRANSPOSE(_xlfn._xlws.FILTER('Results Grouping'!$G$9:$G$322,('Results Grouping'!$H$9:$H$322=$D$57) * ('Results Grouping'!$I$9:$I$322=$D67),0)),
    'Resource Summary'!$C:$C,X$60
  )
)</f>
        <v>0</v>
      </c>
      <c r="Y67" s="21" cm="1">
        <f t="array" ref="Y67">0.001 * SUM(
  SUMIFS(
    'Resource Summary'!$G:$G,
    'Resource Summary'!$B:$B,zones_to_group,
    'Resource Summary'!$A:$A,TRANSPOSE(_xlfn._xlws.FILTER('Results Grouping'!$G$9:$G$322,('Results Grouping'!$H$9:$H$322=$D$57) * ('Results Grouping'!$I$9:$I$322=$D67),0)),
    'Resource Summary'!$C:$C,Y$60
  )
)</f>
        <v>0</v>
      </c>
      <c r="Z67" s="21" cm="1">
        <f t="array" ref="Z67">0.001 * SUM(
  SUMIFS(
    'Resource Summary'!$G:$G,
    'Resource Summary'!$B:$B,zones_to_group,
    'Resource Summary'!$A:$A,TRANSPOSE(_xlfn._xlws.FILTER('Results Grouping'!$G$9:$G$322,('Results Grouping'!$H$9:$H$322=$D$57) * ('Results Grouping'!$I$9:$I$322=$D67),0)),
    'Resource Summary'!$C:$C,Z$60
  )
)</f>
        <v>0</v>
      </c>
      <c r="AA67" s="21" cm="1">
        <f t="array" ref="AA67">0.001 * SUM(
  SUMIFS(
    'Resource Summary'!$G:$G,
    'Resource Summary'!$B:$B,zones_to_group,
    'Resource Summary'!$A:$A,TRANSPOSE(_xlfn._xlws.FILTER('Results Grouping'!$G$9:$G$322,('Results Grouping'!$H$9:$H$322=$D$57) * ('Results Grouping'!$I$9:$I$322=$D67),0)),
    'Resource Summary'!$C:$C,AA$60
  )
)</f>
        <v>0</v>
      </c>
      <c r="AB67" s="21" cm="1">
        <f t="array" ref="AB67">0.001 * SUM(
  SUMIFS(
    'Resource Summary'!$G:$G,
    'Resource Summary'!$B:$B,zones_to_group,
    'Resource Summary'!$A:$A,TRANSPOSE(_xlfn._xlws.FILTER('Results Grouping'!$G$9:$G$322,('Results Grouping'!$H$9:$H$322=$D$57) * ('Results Grouping'!$I$9:$I$322=$D67),0)),
    'Resource Summary'!$C:$C,AB$60
  )
)</f>
        <v>0</v>
      </c>
      <c r="AC67" s="21" cm="1">
        <f t="array" ref="AC67">0.001 * SUM(
  SUMIFS(
    'Resource Summary'!$G:$G,
    'Resource Summary'!$B:$B,zones_to_group,
    'Resource Summary'!$A:$A,TRANSPOSE(_xlfn._xlws.FILTER('Results Grouping'!$G$9:$G$322,('Results Grouping'!$H$9:$H$322=$D$57) * ('Results Grouping'!$I$9:$I$322=$D67),0)),
    'Resource Summary'!$C:$C,AC$60
  )
)</f>
        <v>0</v>
      </c>
      <c r="AD67" s="21" cm="1">
        <f t="array" ref="AD67">0.001 * SUM(
  SUMIFS(
    'Resource Summary'!$G:$G,
    'Resource Summary'!$B:$B,zones_to_group,
    'Resource Summary'!$A:$A,TRANSPOSE(_xlfn._xlws.FILTER('Results Grouping'!$G$9:$G$322,('Results Grouping'!$H$9:$H$322=$D$57) * ('Results Grouping'!$I$9:$I$322=$D67),0)),
    'Resource Summary'!$C:$C,AD$60
  )
)</f>
        <v>10.882867193288643</v>
      </c>
      <c r="AH67" s="34"/>
    </row>
    <row r="68" spans="4:34" outlineLevel="1" x14ac:dyDescent="0.2">
      <c r="D68" s="8" t="s">
        <v>119</v>
      </c>
      <c r="E68" s="21" cm="1">
        <f t="array" ref="E68">0.001 * SUM(
  SUMIFS(
    'Resource Summary'!$G:$G,
    'Resource Summary'!$B:$B,zones_to_group,
    'Resource Summary'!$A:$A,TRANSPOSE(_xlfn._xlws.FILTER('Results Grouping'!$G$9:$G$322,('Results Grouping'!$H$9:$H$322=$D$57) * ('Results Grouping'!$I$9:$I$322=$D68),0)),
    'Resource Summary'!$C:$C,E$60
  )
)</f>
        <v>0</v>
      </c>
      <c r="F68" s="21" cm="1">
        <f t="array" ref="F68">0.001 * SUM(
  SUMIFS(
    'Resource Summary'!$G:$G,
    'Resource Summary'!$B:$B,zones_to_group,
    'Resource Summary'!$A:$A,TRANSPOSE(_xlfn._xlws.FILTER('Results Grouping'!$G$9:$G$322,('Results Grouping'!$H$9:$H$322=$D$57) * ('Results Grouping'!$I$9:$I$322=$D68),0)),
    'Resource Summary'!$C:$C,F$60
  )
)</f>
        <v>0</v>
      </c>
      <c r="G68" s="21" cm="1">
        <f t="array" ref="G68">0.001 * SUM(
  SUMIFS(
    'Resource Summary'!$G:$G,
    'Resource Summary'!$B:$B,zones_to_group,
    'Resource Summary'!$A:$A,TRANSPOSE(_xlfn._xlws.FILTER('Results Grouping'!$G$9:$G$322,('Results Grouping'!$H$9:$H$322=$D$57) * ('Results Grouping'!$I$9:$I$322=$D68),0)),
    'Resource Summary'!$C:$C,G$60
  )
)</f>
        <v>0</v>
      </c>
      <c r="H68" s="21" cm="1">
        <f t="array" ref="H68">0.001 * SUM(
  SUMIFS(
    'Resource Summary'!$G:$G,
    'Resource Summary'!$B:$B,zones_to_group,
    'Resource Summary'!$A:$A,TRANSPOSE(_xlfn._xlws.FILTER('Results Grouping'!$G$9:$G$322,('Results Grouping'!$H$9:$H$322=$D$57) * ('Results Grouping'!$I$9:$I$322=$D68),0)),
    'Resource Summary'!$C:$C,H$60
  )
)</f>
        <v>0</v>
      </c>
      <c r="I68" s="21" cm="1">
        <f t="array" ref="I68">0.001 * SUM(
  SUMIFS(
    'Resource Summary'!$G:$G,
    'Resource Summary'!$B:$B,zones_to_group,
    'Resource Summary'!$A:$A,TRANSPOSE(_xlfn._xlws.FILTER('Results Grouping'!$G$9:$G$322,('Results Grouping'!$H$9:$H$322=$D$57) * ('Results Grouping'!$I$9:$I$322=$D68),0)),
    'Resource Summary'!$C:$C,I$60
  )
)</f>
        <v>0</v>
      </c>
      <c r="J68" s="21" cm="1">
        <f t="array" ref="J68">0.001 * SUM(
  SUMIFS(
    'Resource Summary'!$G:$G,
    'Resource Summary'!$B:$B,zones_to_group,
    'Resource Summary'!$A:$A,TRANSPOSE(_xlfn._xlws.FILTER('Results Grouping'!$G$9:$G$322,('Results Grouping'!$H$9:$H$322=$D$57) * ('Results Grouping'!$I$9:$I$322=$D68),0)),
    'Resource Summary'!$C:$C,J$60
  )
)</f>
        <v>0</v>
      </c>
      <c r="K68" s="21" cm="1">
        <f t="array" ref="K68">0.001 * SUM(
  SUMIFS(
    'Resource Summary'!$G:$G,
    'Resource Summary'!$B:$B,zones_to_group,
    'Resource Summary'!$A:$A,TRANSPOSE(_xlfn._xlws.FILTER('Results Grouping'!$G$9:$G$322,('Results Grouping'!$H$9:$H$322=$D$57) * ('Results Grouping'!$I$9:$I$322=$D68),0)),
    'Resource Summary'!$C:$C,K$60
  )
)</f>
        <v>0</v>
      </c>
      <c r="L68" s="21" cm="1">
        <f t="array" ref="L68">0.001 * SUM(
  SUMIFS(
    'Resource Summary'!$G:$G,
    'Resource Summary'!$B:$B,zones_to_group,
    'Resource Summary'!$A:$A,TRANSPOSE(_xlfn._xlws.FILTER('Results Grouping'!$G$9:$G$322,('Results Grouping'!$H$9:$H$322=$D$57) * ('Results Grouping'!$I$9:$I$322=$D68),0)),
    'Resource Summary'!$C:$C,L$60
  )
)</f>
        <v>0</v>
      </c>
      <c r="M68" s="21" cm="1">
        <f t="array" ref="M68">0.001 * SUM(
  SUMIFS(
    'Resource Summary'!$G:$G,
    'Resource Summary'!$B:$B,zones_to_group,
    'Resource Summary'!$A:$A,TRANSPOSE(_xlfn._xlws.FILTER('Results Grouping'!$G$9:$G$322,('Results Grouping'!$H$9:$H$322=$D$57) * ('Results Grouping'!$I$9:$I$322=$D68),0)),
    'Resource Summary'!$C:$C,M$60
  )
)</f>
        <v>0</v>
      </c>
      <c r="N68" s="21" cm="1">
        <f t="array" ref="N68">0.001 * SUM(
  SUMIFS(
    'Resource Summary'!$G:$G,
    'Resource Summary'!$B:$B,zones_to_group,
    'Resource Summary'!$A:$A,TRANSPOSE(_xlfn._xlws.FILTER('Results Grouping'!$G$9:$G$322,('Results Grouping'!$H$9:$H$322=$D$57) * ('Results Grouping'!$I$9:$I$322=$D68),0)),
    'Resource Summary'!$C:$C,N$60
  )
)</f>
        <v>0</v>
      </c>
      <c r="O68" s="21" cm="1">
        <f t="array" ref="O68">0.001 * SUM(
  SUMIFS(
    'Resource Summary'!$G:$G,
    'Resource Summary'!$B:$B,zones_to_group,
    'Resource Summary'!$A:$A,TRANSPOSE(_xlfn._xlws.FILTER('Results Grouping'!$G$9:$G$322,('Results Grouping'!$H$9:$H$322=$D$57) * ('Results Grouping'!$I$9:$I$322=$D68),0)),
    'Resource Summary'!$C:$C,O$60
  )
)</f>
        <v>0</v>
      </c>
      <c r="P68" s="21" cm="1">
        <f t="array" ref="P68">0.001 * SUM(
  SUMIFS(
    'Resource Summary'!$G:$G,
    'Resource Summary'!$B:$B,zones_to_group,
    'Resource Summary'!$A:$A,TRANSPOSE(_xlfn._xlws.FILTER('Results Grouping'!$G$9:$G$322,('Results Grouping'!$H$9:$H$322=$D$57) * ('Results Grouping'!$I$9:$I$322=$D68),0)),
    'Resource Summary'!$C:$C,P$60
  )
)</f>
        <v>0</v>
      </c>
      <c r="Q68" s="21" cm="1">
        <f t="array" ref="Q68">0.001 * SUM(
  SUMIFS(
    'Resource Summary'!$G:$G,
    'Resource Summary'!$B:$B,zones_to_group,
    'Resource Summary'!$A:$A,TRANSPOSE(_xlfn._xlws.FILTER('Results Grouping'!$G$9:$G$322,('Results Grouping'!$H$9:$H$322=$D$57) * ('Results Grouping'!$I$9:$I$322=$D68),0)),
    'Resource Summary'!$C:$C,Q$60
  )
)</f>
        <v>0</v>
      </c>
      <c r="R68" s="21" cm="1">
        <f t="array" ref="R68">0.001 * SUM(
  SUMIFS(
    'Resource Summary'!$G:$G,
    'Resource Summary'!$B:$B,zones_to_group,
    'Resource Summary'!$A:$A,TRANSPOSE(_xlfn._xlws.FILTER('Results Grouping'!$G$9:$G$322,('Results Grouping'!$H$9:$H$322=$D$57) * ('Results Grouping'!$I$9:$I$322=$D68),0)),
    'Resource Summary'!$C:$C,R$60
  )
)</f>
        <v>0</v>
      </c>
      <c r="S68" s="21" cm="1">
        <f t="array" ref="S68">0.001 * SUM(
  SUMIFS(
    'Resource Summary'!$G:$G,
    'Resource Summary'!$B:$B,zones_to_group,
    'Resource Summary'!$A:$A,TRANSPOSE(_xlfn._xlws.FILTER('Results Grouping'!$G$9:$G$322,('Results Grouping'!$H$9:$H$322=$D$57) * ('Results Grouping'!$I$9:$I$322=$D68),0)),
    'Resource Summary'!$C:$C,S$60
  )
)</f>
        <v>0</v>
      </c>
      <c r="T68" s="21" cm="1">
        <f t="array" ref="T68">0.001 * SUM(
  SUMIFS(
    'Resource Summary'!$G:$G,
    'Resource Summary'!$B:$B,zones_to_group,
    'Resource Summary'!$A:$A,TRANSPOSE(_xlfn._xlws.FILTER('Results Grouping'!$G$9:$G$322,('Results Grouping'!$H$9:$H$322=$D$57) * ('Results Grouping'!$I$9:$I$322=$D68),0)),
    'Resource Summary'!$C:$C,T$60
  )
)</f>
        <v>0</v>
      </c>
      <c r="U68" s="21" cm="1">
        <f t="array" ref="U68">0.001 * SUM(
  SUMIFS(
    'Resource Summary'!$G:$G,
    'Resource Summary'!$B:$B,zones_to_group,
    'Resource Summary'!$A:$A,TRANSPOSE(_xlfn._xlws.FILTER('Results Grouping'!$G$9:$G$322,('Results Grouping'!$H$9:$H$322=$D$57) * ('Results Grouping'!$I$9:$I$322=$D68),0)),
    'Resource Summary'!$C:$C,U$60
  )
)</f>
        <v>0</v>
      </c>
      <c r="V68" s="21" cm="1">
        <f t="array" ref="V68">0.001 * SUM(
  SUMIFS(
    'Resource Summary'!$G:$G,
    'Resource Summary'!$B:$B,zones_to_group,
    'Resource Summary'!$A:$A,TRANSPOSE(_xlfn._xlws.FILTER('Results Grouping'!$G$9:$G$322,('Results Grouping'!$H$9:$H$322=$D$57) * ('Results Grouping'!$I$9:$I$322=$D68),0)),
    'Resource Summary'!$C:$C,V$60
  )
)</f>
        <v>0</v>
      </c>
      <c r="W68" s="21" cm="1">
        <f t="array" ref="W68">0.001 * SUM(
  SUMIFS(
    'Resource Summary'!$G:$G,
    'Resource Summary'!$B:$B,zones_to_group,
    'Resource Summary'!$A:$A,TRANSPOSE(_xlfn._xlws.FILTER('Results Grouping'!$G$9:$G$322,('Results Grouping'!$H$9:$H$322=$D$57) * ('Results Grouping'!$I$9:$I$322=$D68),0)),
    'Resource Summary'!$C:$C,W$60
  )
)</f>
        <v>0</v>
      </c>
      <c r="X68" s="21" cm="1">
        <f t="array" ref="X68">0.001 * SUM(
  SUMIFS(
    'Resource Summary'!$G:$G,
    'Resource Summary'!$B:$B,zones_to_group,
    'Resource Summary'!$A:$A,TRANSPOSE(_xlfn._xlws.FILTER('Results Grouping'!$G$9:$G$322,('Results Grouping'!$H$9:$H$322=$D$57) * ('Results Grouping'!$I$9:$I$322=$D68),0)),
    'Resource Summary'!$C:$C,X$60
  )
)</f>
        <v>0</v>
      </c>
      <c r="Y68" s="21" cm="1">
        <f t="array" ref="Y68">0.001 * SUM(
  SUMIFS(
    'Resource Summary'!$G:$G,
    'Resource Summary'!$B:$B,zones_to_group,
    'Resource Summary'!$A:$A,TRANSPOSE(_xlfn._xlws.FILTER('Results Grouping'!$G$9:$G$322,('Results Grouping'!$H$9:$H$322=$D$57) * ('Results Grouping'!$I$9:$I$322=$D68),0)),
    'Resource Summary'!$C:$C,Y$60
  )
)</f>
        <v>0</v>
      </c>
      <c r="Z68" s="21" cm="1">
        <f t="array" ref="Z68">0.001 * SUM(
  SUMIFS(
    'Resource Summary'!$G:$G,
    'Resource Summary'!$B:$B,zones_to_group,
    'Resource Summary'!$A:$A,TRANSPOSE(_xlfn._xlws.FILTER('Results Grouping'!$G$9:$G$322,('Results Grouping'!$H$9:$H$322=$D$57) * ('Results Grouping'!$I$9:$I$322=$D68),0)),
    'Resource Summary'!$C:$C,Z$60
  )
)</f>
        <v>0</v>
      </c>
      <c r="AA68" s="21" cm="1">
        <f t="array" ref="AA68">0.001 * SUM(
  SUMIFS(
    'Resource Summary'!$G:$G,
    'Resource Summary'!$B:$B,zones_to_group,
    'Resource Summary'!$A:$A,TRANSPOSE(_xlfn._xlws.FILTER('Results Grouping'!$G$9:$G$322,('Results Grouping'!$H$9:$H$322=$D$57) * ('Results Grouping'!$I$9:$I$322=$D68),0)),
    'Resource Summary'!$C:$C,AA$60
  )
)</f>
        <v>0</v>
      </c>
      <c r="AB68" s="21" cm="1">
        <f t="array" ref="AB68">0.001 * SUM(
  SUMIFS(
    'Resource Summary'!$G:$G,
    'Resource Summary'!$B:$B,zones_to_group,
    'Resource Summary'!$A:$A,TRANSPOSE(_xlfn._xlws.FILTER('Results Grouping'!$G$9:$G$322,('Results Grouping'!$H$9:$H$322=$D$57) * ('Results Grouping'!$I$9:$I$322=$D68),0)),
    'Resource Summary'!$C:$C,AB$60
  )
)</f>
        <v>0</v>
      </c>
      <c r="AC68" s="21" cm="1">
        <f t="array" ref="AC68">0.001 * SUM(
  SUMIFS(
    'Resource Summary'!$G:$G,
    'Resource Summary'!$B:$B,zones_to_group,
    'Resource Summary'!$A:$A,TRANSPOSE(_xlfn._xlws.FILTER('Results Grouping'!$G$9:$G$322,('Results Grouping'!$H$9:$H$322=$D$57) * ('Results Grouping'!$I$9:$I$322=$D68),0)),
    'Resource Summary'!$C:$C,AC$60
  )
)</f>
        <v>0</v>
      </c>
      <c r="AD68" s="21" cm="1">
        <f t="array" ref="AD68">0.001 * SUM(
  SUMIFS(
    'Resource Summary'!$G:$G,
    'Resource Summary'!$B:$B,zones_to_group,
    'Resource Summary'!$A:$A,TRANSPOSE(_xlfn._xlws.FILTER('Results Grouping'!$G$9:$G$322,('Results Grouping'!$H$9:$H$322=$D$57) * ('Results Grouping'!$I$9:$I$322=$D68),0)),
    'Resource Summary'!$C:$C,AD$60
  )
)</f>
        <v>11.98741682314342</v>
      </c>
      <c r="AH68" s="34"/>
    </row>
    <row r="69" spans="4:34" outlineLevel="1" x14ac:dyDescent="0.2">
      <c r="D69" s="8" t="s">
        <v>127</v>
      </c>
      <c r="E69" s="21" cm="1">
        <f t="array" ref="E69">0.001 * SUM(
  SUMIFS(
    'Resource Summary'!$G:$G,
    'Resource Summary'!$B:$B,zones_to_group,
    'Resource Summary'!$A:$A,TRANSPOSE(_xlfn._xlws.FILTER('Results Grouping'!$G$9:$G$322,('Results Grouping'!$H$9:$H$322=$D$57) * ('Results Grouping'!$I$9:$I$322=$D69),0)),
    'Resource Summary'!$C:$C,E$60
  )
)</f>
        <v>0</v>
      </c>
      <c r="F69" s="21" cm="1">
        <f t="array" ref="F69">0.001 * SUM(
  SUMIFS(
    'Resource Summary'!$G:$G,
    'Resource Summary'!$B:$B,zones_to_group,
    'Resource Summary'!$A:$A,TRANSPOSE(_xlfn._xlws.FILTER('Results Grouping'!$G$9:$G$322,('Results Grouping'!$H$9:$H$322=$D$57) * ('Results Grouping'!$I$9:$I$322=$D69),0)),
    'Resource Summary'!$C:$C,F$60
  )
)</f>
        <v>0</v>
      </c>
      <c r="G69" s="21" cm="1">
        <f t="array" ref="G69">0.001 * SUM(
  SUMIFS(
    'Resource Summary'!$G:$G,
    'Resource Summary'!$B:$B,zones_to_group,
    'Resource Summary'!$A:$A,TRANSPOSE(_xlfn._xlws.FILTER('Results Grouping'!$G$9:$G$322,('Results Grouping'!$H$9:$H$322=$D$57) * ('Results Grouping'!$I$9:$I$322=$D69),0)),
    'Resource Summary'!$C:$C,G$60
  )
)</f>
        <v>0</v>
      </c>
      <c r="H69" s="21" cm="1">
        <f t="array" ref="H69">0.001 * SUM(
  SUMIFS(
    'Resource Summary'!$G:$G,
    'Resource Summary'!$B:$B,zones_to_group,
    'Resource Summary'!$A:$A,TRANSPOSE(_xlfn._xlws.FILTER('Results Grouping'!$G$9:$G$322,('Results Grouping'!$H$9:$H$322=$D$57) * ('Results Grouping'!$I$9:$I$322=$D69),0)),
    'Resource Summary'!$C:$C,H$60
  )
)</f>
        <v>0</v>
      </c>
      <c r="I69" s="21" cm="1">
        <f t="array" ref="I69">0.001 * SUM(
  SUMIFS(
    'Resource Summary'!$G:$G,
    'Resource Summary'!$B:$B,zones_to_group,
    'Resource Summary'!$A:$A,TRANSPOSE(_xlfn._xlws.FILTER('Results Grouping'!$G$9:$G$322,('Results Grouping'!$H$9:$H$322=$D$57) * ('Results Grouping'!$I$9:$I$322=$D69),0)),
    'Resource Summary'!$C:$C,I$60
  )
)</f>
        <v>0</v>
      </c>
      <c r="J69" s="21" cm="1">
        <f t="array" ref="J69">0.001 * SUM(
  SUMIFS(
    'Resource Summary'!$G:$G,
    'Resource Summary'!$B:$B,zones_to_group,
    'Resource Summary'!$A:$A,TRANSPOSE(_xlfn._xlws.FILTER('Results Grouping'!$G$9:$G$322,('Results Grouping'!$H$9:$H$322=$D$57) * ('Results Grouping'!$I$9:$I$322=$D69),0)),
    'Resource Summary'!$C:$C,J$60
  )
)</f>
        <v>0</v>
      </c>
      <c r="K69" s="21" cm="1">
        <f t="array" ref="K69">0.001 * SUM(
  SUMIFS(
    'Resource Summary'!$G:$G,
    'Resource Summary'!$B:$B,zones_to_group,
    'Resource Summary'!$A:$A,TRANSPOSE(_xlfn._xlws.FILTER('Results Grouping'!$G$9:$G$322,('Results Grouping'!$H$9:$H$322=$D$57) * ('Results Grouping'!$I$9:$I$322=$D69),0)),
    'Resource Summary'!$C:$C,K$60
  )
)</f>
        <v>0</v>
      </c>
      <c r="L69" s="21" cm="1">
        <f t="array" ref="L69">0.001 * SUM(
  SUMIFS(
    'Resource Summary'!$G:$G,
    'Resource Summary'!$B:$B,zones_to_group,
    'Resource Summary'!$A:$A,TRANSPOSE(_xlfn._xlws.FILTER('Results Grouping'!$G$9:$G$322,('Results Grouping'!$H$9:$H$322=$D$57) * ('Results Grouping'!$I$9:$I$322=$D69),0)),
    'Resource Summary'!$C:$C,L$60
  )
)</f>
        <v>0</v>
      </c>
      <c r="M69" s="21" cm="1">
        <f t="array" ref="M69">0.001 * SUM(
  SUMIFS(
    'Resource Summary'!$G:$G,
    'Resource Summary'!$B:$B,zones_to_group,
    'Resource Summary'!$A:$A,TRANSPOSE(_xlfn._xlws.FILTER('Results Grouping'!$G$9:$G$322,('Results Grouping'!$H$9:$H$322=$D$57) * ('Results Grouping'!$I$9:$I$322=$D69),0)),
    'Resource Summary'!$C:$C,M$60
  )
)</f>
        <v>0</v>
      </c>
      <c r="N69" s="21" cm="1">
        <f t="array" ref="N69">0.001 * SUM(
  SUMIFS(
    'Resource Summary'!$G:$G,
    'Resource Summary'!$B:$B,zones_to_group,
    'Resource Summary'!$A:$A,TRANSPOSE(_xlfn._xlws.FILTER('Results Grouping'!$G$9:$G$322,('Results Grouping'!$H$9:$H$322=$D$57) * ('Results Grouping'!$I$9:$I$322=$D69),0)),
    'Resource Summary'!$C:$C,N$60
  )
)</f>
        <v>0</v>
      </c>
      <c r="O69" s="21" cm="1">
        <f t="array" ref="O69">0.001 * SUM(
  SUMIFS(
    'Resource Summary'!$G:$G,
    'Resource Summary'!$B:$B,zones_to_group,
    'Resource Summary'!$A:$A,TRANSPOSE(_xlfn._xlws.FILTER('Results Grouping'!$G$9:$G$322,('Results Grouping'!$H$9:$H$322=$D$57) * ('Results Grouping'!$I$9:$I$322=$D69),0)),
    'Resource Summary'!$C:$C,O$60
  )
)</f>
        <v>0</v>
      </c>
      <c r="P69" s="21" cm="1">
        <f t="array" ref="P69">0.001 * SUM(
  SUMIFS(
    'Resource Summary'!$G:$G,
    'Resource Summary'!$B:$B,zones_to_group,
    'Resource Summary'!$A:$A,TRANSPOSE(_xlfn._xlws.FILTER('Results Grouping'!$G$9:$G$322,('Results Grouping'!$H$9:$H$322=$D$57) * ('Results Grouping'!$I$9:$I$322=$D69),0)),
    'Resource Summary'!$C:$C,P$60
  )
)</f>
        <v>0</v>
      </c>
      <c r="Q69" s="21" cm="1">
        <f t="array" ref="Q69">0.001 * SUM(
  SUMIFS(
    'Resource Summary'!$G:$G,
    'Resource Summary'!$B:$B,zones_to_group,
    'Resource Summary'!$A:$A,TRANSPOSE(_xlfn._xlws.FILTER('Results Grouping'!$G$9:$G$322,('Results Grouping'!$H$9:$H$322=$D$57) * ('Results Grouping'!$I$9:$I$322=$D69),0)),
    'Resource Summary'!$C:$C,Q$60
  )
)</f>
        <v>0</v>
      </c>
      <c r="R69" s="21" cm="1">
        <f t="array" ref="R69">0.001 * SUM(
  SUMIFS(
    'Resource Summary'!$G:$G,
    'Resource Summary'!$B:$B,zones_to_group,
    'Resource Summary'!$A:$A,TRANSPOSE(_xlfn._xlws.FILTER('Results Grouping'!$G$9:$G$322,('Results Grouping'!$H$9:$H$322=$D$57) * ('Results Grouping'!$I$9:$I$322=$D69),0)),
    'Resource Summary'!$C:$C,R$60
  )
)</f>
        <v>0</v>
      </c>
      <c r="S69" s="21" cm="1">
        <f t="array" ref="S69">0.001 * SUM(
  SUMIFS(
    'Resource Summary'!$G:$G,
    'Resource Summary'!$B:$B,zones_to_group,
    'Resource Summary'!$A:$A,TRANSPOSE(_xlfn._xlws.FILTER('Results Grouping'!$G$9:$G$322,('Results Grouping'!$H$9:$H$322=$D$57) * ('Results Grouping'!$I$9:$I$322=$D69),0)),
    'Resource Summary'!$C:$C,S$60
  )
)</f>
        <v>0</v>
      </c>
      <c r="T69" s="21" cm="1">
        <f t="array" ref="T69">0.001 * SUM(
  SUMIFS(
    'Resource Summary'!$G:$G,
    'Resource Summary'!$B:$B,zones_to_group,
    'Resource Summary'!$A:$A,TRANSPOSE(_xlfn._xlws.FILTER('Results Grouping'!$G$9:$G$322,('Results Grouping'!$H$9:$H$322=$D$57) * ('Results Grouping'!$I$9:$I$322=$D69),0)),
    'Resource Summary'!$C:$C,T$60
  )
)</f>
        <v>0</v>
      </c>
      <c r="U69" s="21" cm="1">
        <f t="array" ref="U69">0.001 * SUM(
  SUMIFS(
    'Resource Summary'!$G:$G,
    'Resource Summary'!$B:$B,zones_to_group,
    'Resource Summary'!$A:$A,TRANSPOSE(_xlfn._xlws.FILTER('Results Grouping'!$G$9:$G$322,('Results Grouping'!$H$9:$H$322=$D$57) * ('Results Grouping'!$I$9:$I$322=$D69),0)),
    'Resource Summary'!$C:$C,U$60
  )
)</f>
        <v>0</v>
      </c>
      <c r="V69" s="21" cm="1">
        <f t="array" ref="V69">0.001 * SUM(
  SUMIFS(
    'Resource Summary'!$G:$G,
    'Resource Summary'!$B:$B,zones_to_group,
    'Resource Summary'!$A:$A,TRANSPOSE(_xlfn._xlws.FILTER('Results Grouping'!$G$9:$G$322,('Results Grouping'!$H$9:$H$322=$D$57) * ('Results Grouping'!$I$9:$I$322=$D69),0)),
    'Resource Summary'!$C:$C,V$60
  )
)</f>
        <v>0</v>
      </c>
      <c r="W69" s="21" cm="1">
        <f t="array" ref="W69">0.001 * SUM(
  SUMIFS(
    'Resource Summary'!$G:$G,
    'Resource Summary'!$B:$B,zones_to_group,
    'Resource Summary'!$A:$A,TRANSPOSE(_xlfn._xlws.FILTER('Results Grouping'!$G$9:$G$322,('Results Grouping'!$H$9:$H$322=$D$57) * ('Results Grouping'!$I$9:$I$322=$D69),0)),
    'Resource Summary'!$C:$C,W$60
  )
)</f>
        <v>0</v>
      </c>
      <c r="X69" s="21" cm="1">
        <f t="array" ref="X69">0.001 * SUM(
  SUMIFS(
    'Resource Summary'!$G:$G,
    'Resource Summary'!$B:$B,zones_to_group,
    'Resource Summary'!$A:$A,TRANSPOSE(_xlfn._xlws.FILTER('Results Grouping'!$G$9:$G$322,('Results Grouping'!$H$9:$H$322=$D$57) * ('Results Grouping'!$I$9:$I$322=$D69),0)),
    'Resource Summary'!$C:$C,X$60
  )
)</f>
        <v>0</v>
      </c>
      <c r="Y69" s="21" cm="1">
        <f t="array" ref="Y69">0.001 * SUM(
  SUMIFS(
    'Resource Summary'!$G:$G,
    'Resource Summary'!$B:$B,zones_to_group,
    'Resource Summary'!$A:$A,TRANSPOSE(_xlfn._xlws.FILTER('Results Grouping'!$G$9:$G$322,('Results Grouping'!$H$9:$H$322=$D$57) * ('Results Grouping'!$I$9:$I$322=$D69),0)),
    'Resource Summary'!$C:$C,Y$60
  )
)</f>
        <v>0</v>
      </c>
      <c r="Z69" s="21" cm="1">
        <f t="array" ref="Z69">0.001 * SUM(
  SUMIFS(
    'Resource Summary'!$G:$G,
    'Resource Summary'!$B:$B,zones_to_group,
    'Resource Summary'!$A:$A,TRANSPOSE(_xlfn._xlws.FILTER('Results Grouping'!$G$9:$G$322,('Results Grouping'!$H$9:$H$322=$D$57) * ('Results Grouping'!$I$9:$I$322=$D69),0)),
    'Resource Summary'!$C:$C,Z$60
  )
)</f>
        <v>0</v>
      </c>
      <c r="AA69" s="21" cm="1">
        <f t="array" ref="AA69">0.001 * SUM(
  SUMIFS(
    'Resource Summary'!$G:$G,
    'Resource Summary'!$B:$B,zones_to_group,
    'Resource Summary'!$A:$A,TRANSPOSE(_xlfn._xlws.FILTER('Results Grouping'!$G$9:$G$322,('Results Grouping'!$H$9:$H$322=$D$57) * ('Results Grouping'!$I$9:$I$322=$D69),0)),
    'Resource Summary'!$C:$C,AA$60
  )
)</f>
        <v>0</v>
      </c>
      <c r="AB69" s="21" cm="1">
        <f t="array" ref="AB69">0.001 * SUM(
  SUMIFS(
    'Resource Summary'!$G:$G,
    'Resource Summary'!$B:$B,zones_to_group,
    'Resource Summary'!$A:$A,TRANSPOSE(_xlfn._xlws.FILTER('Results Grouping'!$G$9:$G$322,('Results Grouping'!$H$9:$H$322=$D$57) * ('Results Grouping'!$I$9:$I$322=$D69),0)),
    'Resource Summary'!$C:$C,AB$60
  )
)</f>
        <v>0</v>
      </c>
      <c r="AC69" s="21" cm="1">
        <f t="array" ref="AC69">0.001 * SUM(
  SUMIFS(
    'Resource Summary'!$G:$G,
    'Resource Summary'!$B:$B,zones_to_group,
    'Resource Summary'!$A:$A,TRANSPOSE(_xlfn._xlws.FILTER('Results Grouping'!$G$9:$G$322,('Results Grouping'!$H$9:$H$322=$D$57) * ('Results Grouping'!$I$9:$I$322=$D69),0)),
    'Resource Summary'!$C:$C,AC$60
  )
)</f>
        <v>0</v>
      </c>
      <c r="AD69" s="21" cm="1">
        <f t="array" ref="AD69">0.001 * SUM(
  SUMIFS(
    'Resource Summary'!$G:$G,
    'Resource Summary'!$B:$B,zones_to_group,
    'Resource Summary'!$A:$A,TRANSPOSE(_xlfn._xlws.FILTER('Results Grouping'!$G$9:$G$322,('Results Grouping'!$H$9:$H$322=$D$57) * ('Results Grouping'!$I$9:$I$322=$D69),0)),
    'Resource Summary'!$C:$C,AD$60
  )
)</f>
        <v>9.5519999999999994E-2</v>
      </c>
      <c r="AH69" s="34"/>
    </row>
    <row r="70" spans="4:34" outlineLevel="1" x14ac:dyDescent="0.2">
      <c r="D70" s="8" t="s">
        <v>118</v>
      </c>
      <c r="E70" s="21" cm="1">
        <f t="array" ref="E70">0.001 * SUM(
  SUMIFS(
    'Resource Summary'!$G:$G,
    'Resource Summary'!$B:$B,zones_to_group,
    'Resource Summary'!$A:$A,TRANSPOSE(_xlfn._xlws.FILTER('Results Grouping'!$G$9:$G$322,('Results Grouping'!$H$9:$H$322=$D$57) * ('Results Grouping'!$I$9:$I$322=$D70),0)),
    'Resource Summary'!$C:$C,E$60
  )
)</f>
        <v>0</v>
      </c>
      <c r="F70" s="21" cm="1">
        <f t="array" ref="F70">0.001 * SUM(
  SUMIFS(
    'Resource Summary'!$G:$G,
    'Resource Summary'!$B:$B,zones_to_group,
    'Resource Summary'!$A:$A,TRANSPOSE(_xlfn._xlws.FILTER('Results Grouping'!$G$9:$G$322,('Results Grouping'!$H$9:$H$322=$D$57) * ('Results Grouping'!$I$9:$I$322=$D70),0)),
    'Resource Summary'!$C:$C,F$60
  )
)</f>
        <v>0</v>
      </c>
      <c r="G70" s="21" cm="1">
        <f t="array" ref="G70">0.001 * SUM(
  SUMIFS(
    'Resource Summary'!$G:$G,
    'Resource Summary'!$B:$B,zones_to_group,
    'Resource Summary'!$A:$A,TRANSPOSE(_xlfn._xlws.FILTER('Results Grouping'!$G$9:$G$322,('Results Grouping'!$H$9:$H$322=$D$57) * ('Results Grouping'!$I$9:$I$322=$D70),0)),
    'Resource Summary'!$C:$C,G$60
  )
)</f>
        <v>0</v>
      </c>
      <c r="H70" s="21" cm="1">
        <f t="array" ref="H70">0.001 * SUM(
  SUMIFS(
    'Resource Summary'!$G:$G,
    'Resource Summary'!$B:$B,zones_to_group,
    'Resource Summary'!$A:$A,TRANSPOSE(_xlfn._xlws.FILTER('Results Grouping'!$G$9:$G$322,('Results Grouping'!$H$9:$H$322=$D$57) * ('Results Grouping'!$I$9:$I$322=$D70),0)),
    'Resource Summary'!$C:$C,H$60
  )
)</f>
        <v>0</v>
      </c>
      <c r="I70" s="21" cm="1">
        <f t="array" ref="I70">0.001 * SUM(
  SUMIFS(
    'Resource Summary'!$G:$G,
    'Resource Summary'!$B:$B,zones_to_group,
    'Resource Summary'!$A:$A,TRANSPOSE(_xlfn._xlws.FILTER('Results Grouping'!$G$9:$G$322,('Results Grouping'!$H$9:$H$322=$D$57) * ('Results Grouping'!$I$9:$I$322=$D70),0)),
    'Resource Summary'!$C:$C,I$60
  )
)</f>
        <v>0</v>
      </c>
      <c r="J70" s="21" cm="1">
        <f t="array" ref="J70">0.001 * SUM(
  SUMIFS(
    'Resource Summary'!$G:$G,
    'Resource Summary'!$B:$B,zones_to_group,
    'Resource Summary'!$A:$A,TRANSPOSE(_xlfn._xlws.FILTER('Results Grouping'!$G$9:$G$322,('Results Grouping'!$H$9:$H$322=$D$57) * ('Results Grouping'!$I$9:$I$322=$D70),0)),
    'Resource Summary'!$C:$C,J$60
  )
)</f>
        <v>0</v>
      </c>
      <c r="K70" s="21" cm="1">
        <f t="array" ref="K70">0.001 * SUM(
  SUMIFS(
    'Resource Summary'!$G:$G,
    'Resource Summary'!$B:$B,zones_to_group,
    'Resource Summary'!$A:$A,TRANSPOSE(_xlfn._xlws.FILTER('Results Grouping'!$G$9:$G$322,('Results Grouping'!$H$9:$H$322=$D$57) * ('Results Grouping'!$I$9:$I$322=$D70),0)),
    'Resource Summary'!$C:$C,K$60
  )
)</f>
        <v>0</v>
      </c>
      <c r="L70" s="21" cm="1">
        <f t="array" ref="L70">0.001 * SUM(
  SUMIFS(
    'Resource Summary'!$G:$G,
    'Resource Summary'!$B:$B,zones_to_group,
    'Resource Summary'!$A:$A,TRANSPOSE(_xlfn._xlws.FILTER('Results Grouping'!$G$9:$G$322,('Results Grouping'!$H$9:$H$322=$D$57) * ('Results Grouping'!$I$9:$I$322=$D70),0)),
    'Resource Summary'!$C:$C,L$60
  )
)</f>
        <v>0</v>
      </c>
      <c r="M70" s="21" cm="1">
        <f t="array" ref="M70">0.001 * SUM(
  SUMIFS(
    'Resource Summary'!$G:$G,
    'Resource Summary'!$B:$B,zones_to_group,
    'Resource Summary'!$A:$A,TRANSPOSE(_xlfn._xlws.FILTER('Results Grouping'!$G$9:$G$322,('Results Grouping'!$H$9:$H$322=$D$57) * ('Results Grouping'!$I$9:$I$322=$D70),0)),
    'Resource Summary'!$C:$C,M$60
  )
)</f>
        <v>0</v>
      </c>
      <c r="N70" s="21" cm="1">
        <f t="array" ref="N70">0.001 * SUM(
  SUMIFS(
    'Resource Summary'!$G:$G,
    'Resource Summary'!$B:$B,zones_to_group,
    'Resource Summary'!$A:$A,TRANSPOSE(_xlfn._xlws.FILTER('Results Grouping'!$G$9:$G$322,('Results Grouping'!$H$9:$H$322=$D$57) * ('Results Grouping'!$I$9:$I$322=$D70),0)),
    'Resource Summary'!$C:$C,N$60
  )
)</f>
        <v>0</v>
      </c>
      <c r="O70" s="21" cm="1">
        <f t="array" ref="O70">0.001 * SUM(
  SUMIFS(
    'Resource Summary'!$G:$G,
    'Resource Summary'!$B:$B,zones_to_group,
    'Resource Summary'!$A:$A,TRANSPOSE(_xlfn._xlws.FILTER('Results Grouping'!$G$9:$G$322,('Results Grouping'!$H$9:$H$322=$D$57) * ('Results Grouping'!$I$9:$I$322=$D70),0)),
    'Resource Summary'!$C:$C,O$60
  )
)</f>
        <v>0</v>
      </c>
      <c r="P70" s="21" cm="1">
        <f t="array" ref="P70">0.001 * SUM(
  SUMIFS(
    'Resource Summary'!$G:$G,
    'Resource Summary'!$B:$B,zones_to_group,
    'Resource Summary'!$A:$A,TRANSPOSE(_xlfn._xlws.FILTER('Results Grouping'!$G$9:$G$322,('Results Grouping'!$H$9:$H$322=$D$57) * ('Results Grouping'!$I$9:$I$322=$D70),0)),
    'Resource Summary'!$C:$C,P$60
  )
)</f>
        <v>0</v>
      </c>
      <c r="Q70" s="21" cm="1">
        <f t="array" ref="Q70">0.001 * SUM(
  SUMIFS(
    'Resource Summary'!$G:$G,
    'Resource Summary'!$B:$B,zones_to_group,
    'Resource Summary'!$A:$A,TRANSPOSE(_xlfn._xlws.FILTER('Results Grouping'!$G$9:$G$322,('Results Grouping'!$H$9:$H$322=$D$57) * ('Results Grouping'!$I$9:$I$322=$D70),0)),
    'Resource Summary'!$C:$C,Q$60
  )
)</f>
        <v>0</v>
      </c>
      <c r="R70" s="21" cm="1">
        <f t="array" ref="R70">0.001 * SUM(
  SUMIFS(
    'Resource Summary'!$G:$G,
    'Resource Summary'!$B:$B,zones_to_group,
    'Resource Summary'!$A:$A,TRANSPOSE(_xlfn._xlws.FILTER('Results Grouping'!$G$9:$G$322,('Results Grouping'!$H$9:$H$322=$D$57) * ('Results Grouping'!$I$9:$I$322=$D70),0)),
    'Resource Summary'!$C:$C,R$60
  )
)</f>
        <v>0</v>
      </c>
      <c r="S70" s="21" cm="1">
        <f t="array" ref="S70">0.001 * SUM(
  SUMIFS(
    'Resource Summary'!$G:$G,
    'Resource Summary'!$B:$B,zones_to_group,
    'Resource Summary'!$A:$A,TRANSPOSE(_xlfn._xlws.FILTER('Results Grouping'!$G$9:$G$322,('Results Grouping'!$H$9:$H$322=$D$57) * ('Results Grouping'!$I$9:$I$322=$D70),0)),
    'Resource Summary'!$C:$C,S$60
  )
)</f>
        <v>0</v>
      </c>
      <c r="T70" s="21" cm="1">
        <f t="array" ref="T70">0.001 * SUM(
  SUMIFS(
    'Resource Summary'!$G:$G,
    'Resource Summary'!$B:$B,zones_to_group,
    'Resource Summary'!$A:$A,TRANSPOSE(_xlfn._xlws.FILTER('Results Grouping'!$G$9:$G$322,('Results Grouping'!$H$9:$H$322=$D$57) * ('Results Grouping'!$I$9:$I$322=$D70),0)),
    'Resource Summary'!$C:$C,T$60
  )
)</f>
        <v>0</v>
      </c>
      <c r="U70" s="21" cm="1">
        <f t="array" ref="U70">0.001 * SUM(
  SUMIFS(
    'Resource Summary'!$G:$G,
    'Resource Summary'!$B:$B,zones_to_group,
    'Resource Summary'!$A:$A,TRANSPOSE(_xlfn._xlws.FILTER('Results Grouping'!$G$9:$G$322,('Results Grouping'!$H$9:$H$322=$D$57) * ('Results Grouping'!$I$9:$I$322=$D70),0)),
    'Resource Summary'!$C:$C,U$60
  )
)</f>
        <v>0</v>
      </c>
      <c r="V70" s="21" cm="1">
        <f t="array" ref="V70">0.001 * SUM(
  SUMIFS(
    'Resource Summary'!$G:$G,
    'Resource Summary'!$B:$B,zones_to_group,
    'Resource Summary'!$A:$A,TRANSPOSE(_xlfn._xlws.FILTER('Results Grouping'!$G$9:$G$322,('Results Grouping'!$H$9:$H$322=$D$57) * ('Results Grouping'!$I$9:$I$322=$D70),0)),
    'Resource Summary'!$C:$C,V$60
  )
)</f>
        <v>0</v>
      </c>
      <c r="W70" s="21" cm="1">
        <f t="array" ref="W70">0.001 * SUM(
  SUMIFS(
    'Resource Summary'!$G:$G,
    'Resource Summary'!$B:$B,zones_to_group,
    'Resource Summary'!$A:$A,TRANSPOSE(_xlfn._xlws.FILTER('Results Grouping'!$G$9:$G$322,('Results Grouping'!$H$9:$H$322=$D$57) * ('Results Grouping'!$I$9:$I$322=$D70),0)),
    'Resource Summary'!$C:$C,W$60
  )
)</f>
        <v>0</v>
      </c>
      <c r="X70" s="21" cm="1">
        <f t="array" ref="X70">0.001 * SUM(
  SUMIFS(
    'Resource Summary'!$G:$G,
    'Resource Summary'!$B:$B,zones_to_group,
    'Resource Summary'!$A:$A,TRANSPOSE(_xlfn._xlws.FILTER('Results Grouping'!$G$9:$G$322,('Results Grouping'!$H$9:$H$322=$D$57) * ('Results Grouping'!$I$9:$I$322=$D70),0)),
    'Resource Summary'!$C:$C,X$60
  )
)</f>
        <v>0</v>
      </c>
      <c r="Y70" s="21" cm="1">
        <f t="array" ref="Y70">0.001 * SUM(
  SUMIFS(
    'Resource Summary'!$G:$G,
    'Resource Summary'!$B:$B,zones_to_group,
    'Resource Summary'!$A:$A,TRANSPOSE(_xlfn._xlws.FILTER('Results Grouping'!$G$9:$G$322,('Results Grouping'!$H$9:$H$322=$D$57) * ('Results Grouping'!$I$9:$I$322=$D70),0)),
    'Resource Summary'!$C:$C,Y$60
  )
)</f>
        <v>0</v>
      </c>
      <c r="Z70" s="21" cm="1">
        <f t="array" ref="Z70">0.001 * SUM(
  SUMIFS(
    'Resource Summary'!$G:$G,
    'Resource Summary'!$B:$B,zones_to_group,
    'Resource Summary'!$A:$A,TRANSPOSE(_xlfn._xlws.FILTER('Results Grouping'!$G$9:$G$322,('Results Grouping'!$H$9:$H$322=$D$57) * ('Results Grouping'!$I$9:$I$322=$D70),0)),
    'Resource Summary'!$C:$C,Z$60
  )
)</f>
        <v>0</v>
      </c>
      <c r="AA70" s="21" cm="1">
        <f t="array" ref="AA70">0.001 * SUM(
  SUMIFS(
    'Resource Summary'!$G:$G,
    'Resource Summary'!$B:$B,zones_to_group,
    'Resource Summary'!$A:$A,TRANSPOSE(_xlfn._xlws.FILTER('Results Grouping'!$G$9:$G$322,('Results Grouping'!$H$9:$H$322=$D$57) * ('Results Grouping'!$I$9:$I$322=$D70),0)),
    'Resource Summary'!$C:$C,AA$60
  )
)</f>
        <v>0</v>
      </c>
      <c r="AB70" s="21" cm="1">
        <f t="array" ref="AB70">0.001 * SUM(
  SUMIFS(
    'Resource Summary'!$G:$G,
    'Resource Summary'!$B:$B,zones_to_group,
    'Resource Summary'!$A:$A,TRANSPOSE(_xlfn._xlws.FILTER('Results Grouping'!$G$9:$G$322,('Results Grouping'!$H$9:$H$322=$D$57) * ('Results Grouping'!$I$9:$I$322=$D70),0)),
    'Resource Summary'!$C:$C,AB$60
  )
)</f>
        <v>0</v>
      </c>
      <c r="AC70" s="21" cm="1">
        <f t="array" ref="AC70">0.001 * SUM(
  SUMIFS(
    'Resource Summary'!$G:$G,
    'Resource Summary'!$B:$B,zones_to_group,
    'Resource Summary'!$A:$A,TRANSPOSE(_xlfn._xlws.FILTER('Results Grouping'!$G$9:$G$322,('Results Grouping'!$H$9:$H$322=$D$57) * ('Results Grouping'!$I$9:$I$322=$D70),0)),
    'Resource Summary'!$C:$C,AC$60
  )
)</f>
        <v>0</v>
      </c>
      <c r="AD70" s="21" cm="1">
        <f t="array" ref="AD70">0.001 * SUM(
  SUMIFS(
    'Resource Summary'!$G:$G,
    'Resource Summary'!$B:$B,zones_to_group,
    'Resource Summary'!$A:$A,TRANSPOSE(_xlfn._xlws.FILTER('Results Grouping'!$G$9:$G$322,('Results Grouping'!$H$9:$H$322=$D$57) * ('Results Grouping'!$I$9:$I$322=$D70),0)),
    'Resource Summary'!$C:$C,AD$60
  )
)</f>
        <v>81.584861244217137</v>
      </c>
      <c r="AH70" s="34"/>
    </row>
    <row r="71" spans="4:34" outlineLevel="1" x14ac:dyDescent="0.2">
      <c r="D71" s="8" t="s">
        <v>126</v>
      </c>
      <c r="E71" s="21" cm="1">
        <f t="array" ref="E71">0.001 * SUM(
  SUMIFS(
    'Resource Summary'!$G:$G,
    'Resource Summary'!$B:$B,zones_to_group,
    'Resource Summary'!$A:$A,TRANSPOSE(_xlfn._xlws.FILTER('Results Grouping'!$G$9:$G$322,('Results Grouping'!$H$9:$H$322=$D$57) * ('Results Grouping'!$I$9:$I$322=$D71),0)),
    'Resource Summary'!$C:$C,E$60
  )
)</f>
        <v>0</v>
      </c>
      <c r="F71" s="21" cm="1">
        <f t="array" ref="F71">0.001 * SUM(
  SUMIFS(
    'Resource Summary'!$G:$G,
    'Resource Summary'!$B:$B,zones_to_group,
    'Resource Summary'!$A:$A,TRANSPOSE(_xlfn._xlws.FILTER('Results Grouping'!$G$9:$G$322,('Results Grouping'!$H$9:$H$322=$D$57) * ('Results Grouping'!$I$9:$I$322=$D71),0)),
    'Resource Summary'!$C:$C,F$60
  )
)</f>
        <v>0</v>
      </c>
      <c r="G71" s="21" cm="1">
        <f t="array" ref="G71">0.001 * SUM(
  SUMIFS(
    'Resource Summary'!$G:$G,
    'Resource Summary'!$B:$B,zones_to_group,
    'Resource Summary'!$A:$A,TRANSPOSE(_xlfn._xlws.FILTER('Results Grouping'!$G$9:$G$322,('Results Grouping'!$H$9:$H$322=$D$57) * ('Results Grouping'!$I$9:$I$322=$D71),0)),
    'Resource Summary'!$C:$C,G$60
  )
)</f>
        <v>0</v>
      </c>
      <c r="H71" s="21" cm="1">
        <f t="array" ref="H71">0.001 * SUM(
  SUMIFS(
    'Resource Summary'!$G:$G,
    'Resource Summary'!$B:$B,zones_to_group,
    'Resource Summary'!$A:$A,TRANSPOSE(_xlfn._xlws.FILTER('Results Grouping'!$G$9:$G$322,('Results Grouping'!$H$9:$H$322=$D$57) * ('Results Grouping'!$I$9:$I$322=$D71),0)),
    'Resource Summary'!$C:$C,H$60
  )
)</f>
        <v>0</v>
      </c>
      <c r="I71" s="21" cm="1">
        <f t="array" ref="I71">0.001 * SUM(
  SUMIFS(
    'Resource Summary'!$G:$G,
    'Resource Summary'!$B:$B,zones_to_group,
    'Resource Summary'!$A:$A,TRANSPOSE(_xlfn._xlws.FILTER('Results Grouping'!$G$9:$G$322,('Results Grouping'!$H$9:$H$322=$D$57) * ('Results Grouping'!$I$9:$I$322=$D71),0)),
    'Resource Summary'!$C:$C,I$60
  )
)</f>
        <v>0</v>
      </c>
      <c r="J71" s="21" cm="1">
        <f t="array" ref="J71">0.001 * SUM(
  SUMIFS(
    'Resource Summary'!$G:$G,
    'Resource Summary'!$B:$B,zones_to_group,
    'Resource Summary'!$A:$A,TRANSPOSE(_xlfn._xlws.FILTER('Results Grouping'!$G$9:$G$322,('Results Grouping'!$H$9:$H$322=$D$57) * ('Results Grouping'!$I$9:$I$322=$D71),0)),
    'Resource Summary'!$C:$C,J$60
  )
)</f>
        <v>0</v>
      </c>
      <c r="K71" s="21" cm="1">
        <f t="array" ref="K71">0.001 * SUM(
  SUMIFS(
    'Resource Summary'!$G:$G,
    'Resource Summary'!$B:$B,zones_to_group,
    'Resource Summary'!$A:$A,TRANSPOSE(_xlfn._xlws.FILTER('Results Grouping'!$G$9:$G$322,('Results Grouping'!$H$9:$H$322=$D$57) * ('Results Grouping'!$I$9:$I$322=$D71),0)),
    'Resource Summary'!$C:$C,K$60
  )
)</f>
        <v>0</v>
      </c>
      <c r="L71" s="21" cm="1">
        <f t="array" ref="L71">0.001 * SUM(
  SUMIFS(
    'Resource Summary'!$G:$G,
    'Resource Summary'!$B:$B,zones_to_group,
    'Resource Summary'!$A:$A,TRANSPOSE(_xlfn._xlws.FILTER('Results Grouping'!$G$9:$G$322,('Results Grouping'!$H$9:$H$322=$D$57) * ('Results Grouping'!$I$9:$I$322=$D71),0)),
    'Resource Summary'!$C:$C,L$60
  )
)</f>
        <v>0</v>
      </c>
      <c r="M71" s="21" cm="1">
        <f t="array" ref="M71">0.001 * SUM(
  SUMIFS(
    'Resource Summary'!$G:$G,
    'Resource Summary'!$B:$B,zones_to_group,
    'Resource Summary'!$A:$A,TRANSPOSE(_xlfn._xlws.FILTER('Results Grouping'!$G$9:$G$322,('Results Grouping'!$H$9:$H$322=$D$57) * ('Results Grouping'!$I$9:$I$322=$D71),0)),
    'Resource Summary'!$C:$C,M$60
  )
)</f>
        <v>0</v>
      </c>
      <c r="N71" s="21" cm="1">
        <f t="array" ref="N71">0.001 * SUM(
  SUMIFS(
    'Resource Summary'!$G:$G,
    'Resource Summary'!$B:$B,zones_to_group,
    'Resource Summary'!$A:$A,TRANSPOSE(_xlfn._xlws.FILTER('Results Grouping'!$G$9:$G$322,('Results Grouping'!$H$9:$H$322=$D$57) * ('Results Grouping'!$I$9:$I$322=$D71),0)),
    'Resource Summary'!$C:$C,N$60
  )
)</f>
        <v>0</v>
      </c>
      <c r="O71" s="21" cm="1">
        <f t="array" ref="O71">0.001 * SUM(
  SUMIFS(
    'Resource Summary'!$G:$G,
    'Resource Summary'!$B:$B,zones_to_group,
    'Resource Summary'!$A:$A,TRANSPOSE(_xlfn._xlws.FILTER('Results Grouping'!$G$9:$G$322,('Results Grouping'!$H$9:$H$322=$D$57) * ('Results Grouping'!$I$9:$I$322=$D71),0)),
    'Resource Summary'!$C:$C,O$60
  )
)</f>
        <v>0</v>
      </c>
      <c r="P71" s="21" cm="1">
        <f t="array" ref="P71">0.001 * SUM(
  SUMIFS(
    'Resource Summary'!$G:$G,
    'Resource Summary'!$B:$B,zones_to_group,
    'Resource Summary'!$A:$A,TRANSPOSE(_xlfn._xlws.FILTER('Results Grouping'!$G$9:$G$322,('Results Grouping'!$H$9:$H$322=$D$57) * ('Results Grouping'!$I$9:$I$322=$D71),0)),
    'Resource Summary'!$C:$C,P$60
  )
)</f>
        <v>0</v>
      </c>
      <c r="Q71" s="21" cm="1">
        <f t="array" ref="Q71">0.001 * SUM(
  SUMIFS(
    'Resource Summary'!$G:$G,
    'Resource Summary'!$B:$B,zones_to_group,
    'Resource Summary'!$A:$A,TRANSPOSE(_xlfn._xlws.FILTER('Results Grouping'!$G$9:$G$322,('Results Grouping'!$H$9:$H$322=$D$57) * ('Results Grouping'!$I$9:$I$322=$D71),0)),
    'Resource Summary'!$C:$C,Q$60
  )
)</f>
        <v>0</v>
      </c>
      <c r="R71" s="21" cm="1">
        <f t="array" ref="R71">0.001 * SUM(
  SUMIFS(
    'Resource Summary'!$G:$G,
    'Resource Summary'!$B:$B,zones_to_group,
    'Resource Summary'!$A:$A,TRANSPOSE(_xlfn._xlws.FILTER('Results Grouping'!$G$9:$G$322,('Results Grouping'!$H$9:$H$322=$D$57) * ('Results Grouping'!$I$9:$I$322=$D71),0)),
    'Resource Summary'!$C:$C,R$60
  )
)</f>
        <v>0</v>
      </c>
      <c r="S71" s="21" cm="1">
        <f t="array" ref="S71">0.001 * SUM(
  SUMIFS(
    'Resource Summary'!$G:$G,
    'Resource Summary'!$B:$B,zones_to_group,
    'Resource Summary'!$A:$A,TRANSPOSE(_xlfn._xlws.FILTER('Results Grouping'!$G$9:$G$322,('Results Grouping'!$H$9:$H$322=$D$57) * ('Results Grouping'!$I$9:$I$322=$D71),0)),
    'Resource Summary'!$C:$C,S$60
  )
)</f>
        <v>0</v>
      </c>
      <c r="T71" s="21" cm="1">
        <f t="array" ref="T71">0.001 * SUM(
  SUMIFS(
    'Resource Summary'!$G:$G,
    'Resource Summary'!$B:$B,zones_to_group,
    'Resource Summary'!$A:$A,TRANSPOSE(_xlfn._xlws.FILTER('Results Grouping'!$G$9:$G$322,('Results Grouping'!$H$9:$H$322=$D$57) * ('Results Grouping'!$I$9:$I$322=$D71),0)),
    'Resource Summary'!$C:$C,T$60
  )
)</f>
        <v>0</v>
      </c>
      <c r="U71" s="21" cm="1">
        <f t="array" ref="U71">0.001 * SUM(
  SUMIFS(
    'Resource Summary'!$G:$G,
    'Resource Summary'!$B:$B,zones_to_group,
    'Resource Summary'!$A:$A,TRANSPOSE(_xlfn._xlws.FILTER('Results Grouping'!$G$9:$G$322,('Results Grouping'!$H$9:$H$322=$D$57) * ('Results Grouping'!$I$9:$I$322=$D71),0)),
    'Resource Summary'!$C:$C,U$60
  )
)</f>
        <v>0</v>
      </c>
      <c r="V71" s="21" cm="1">
        <f t="array" ref="V71">0.001 * SUM(
  SUMIFS(
    'Resource Summary'!$G:$G,
    'Resource Summary'!$B:$B,zones_to_group,
    'Resource Summary'!$A:$A,TRANSPOSE(_xlfn._xlws.FILTER('Results Grouping'!$G$9:$G$322,('Results Grouping'!$H$9:$H$322=$D$57) * ('Results Grouping'!$I$9:$I$322=$D71),0)),
    'Resource Summary'!$C:$C,V$60
  )
)</f>
        <v>0</v>
      </c>
      <c r="W71" s="21" cm="1">
        <f t="array" ref="W71">0.001 * SUM(
  SUMIFS(
    'Resource Summary'!$G:$G,
    'Resource Summary'!$B:$B,zones_to_group,
    'Resource Summary'!$A:$A,TRANSPOSE(_xlfn._xlws.FILTER('Results Grouping'!$G$9:$G$322,('Results Grouping'!$H$9:$H$322=$D$57) * ('Results Grouping'!$I$9:$I$322=$D71),0)),
    'Resource Summary'!$C:$C,W$60
  )
)</f>
        <v>0</v>
      </c>
      <c r="X71" s="21" cm="1">
        <f t="array" ref="X71">0.001 * SUM(
  SUMIFS(
    'Resource Summary'!$G:$G,
    'Resource Summary'!$B:$B,zones_to_group,
    'Resource Summary'!$A:$A,TRANSPOSE(_xlfn._xlws.FILTER('Results Grouping'!$G$9:$G$322,('Results Grouping'!$H$9:$H$322=$D$57) * ('Results Grouping'!$I$9:$I$322=$D71),0)),
    'Resource Summary'!$C:$C,X$60
  )
)</f>
        <v>0</v>
      </c>
      <c r="Y71" s="21" cm="1">
        <f t="array" ref="Y71">0.001 * SUM(
  SUMIFS(
    'Resource Summary'!$G:$G,
    'Resource Summary'!$B:$B,zones_to_group,
    'Resource Summary'!$A:$A,TRANSPOSE(_xlfn._xlws.FILTER('Results Grouping'!$G$9:$G$322,('Results Grouping'!$H$9:$H$322=$D$57) * ('Results Grouping'!$I$9:$I$322=$D71),0)),
    'Resource Summary'!$C:$C,Y$60
  )
)</f>
        <v>0</v>
      </c>
      <c r="Z71" s="21" cm="1">
        <f t="array" ref="Z71">0.001 * SUM(
  SUMIFS(
    'Resource Summary'!$G:$G,
    'Resource Summary'!$B:$B,zones_to_group,
    'Resource Summary'!$A:$A,TRANSPOSE(_xlfn._xlws.FILTER('Results Grouping'!$G$9:$G$322,('Results Grouping'!$H$9:$H$322=$D$57) * ('Results Grouping'!$I$9:$I$322=$D71),0)),
    'Resource Summary'!$C:$C,Z$60
  )
)</f>
        <v>0</v>
      </c>
      <c r="AA71" s="21" cm="1">
        <f t="array" ref="AA71">0.001 * SUM(
  SUMIFS(
    'Resource Summary'!$G:$G,
    'Resource Summary'!$B:$B,zones_to_group,
    'Resource Summary'!$A:$A,TRANSPOSE(_xlfn._xlws.FILTER('Results Grouping'!$G$9:$G$322,('Results Grouping'!$H$9:$H$322=$D$57) * ('Results Grouping'!$I$9:$I$322=$D71),0)),
    'Resource Summary'!$C:$C,AA$60
  )
)</f>
        <v>0</v>
      </c>
      <c r="AB71" s="21" cm="1">
        <f t="array" ref="AB71">0.001 * SUM(
  SUMIFS(
    'Resource Summary'!$G:$G,
    'Resource Summary'!$B:$B,zones_to_group,
    'Resource Summary'!$A:$A,TRANSPOSE(_xlfn._xlws.FILTER('Results Grouping'!$G$9:$G$322,('Results Grouping'!$H$9:$H$322=$D$57) * ('Results Grouping'!$I$9:$I$322=$D71),0)),
    'Resource Summary'!$C:$C,AB$60
  )
)</f>
        <v>0</v>
      </c>
      <c r="AC71" s="21" cm="1">
        <f t="array" ref="AC71">0.001 * SUM(
  SUMIFS(
    'Resource Summary'!$G:$G,
    'Resource Summary'!$B:$B,zones_to_group,
    'Resource Summary'!$A:$A,TRANSPOSE(_xlfn._xlws.FILTER('Results Grouping'!$G$9:$G$322,('Results Grouping'!$H$9:$H$322=$D$57) * ('Results Grouping'!$I$9:$I$322=$D71),0)),
    'Resource Summary'!$C:$C,AC$60
  )
)</f>
        <v>0</v>
      </c>
      <c r="AD71" s="21" cm="1">
        <f t="array" ref="AD71">0.001 * SUM(
  SUMIFS(
    'Resource Summary'!$G:$G,
    'Resource Summary'!$B:$B,zones_to_group,
    'Resource Summary'!$A:$A,TRANSPOSE(_xlfn._xlws.FILTER('Results Grouping'!$G$9:$G$322,('Results Grouping'!$H$9:$H$322=$D$57) * ('Results Grouping'!$I$9:$I$322=$D71),0)),
    'Resource Summary'!$C:$C,AD$60
  )
)</f>
        <v>37.373517441210687</v>
      </c>
      <c r="AH71" s="34"/>
    </row>
    <row r="72" spans="4:34" outlineLevel="1" x14ac:dyDescent="0.2">
      <c r="D72" s="8" t="s">
        <v>151</v>
      </c>
      <c r="E72" s="21" cm="1">
        <f t="array" ref="E72">0.001 * SUM(
  SUMIFS(
    'Resource Summary'!$G:$G,
    'Resource Summary'!$B:$B,zones_to_group,
    'Resource Summary'!$A:$A,TRANSPOSE(_xlfn._xlws.FILTER('Results Grouping'!$G$9:$G$322,('Results Grouping'!$H$9:$H$322=$D$57) * ('Results Grouping'!$I$9:$I$322=$D72),0)),
    'Resource Summary'!$C:$C,E$60
  )
)</f>
        <v>0</v>
      </c>
      <c r="F72" s="21" cm="1">
        <f t="array" ref="F72">0.001 * SUM(
  SUMIFS(
    'Resource Summary'!$G:$G,
    'Resource Summary'!$B:$B,zones_to_group,
    'Resource Summary'!$A:$A,TRANSPOSE(_xlfn._xlws.FILTER('Results Grouping'!$G$9:$G$322,('Results Grouping'!$H$9:$H$322=$D$57) * ('Results Grouping'!$I$9:$I$322=$D72),0)),
    'Resource Summary'!$C:$C,F$60
  )
)</f>
        <v>0</v>
      </c>
      <c r="G72" s="21" cm="1">
        <f t="array" ref="G72">0.001 * SUM(
  SUMIFS(
    'Resource Summary'!$G:$G,
    'Resource Summary'!$B:$B,zones_to_group,
    'Resource Summary'!$A:$A,TRANSPOSE(_xlfn._xlws.FILTER('Results Grouping'!$G$9:$G$322,('Results Grouping'!$H$9:$H$322=$D$57) * ('Results Grouping'!$I$9:$I$322=$D72),0)),
    'Resource Summary'!$C:$C,G$60
  )
)</f>
        <v>0</v>
      </c>
      <c r="H72" s="21" cm="1">
        <f t="array" ref="H72">0.001 * SUM(
  SUMIFS(
    'Resource Summary'!$G:$G,
    'Resource Summary'!$B:$B,zones_to_group,
    'Resource Summary'!$A:$A,TRANSPOSE(_xlfn._xlws.FILTER('Results Grouping'!$G$9:$G$322,('Results Grouping'!$H$9:$H$322=$D$57) * ('Results Grouping'!$I$9:$I$322=$D72),0)),
    'Resource Summary'!$C:$C,H$60
  )
)</f>
        <v>0</v>
      </c>
      <c r="I72" s="21" cm="1">
        <f t="array" ref="I72">0.001 * SUM(
  SUMIFS(
    'Resource Summary'!$G:$G,
    'Resource Summary'!$B:$B,zones_to_group,
    'Resource Summary'!$A:$A,TRANSPOSE(_xlfn._xlws.FILTER('Results Grouping'!$G$9:$G$322,('Results Grouping'!$H$9:$H$322=$D$57) * ('Results Grouping'!$I$9:$I$322=$D72),0)),
    'Resource Summary'!$C:$C,I$60
  )
)</f>
        <v>0</v>
      </c>
      <c r="J72" s="21" cm="1">
        <f t="array" ref="J72">0.001 * SUM(
  SUMIFS(
    'Resource Summary'!$G:$G,
    'Resource Summary'!$B:$B,zones_to_group,
    'Resource Summary'!$A:$A,TRANSPOSE(_xlfn._xlws.FILTER('Results Grouping'!$G$9:$G$322,('Results Grouping'!$H$9:$H$322=$D$57) * ('Results Grouping'!$I$9:$I$322=$D72),0)),
    'Resource Summary'!$C:$C,J$60
  )
)</f>
        <v>0</v>
      </c>
      <c r="K72" s="21" cm="1">
        <f t="array" ref="K72">0.001 * SUM(
  SUMIFS(
    'Resource Summary'!$G:$G,
    'Resource Summary'!$B:$B,zones_to_group,
    'Resource Summary'!$A:$A,TRANSPOSE(_xlfn._xlws.FILTER('Results Grouping'!$G$9:$G$322,('Results Grouping'!$H$9:$H$322=$D$57) * ('Results Grouping'!$I$9:$I$322=$D72),0)),
    'Resource Summary'!$C:$C,K$60
  )
)</f>
        <v>0</v>
      </c>
      <c r="L72" s="21" cm="1">
        <f t="array" ref="L72">0.001 * SUM(
  SUMIFS(
    'Resource Summary'!$G:$G,
    'Resource Summary'!$B:$B,zones_to_group,
    'Resource Summary'!$A:$A,TRANSPOSE(_xlfn._xlws.FILTER('Results Grouping'!$G$9:$G$322,('Results Grouping'!$H$9:$H$322=$D$57) * ('Results Grouping'!$I$9:$I$322=$D72),0)),
    'Resource Summary'!$C:$C,L$60
  )
)</f>
        <v>0</v>
      </c>
      <c r="M72" s="21" cm="1">
        <f t="array" ref="M72">0.001 * SUM(
  SUMIFS(
    'Resource Summary'!$G:$G,
    'Resource Summary'!$B:$B,zones_to_group,
    'Resource Summary'!$A:$A,TRANSPOSE(_xlfn._xlws.FILTER('Results Grouping'!$G$9:$G$322,('Results Grouping'!$H$9:$H$322=$D$57) * ('Results Grouping'!$I$9:$I$322=$D72),0)),
    'Resource Summary'!$C:$C,M$60
  )
)</f>
        <v>0</v>
      </c>
      <c r="N72" s="21" cm="1">
        <f t="array" ref="N72">0.001 * SUM(
  SUMIFS(
    'Resource Summary'!$G:$G,
    'Resource Summary'!$B:$B,zones_to_group,
    'Resource Summary'!$A:$A,TRANSPOSE(_xlfn._xlws.FILTER('Results Grouping'!$G$9:$G$322,('Results Grouping'!$H$9:$H$322=$D$57) * ('Results Grouping'!$I$9:$I$322=$D72),0)),
    'Resource Summary'!$C:$C,N$60
  )
)</f>
        <v>0</v>
      </c>
      <c r="O72" s="21" cm="1">
        <f t="array" ref="O72">0.001 * SUM(
  SUMIFS(
    'Resource Summary'!$G:$G,
    'Resource Summary'!$B:$B,zones_to_group,
    'Resource Summary'!$A:$A,TRANSPOSE(_xlfn._xlws.FILTER('Results Grouping'!$G$9:$G$322,('Results Grouping'!$H$9:$H$322=$D$57) * ('Results Grouping'!$I$9:$I$322=$D72),0)),
    'Resource Summary'!$C:$C,O$60
  )
)</f>
        <v>0</v>
      </c>
      <c r="P72" s="21" cm="1">
        <f t="array" ref="P72">0.001 * SUM(
  SUMIFS(
    'Resource Summary'!$G:$G,
    'Resource Summary'!$B:$B,zones_to_group,
    'Resource Summary'!$A:$A,TRANSPOSE(_xlfn._xlws.FILTER('Results Grouping'!$G$9:$G$322,('Results Grouping'!$H$9:$H$322=$D$57) * ('Results Grouping'!$I$9:$I$322=$D72),0)),
    'Resource Summary'!$C:$C,P$60
  )
)</f>
        <v>0</v>
      </c>
      <c r="Q72" s="21" cm="1">
        <f t="array" ref="Q72">0.001 * SUM(
  SUMIFS(
    'Resource Summary'!$G:$G,
    'Resource Summary'!$B:$B,zones_to_group,
    'Resource Summary'!$A:$A,TRANSPOSE(_xlfn._xlws.FILTER('Results Grouping'!$G$9:$G$322,('Results Grouping'!$H$9:$H$322=$D$57) * ('Results Grouping'!$I$9:$I$322=$D72),0)),
    'Resource Summary'!$C:$C,Q$60
  )
)</f>
        <v>0</v>
      </c>
      <c r="R72" s="21" cm="1">
        <f t="array" ref="R72">0.001 * SUM(
  SUMIFS(
    'Resource Summary'!$G:$G,
    'Resource Summary'!$B:$B,zones_to_group,
    'Resource Summary'!$A:$A,TRANSPOSE(_xlfn._xlws.FILTER('Results Grouping'!$G$9:$G$322,('Results Grouping'!$H$9:$H$322=$D$57) * ('Results Grouping'!$I$9:$I$322=$D72),0)),
    'Resource Summary'!$C:$C,R$60
  )
)</f>
        <v>0</v>
      </c>
      <c r="S72" s="21" cm="1">
        <f t="array" ref="S72">0.001 * SUM(
  SUMIFS(
    'Resource Summary'!$G:$G,
    'Resource Summary'!$B:$B,zones_to_group,
    'Resource Summary'!$A:$A,TRANSPOSE(_xlfn._xlws.FILTER('Results Grouping'!$G$9:$G$322,('Results Grouping'!$H$9:$H$322=$D$57) * ('Results Grouping'!$I$9:$I$322=$D72),0)),
    'Resource Summary'!$C:$C,S$60
  )
)</f>
        <v>0</v>
      </c>
      <c r="T72" s="21" cm="1">
        <f t="array" ref="T72">0.001 * SUM(
  SUMIFS(
    'Resource Summary'!$G:$G,
    'Resource Summary'!$B:$B,zones_to_group,
    'Resource Summary'!$A:$A,TRANSPOSE(_xlfn._xlws.FILTER('Results Grouping'!$G$9:$G$322,('Results Grouping'!$H$9:$H$322=$D$57) * ('Results Grouping'!$I$9:$I$322=$D72),0)),
    'Resource Summary'!$C:$C,T$60
  )
)</f>
        <v>0</v>
      </c>
      <c r="U72" s="21" cm="1">
        <f t="array" ref="U72">0.001 * SUM(
  SUMIFS(
    'Resource Summary'!$G:$G,
    'Resource Summary'!$B:$B,zones_to_group,
    'Resource Summary'!$A:$A,TRANSPOSE(_xlfn._xlws.FILTER('Results Grouping'!$G$9:$G$322,('Results Grouping'!$H$9:$H$322=$D$57) * ('Results Grouping'!$I$9:$I$322=$D72),0)),
    'Resource Summary'!$C:$C,U$60
  )
)</f>
        <v>0</v>
      </c>
      <c r="V72" s="21" cm="1">
        <f t="array" ref="V72">0.001 * SUM(
  SUMIFS(
    'Resource Summary'!$G:$G,
    'Resource Summary'!$B:$B,zones_to_group,
    'Resource Summary'!$A:$A,TRANSPOSE(_xlfn._xlws.FILTER('Results Grouping'!$G$9:$G$322,('Results Grouping'!$H$9:$H$322=$D$57) * ('Results Grouping'!$I$9:$I$322=$D72),0)),
    'Resource Summary'!$C:$C,V$60
  )
)</f>
        <v>0</v>
      </c>
      <c r="W72" s="21" cm="1">
        <f t="array" ref="W72">0.001 * SUM(
  SUMIFS(
    'Resource Summary'!$G:$G,
    'Resource Summary'!$B:$B,zones_to_group,
    'Resource Summary'!$A:$A,TRANSPOSE(_xlfn._xlws.FILTER('Results Grouping'!$G$9:$G$322,('Results Grouping'!$H$9:$H$322=$D$57) * ('Results Grouping'!$I$9:$I$322=$D72),0)),
    'Resource Summary'!$C:$C,W$60
  )
)</f>
        <v>0</v>
      </c>
      <c r="X72" s="21" cm="1">
        <f t="array" ref="X72">0.001 * SUM(
  SUMIFS(
    'Resource Summary'!$G:$G,
    'Resource Summary'!$B:$B,zones_to_group,
    'Resource Summary'!$A:$A,TRANSPOSE(_xlfn._xlws.FILTER('Results Grouping'!$G$9:$G$322,('Results Grouping'!$H$9:$H$322=$D$57) * ('Results Grouping'!$I$9:$I$322=$D72),0)),
    'Resource Summary'!$C:$C,X$60
  )
)</f>
        <v>0</v>
      </c>
      <c r="Y72" s="21" cm="1">
        <f t="array" ref="Y72">0.001 * SUM(
  SUMIFS(
    'Resource Summary'!$G:$G,
    'Resource Summary'!$B:$B,zones_to_group,
    'Resource Summary'!$A:$A,TRANSPOSE(_xlfn._xlws.FILTER('Results Grouping'!$G$9:$G$322,('Results Grouping'!$H$9:$H$322=$D$57) * ('Results Grouping'!$I$9:$I$322=$D72),0)),
    'Resource Summary'!$C:$C,Y$60
  )
)</f>
        <v>0</v>
      </c>
      <c r="Z72" s="21" cm="1">
        <f t="array" ref="Z72">0.001 * SUM(
  SUMIFS(
    'Resource Summary'!$G:$G,
    'Resource Summary'!$B:$B,zones_to_group,
    'Resource Summary'!$A:$A,TRANSPOSE(_xlfn._xlws.FILTER('Results Grouping'!$G$9:$G$322,('Results Grouping'!$H$9:$H$322=$D$57) * ('Results Grouping'!$I$9:$I$322=$D72),0)),
    'Resource Summary'!$C:$C,Z$60
  )
)</f>
        <v>0</v>
      </c>
      <c r="AA72" s="21" cm="1">
        <f t="array" ref="AA72">0.001 * SUM(
  SUMIFS(
    'Resource Summary'!$G:$G,
    'Resource Summary'!$B:$B,zones_to_group,
    'Resource Summary'!$A:$A,TRANSPOSE(_xlfn._xlws.FILTER('Results Grouping'!$G$9:$G$322,('Results Grouping'!$H$9:$H$322=$D$57) * ('Results Grouping'!$I$9:$I$322=$D72),0)),
    'Resource Summary'!$C:$C,AA$60
  )
)</f>
        <v>0</v>
      </c>
      <c r="AB72" s="21" cm="1">
        <f t="array" ref="AB72">0.001 * SUM(
  SUMIFS(
    'Resource Summary'!$G:$G,
    'Resource Summary'!$B:$B,zones_to_group,
    'Resource Summary'!$A:$A,TRANSPOSE(_xlfn._xlws.FILTER('Results Grouping'!$G$9:$G$322,('Results Grouping'!$H$9:$H$322=$D$57) * ('Results Grouping'!$I$9:$I$322=$D72),0)),
    'Resource Summary'!$C:$C,AB$60
  )
)</f>
        <v>0</v>
      </c>
      <c r="AC72" s="21" cm="1">
        <f t="array" ref="AC72">0.001 * SUM(
  SUMIFS(
    'Resource Summary'!$G:$G,
    'Resource Summary'!$B:$B,zones_to_group,
    'Resource Summary'!$A:$A,TRANSPOSE(_xlfn._xlws.FILTER('Results Grouping'!$G$9:$G$322,('Results Grouping'!$H$9:$H$322=$D$57) * ('Results Grouping'!$I$9:$I$322=$D72),0)),
    'Resource Summary'!$C:$C,AC$60
  )
)</f>
        <v>0</v>
      </c>
      <c r="AD72" s="21" cm="1">
        <f t="array" ref="AD72">0.001 * SUM(
  SUMIFS(
    'Resource Summary'!$G:$G,
    'Resource Summary'!$B:$B,zones_to_group,
    'Resource Summary'!$A:$A,TRANSPOSE(_xlfn._xlws.FILTER('Results Grouping'!$G$9:$G$322,('Results Grouping'!$H$9:$H$322=$D$57) * ('Results Grouping'!$I$9:$I$322=$D72),0)),
    'Resource Summary'!$C:$C,AD$60
  )
)</f>
        <v>43.092322919727785</v>
      </c>
      <c r="AH72" s="34"/>
    </row>
    <row r="73" spans="4:34" outlineLevel="1" x14ac:dyDescent="0.2">
      <c r="D73" s="8" t="s">
        <v>152</v>
      </c>
      <c r="E73" s="21" cm="1">
        <f t="array" ref="E73">0.001 * SUM(
  SUMIFS(
    'Resource Summary'!$G:$G,
    'Resource Summary'!$B:$B,zones_to_group,
    'Resource Summary'!$A:$A,TRANSPOSE(_xlfn._xlws.FILTER('Results Grouping'!$G$9:$G$322,('Results Grouping'!$H$9:$H$322=$D$57) * ('Results Grouping'!$I$9:$I$322=$D73),0)),
    'Resource Summary'!$C:$C,E$60
  )
)</f>
        <v>0</v>
      </c>
      <c r="F73" s="21" cm="1">
        <f t="array" ref="F73">0.001 * SUM(
  SUMIFS(
    'Resource Summary'!$G:$G,
    'Resource Summary'!$B:$B,zones_to_group,
    'Resource Summary'!$A:$A,TRANSPOSE(_xlfn._xlws.FILTER('Results Grouping'!$G$9:$G$322,('Results Grouping'!$H$9:$H$322=$D$57) * ('Results Grouping'!$I$9:$I$322=$D73),0)),
    'Resource Summary'!$C:$C,F$60
  )
)</f>
        <v>0</v>
      </c>
      <c r="G73" s="21" cm="1">
        <f t="array" ref="G73">0.001 * SUM(
  SUMIFS(
    'Resource Summary'!$G:$G,
    'Resource Summary'!$B:$B,zones_to_group,
    'Resource Summary'!$A:$A,TRANSPOSE(_xlfn._xlws.FILTER('Results Grouping'!$G$9:$G$322,('Results Grouping'!$H$9:$H$322=$D$57) * ('Results Grouping'!$I$9:$I$322=$D73),0)),
    'Resource Summary'!$C:$C,G$60
  )
)</f>
        <v>0</v>
      </c>
      <c r="H73" s="21" cm="1">
        <f t="array" ref="H73">0.001 * SUM(
  SUMIFS(
    'Resource Summary'!$G:$G,
    'Resource Summary'!$B:$B,zones_to_group,
    'Resource Summary'!$A:$A,TRANSPOSE(_xlfn._xlws.FILTER('Results Grouping'!$G$9:$G$322,('Results Grouping'!$H$9:$H$322=$D$57) * ('Results Grouping'!$I$9:$I$322=$D73),0)),
    'Resource Summary'!$C:$C,H$60
  )
)</f>
        <v>0</v>
      </c>
      <c r="I73" s="21" cm="1">
        <f t="array" ref="I73">0.001 * SUM(
  SUMIFS(
    'Resource Summary'!$G:$G,
    'Resource Summary'!$B:$B,zones_to_group,
    'Resource Summary'!$A:$A,TRANSPOSE(_xlfn._xlws.FILTER('Results Grouping'!$G$9:$G$322,('Results Grouping'!$H$9:$H$322=$D$57) * ('Results Grouping'!$I$9:$I$322=$D73),0)),
    'Resource Summary'!$C:$C,I$60
  )
)</f>
        <v>0</v>
      </c>
      <c r="J73" s="21" cm="1">
        <f t="array" ref="J73">0.001 * SUM(
  SUMIFS(
    'Resource Summary'!$G:$G,
    'Resource Summary'!$B:$B,zones_to_group,
    'Resource Summary'!$A:$A,TRANSPOSE(_xlfn._xlws.FILTER('Results Grouping'!$G$9:$G$322,('Results Grouping'!$H$9:$H$322=$D$57) * ('Results Grouping'!$I$9:$I$322=$D73),0)),
    'Resource Summary'!$C:$C,J$60
  )
)</f>
        <v>0</v>
      </c>
      <c r="K73" s="21" cm="1">
        <f t="array" ref="K73">0.001 * SUM(
  SUMIFS(
    'Resource Summary'!$G:$G,
    'Resource Summary'!$B:$B,zones_to_group,
    'Resource Summary'!$A:$A,TRANSPOSE(_xlfn._xlws.FILTER('Results Grouping'!$G$9:$G$322,('Results Grouping'!$H$9:$H$322=$D$57) * ('Results Grouping'!$I$9:$I$322=$D73),0)),
    'Resource Summary'!$C:$C,K$60
  )
)</f>
        <v>0</v>
      </c>
      <c r="L73" s="21" cm="1">
        <f t="array" ref="L73">0.001 * SUM(
  SUMIFS(
    'Resource Summary'!$G:$G,
    'Resource Summary'!$B:$B,zones_to_group,
    'Resource Summary'!$A:$A,TRANSPOSE(_xlfn._xlws.FILTER('Results Grouping'!$G$9:$G$322,('Results Grouping'!$H$9:$H$322=$D$57) * ('Results Grouping'!$I$9:$I$322=$D73),0)),
    'Resource Summary'!$C:$C,L$60
  )
)</f>
        <v>0</v>
      </c>
      <c r="M73" s="21" cm="1">
        <f t="array" ref="M73">0.001 * SUM(
  SUMIFS(
    'Resource Summary'!$G:$G,
    'Resource Summary'!$B:$B,zones_to_group,
    'Resource Summary'!$A:$A,TRANSPOSE(_xlfn._xlws.FILTER('Results Grouping'!$G$9:$G$322,('Results Grouping'!$H$9:$H$322=$D$57) * ('Results Grouping'!$I$9:$I$322=$D73),0)),
    'Resource Summary'!$C:$C,M$60
  )
)</f>
        <v>0</v>
      </c>
      <c r="N73" s="21" cm="1">
        <f t="array" ref="N73">0.001 * SUM(
  SUMIFS(
    'Resource Summary'!$G:$G,
    'Resource Summary'!$B:$B,zones_to_group,
    'Resource Summary'!$A:$A,TRANSPOSE(_xlfn._xlws.FILTER('Results Grouping'!$G$9:$G$322,('Results Grouping'!$H$9:$H$322=$D$57) * ('Results Grouping'!$I$9:$I$322=$D73),0)),
    'Resource Summary'!$C:$C,N$60
  )
)</f>
        <v>0</v>
      </c>
      <c r="O73" s="21" cm="1">
        <f t="array" ref="O73">0.001 * SUM(
  SUMIFS(
    'Resource Summary'!$G:$G,
    'Resource Summary'!$B:$B,zones_to_group,
    'Resource Summary'!$A:$A,TRANSPOSE(_xlfn._xlws.FILTER('Results Grouping'!$G$9:$G$322,('Results Grouping'!$H$9:$H$322=$D$57) * ('Results Grouping'!$I$9:$I$322=$D73),0)),
    'Resource Summary'!$C:$C,O$60
  )
)</f>
        <v>0</v>
      </c>
      <c r="P73" s="21" cm="1">
        <f t="array" ref="P73">0.001 * SUM(
  SUMIFS(
    'Resource Summary'!$G:$G,
    'Resource Summary'!$B:$B,zones_to_group,
    'Resource Summary'!$A:$A,TRANSPOSE(_xlfn._xlws.FILTER('Results Grouping'!$G$9:$G$322,('Results Grouping'!$H$9:$H$322=$D$57) * ('Results Grouping'!$I$9:$I$322=$D73),0)),
    'Resource Summary'!$C:$C,P$60
  )
)</f>
        <v>0</v>
      </c>
      <c r="Q73" s="21" cm="1">
        <f t="array" ref="Q73">0.001 * SUM(
  SUMIFS(
    'Resource Summary'!$G:$G,
    'Resource Summary'!$B:$B,zones_to_group,
    'Resource Summary'!$A:$A,TRANSPOSE(_xlfn._xlws.FILTER('Results Grouping'!$G$9:$G$322,('Results Grouping'!$H$9:$H$322=$D$57) * ('Results Grouping'!$I$9:$I$322=$D73),0)),
    'Resource Summary'!$C:$C,Q$60
  )
)</f>
        <v>0</v>
      </c>
      <c r="R73" s="21" cm="1">
        <f t="array" ref="R73">0.001 * SUM(
  SUMIFS(
    'Resource Summary'!$G:$G,
    'Resource Summary'!$B:$B,zones_to_group,
    'Resource Summary'!$A:$A,TRANSPOSE(_xlfn._xlws.FILTER('Results Grouping'!$G$9:$G$322,('Results Grouping'!$H$9:$H$322=$D$57) * ('Results Grouping'!$I$9:$I$322=$D73),0)),
    'Resource Summary'!$C:$C,R$60
  )
)</f>
        <v>0</v>
      </c>
      <c r="S73" s="21" cm="1">
        <f t="array" ref="S73">0.001 * SUM(
  SUMIFS(
    'Resource Summary'!$G:$G,
    'Resource Summary'!$B:$B,zones_to_group,
    'Resource Summary'!$A:$A,TRANSPOSE(_xlfn._xlws.FILTER('Results Grouping'!$G$9:$G$322,('Results Grouping'!$H$9:$H$322=$D$57) * ('Results Grouping'!$I$9:$I$322=$D73),0)),
    'Resource Summary'!$C:$C,S$60
  )
)</f>
        <v>0</v>
      </c>
      <c r="T73" s="21" cm="1">
        <f t="array" ref="T73">0.001 * SUM(
  SUMIFS(
    'Resource Summary'!$G:$G,
    'Resource Summary'!$B:$B,zones_to_group,
    'Resource Summary'!$A:$A,TRANSPOSE(_xlfn._xlws.FILTER('Results Grouping'!$G$9:$G$322,('Results Grouping'!$H$9:$H$322=$D$57) * ('Results Grouping'!$I$9:$I$322=$D73),0)),
    'Resource Summary'!$C:$C,T$60
  )
)</f>
        <v>0</v>
      </c>
      <c r="U73" s="21" cm="1">
        <f t="array" ref="U73">0.001 * SUM(
  SUMIFS(
    'Resource Summary'!$G:$G,
    'Resource Summary'!$B:$B,zones_to_group,
    'Resource Summary'!$A:$A,TRANSPOSE(_xlfn._xlws.FILTER('Results Grouping'!$G$9:$G$322,('Results Grouping'!$H$9:$H$322=$D$57) * ('Results Grouping'!$I$9:$I$322=$D73),0)),
    'Resource Summary'!$C:$C,U$60
  )
)</f>
        <v>0</v>
      </c>
      <c r="V73" s="21" cm="1">
        <f t="array" ref="V73">0.001 * SUM(
  SUMIFS(
    'Resource Summary'!$G:$G,
    'Resource Summary'!$B:$B,zones_to_group,
    'Resource Summary'!$A:$A,TRANSPOSE(_xlfn._xlws.FILTER('Results Grouping'!$G$9:$G$322,('Results Grouping'!$H$9:$H$322=$D$57) * ('Results Grouping'!$I$9:$I$322=$D73),0)),
    'Resource Summary'!$C:$C,V$60
  )
)</f>
        <v>0</v>
      </c>
      <c r="W73" s="21" cm="1">
        <f t="array" ref="W73">0.001 * SUM(
  SUMIFS(
    'Resource Summary'!$G:$G,
    'Resource Summary'!$B:$B,zones_to_group,
    'Resource Summary'!$A:$A,TRANSPOSE(_xlfn._xlws.FILTER('Results Grouping'!$G$9:$G$322,('Results Grouping'!$H$9:$H$322=$D$57) * ('Results Grouping'!$I$9:$I$322=$D73),0)),
    'Resource Summary'!$C:$C,W$60
  )
)</f>
        <v>0</v>
      </c>
      <c r="X73" s="21" cm="1">
        <f t="array" ref="X73">0.001 * SUM(
  SUMIFS(
    'Resource Summary'!$G:$G,
    'Resource Summary'!$B:$B,zones_to_group,
    'Resource Summary'!$A:$A,TRANSPOSE(_xlfn._xlws.FILTER('Results Grouping'!$G$9:$G$322,('Results Grouping'!$H$9:$H$322=$D$57) * ('Results Grouping'!$I$9:$I$322=$D73),0)),
    'Resource Summary'!$C:$C,X$60
  )
)</f>
        <v>0</v>
      </c>
      <c r="Y73" s="21" cm="1">
        <f t="array" ref="Y73">0.001 * SUM(
  SUMIFS(
    'Resource Summary'!$G:$G,
    'Resource Summary'!$B:$B,zones_to_group,
    'Resource Summary'!$A:$A,TRANSPOSE(_xlfn._xlws.FILTER('Results Grouping'!$G$9:$G$322,('Results Grouping'!$H$9:$H$322=$D$57) * ('Results Grouping'!$I$9:$I$322=$D73),0)),
    'Resource Summary'!$C:$C,Y$60
  )
)</f>
        <v>0</v>
      </c>
      <c r="Z73" s="21" cm="1">
        <f t="array" ref="Z73">0.001 * SUM(
  SUMIFS(
    'Resource Summary'!$G:$G,
    'Resource Summary'!$B:$B,zones_to_group,
    'Resource Summary'!$A:$A,TRANSPOSE(_xlfn._xlws.FILTER('Results Grouping'!$G$9:$G$322,('Results Grouping'!$H$9:$H$322=$D$57) * ('Results Grouping'!$I$9:$I$322=$D73),0)),
    'Resource Summary'!$C:$C,Z$60
  )
)</f>
        <v>0</v>
      </c>
      <c r="AA73" s="21" cm="1">
        <f t="array" ref="AA73">0.001 * SUM(
  SUMIFS(
    'Resource Summary'!$G:$G,
    'Resource Summary'!$B:$B,zones_to_group,
    'Resource Summary'!$A:$A,TRANSPOSE(_xlfn._xlws.FILTER('Results Grouping'!$G$9:$G$322,('Results Grouping'!$H$9:$H$322=$D$57) * ('Results Grouping'!$I$9:$I$322=$D73),0)),
    'Resource Summary'!$C:$C,AA$60
  )
)</f>
        <v>0</v>
      </c>
      <c r="AB73" s="21" cm="1">
        <f t="array" ref="AB73">0.001 * SUM(
  SUMIFS(
    'Resource Summary'!$G:$G,
    'Resource Summary'!$B:$B,zones_to_group,
    'Resource Summary'!$A:$A,TRANSPOSE(_xlfn._xlws.FILTER('Results Grouping'!$G$9:$G$322,('Results Grouping'!$H$9:$H$322=$D$57) * ('Results Grouping'!$I$9:$I$322=$D73),0)),
    'Resource Summary'!$C:$C,AB$60
  )
)</f>
        <v>0</v>
      </c>
      <c r="AC73" s="21" cm="1">
        <f t="array" ref="AC73">0.001 * SUM(
  SUMIFS(
    'Resource Summary'!$G:$G,
    'Resource Summary'!$B:$B,zones_to_group,
    'Resource Summary'!$A:$A,TRANSPOSE(_xlfn._xlws.FILTER('Results Grouping'!$G$9:$G$322,('Results Grouping'!$H$9:$H$322=$D$57) * ('Results Grouping'!$I$9:$I$322=$D73),0)),
    'Resource Summary'!$C:$C,AC$60
  )
)</f>
        <v>0</v>
      </c>
      <c r="AD73" s="21" cm="1">
        <f t="array" ref="AD73">0.001 * SUM(
  SUMIFS(
    'Resource Summary'!$G:$G,
    'Resource Summary'!$B:$B,zones_to_group,
    'Resource Summary'!$A:$A,TRANSPOSE(_xlfn._xlws.FILTER('Results Grouping'!$G$9:$G$322,('Results Grouping'!$H$9:$H$322=$D$57) * ('Results Grouping'!$I$9:$I$322=$D73),0)),
    'Resource Summary'!$C:$C,AD$60
  )
)</f>
        <v>1.8985000000000001</v>
      </c>
      <c r="AH73" s="34"/>
    </row>
    <row r="74" spans="4:34" outlineLevel="1" x14ac:dyDescent="0.2">
      <c r="D74" s="8" t="s">
        <v>123</v>
      </c>
      <c r="E74" s="21" cm="1">
        <f t="array" ref="E74">0.001 * SUM(
  SUMIFS(
    'Resource Summary'!$G:$G,
    'Resource Summary'!$B:$B,zones_to_group,
    'Resource Summary'!$A:$A,TRANSPOSE(_xlfn._xlws.FILTER('Results Grouping'!$G$9:$G$322,('Results Grouping'!$H$9:$H$322=$D$57) * ('Results Grouping'!$I$9:$I$322=$D74),0)),
    'Resource Summary'!$C:$C,E$60
  )
)</f>
        <v>0</v>
      </c>
      <c r="F74" s="21" cm="1">
        <f t="array" ref="F74">0.001 * SUM(
  SUMIFS(
    'Resource Summary'!$G:$G,
    'Resource Summary'!$B:$B,zones_to_group,
    'Resource Summary'!$A:$A,TRANSPOSE(_xlfn._xlws.FILTER('Results Grouping'!$G$9:$G$322,('Results Grouping'!$H$9:$H$322=$D$57) * ('Results Grouping'!$I$9:$I$322=$D74),0)),
    'Resource Summary'!$C:$C,F$60
  )
)</f>
        <v>0</v>
      </c>
      <c r="G74" s="21" cm="1">
        <f t="array" ref="G74">0.001 * SUM(
  SUMIFS(
    'Resource Summary'!$G:$G,
    'Resource Summary'!$B:$B,zones_to_group,
    'Resource Summary'!$A:$A,TRANSPOSE(_xlfn._xlws.FILTER('Results Grouping'!$G$9:$G$322,('Results Grouping'!$H$9:$H$322=$D$57) * ('Results Grouping'!$I$9:$I$322=$D74),0)),
    'Resource Summary'!$C:$C,G$60
  )
)</f>
        <v>0</v>
      </c>
      <c r="H74" s="21" cm="1">
        <f t="array" ref="H74">0.001 * SUM(
  SUMIFS(
    'Resource Summary'!$G:$G,
    'Resource Summary'!$B:$B,zones_to_group,
    'Resource Summary'!$A:$A,TRANSPOSE(_xlfn._xlws.FILTER('Results Grouping'!$G$9:$G$322,('Results Grouping'!$H$9:$H$322=$D$57) * ('Results Grouping'!$I$9:$I$322=$D74),0)),
    'Resource Summary'!$C:$C,H$60
  )
)</f>
        <v>0</v>
      </c>
      <c r="I74" s="21" cm="1">
        <f t="array" ref="I74">0.001 * SUM(
  SUMIFS(
    'Resource Summary'!$G:$G,
    'Resource Summary'!$B:$B,zones_to_group,
    'Resource Summary'!$A:$A,TRANSPOSE(_xlfn._xlws.FILTER('Results Grouping'!$G$9:$G$322,('Results Grouping'!$H$9:$H$322=$D$57) * ('Results Grouping'!$I$9:$I$322=$D74),0)),
    'Resource Summary'!$C:$C,I$60
  )
)</f>
        <v>0</v>
      </c>
      <c r="J74" s="21" cm="1">
        <f t="array" ref="J74">0.001 * SUM(
  SUMIFS(
    'Resource Summary'!$G:$G,
    'Resource Summary'!$B:$B,zones_to_group,
    'Resource Summary'!$A:$A,TRANSPOSE(_xlfn._xlws.FILTER('Results Grouping'!$G$9:$G$322,('Results Grouping'!$H$9:$H$322=$D$57) * ('Results Grouping'!$I$9:$I$322=$D74),0)),
    'Resource Summary'!$C:$C,J$60
  )
)</f>
        <v>0</v>
      </c>
      <c r="K74" s="21" cm="1">
        <f t="array" ref="K74">0.001 * SUM(
  SUMIFS(
    'Resource Summary'!$G:$G,
    'Resource Summary'!$B:$B,zones_to_group,
    'Resource Summary'!$A:$A,TRANSPOSE(_xlfn._xlws.FILTER('Results Grouping'!$G$9:$G$322,('Results Grouping'!$H$9:$H$322=$D$57) * ('Results Grouping'!$I$9:$I$322=$D74),0)),
    'Resource Summary'!$C:$C,K$60
  )
)</f>
        <v>0</v>
      </c>
      <c r="L74" s="21" cm="1">
        <f t="array" ref="L74">0.001 * SUM(
  SUMIFS(
    'Resource Summary'!$G:$G,
    'Resource Summary'!$B:$B,zones_to_group,
    'Resource Summary'!$A:$A,TRANSPOSE(_xlfn._xlws.FILTER('Results Grouping'!$G$9:$G$322,('Results Grouping'!$H$9:$H$322=$D$57) * ('Results Grouping'!$I$9:$I$322=$D74),0)),
    'Resource Summary'!$C:$C,L$60
  )
)</f>
        <v>0</v>
      </c>
      <c r="M74" s="21" cm="1">
        <f t="array" ref="M74">0.001 * SUM(
  SUMIFS(
    'Resource Summary'!$G:$G,
    'Resource Summary'!$B:$B,zones_to_group,
    'Resource Summary'!$A:$A,TRANSPOSE(_xlfn._xlws.FILTER('Results Grouping'!$G$9:$G$322,('Results Grouping'!$H$9:$H$322=$D$57) * ('Results Grouping'!$I$9:$I$322=$D74),0)),
    'Resource Summary'!$C:$C,M$60
  )
)</f>
        <v>0</v>
      </c>
      <c r="N74" s="21" cm="1">
        <f t="array" ref="N74">0.001 * SUM(
  SUMIFS(
    'Resource Summary'!$G:$G,
    'Resource Summary'!$B:$B,zones_to_group,
    'Resource Summary'!$A:$A,TRANSPOSE(_xlfn._xlws.FILTER('Results Grouping'!$G$9:$G$322,('Results Grouping'!$H$9:$H$322=$D$57) * ('Results Grouping'!$I$9:$I$322=$D74),0)),
    'Resource Summary'!$C:$C,N$60
  )
)</f>
        <v>0</v>
      </c>
      <c r="O74" s="21" cm="1">
        <f t="array" ref="O74">0.001 * SUM(
  SUMIFS(
    'Resource Summary'!$G:$G,
    'Resource Summary'!$B:$B,zones_to_group,
    'Resource Summary'!$A:$A,TRANSPOSE(_xlfn._xlws.FILTER('Results Grouping'!$G$9:$G$322,('Results Grouping'!$H$9:$H$322=$D$57) * ('Results Grouping'!$I$9:$I$322=$D74),0)),
    'Resource Summary'!$C:$C,O$60
  )
)</f>
        <v>0</v>
      </c>
      <c r="P74" s="21" cm="1">
        <f t="array" ref="P74">0.001 * SUM(
  SUMIFS(
    'Resource Summary'!$G:$G,
    'Resource Summary'!$B:$B,zones_to_group,
    'Resource Summary'!$A:$A,TRANSPOSE(_xlfn._xlws.FILTER('Results Grouping'!$G$9:$G$322,('Results Grouping'!$H$9:$H$322=$D$57) * ('Results Grouping'!$I$9:$I$322=$D74),0)),
    'Resource Summary'!$C:$C,P$60
  )
)</f>
        <v>0</v>
      </c>
      <c r="Q74" s="21" cm="1">
        <f t="array" ref="Q74">0.001 * SUM(
  SUMIFS(
    'Resource Summary'!$G:$G,
    'Resource Summary'!$B:$B,zones_to_group,
    'Resource Summary'!$A:$A,TRANSPOSE(_xlfn._xlws.FILTER('Results Grouping'!$G$9:$G$322,('Results Grouping'!$H$9:$H$322=$D$57) * ('Results Grouping'!$I$9:$I$322=$D74),0)),
    'Resource Summary'!$C:$C,Q$60
  )
)</f>
        <v>0</v>
      </c>
      <c r="R74" s="21" cm="1">
        <f t="array" ref="R74">0.001 * SUM(
  SUMIFS(
    'Resource Summary'!$G:$G,
    'Resource Summary'!$B:$B,zones_to_group,
    'Resource Summary'!$A:$A,TRANSPOSE(_xlfn._xlws.FILTER('Results Grouping'!$G$9:$G$322,('Results Grouping'!$H$9:$H$322=$D$57) * ('Results Grouping'!$I$9:$I$322=$D74),0)),
    'Resource Summary'!$C:$C,R$60
  )
)</f>
        <v>0</v>
      </c>
      <c r="S74" s="21" cm="1">
        <f t="array" ref="S74">0.001 * SUM(
  SUMIFS(
    'Resource Summary'!$G:$G,
    'Resource Summary'!$B:$B,zones_to_group,
    'Resource Summary'!$A:$A,TRANSPOSE(_xlfn._xlws.FILTER('Results Grouping'!$G$9:$G$322,('Results Grouping'!$H$9:$H$322=$D$57) * ('Results Grouping'!$I$9:$I$322=$D74),0)),
    'Resource Summary'!$C:$C,S$60
  )
)</f>
        <v>0</v>
      </c>
      <c r="T74" s="21" cm="1">
        <f t="array" ref="T74">0.001 * SUM(
  SUMIFS(
    'Resource Summary'!$G:$G,
    'Resource Summary'!$B:$B,zones_to_group,
    'Resource Summary'!$A:$A,TRANSPOSE(_xlfn._xlws.FILTER('Results Grouping'!$G$9:$G$322,('Results Grouping'!$H$9:$H$322=$D$57) * ('Results Grouping'!$I$9:$I$322=$D74),0)),
    'Resource Summary'!$C:$C,T$60
  )
)</f>
        <v>0</v>
      </c>
      <c r="U74" s="21" cm="1">
        <f t="array" ref="U74">0.001 * SUM(
  SUMIFS(
    'Resource Summary'!$G:$G,
    'Resource Summary'!$B:$B,zones_to_group,
    'Resource Summary'!$A:$A,TRANSPOSE(_xlfn._xlws.FILTER('Results Grouping'!$G$9:$G$322,('Results Grouping'!$H$9:$H$322=$D$57) * ('Results Grouping'!$I$9:$I$322=$D74),0)),
    'Resource Summary'!$C:$C,U$60
  )
)</f>
        <v>0</v>
      </c>
      <c r="V74" s="21" cm="1">
        <f t="array" ref="V74">0.001 * SUM(
  SUMIFS(
    'Resource Summary'!$G:$G,
    'Resource Summary'!$B:$B,zones_to_group,
    'Resource Summary'!$A:$A,TRANSPOSE(_xlfn._xlws.FILTER('Results Grouping'!$G$9:$G$322,('Results Grouping'!$H$9:$H$322=$D$57) * ('Results Grouping'!$I$9:$I$322=$D74),0)),
    'Resource Summary'!$C:$C,V$60
  )
)</f>
        <v>0</v>
      </c>
      <c r="W74" s="21" cm="1">
        <f t="array" ref="W74">0.001 * SUM(
  SUMIFS(
    'Resource Summary'!$G:$G,
    'Resource Summary'!$B:$B,zones_to_group,
    'Resource Summary'!$A:$A,TRANSPOSE(_xlfn._xlws.FILTER('Results Grouping'!$G$9:$G$322,('Results Grouping'!$H$9:$H$322=$D$57) * ('Results Grouping'!$I$9:$I$322=$D74),0)),
    'Resource Summary'!$C:$C,W$60
  )
)</f>
        <v>0</v>
      </c>
      <c r="X74" s="21" cm="1">
        <f t="array" ref="X74">0.001 * SUM(
  SUMIFS(
    'Resource Summary'!$G:$G,
    'Resource Summary'!$B:$B,zones_to_group,
    'Resource Summary'!$A:$A,TRANSPOSE(_xlfn._xlws.FILTER('Results Grouping'!$G$9:$G$322,('Results Grouping'!$H$9:$H$322=$D$57) * ('Results Grouping'!$I$9:$I$322=$D74),0)),
    'Resource Summary'!$C:$C,X$60
  )
)</f>
        <v>0</v>
      </c>
      <c r="Y74" s="21" cm="1">
        <f t="array" ref="Y74">0.001 * SUM(
  SUMIFS(
    'Resource Summary'!$G:$G,
    'Resource Summary'!$B:$B,zones_to_group,
    'Resource Summary'!$A:$A,TRANSPOSE(_xlfn._xlws.FILTER('Results Grouping'!$G$9:$G$322,('Results Grouping'!$H$9:$H$322=$D$57) * ('Results Grouping'!$I$9:$I$322=$D74),0)),
    'Resource Summary'!$C:$C,Y$60
  )
)</f>
        <v>0</v>
      </c>
      <c r="Z74" s="21" cm="1">
        <f t="array" ref="Z74">0.001 * SUM(
  SUMIFS(
    'Resource Summary'!$G:$G,
    'Resource Summary'!$B:$B,zones_to_group,
    'Resource Summary'!$A:$A,TRANSPOSE(_xlfn._xlws.FILTER('Results Grouping'!$G$9:$G$322,('Results Grouping'!$H$9:$H$322=$D$57) * ('Results Grouping'!$I$9:$I$322=$D74),0)),
    'Resource Summary'!$C:$C,Z$60
  )
)</f>
        <v>0</v>
      </c>
      <c r="AA74" s="21" cm="1">
        <f t="array" ref="AA74">0.001 * SUM(
  SUMIFS(
    'Resource Summary'!$G:$G,
    'Resource Summary'!$B:$B,zones_to_group,
    'Resource Summary'!$A:$A,TRANSPOSE(_xlfn._xlws.FILTER('Results Grouping'!$G$9:$G$322,('Results Grouping'!$H$9:$H$322=$D$57) * ('Results Grouping'!$I$9:$I$322=$D74),0)),
    'Resource Summary'!$C:$C,AA$60
  )
)</f>
        <v>0</v>
      </c>
      <c r="AB74" s="21" cm="1">
        <f t="array" ref="AB74">0.001 * SUM(
  SUMIFS(
    'Resource Summary'!$G:$G,
    'Resource Summary'!$B:$B,zones_to_group,
    'Resource Summary'!$A:$A,TRANSPOSE(_xlfn._xlws.FILTER('Results Grouping'!$G$9:$G$322,('Results Grouping'!$H$9:$H$322=$D$57) * ('Results Grouping'!$I$9:$I$322=$D74),0)),
    'Resource Summary'!$C:$C,AB$60
  )
)</f>
        <v>0</v>
      </c>
      <c r="AC74" s="21" cm="1">
        <f t="array" ref="AC74">0.001 * SUM(
  SUMIFS(
    'Resource Summary'!$G:$G,
    'Resource Summary'!$B:$B,zones_to_group,
    'Resource Summary'!$A:$A,TRANSPOSE(_xlfn._xlws.FILTER('Results Grouping'!$G$9:$G$322,('Results Grouping'!$H$9:$H$322=$D$57) * ('Results Grouping'!$I$9:$I$322=$D74),0)),
    'Resource Summary'!$C:$C,AC$60
  )
)</f>
        <v>0</v>
      </c>
      <c r="AD74" s="21" cm="1">
        <f t="array" ref="AD74">0.001 * SUM(
  SUMIFS(
    'Resource Summary'!$G:$G,
    'Resource Summary'!$B:$B,zones_to_group,
    'Resource Summary'!$A:$A,TRANSPOSE(_xlfn._xlws.FILTER('Results Grouping'!$G$9:$G$322,('Results Grouping'!$H$9:$H$322=$D$57) * ('Results Grouping'!$I$9:$I$322=$D74),0)),
    'Resource Summary'!$C:$C,AD$60
  )
)</f>
        <v>2.6357041539999999</v>
      </c>
      <c r="AH74" s="34"/>
    </row>
    <row r="75" spans="4:34" ht="12.6" outlineLevel="1" thickBot="1" x14ac:dyDescent="0.25">
      <c r="D75" s="9" t="s">
        <v>139</v>
      </c>
      <c r="E75" s="22">
        <f>SUM(E61:E74)</f>
        <v>0</v>
      </c>
      <c r="F75" s="22">
        <f t="shared" ref="F75:AD75" si="66">SUM(F61:F74)</f>
        <v>0</v>
      </c>
      <c r="G75" s="22">
        <f t="shared" si="66"/>
        <v>0</v>
      </c>
      <c r="H75" s="22">
        <f t="shared" si="66"/>
        <v>0</v>
      </c>
      <c r="I75" s="22">
        <f t="shared" si="66"/>
        <v>0</v>
      </c>
      <c r="J75" s="22">
        <f t="shared" si="66"/>
        <v>0</v>
      </c>
      <c r="K75" s="22">
        <f t="shared" si="66"/>
        <v>0</v>
      </c>
      <c r="L75" s="22">
        <f t="shared" si="66"/>
        <v>0</v>
      </c>
      <c r="M75" s="22">
        <f t="shared" si="66"/>
        <v>0</v>
      </c>
      <c r="N75" s="22">
        <f t="shared" si="66"/>
        <v>0</v>
      </c>
      <c r="O75" s="22">
        <f t="shared" si="66"/>
        <v>0</v>
      </c>
      <c r="P75" s="22">
        <f t="shared" si="66"/>
        <v>0</v>
      </c>
      <c r="Q75" s="22">
        <f t="shared" si="66"/>
        <v>0</v>
      </c>
      <c r="R75" s="22">
        <f t="shared" si="66"/>
        <v>0</v>
      </c>
      <c r="S75" s="22">
        <f t="shared" si="66"/>
        <v>0</v>
      </c>
      <c r="T75" s="22">
        <f t="shared" si="66"/>
        <v>0</v>
      </c>
      <c r="U75" s="22">
        <f t="shared" si="66"/>
        <v>0</v>
      </c>
      <c r="V75" s="22">
        <f t="shared" si="66"/>
        <v>0</v>
      </c>
      <c r="W75" s="22">
        <f t="shared" si="66"/>
        <v>0</v>
      </c>
      <c r="X75" s="22">
        <f t="shared" si="66"/>
        <v>0</v>
      </c>
      <c r="Y75" s="22">
        <f t="shared" si="66"/>
        <v>0</v>
      </c>
      <c r="Z75" s="22">
        <f t="shared" si="66"/>
        <v>0</v>
      </c>
      <c r="AA75" s="22">
        <f t="shared" si="66"/>
        <v>0</v>
      </c>
      <c r="AB75" s="22">
        <f t="shared" si="66"/>
        <v>0</v>
      </c>
      <c r="AC75" s="22">
        <f t="shared" si="66"/>
        <v>0</v>
      </c>
      <c r="AD75" s="22">
        <f t="shared" si="66"/>
        <v>220.84626553460043</v>
      </c>
      <c r="AH75" s="34"/>
    </row>
    <row r="76" spans="4:34" ht="12" outlineLevel="1" thickTop="1" x14ac:dyDescent="0.2">
      <c r="AH76" s="34"/>
    </row>
    <row r="77" spans="4:34" ht="13.2" outlineLevel="1" x14ac:dyDescent="0.2">
      <c r="E77" s="2" t="s">
        <v>302</v>
      </c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H77" s="34"/>
    </row>
    <row r="78" spans="4:34" outlineLevel="1" x14ac:dyDescent="0.2">
      <c r="E78" s="7">
        <v>43831</v>
      </c>
      <c r="F78" s="7">
        <f>EDATE(E78,12)</f>
        <v>44197</v>
      </c>
      <c r="G78" s="7">
        <f t="shared" ref="G78:AD78" si="67">EDATE(F78,12)</f>
        <v>44562</v>
      </c>
      <c r="H78" s="7">
        <f t="shared" si="67"/>
        <v>44927</v>
      </c>
      <c r="I78" s="7">
        <f t="shared" si="67"/>
        <v>45292</v>
      </c>
      <c r="J78" s="7">
        <f t="shared" si="67"/>
        <v>45658</v>
      </c>
      <c r="K78" s="7">
        <f t="shared" si="67"/>
        <v>46023</v>
      </c>
      <c r="L78" s="7">
        <f t="shared" si="67"/>
        <v>46388</v>
      </c>
      <c r="M78" s="7">
        <f t="shared" si="67"/>
        <v>46753</v>
      </c>
      <c r="N78" s="7">
        <f t="shared" si="67"/>
        <v>47119</v>
      </c>
      <c r="O78" s="7">
        <f t="shared" si="67"/>
        <v>47484</v>
      </c>
      <c r="P78" s="7">
        <f t="shared" si="67"/>
        <v>47849</v>
      </c>
      <c r="Q78" s="7">
        <f t="shared" si="67"/>
        <v>48214</v>
      </c>
      <c r="R78" s="7">
        <f t="shared" si="67"/>
        <v>48580</v>
      </c>
      <c r="S78" s="7">
        <f t="shared" si="67"/>
        <v>48945</v>
      </c>
      <c r="T78" s="7">
        <f t="shared" si="67"/>
        <v>49310</v>
      </c>
      <c r="U78" s="7">
        <f t="shared" si="67"/>
        <v>49675</v>
      </c>
      <c r="V78" s="7">
        <f t="shared" si="67"/>
        <v>50041</v>
      </c>
      <c r="W78" s="7">
        <f t="shared" si="67"/>
        <v>50406</v>
      </c>
      <c r="X78" s="7">
        <f t="shared" si="67"/>
        <v>50771</v>
      </c>
      <c r="Y78" s="7">
        <f t="shared" si="67"/>
        <v>51136</v>
      </c>
      <c r="Z78" s="7">
        <f t="shared" si="67"/>
        <v>51502</v>
      </c>
      <c r="AA78" s="7">
        <f t="shared" si="67"/>
        <v>51867</v>
      </c>
      <c r="AB78" s="7">
        <f t="shared" si="67"/>
        <v>52232</v>
      </c>
      <c r="AC78" s="7">
        <f t="shared" si="67"/>
        <v>52597</v>
      </c>
      <c r="AD78" s="7">
        <f t="shared" si="67"/>
        <v>52963</v>
      </c>
      <c r="AH78" s="34"/>
    </row>
    <row r="79" spans="4:34" outlineLevel="1" x14ac:dyDescent="0.2">
      <c r="D79" s="8" t="s">
        <v>148</v>
      </c>
      <c r="E79" s="21" cm="1">
        <f t="array" ref="E79">0.001 * SUM(
  SUMIFS(
    'Resource Summary'!$E:$E,
    'Resource Summary'!$B:$B,zones_to_group,
    'Resource Summary'!$A:$A,TRANSPOSE(_xlfn._xlws.FILTER('Results Grouping'!$G$9:$G$322,('Results Grouping'!$H$9:$H$322=$D$57) * ('Results Grouping'!$I$9:$I$322=$D79),0)),
    'Resource Summary'!$C:$C,E$60
  ))</f>
        <v>0</v>
      </c>
      <c r="F79" s="21" cm="1">
        <f t="array" ref="F79">0.001 * SUM(
  SUMIFS(
    'Resource Summary'!$E:$E,
    'Resource Summary'!$B:$B,zones_to_group,
    'Resource Summary'!$A:$A,TRANSPOSE(_xlfn._xlws.FILTER('Results Grouping'!$G$9:$G$322,('Results Grouping'!$H$9:$H$322=$D$57) * ('Results Grouping'!$I$9:$I$322=$D79),0)),
    'Resource Summary'!$C:$C,F$60
  ))</f>
        <v>0</v>
      </c>
      <c r="G79" s="21" cm="1">
        <f t="array" ref="G79">0.001 * SUM(
  SUMIFS(
    'Resource Summary'!$E:$E,
    'Resource Summary'!$B:$B,zones_to_group,
    'Resource Summary'!$A:$A,TRANSPOSE(_xlfn._xlws.FILTER('Results Grouping'!$G$9:$G$322,('Results Grouping'!$H$9:$H$322=$D$57) * ('Results Grouping'!$I$9:$I$322=$D79),0)),
    'Resource Summary'!$C:$C,G$60
  ))</f>
        <v>0</v>
      </c>
      <c r="H79" s="21" cm="1">
        <f t="array" ref="H79">0.001 * SUM(
  SUMIFS(
    'Resource Summary'!$E:$E,
    'Resource Summary'!$B:$B,zones_to_group,
    'Resource Summary'!$A:$A,TRANSPOSE(_xlfn._xlws.FILTER('Results Grouping'!$G$9:$G$322,('Results Grouping'!$H$9:$H$322=$D$57) * ('Results Grouping'!$I$9:$I$322=$D79),0)),
    'Resource Summary'!$C:$C,H$60
  ))</f>
        <v>0</v>
      </c>
      <c r="I79" s="21" cm="1">
        <f t="array" ref="I79">0.001 * SUM(
  SUMIFS(
    'Resource Summary'!$E:$E,
    'Resource Summary'!$B:$B,zones_to_group,
    'Resource Summary'!$A:$A,TRANSPOSE(_xlfn._xlws.FILTER('Results Grouping'!$G$9:$G$322,('Results Grouping'!$H$9:$H$322=$D$57) * ('Results Grouping'!$I$9:$I$322=$D79),0)),
    'Resource Summary'!$C:$C,I$60
  ))</f>
        <v>0</v>
      </c>
      <c r="J79" s="21" cm="1">
        <f t="array" ref="J79">0.001 * SUM(
  SUMIFS(
    'Resource Summary'!$E:$E,
    'Resource Summary'!$B:$B,zones_to_group,
    'Resource Summary'!$A:$A,TRANSPOSE(_xlfn._xlws.FILTER('Results Grouping'!$G$9:$G$322,('Results Grouping'!$H$9:$H$322=$D$57) * ('Results Grouping'!$I$9:$I$322=$D79),0)),
    'Resource Summary'!$C:$C,J$60
  ))</f>
        <v>0</v>
      </c>
      <c r="K79" s="21" cm="1">
        <f t="array" ref="K79">0.001 * SUM(
  SUMIFS(
    'Resource Summary'!$E:$E,
    'Resource Summary'!$B:$B,zones_to_group,
    'Resource Summary'!$A:$A,TRANSPOSE(_xlfn._xlws.FILTER('Results Grouping'!$G$9:$G$322,('Results Grouping'!$H$9:$H$322=$D$57) * ('Results Grouping'!$I$9:$I$322=$D79),0)),
    'Resource Summary'!$C:$C,K$60
  ))</f>
        <v>0</v>
      </c>
      <c r="L79" s="21" cm="1">
        <f t="array" ref="L79">0.001 * SUM(
  SUMIFS(
    'Resource Summary'!$E:$E,
    'Resource Summary'!$B:$B,zones_to_group,
    'Resource Summary'!$A:$A,TRANSPOSE(_xlfn._xlws.FILTER('Results Grouping'!$G$9:$G$322,('Results Grouping'!$H$9:$H$322=$D$57) * ('Results Grouping'!$I$9:$I$322=$D79),0)),
    'Resource Summary'!$C:$C,L$60
  ))</f>
        <v>0</v>
      </c>
      <c r="M79" s="21" cm="1">
        <f t="array" ref="M79">0.001 * SUM(
  SUMIFS(
    'Resource Summary'!$E:$E,
    'Resource Summary'!$B:$B,zones_to_group,
    'Resource Summary'!$A:$A,TRANSPOSE(_xlfn._xlws.FILTER('Results Grouping'!$G$9:$G$322,('Results Grouping'!$H$9:$H$322=$D$57) * ('Results Grouping'!$I$9:$I$322=$D79),0)),
    'Resource Summary'!$C:$C,M$60
  ))</f>
        <v>0</v>
      </c>
      <c r="N79" s="21" cm="1">
        <f t="array" ref="N79">0.001 * SUM(
  SUMIFS(
    'Resource Summary'!$E:$E,
    'Resource Summary'!$B:$B,zones_to_group,
    'Resource Summary'!$A:$A,TRANSPOSE(_xlfn._xlws.FILTER('Results Grouping'!$G$9:$G$322,('Results Grouping'!$H$9:$H$322=$D$57) * ('Results Grouping'!$I$9:$I$322=$D79),0)),
    'Resource Summary'!$C:$C,N$60
  ))</f>
        <v>0</v>
      </c>
      <c r="O79" s="21" cm="1">
        <f t="array" ref="O79">0.001 * SUM(
  SUMIFS(
    'Resource Summary'!$E:$E,
    'Resource Summary'!$B:$B,zones_to_group,
    'Resource Summary'!$A:$A,TRANSPOSE(_xlfn._xlws.FILTER('Results Grouping'!$G$9:$G$322,('Results Grouping'!$H$9:$H$322=$D$57) * ('Results Grouping'!$I$9:$I$322=$D79),0)),
    'Resource Summary'!$C:$C,O$60
  ))</f>
        <v>0</v>
      </c>
      <c r="P79" s="21" cm="1">
        <f t="array" ref="P79">0.001 * SUM(
  SUMIFS(
    'Resource Summary'!$E:$E,
    'Resource Summary'!$B:$B,zones_to_group,
    'Resource Summary'!$A:$A,TRANSPOSE(_xlfn._xlws.FILTER('Results Grouping'!$G$9:$G$322,('Results Grouping'!$H$9:$H$322=$D$57) * ('Results Grouping'!$I$9:$I$322=$D79),0)),
    'Resource Summary'!$C:$C,P$60
  ))</f>
        <v>0</v>
      </c>
      <c r="Q79" s="21" cm="1">
        <f t="array" ref="Q79">0.001 * SUM(
  SUMIFS(
    'Resource Summary'!$E:$E,
    'Resource Summary'!$B:$B,zones_to_group,
    'Resource Summary'!$A:$A,TRANSPOSE(_xlfn._xlws.FILTER('Results Grouping'!$G$9:$G$322,('Results Grouping'!$H$9:$H$322=$D$57) * ('Results Grouping'!$I$9:$I$322=$D79),0)),
    'Resource Summary'!$C:$C,Q$60
  ))</f>
        <v>0</v>
      </c>
      <c r="R79" s="21" cm="1">
        <f t="array" ref="R79">0.001 * SUM(
  SUMIFS(
    'Resource Summary'!$E:$E,
    'Resource Summary'!$B:$B,zones_to_group,
    'Resource Summary'!$A:$A,TRANSPOSE(_xlfn._xlws.FILTER('Results Grouping'!$G$9:$G$322,('Results Grouping'!$H$9:$H$322=$D$57) * ('Results Grouping'!$I$9:$I$322=$D79),0)),
    'Resource Summary'!$C:$C,R$60
  ))</f>
        <v>0</v>
      </c>
      <c r="S79" s="21" cm="1">
        <f t="array" ref="S79">0.001 * SUM(
  SUMIFS(
    'Resource Summary'!$E:$E,
    'Resource Summary'!$B:$B,zones_to_group,
    'Resource Summary'!$A:$A,TRANSPOSE(_xlfn._xlws.FILTER('Results Grouping'!$G$9:$G$322,('Results Grouping'!$H$9:$H$322=$D$57) * ('Results Grouping'!$I$9:$I$322=$D79),0)),
    'Resource Summary'!$C:$C,S$60
  ))</f>
        <v>0</v>
      </c>
      <c r="T79" s="21" cm="1">
        <f t="array" ref="T79">0.001 * SUM(
  SUMIFS(
    'Resource Summary'!$E:$E,
    'Resource Summary'!$B:$B,zones_to_group,
    'Resource Summary'!$A:$A,TRANSPOSE(_xlfn._xlws.FILTER('Results Grouping'!$G$9:$G$322,('Results Grouping'!$H$9:$H$322=$D$57) * ('Results Grouping'!$I$9:$I$322=$D79),0)),
    'Resource Summary'!$C:$C,T$60
  ))</f>
        <v>0</v>
      </c>
      <c r="U79" s="21" cm="1">
        <f t="array" ref="U79">0.001 * SUM(
  SUMIFS(
    'Resource Summary'!$E:$E,
    'Resource Summary'!$B:$B,zones_to_group,
    'Resource Summary'!$A:$A,TRANSPOSE(_xlfn._xlws.FILTER('Results Grouping'!$G$9:$G$322,('Results Grouping'!$H$9:$H$322=$D$57) * ('Results Grouping'!$I$9:$I$322=$D79),0)),
    'Resource Summary'!$C:$C,U$60
  ))</f>
        <v>0</v>
      </c>
      <c r="V79" s="21" cm="1">
        <f t="array" ref="V79">0.001 * SUM(
  SUMIFS(
    'Resource Summary'!$E:$E,
    'Resource Summary'!$B:$B,zones_to_group,
    'Resource Summary'!$A:$A,TRANSPOSE(_xlfn._xlws.FILTER('Results Grouping'!$G$9:$G$322,('Results Grouping'!$H$9:$H$322=$D$57) * ('Results Grouping'!$I$9:$I$322=$D79),0)),
    'Resource Summary'!$C:$C,V$60
  ))</f>
        <v>0</v>
      </c>
      <c r="W79" s="21" cm="1">
        <f t="array" ref="W79">0.001 * SUM(
  SUMIFS(
    'Resource Summary'!$E:$E,
    'Resource Summary'!$B:$B,zones_to_group,
    'Resource Summary'!$A:$A,TRANSPOSE(_xlfn._xlws.FILTER('Results Grouping'!$G$9:$G$322,('Results Grouping'!$H$9:$H$322=$D$57) * ('Results Grouping'!$I$9:$I$322=$D79),0)),
    'Resource Summary'!$C:$C,W$60
  ))</f>
        <v>0</v>
      </c>
      <c r="X79" s="21" cm="1">
        <f t="array" ref="X79">0.001 * SUM(
  SUMIFS(
    'Resource Summary'!$E:$E,
    'Resource Summary'!$B:$B,zones_to_group,
    'Resource Summary'!$A:$A,TRANSPOSE(_xlfn._xlws.FILTER('Results Grouping'!$G$9:$G$322,('Results Grouping'!$H$9:$H$322=$D$57) * ('Results Grouping'!$I$9:$I$322=$D79),0)),
    'Resource Summary'!$C:$C,X$60
  ))</f>
        <v>0</v>
      </c>
      <c r="Y79" s="21" cm="1">
        <f t="array" ref="Y79">0.001 * SUM(
  SUMIFS(
    'Resource Summary'!$E:$E,
    'Resource Summary'!$B:$B,zones_to_group,
    'Resource Summary'!$A:$A,TRANSPOSE(_xlfn._xlws.FILTER('Results Grouping'!$G$9:$G$322,('Results Grouping'!$H$9:$H$322=$D$57) * ('Results Grouping'!$I$9:$I$322=$D79),0)),
    'Resource Summary'!$C:$C,Y$60
  ))</f>
        <v>0</v>
      </c>
      <c r="Z79" s="21" cm="1">
        <f t="array" ref="Z79">0.001 * SUM(
  SUMIFS(
    'Resource Summary'!$E:$E,
    'Resource Summary'!$B:$B,zones_to_group,
    'Resource Summary'!$A:$A,TRANSPOSE(_xlfn._xlws.FILTER('Results Grouping'!$G$9:$G$322,('Results Grouping'!$H$9:$H$322=$D$57) * ('Results Grouping'!$I$9:$I$322=$D79),0)),
    'Resource Summary'!$C:$C,Z$60
  ))</f>
        <v>0</v>
      </c>
      <c r="AA79" s="21" cm="1">
        <f t="array" ref="AA79">0.001 * SUM(
  SUMIFS(
    'Resource Summary'!$E:$E,
    'Resource Summary'!$B:$B,zones_to_group,
    'Resource Summary'!$A:$A,TRANSPOSE(_xlfn._xlws.FILTER('Results Grouping'!$G$9:$G$322,('Results Grouping'!$H$9:$H$322=$D$57) * ('Results Grouping'!$I$9:$I$322=$D79),0)),
    'Resource Summary'!$C:$C,AA$60
  ))</f>
        <v>0</v>
      </c>
      <c r="AB79" s="21" cm="1">
        <f t="array" ref="AB79">0.001 * SUM(
  SUMIFS(
    'Resource Summary'!$E:$E,
    'Resource Summary'!$B:$B,zones_to_group,
    'Resource Summary'!$A:$A,TRANSPOSE(_xlfn._xlws.FILTER('Results Grouping'!$G$9:$G$322,('Results Grouping'!$H$9:$H$322=$D$57) * ('Results Grouping'!$I$9:$I$322=$D79),0)),
    'Resource Summary'!$C:$C,AB$60
  ))</f>
        <v>0</v>
      </c>
      <c r="AC79" s="21" cm="1">
        <f t="array" ref="AC79">0.001 * SUM(
  SUMIFS(
    'Resource Summary'!$E:$E,
    'Resource Summary'!$B:$B,zones_to_group,
    'Resource Summary'!$A:$A,TRANSPOSE(_xlfn._xlws.FILTER('Results Grouping'!$G$9:$G$322,('Results Grouping'!$H$9:$H$322=$D$57) * ('Results Grouping'!$I$9:$I$322=$D79),0)),
    'Resource Summary'!$C:$C,AC$60
  ))</f>
        <v>0</v>
      </c>
      <c r="AD79" s="21" cm="1">
        <f t="array" ref="AD79">0.001 * SUM(
  SUMIFS(
    'Resource Summary'!$E:$E,
    'Resource Summary'!$B:$B,zones_to_group,
    'Resource Summary'!$A:$A,TRANSPOSE(_xlfn._xlws.FILTER('Results Grouping'!$G$9:$G$322,('Results Grouping'!$H$9:$H$322=$D$57) * ('Results Grouping'!$I$9:$I$322=$D79),0)),
    'Resource Summary'!$C:$C,AD$60
  ))</f>
        <v>0</v>
      </c>
      <c r="AH79" s="34"/>
    </row>
    <row r="80" spans="4:34" outlineLevel="1" x14ac:dyDescent="0.2">
      <c r="D80" s="8" t="s">
        <v>145</v>
      </c>
      <c r="E80" s="21" cm="1">
        <f t="array" ref="E80">0.001 * SUM(
  SUMIFS(
    'Resource Summary'!$E:$E,
    'Resource Summary'!$B:$B,zones_to_group,
    'Resource Summary'!$A:$A,TRANSPOSE(_xlfn._xlws.FILTER('Results Grouping'!$G$9:$G$322,('Results Grouping'!$H$9:$H$322=$D$57) * ('Results Grouping'!$I$9:$I$322=$D80),0)),
    'Resource Summary'!$C:$C,E$60
  ))</f>
        <v>0</v>
      </c>
      <c r="F80" s="21" cm="1">
        <f t="array" ref="F80">0.001 * SUM(
  SUMIFS(
    'Resource Summary'!$E:$E,
    'Resource Summary'!$B:$B,zones_to_group,
    'Resource Summary'!$A:$A,TRANSPOSE(_xlfn._xlws.FILTER('Results Grouping'!$G$9:$G$322,('Results Grouping'!$H$9:$H$322=$D$57) * ('Results Grouping'!$I$9:$I$322=$D80),0)),
    'Resource Summary'!$C:$C,F$60
  ))</f>
        <v>0</v>
      </c>
      <c r="G80" s="21" cm="1">
        <f t="array" ref="G80">0.001 * SUM(
  SUMIFS(
    'Resource Summary'!$E:$E,
    'Resource Summary'!$B:$B,zones_to_group,
    'Resource Summary'!$A:$A,TRANSPOSE(_xlfn._xlws.FILTER('Results Grouping'!$G$9:$G$322,('Results Grouping'!$H$9:$H$322=$D$57) * ('Results Grouping'!$I$9:$I$322=$D80),0)),
    'Resource Summary'!$C:$C,G$60
  ))</f>
        <v>0</v>
      </c>
      <c r="H80" s="21" cm="1">
        <f t="array" ref="H80">0.001 * SUM(
  SUMIFS(
    'Resource Summary'!$E:$E,
    'Resource Summary'!$B:$B,zones_to_group,
    'Resource Summary'!$A:$A,TRANSPOSE(_xlfn._xlws.FILTER('Results Grouping'!$G$9:$G$322,('Results Grouping'!$H$9:$H$322=$D$57) * ('Results Grouping'!$I$9:$I$322=$D80),0)),
    'Resource Summary'!$C:$C,H$60
  ))</f>
        <v>0</v>
      </c>
      <c r="I80" s="21" cm="1">
        <f t="array" ref="I80">0.001 * SUM(
  SUMIFS(
    'Resource Summary'!$E:$E,
    'Resource Summary'!$B:$B,zones_to_group,
    'Resource Summary'!$A:$A,TRANSPOSE(_xlfn._xlws.FILTER('Results Grouping'!$G$9:$G$322,('Results Grouping'!$H$9:$H$322=$D$57) * ('Results Grouping'!$I$9:$I$322=$D80),0)),
    'Resource Summary'!$C:$C,I$60
  ))</f>
        <v>0</v>
      </c>
      <c r="J80" s="21" cm="1">
        <f t="array" ref="J80">0.001 * SUM(
  SUMIFS(
    'Resource Summary'!$E:$E,
    'Resource Summary'!$B:$B,zones_to_group,
    'Resource Summary'!$A:$A,TRANSPOSE(_xlfn._xlws.FILTER('Results Grouping'!$G$9:$G$322,('Results Grouping'!$H$9:$H$322=$D$57) * ('Results Grouping'!$I$9:$I$322=$D80),0)),
    'Resource Summary'!$C:$C,J$60
  ))</f>
        <v>0</v>
      </c>
      <c r="K80" s="21" cm="1">
        <f t="array" ref="K80">0.001 * SUM(
  SUMIFS(
    'Resource Summary'!$E:$E,
    'Resource Summary'!$B:$B,zones_to_group,
    'Resource Summary'!$A:$A,TRANSPOSE(_xlfn._xlws.FILTER('Results Grouping'!$G$9:$G$322,('Results Grouping'!$H$9:$H$322=$D$57) * ('Results Grouping'!$I$9:$I$322=$D80),0)),
    'Resource Summary'!$C:$C,K$60
  ))</f>
        <v>0</v>
      </c>
      <c r="L80" s="21" cm="1">
        <f t="array" ref="L80">0.001 * SUM(
  SUMIFS(
    'Resource Summary'!$E:$E,
    'Resource Summary'!$B:$B,zones_to_group,
    'Resource Summary'!$A:$A,TRANSPOSE(_xlfn._xlws.FILTER('Results Grouping'!$G$9:$G$322,('Results Grouping'!$H$9:$H$322=$D$57) * ('Results Grouping'!$I$9:$I$322=$D80),0)),
    'Resource Summary'!$C:$C,L$60
  ))</f>
        <v>0</v>
      </c>
      <c r="M80" s="21" cm="1">
        <f t="array" ref="M80">0.001 * SUM(
  SUMIFS(
    'Resource Summary'!$E:$E,
    'Resource Summary'!$B:$B,zones_to_group,
    'Resource Summary'!$A:$A,TRANSPOSE(_xlfn._xlws.FILTER('Results Grouping'!$G$9:$G$322,('Results Grouping'!$H$9:$H$322=$D$57) * ('Results Grouping'!$I$9:$I$322=$D80),0)),
    'Resource Summary'!$C:$C,M$60
  ))</f>
        <v>0</v>
      </c>
      <c r="N80" s="21" cm="1">
        <f t="array" ref="N80">0.001 * SUM(
  SUMIFS(
    'Resource Summary'!$E:$E,
    'Resource Summary'!$B:$B,zones_to_group,
    'Resource Summary'!$A:$A,TRANSPOSE(_xlfn._xlws.FILTER('Results Grouping'!$G$9:$G$322,('Results Grouping'!$H$9:$H$322=$D$57) * ('Results Grouping'!$I$9:$I$322=$D80),0)),
    'Resource Summary'!$C:$C,N$60
  ))</f>
        <v>0</v>
      </c>
      <c r="O80" s="21" cm="1">
        <f t="array" ref="O80">0.001 * SUM(
  SUMIFS(
    'Resource Summary'!$E:$E,
    'Resource Summary'!$B:$B,zones_to_group,
    'Resource Summary'!$A:$A,TRANSPOSE(_xlfn._xlws.FILTER('Results Grouping'!$G$9:$G$322,('Results Grouping'!$H$9:$H$322=$D$57) * ('Results Grouping'!$I$9:$I$322=$D80),0)),
    'Resource Summary'!$C:$C,O$60
  ))</f>
        <v>0</v>
      </c>
      <c r="P80" s="21" cm="1">
        <f t="array" ref="P80">0.001 * SUM(
  SUMIFS(
    'Resource Summary'!$E:$E,
    'Resource Summary'!$B:$B,zones_to_group,
    'Resource Summary'!$A:$A,TRANSPOSE(_xlfn._xlws.FILTER('Results Grouping'!$G$9:$G$322,('Results Grouping'!$H$9:$H$322=$D$57) * ('Results Grouping'!$I$9:$I$322=$D80),0)),
    'Resource Summary'!$C:$C,P$60
  ))</f>
        <v>0</v>
      </c>
      <c r="Q80" s="21" cm="1">
        <f t="array" ref="Q80">0.001 * SUM(
  SUMIFS(
    'Resource Summary'!$E:$E,
    'Resource Summary'!$B:$B,zones_to_group,
    'Resource Summary'!$A:$A,TRANSPOSE(_xlfn._xlws.FILTER('Results Grouping'!$G$9:$G$322,('Results Grouping'!$H$9:$H$322=$D$57) * ('Results Grouping'!$I$9:$I$322=$D80),0)),
    'Resource Summary'!$C:$C,Q$60
  ))</f>
        <v>0</v>
      </c>
      <c r="R80" s="21" cm="1">
        <f t="array" ref="R80">0.001 * SUM(
  SUMIFS(
    'Resource Summary'!$E:$E,
    'Resource Summary'!$B:$B,zones_to_group,
    'Resource Summary'!$A:$A,TRANSPOSE(_xlfn._xlws.FILTER('Results Grouping'!$G$9:$G$322,('Results Grouping'!$H$9:$H$322=$D$57) * ('Results Grouping'!$I$9:$I$322=$D80),0)),
    'Resource Summary'!$C:$C,R$60
  ))</f>
        <v>0</v>
      </c>
      <c r="S80" s="21" cm="1">
        <f t="array" ref="S80">0.001 * SUM(
  SUMIFS(
    'Resource Summary'!$E:$E,
    'Resource Summary'!$B:$B,zones_to_group,
    'Resource Summary'!$A:$A,TRANSPOSE(_xlfn._xlws.FILTER('Results Grouping'!$G$9:$G$322,('Results Grouping'!$H$9:$H$322=$D$57) * ('Results Grouping'!$I$9:$I$322=$D80),0)),
    'Resource Summary'!$C:$C,S$60
  ))</f>
        <v>0</v>
      </c>
      <c r="T80" s="21" cm="1">
        <f t="array" ref="T80">0.001 * SUM(
  SUMIFS(
    'Resource Summary'!$E:$E,
    'Resource Summary'!$B:$B,zones_to_group,
    'Resource Summary'!$A:$A,TRANSPOSE(_xlfn._xlws.FILTER('Results Grouping'!$G$9:$G$322,('Results Grouping'!$H$9:$H$322=$D$57) * ('Results Grouping'!$I$9:$I$322=$D80),0)),
    'Resource Summary'!$C:$C,T$60
  ))</f>
        <v>0</v>
      </c>
      <c r="U80" s="21" cm="1">
        <f t="array" ref="U80">0.001 * SUM(
  SUMIFS(
    'Resource Summary'!$E:$E,
    'Resource Summary'!$B:$B,zones_to_group,
    'Resource Summary'!$A:$A,TRANSPOSE(_xlfn._xlws.FILTER('Results Grouping'!$G$9:$G$322,('Results Grouping'!$H$9:$H$322=$D$57) * ('Results Grouping'!$I$9:$I$322=$D80),0)),
    'Resource Summary'!$C:$C,U$60
  ))</f>
        <v>0</v>
      </c>
      <c r="V80" s="21" cm="1">
        <f t="array" ref="V80">0.001 * SUM(
  SUMIFS(
    'Resource Summary'!$E:$E,
    'Resource Summary'!$B:$B,zones_to_group,
    'Resource Summary'!$A:$A,TRANSPOSE(_xlfn._xlws.FILTER('Results Grouping'!$G$9:$G$322,('Results Grouping'!$H$9:$H$322=$D$57) * ('Results Grouping'!$I$9:$I$322=$D80),0)),
    'Resource Summary'!$C:$C,V$60
  ))</f>
        <v>0</v>
      </c>
      <c r="W80" s="21" cm="1">
        <f t="array" ref="W80">0.001 * SUM(
  SUMIFS(
    'Resource Summary'!$E:$E,
    'Resource Summary'!$B:$B,zones_to_group,
    'Resource Summary'!$A:$A,TRANSPOSE(_xlfn._xlws.FILTER('Results Grouping'!$G$9:$G$322,('Results Grouping'!$H$9:$H$322=$D$57) * ('Results Grouping'!$I$9:$I$322=$D80),0)),
    'Resource Summary'!$C:$C,W$60
  ))</f>
        <v>0</v>
      </c>
      <c r="X80" s="21" cm="1">
        <f t="array" ref="X80">0.001 * SUM(
  SUMIFS(
    'Resource Summary'!$E:$E,
    'Resource Summary'!$B:$B,zones_to_group,
    'Resource Summary'!$A:$A,TRANSPOSE(_xlfn._xlws.FILTER('Results Grouping'!$G$9:$G$322,('Results Grouping'!$H$9:$H$322=$D$57) * ('Results Grouping'!$I$9:$I$322=$D80),0)),
    'Resource Summary'!$C:$C,X$60
  ))</f>
        <v>0</v>
      </c>
      <c r="Y80" s="21" cm="1">
        <f t="array" ref="Y80">0.001 * SUM(
  SUMIFS(
    'Resource Summary'!$E:$E,
    'Resource Summary'!$B:$B,zones_to_group,
    'Resource Summary'!$A:$A,TRANSPOSE(_xlfn._xlws.FILTER('Results Grouping'!$G$9:$G$322,('Results Grouping'!$H$9:$H$322=$D$57) * ('Results Grouping'!$I$9:$I$322=$D80),0)),
    'Resource Summary'!$C:$C,Y$60
  ))</f>
        <v>0</v>
      </c>
      <c r="Z80" s="21" cm="1">
        <f t="array" ref="Z80">0.001 * SUM(
  SUMIFS(
    'Resource Summary'!$E:$E,
    'Resource Summary'!$B:$B,zones_to_group,
    'Resource Summary'!$A:$A,TRANSPOSE(_xlfn._xlws.FILTER('Results Grouping'!$G$9:$G$322,('Results Grouping'!$H$9:$H$322=$D$57) * ('Results Grouping'!$I$9:$I$322=$D80),0)),
    'Resource Summary'!$C:$C,Z$60
  ))</f>
        <v>0</v>
      </c>
      <c r="AA80" s="21" cm="1">
        <f t="array" ref="AA80">0.001 * SUM(
  SUMIFS(
    'Resource Summary'!$E:$E,
    'Resource Summary'!$B:$B,zones_to_group,
    'Resource Summary'!$A:$A,TRANSPOSE(_xlfn._xlws.FILTER('Results Grouping'!$G$9:$G$322,('Results Grouping'!$H$9:$H$322=$D$57) * ('Results Grouping'!$I$9:$I$322=$D80),0)),
    'Resource Summary'!$C:$C,AA$60
  ))</f>
        <v>0</v>
      </c>
      <c r="AB80" s="21" cm="1">
        <f t="array" ref="AB80">0.001 * SUM(
  SUMIFS(
    'Resource Summary'!$E:$E,
    'Resource Summary'!$B:$B,zones_to_group,
    'Resource Summary'!$A:$A,TRANSPOSE(_xlfn._xlws.FILTER('Results Grouping'!$G$9:$G$322,('Results Grouping'!$H$9:$H$322=$D$57) * ('Results Grouping'!$I$9:$I$322=$D80),0)),
    'Resource Summary'!$C:$C,AB$60
  ))</f>
        <v>0</v>
      </c>
      <c r="AC80" s="21" cm="1">
        <f t="array" ref="AC80">0.001 * SUM(
  SUMIFS(
    'Resource Summary'!$E:$E,
    'Resource Summary'!$B:$B,zones_to_group,
    'Resource Summary'!$A:$A,TRANSPOSE(_xlfn._xlws.FILTER('Results Grouping'!$G$9:$G$322,('Results Grouping'!$H$9:$H$322=$D$57) * ('Results Grouping'!$I$9:$I$322=$D80),0)),
    'Resource Summary'!$C:$C,AC$60
  ))</f>
        <v>0</v>
      </c>
      <c r="AD80" s="21" cm="1">
        <f t="array" ref="AD80">0.001 * SUM(
  SUMIFS(
    'Resource Summary'!$E:$E,
    'Resource Summary'!$B:$B,zones_to_group,
    'Resource Summary'!$A:$A,TRANSPOSE(_xlfn._xlws.FILTER('Results Grouping'!$G$9:$G$322,('Results Grouping'!$H$9:$H$322=$D$57) * ('Results Grouping'!$I$9:$I$322=$D80),0)),
    'Resource Summary'!$C:$C,AD$60
  ))</f>
        <v>0</v>
      </c>
      <c r="AH80" s="34"/>
    </row>
    <row r="81" spans="4:34" outlineLevel="1" x14ac:dyDescent="0.2">
      <c r="D81" s="8" t="s">
        <v>149</v>
      </c>
      <c r="E81" s="21" cm="1">
        <f t="array" ref="E81">0.001 * SUM(
  SUMIFS(
    'Resource Summary'!$E:$E,
    'Resource Summary'!$B:$B,zones_to_group,
    'Resource Summary'!$A:$A,TRANSPOSE(_xlfn._xlws.FILTER('Results Grouping'!$G$9:$G$322,('Results Grouping'!$H$9:$H$322=$D$57) * ('Results Grouping'!$I$9:$I$322=$D81),0)),
    'Resource Summary'!$C:$C,E$60
  ))</f>
        <v>0</v>
      </c>
      <c r="F81" s="21" cm="1">
        <f t="array" ref="F81">0.001 * SUM(
  SUMIFS(
    'Resource Summary'!$E:$E,
    'Resource Summary'!$B:$B,zones_to_group,
    'Resource Summary'!$A:$A,TRANSPOSE(_xlfn._xlws.FILTER('Results Grouping'!$G$9:$G$322,('Results Grouping'!$H$9:$H$322=$D$57) * ('Results Grouping'!$I$9:$I$322=$D81),0)),
    'Resource Summary'!$C:$C,F$60
  ))</f>
        <v>0</v>
      </c>
      <c r="G81" s="21" cm="1">
        <f t="array" ref="G81">0.001 * SUM(
  SUMIFS(
    'Resource Summary'!$E:$E,
    'Resource Summary'!$B:$B,zones_to_group,
    'Resource Summary'!$A:$A,TRANSPOSE(_xlfn._xlws.FILTER('Results Grouping'!$G$9:$G$322,('Results Grouping'!$H$9:$H$322=$D$57) * ('Results Grouping'!$I$9:$I$322=$D81),0)),
    'Resource Summary'!$C:$C,G$60
  ))</f>
        <v>0</v>
      </c>
      <c r="H81" s="21" cm="1">
        <f t="array" ref="H81">0.001 * SUM(
  SUMIFS(
    'Resource Summary'!$E:$E,
    'Resource Summary'!$B:$B,zones_to_group,
    'Resource Summary'!$A:$A,TRANSPOSE(_xlfn._xlws.FILTER('Results Grouping'!$G$9:$G$322,('Results Grouping'!$H$9:$H$322=$D$57) * ('Results Grouping'!$I$9:$I$322=$D81),0)),
    'Resource Summary'!$C:$C,H$60
  ))</f>
        <v>0</v>
      </c>
      <c r="I81" s="21" cm="1">
        <f t="array" ref="I81">0.001 * SUM(
  SUMIFS(
    'Resource Summary'!$E:$E,
    'Resource Summary'!$B:$B,zones_to_group,
    'Resource Summary'!$A:$A,TRANSPOSE(_xlfn._xlws.FILTER('Results Grouping'!$G$9:$G$322,('Results Grouping'!$H$9:$H$322=$D$57) * ('Results Grouping'!$I$9:$I$322=$D81),0)),
    'Resource Summary'!$C:$C,I$60
  ))</f>
        <v>0</v>
      </c>
      <c r="J81" s="21" cm="1">
        <f t="array" ref="J81">0.001 * SUM(
  SUMIFS(
    'Resource Summary'!$E:$E,
    'Resource Summary'!$B:$B,zones_to_group,
    'Resource Summary'!$A:$A,TRANSPOSE(_xlfn._xlws.FILTER('Results Grouping'!$G$9:$G$322,('Results Grouping'!$H$9:$H$322=$D$57) * ('Results Grouping'!$I$9:$I$322=$D81),0)),
    'Resource Summary'!$C:$C,J$60
  ))</f>
        <v>0</v>
      </c>
      <c r="K81" s="21" cm="1">
        <f t="array" ref="K81">0.001 * SUM(
  SUMIFS(
    'Resource Summary'!$E:$E,
    'Resource Summary'!$B:$B,zones_to_group,
    'Resource Summary'!$A:$A,TRANSPOSE(_xlfn._xlws.FILTER('Results Grouping'!$G$9:$G$322,('Results Grouping'!$H$9:$H$322=$D$57) * ('Results Grouping'!$I$9:$I$322=$D81),0)),
    'Resource Summary'!$C:$C,K$60
  ))</f>
        <v>0</v>
      </c>
      <c r="L81" s="21" cm="1">
        <f t="array" ref="L81">0.001 * SUM(
  SUMIFS(
    'Resource Summary'!$E:$E,
    'Resource Summary'!$B:$B,zones_to_group,
    'Resource Summary'!$A:$A,TRANSPOSE(_xlfn._xlws.FILTER('Results Grouping'!$G$9:$G$322,('Results Grouping'!$H$9:$H$322=$D$57) * ('Results Grouping'!$I$9:$I$322=$D81),0)),
    'Resource Summary'!$C:$C,L$60
  ))</f>
        <v>0</v>
      </c>
      <c r="M81" s="21" cm="1">
        <f t="array" ref="M81">0.001 * SUM(
  SUMIFS(
    'Resource Summary'!$E:$E,
    'Resource Summary'!$B:$B,zones_to_group,
    'Resource Summary'!$A:$A,TRANSPOSE(_xlfn._xlws.FILTER('Results Grouping'!$G$9:$G$322,('Results Grouping'!$H$9:$H$322=$D$57) * ('Results Grouping'!$I$9:$I$322=$D81),0)),
    'Resource Summary'!$C:$C,M$60
  ))</f>
        <v>0</v>
      </c>
      <c r="N81" s="21" cm="1">
        <f t="array" ref="N81">0.001 * SUM(
  SUMIFS(
    'Resource Summary'!$E:$E,
    'Resource Summary'!$B:$B,zones_to_group,
    'Resource Summary'!$A:$A,TRANSPOSE(_xlfn._xlws.FILTER('Results Grouping'!$G$9:$G$322,('Results Grouping'!$H$9:$H$322=$D$57) * ('Results Grouping'!$I$9:$I$322=$D81),0)),
    'Resource Summary'!$C:$C,N$60
  ))</f>
        <v>0</v>
      </c>
      <c r="O81" s="21" cm="1">
        <f t="array" ref="O81">0.001 * SUM(
  SUMIFS(
    'Resource Summary'!$E:$E,
    'Resource Summary'!$B:$B,zones_to_group,
    'Resource Summary'!$A:$A,TRANSPOSE(_xlfn._xlws.FILTER('Results Grouping'!$G$9:$G$322,('Results Grouping'!$H$9:$H$322=$D$57) * ('Results Grouping'!$I$9:$I$322=$D81),0)),
    'Resource Summary'!$C:$C,O$60
  ))</f>
        <v>0</v>
      </c>
      <c r="P81" s="21" cm="1">
        <f t="array" ref="P81">0.001 * SUM(
  SUMIFS(
    'Resource Summary'!$E:$E,
    'Resource Summary'!$B:$B,zones_to_group,
    'Resource Summary'!$A:$A,TRANSPOSE(_xlfn._xlws.FILTER('Results Grouping'!$G$9:$G$322,('Results Grouping'!$H$9:$H$322=$D$57) * ('Results Grouping'!$I$9:$I$322=$D81),0)),
    'Resource Summary'!$C:$C,P$60
  ))</f>
        <v>0</v>
      </c>
      <c r="Q81" s="21" cm="1">
        <f t="array" ref="Q81">0.001 * SUM(
  SUMIFS(
    'Resource Summary'!$E:$E,
    'Resource Summary'!$B:$B,zones_to_group,
    'Resource Summary'!$A:$A,TRANSPOSE(_xlfn._xlws.FILTER('Results Grouping'!$G$9:$G$322,('Results Grouping'!$H$9:$H$322=$D$57) * ('Results Grouping'!$I$9:$I$322=$D81),0)),
    'Resource Summary'!$C:$C,Q$60
  ))</f>
        <v>0</v>
      </c>
      <c r="R81" s="21" cm="1">
        <f t="array" ref="R81">0.001 * SUM(
  SUMIFS(
    'Resource Summary'!$E:$E,
    'Resource Summary'!$B:$B,zones_to_group,
    'Resource Summary'!$A:$A,TRANSPOSE(_xlfn._xlws.FILTER('Results Grouping'!$G$9:$G$322,('Results Grouping'!$H$9:$H$322=$D$57) * ('Results Grouping'!$I$9:$I$322=$D81),0)),
    'Resource Summary'!$C:$C,R$60
  ))</f>
        <v>0</v>
      </c>
      <c r="S81" s="21" cm="1">
        <f t="array" ref="S81">0.001 * SUM(
  SUMIFS(
    'Resource Summary'!$E:$E,
    'Resource Summary'!$B:$B,zones_to_group,
    'Resource Summary'!$A:$A,TRANSPOSE(_xlfn._xlws.FILTER('Results Grouping'!$G$9:$G$322,('Results Grouping'!$H$9:$H$322=$D$57) * ('Results Grouping'!$I$9:$I$322=$D81),0)),
    'Resource Summary'!$C:$C,S$60
  ))</f>
        <v>0</v>
      </c>
      <c r="T81" s="21" cm="1">
        <f t="array" ref="T81">0.001 * SUM(
  SUMIFS(
    'Resource Summary'!$E:$E,
    'Resource Summary'!$B:$B,zones_to_group,
    'Resource Summary'!$A:$A,TRANSPOSE(_xlfn._xlws.FILTER('Results Grouping'!$G$9:$G$322,('Results Grouping'!$H$9:$H$322=$D$57) * ('Results Grouping'!$I$9:$I$322=$D81),0)),
    'Resource Summary'!$C:$C,T$60
  ))</f>
        <v>0</v>
      </c>
      <c r="U81" s="21" cm="1">
        <f t="array" ref="U81">0.001 * SUM(
  SUMIFS(
    'Resource Summary'!$E:$E,
    'Resource Summary'!$B:$B,zones_to_group,
    'Resource Summary'!$A:$A,TRANSPOSE(_xlfn._xlws.FILTER('Results Grouping'!$G$9:$G$322,('Results Grouping'!$H$9:$H$322=$D$57) * ('Results Grouping'!$I$9:$I$322=$D81),0)),
    'Resource Summary'!$C:$C,U$60
  ))</f>
        <v>0</v>
      </c>
      <c r="V81" s="21" cm="1">
        <f t="array" ref="V81">0.001 * SUM(
  SUMIFS(
    'Resource Summary'!$E:$E,
    'Resource Summary'!$B:$B,zones_to_group,
    'Resource Summary'!$A:$A,TRANSPOSE(_xlfn._xlws.FILTER('Results Grouping'!$G$9:$G$322,('Results Grouping'!$H$9:$H$322=$D$57) * ('Results Grouping'!$I$9:$I$322=$D81),0)),
    'Resource Summary'!$C:$C,V$60
  ))</f>
        <v>0</v>
      </c>
      <c r="W81" s="21" cm="1">
        <f t="array" ref="W81">0.001 * SUM(
  SUMIFS(
    'Resource Summary'!$E:$E,
    'Resource Summary'!$B:$B,zones_to_group,
    'Resource Summary'!$A:$A,TRANSPOSE(_xlfn._xlws.FILTER('Results Grouping'!$G$9:$G$322,('Results Grouping'!$H$9:$H$322=$D$57) * ('Results Grouping'!$I$9:$I$322=$D81),0)),
    'Resource Summary'!$C:$C,W$60
  ))</f>
        <v>0</v>
      </c>
      <c r="X81" s="21" cm="1">
        <f t="array" ref="X81">0.001 * SUM(
  SUMIFS(
    'Resource Summary'!$E:$E,
    'Resource Summary'!$B:$B,zones_to_group,
    'Resource Summary'!$A:$A,TRANSPOSE(_xlfn._xlws.FILTER('Results Grouping'!$G$9:$G$322,('Results Grouping'!$H$9:$H$322=$D$57) * ('Results Grouping'!$I$9:$I$322=$D81),0)),
    'Resource Summary'!$C:$C,X$60
  ))</f>
        <v>0</v>
      </c>
      <c r="Y81" s="21" cm="1">
        <f t="array" ref="Y81">0.001 * SUM(
  SUMIFS(
    'Resource Summary'!$E:$E,
    'Resource Summary'!$B:$B,zones_to_group,
    'Resource Summary'!$A:$A,TRANSPOSE(_xlfn._xlws.FILTER('Results Grouping'!$G$9:$G$322,('Results Grouping'!$H$9:$H$322=$D$57) * ('Results Grouping'!$I$9:$I$322=$D81),0)),
    'Resource Summary'!$C:$C,Y$60
  ))</f>
        <v>0</v>
      </c>
      <c r="Z81" s="21" cm="1">
        <f t="array" ref="Z81">0.001 * SUM(
  SUMIFS(
    'Resource Summary'!$E:$E,
    'Resource Summary'!$B:$B,zones_to_group,
    'Resource Summary'!$A:$A,TRANSPOSE(_xlfn._xlws.FILTER('Results Grouping'!$G$9:$G$322,('Results Grouping'!$H$9:$H$322=$D$57) * ('Results Grouping'!$I$9:$I$322=$D81),0)),
    'Resource Summary'!$C:$C,Z$60
  ))</f>
        <v>0</v>
      </c>
      <c r="AA81" s="21" cm="1">
        <f t="array" ref="AA81">0.001 * SUM(
  SUMIFS(
    'Resource Summary'!$E:$E,
    'Resource Summary'!$B:$B,zones_to_group,
    'Resource Summary'!$A:$A,TRANSPOSE(_xlfn._xlws.FILTER('Results Grouping'!$G$9:$G$322,('Results Grouping'!$H$9:$H$322=$D$57) * ('Results Grouping'!$I$9:$I$322=$D81),0)),
    'Resource Summary'!$C:$C,AA$60
  ))</f>
        <v>0</v>
      </c>
      <c r="AB81" s="21" cm="1">
        <f t="array" ref="AB81">0.001 * SUM(
  SUMIFS(
    'Resource Summary'!$E:$E,
    'Resource Summary'!$B:$B,zones_to_group,
    'Resource Summary'!$A:$A,TRANSPOSE(_xlfn._xlws.FILTER('Results Grouping'!$G$9:$G$322,('Results Grouping'!$H$9:$H$322=$D$57) * ('Results Grouping'!$I$9:$I$322=$D81),0)),
    'Resource Summary'!$C:$C,AB$60
  ))</f>
        <v>0</v>
      </c>
      <c r="AC81" s="21" cm="1">
        <f t="array" ref="AC81">0.001 * SUM(
  SUMIFS(
    'Resource Summary'!$E:$E,
    'Resource Summary'!$B:$B,zones_to_group,
    'Resource Summary'!$A:$A,TRANSPOSE(_xlfn._xlws.FILTER('Results Grouping'!$G$9:$G$322,('Results Grouping'!$H$9:$H$322=$D$57) * ('Results Grouping'!$I$9:$I$322=$D81),0)),
    'Resource Summary'!$C:$C,AC$60
  ))</f>
        <v>0</v>
      </c>
      <c r="AD81" s="21" cm="1">
        <f t="array" ref="AD81">0.001 * SUM(
  SUMIFS(
    'Resource Summary'!$E:$E,
    'Resource Summary'!$B:$B,zones_to_group,
    'Resource Summary'!$A:$A,TRANSPOSE(_xlfn._xlws.FILTER('Results Grouping'!$G$9:$G$322,('Results Grouping'!$H$9:$H$322=$D$57) * ('Results Grouping'!$I$9:$I$322=$D81),0)),
    'Resource Summary'!$C:$C,AD$60
  ))</f>
        <v>0</v>
      </c>
      <c r="AH81" s="34"/>
    </row>
    <row r="82" spans="4:34" outlineLevel="1" x14ac:dyDescent="0.2">
      <c r="D82" s="8" t="s">
        <v>150</v>
      </c>
      <c r="E82" s="21" cm="1">
        <f t="array" ref="E82">0.001 * SUM(
  SUMIFS(
    'Resource Summary'!$E:$E,
    'Resource Summary'!$B:$B,zones_to_group,
    'Resource Summary'!$A:$A,TRANSPOSE(_xlfn._xlws.FILTER('Results Grouping'!$G$9:$G$322,('Results Grouping'!$H$9:$H$322=$D$57) * ('Results Grouping'!$I$9:$I$322=$D82),0)),
    'Resource Summary'!$C:$C,E$60
  ))</f>
        <v>0</v>
      </c>
      <c r="F82" s="21" cm="1">
        <f t="array" ref="F82">0.001 * SUM(
  SUMIFS(
    'Resource Summary'!$E:$E,
    'Resource Summary'!$B:$B,zones_to_group,
    'Resource Summary'!$A:$A,TRANSPOSE(_xlfn._xlws.FILTER('Results Grouping'!$G$9:$G$322,('Results Grouping'!$H$9:$H$322=$D$57) * ('Results Grouping'!$I$9:$I$322=$D82),0)),
    'Resource Summary'!$C:$C,F$60
  ))</f>
        <v>0</v>
      </c>
      <c r="G82" s="21" cm="1">
        <f t="array" ref="G82">0.001 * SUM(
  SUMIFS(
    'Resource Summary'!$E:$E,
    'Resource Summary'!$B:$B,zones_to_group,
    'Resource Summary'!$A:$A,TRANSPOSE(_xlfn._xlws.FILTER('Results Grouping'!$G$9:$G$322,('Results Grouping'!$H$9:$H$322=$D$57) * ('Results Grouping'!$I$9:$I$322=$D82),0)),
    'Resource Summary'!$C:$C,G$60
  ))</f>
        <v>0</v>
      </c>
      <c r="H82" s="21" cm="1">
        <f t="array" ref="H82">0.001 * SUM(
  SUMIFS(
    'Resource Summary'!$E:$E,
    'Resource Summary'!$B:$B,zones_to_group,
    'Resource Summary'!$A:$A,TRANSPOSE(_xlfn._xlws.FILTER('Results Grouping'!$G$9:$G$322,('Results Grouping'!$H$9:$H$322=$D$57) * ('Results Grouping'!$I$9:$I$322=$D82),0)),
    'Resource Summary'!$C:$C,H$60
  ))</f>
        <v>0</v>
      </c>
      <c r="I82" s="21" cm="1">
        <f t="array" ref="I82">0.001 * SUM(
  SUMIFS(
    'Resource Summary'!$E:$E,
    'Resource Summary'!$B:$B,zones_to_group,
    'Resource Summary'!$A:$A,TRANSPOSE(_xlfn._xlws.FILTER('Results Grouping'!$G$9:$G$322,('Results Grouping'!$H$9:$H$322=$D$57) * ('Results Grouping'!$I$9:$I$322=$D82),0)),
    'Resource Summary'!$C:$C,I$60
  ))</f>
        <v>0</v>
      </c>
      <c r="J82" s="21" cm="1">
        <f t="array" ref="J82">0.001 * SUM(
  SUMIFS(
    'Resource Summary'!$E:$E,
    'Resource Summary'!$B:$B,zones_to_group,
    'Resource Summary'!$A:$A,TRANSPOSE(_xlfn._xlws.FILTER('Results Grouping'!$G$9:$G$322,('Results Grouping'!$H$9:$H$322=$D$57) * ('Results Grouping'!$I$9:$I$322=$D82),0)),
    'Resource Summary'!$C:$C,J$60
  ))</f>
        <v>0</v>
      </c>
      <c r="K82" s="21" cm="1">
        <f t="array" ref="K82">0.001 * SUM(
  SUMIFS(
    'Resource Summary'!$E:$E,
    'Resource Summary'!$B:$B,zones_to_group,
    'Resource Summary'!$A:$A,TRANSPOSE(_xlfn._xlws.FILTER('Results Grouping'!$G$9:$G$322,('Results Grouping'!$H$9:$H$322=$D$57) * ('Results Grouping'!$I$9:$I$322=$D82),0)),
    'Resource Summary'!$C:$C,K$60
  ))</f>
        <v>0</v>
      </c>
      <c r="L82" s="21" cm="1">
        <f t="array" ref="L82">0.001 * SUM(
  SUMIFS(
    'Resource Summary'!$E:$E,
    'Resource Summary'!$B:$B,zones_to_group,
    'Resource Summary'!$A:$A,TRANSPOSE(_xlfn._xlws.FILTER('Results Grouping'!$G$9:$G$322,('Results Grouping'!$H$9:$H$322=$D$57) * ('Results Grouping'!$I$9:$I$322=$D82),0)),
    'Resource Summary'!$C:$C,L$60
  ))</f>
        <v>0</v>
      </c>
      <c r="M82" s="21" cm="1">
        <f t="array" ref="M82">0.001 * SUM(
  SUMIFS(
    'Resource Summary'!$E:$E,
    'Resource Summary'!$B:$B,zones_to_group,
    'Resource Summary'!$A:$A,TRANSPOSE(_xlfn._xlws.FILTER('Results Grouping'!$G$9:$G$322,('Results Grouping'!$H$9:$H$322=$D$57) * ('Results Grouping'!$I$9:$I$322=$D82),0)),
    'Resource Summary'!$C:$C,M$60
  ))</f>
        <v>0</v>
      </c>
      <c r="N82" s="21" cm="1">
        <f t="array" ref="N82">0.001 * SUM(
  SUMIFS(
    'Resource Summary'!$E:$E,
    'Resource Summary'!$B:$B,zones_to_group,
    'Resource Summary'!$A:$A,TRANSPOSE(_xlfn._xlws.FILTER('Results Grouping'!$G$9:$G$322,('Results Grouping'!$H$9:$H$322=$D$57) * ('Results Grouping'!$I$9:$I$322=$D82),0)),
    'Resource Summary'!$C:$C,N$60
  ))</f>
        <v>0</v>
      </c>
      <c r="O82" s="21" cm="1">
        <f t="array" ref="O82">0.001 * SUM(
  SUMIFS(
    'Resource Summary'!$E:$E,
    'Resource Summary'!$B:$B,zones_to_group,
    'Resource Summary'!$A:$A,TRANSPOSE(_xlfn._xlws.FILTER('Results Grouping'!$G$9:$G$322,('Results Grouping'!$H$9:$H$322=$D$57) * ('Results Grouping'!$I$9:$I$322=$D82),0)),
    'Resource Summary'!$C:$C,O$60
  ))</f>
        <v>0</v>
      </c>
      <c r="P82" s="21" cm="1">
        <f t="array" ref="P82">0.001 * SUM(
  SUMIFS(
    'Resource Summary'!$E:$E,
    'Resource Summary'!$B:$B,zones_to_group,
    'Resource Summary'!$A:$A,TRANSPOSE(_xlfn._xlws.FILTER('Results Grouping'!$G$9:$G$322,('Results Grouping'!$H$9:$H$322=$D$57) * ('Results Grouping'!$I$9:$I$322=$D82),0)),
    'Resource Summary'!$C:$C,P$60
  ))</f>
        <v>0</v>
      </c>
      <c r="Q82" s="21" cm="1">
        <f t="array" ref="Q82">0.001 * SUM(
  SUMIFS(
    'Resource Summary'!$E:$E,
    'Resource Summary'!$B:$B,zones_to_group,
    'Resource Summary'!$A:$A,TRANSPOSE(_xlfn._xlws.FILTER('Results Grouping'!$G$9:$G$322,('Results Grouping'!$H$9:$H$322=$D$57) * ('Results Grouping'!$I$9:$I$322=$D82),0)),
    'Resource Summary'!$C:$C,Q$60
  ))</f>
        <v>0</v>
      </c>
      <c r="R82" s="21" cm="1">
        <f t="array" ref="R82">0.001 * SUM(
  SUMIFS(
    'Resource Summary'!$E:$E,
    'Resource Summary'!$B:$B,zones_to_group,
    'Resource Summary'!$A:$A,TRANSPOSE(_xlfn._xlws.FILTER('Results Grouping'!$G$9:$G$322,('Results Grouping'!$H$9:$H$322=$D$57) * ('Results Grouping'!$I$9:$I$322=$D82),0)),
    'Resource Summary'!$C:$C,R$60
  ))</f>
        <v>0</v>
      </c>
      <c r="S82" s="21" cm="1">
        <f t="array" ref="S82">0.001 * SUM(
  SUMIFS(
    'Resource Summary'!$E:$E,
    'Resource Summary'!$B:$B,zones_to_group,
    'Resource Summary'!$A:$A,TRANSPOSE(_xlfn._xlws.FILTER('Results Grouping'!$G$9:$G$322,('Results Grouping'!$H$9:$H$322=$D$57) * ('Results Grouping'!$I$9:$I$322=$D82),0)),
    'Resource Summary'!$C:$C,S$60
  ))</f>
        <v>0</v>
      </c>
      <c r="T82" s="21" cm="1">
        <f t="array" ref="T82">0.001 * SUM(
  SUMIFS(
    'Resource Summary'!$E:$E,
    'Resource Summary'!$B:$B,zones_to_group,
    'Resource Summary'!$A:$A,TRANSPOSE(_xlfn._xlws.FILTER('Results Grouping'!$G$9:$G$322,('Results Grouping'!$H$9:$H$322=$D$57) * ('Results Grouping'!$I$9:$I$322=$D82),0)),
    'Resource Summary'!$C:$C,T$60
  ))</f>
        <v>0</v>
      </c>
      <c r="U82" s="21" cm="1">
        <f t="array" ref="U82">0.001 * SUM(
  SUMIFS(
    'Resource Summary'!$E:$E,
    'Resource Summary'!$B:$B,zones_to_group,
    'Resource Summary'!$A:$A,TRANSPOSE(_xlfn._xlws.FILTER('Results Grouping'!$G$9:$G$322,('Results Grouping'!$H$9:$H$322=$D$57) * ('Results Grouping'!$I$9:$I$322=$D82),0)),
    'Resource Summary'!$C:$C,U$60
  ))</f>
        <v>0</v>
      </c>
      <c r="V82" s="21" cm="1">
        <f t="array" ref="V82">0.001 * SUM(
  SUMIFS(
    'Resource Summary'!$E:$E,
    'Resource Summary'!$B:$B,zones_to_group,
    'Resource Summary'!$A:$A,TRANSPOSE(_xlfn._xlws.FILTER('Results Grouping'!$G$9:$G$322,('Results Grouping'!$H$9:$H$322=$D$57) * ('Results Grouping'!$I$9:$I$322=$D82),0)),
    'Resource Summary'!$C:$C,V$60
  ))</f>
        <v>0</v>
      </c>
      <c r="W82" s="21" cm="1">
        <f t="array" ref="W82">0.001 * SUM(
  SUMIFS(
    'Resource Summary'!$E:$E,
    'Resource Summary'!$B:$B,zones_to_group,
    'Resource Summary'!$A:$A,TRANSPOSE(_xlfn._xlws.FILTER('Results Grouping'!$G$9:$G$322,('Results Grouping'!$H$9:$H$322=$D$57) * ('Results Grouping'!$I$9:$I$322=$D82),0)),
    'Resource Summary'!$C:$C,W$60
  ))</f>
        <v>0</v>
      </c>
      <c r="X82" s="21" cm="1">
        <f t="array" ref="X82">0.001 * SUM(
  SUMIFS(
    'Resource Summary'!$E:$E,
    'Resource Summary'!$B:$B,zones_to_group,
    'Resource Summary'!$A:$A,TRANSPOSE(_xlfn._xlws.FILTER('Results Grouping'!$G$9:$G$322,('Results Grouping'!$H$9:$H$322=$D$57) * ('Results Grouping'!$I$9:$I$322=$D82),0)),
    'Resource Summary'!$C:$C,X$60
  ))</f>
        <v>0</v>
      </c>
      <c r="Y82" s="21" cm="1">
        <f t="array" ref="Y82">0.001 * SUM(
  SUMIFS(
    'Resource Summary'!$E:$E,
    'Resource Summary'!$B:$B,zones_to_group,
    'Resource Summary'!$A:$A,TRANSPOSE(_xlfn._xlws.FILTER('Results Grouping'!$G$9:$G$322,('Results Grouping'!$H$9:$H$322=$D$57) * ('Results Grouping'!$I$9:$I$322=$D82),0)),
    'Resource Summary'!$C:$C,Y$60
  ))</f>
        <v>0</v>
      </c>
      <c r="Z82" s="21" cm="1">
        <f t="array" ref="Z82">0.001 * SUM(
  SUMIFS(
    'Resource Summary'!$E:$E,
    'Resource Summary'!$B:$B,zones_to_group,
    'Resource Summary'!$A:$A,TRANSPOSE(_xlfn._xlws.FILTER('Results Grouping'!$G$9:$G$322,('Results Grouping'!$H$9:$H$322=$D$57) * ('Results Grouping'!$I$9:$I$322=$D82),0)),
    'Resource Summary'!$C:$C,Z$60
  ))</f>
        <v>0</v>
      </c>
      <c r="AA82" s="21" cm="1">
        <f t="array" ref="AA82">0.001 * SUM(
  SUMIFS(
    'Resource Summary'!$E:$E,
    'Resource Summary'!$B:$B,zones_to_group,
    'Resource Summary'!$A:$A,TRANSPOSE(_xlfn._xlws.FILTER('Results Grouping'!$G$9:$G$322,('Results Grouping'!$H$9:$H$322=$D$57) * ('Results Grouping'!$I$9:$I$322=$D82),0)),
    'Resource Summary'!$C:$C,AA$60
  ))</f>
        <v>0</v>
      </c>
      <c r="AB82" s="21" cm="1">
        <f t="array" ref="AB82">0.001 * SUM(
  SUMIFS(
    'Resource Summary'!$E:$E,
    'Resource Summary'!$B:$B,zones_to_group,
    'Resource Summary'!$A:$A,TRANSPOSE(_xlfn._xlws.FILTER('Results Grouping'!$G$9:$G$322,('Results Grouping'!$H$9:$H$322=$D$57) * ('Results Grouping'!$I$9:$I$322=$D82),0)),
    'Resource Summary'!$C:$C,AB$60
  ))</f>
        <v>0</v>
      </c>
      <c r="AC82" s="21" cm="1">
        <f t="array" ref="AC82">0.001 * SUM(
  SUMIFS(
    'Resource Summary'!$E:$E,
    'Resource Summary'!$B:$B,zones_to_group,
    'Resource Summary'!$A:$A,TRANSPOSE(_xlfn._xlws.FILTER('Results Grouping'!$G$9:$G$322,('Results Grouping'!$H$9:$H$322=$D$57) * ('Results Grouping'!$I$9:$I$322=$D82),0)),
    'Resource Summary'!$C:$C,AC$60
  ))</f>
        <v>0</v>
      </c>
      <c r="AD82" s="21" cm="1">
        <f t="array" ref="AD82">0.001 * SUM(
  SUMIFS(
    'Resource Summary'!$E:$E,
    'Resource Summary'!$B:$B,zones_to_group,
    'Resource Summary'!$A:$A,TRANSPOSE(_xlfn._xlws.FILTER('Results Grouping'!$G$9:$G$322,('Results Grouping'!$H$9:$H$322=$D$57) * ('Results Grouping'!$I$9:$I$322=$D82),0)),
    'Resource Summary'!$C:$C,AD$60
  ))</f>
        <v>3.4209643003847434</v>
      </c>
      <c r="AH82" s="34"/>
    </row>
    <row r="83" spans="4:34" outlineLevel="1" x14ac:dyDescent="0.2">
      <c r="D83" s="8" t="s">
        <v>121</v>
      </c>
      <c r="E83" s="21" cm="1">
        <f t="array" ref="E83">0.001 * SUM(
  SUMIFS(
    'Resource Summary'!$E:$E,
    'Resource Summary'!$B:$B,zones_to_group,
    'Resource Summary'!$A:$A,TRANSPOSE(_xlfn._xlws.FILTER('Results Grouping'!$G$9:$G$322,('Results Grouping'!$H$9:$H$322=$D$57) * ('Results Grouping'!$I$9:$I$322=$D83),0)),
    'Resource Summary'!$C:$C,E$60
  ))</f>
        <v>0</v>
      </c>
      <c r="F83" s="21" cm="1">
        <f t="array" ref="F83">0.001 * SUM(
  SUMIFS(
    'Resource Summary'!$E:$E,
    'Resource Summary'!$B:$B,zones_to_group,
    'Resource Summary'!$A:$A,TRANSPOSE(_xlfn._xlws.FILTER('Results Grouping'!$G$9:$G$322,('Results Grouping'!$H$9:$H$322=$D$57) * ('Results Grouping'!$I$9:$I$322=$D83),0)),
    'Resource Summary'!$C:$C,F$60
  ))</f>
        <v>0</v>
      </c>
      <c r="G83" s="21" cm="1">
        <f t="array" ref="G83">0.001 * SUM(
  SUMIFS(
    'Resource Summary'!$E:$E,
    'Resource Summary'!$B:$B,zones_to_group,
    'Resource Summary'!$A:$A,TRANSPOSE(_xlfn._xlws.FILTER('Results Grouping'!$G$9:$G$322,('Results Grouping'!$H$9:$H$322=$D$57) * ('Results Grouping'!$I$9:$I$322=$D83),0)),
    'Resource Summary'!$C:$C,G$60
  ))</f>
        <v>0</v>
      </c>
      <c r="H83" s="21" cm="1">
        <f t="array" ref="H83">0.001 * SUM(
  SUMIFS(
    'Resource Summary'!$E:$E,
    'Resource Summary'!$B:$B,zones_to_group,
    'Resource Summary'!$A:$A,TRANSPOSE(_xlfn._xlws.FILTER('Results Grouping'!$G$9:$G$322,('Results Grouping'!$H$9:$H$322=$D$57) * ('Results Grouping'!$I$9:$I$322=$D83),0)),
    'Resource Summary'!$C:$C,H$60
  ))</f>
        <v>0</v>
      </c>
      <c r="I83" s="21" cm="1">
        <f t="array" ref="I83">0.001 * SUM(
  SUMIFS(
    'Resource Summary'!$E:$E,
    'Resource Summary'!$B:$B,zones_to_group,
    'Resource Summary'!$A:$A,TRANSPOSE(_xlfn._xlws.FILTER('Results Grouping'!$G$9:$G$322,('Results Grouping'!$H$9:$H$322=$D$57) * ('Results Grouping'!$I$9:$I$322=$D83),0)),
    'Resource Summary'!$C:$C,I$60
  ))</f>
        <v>0</v>
      </c>
      <c r="J83" s="21" cm="1">
        <f t="array" ref="J83">0.001 * SUM(
  SUMIFS(
    'Resource Summary'!$E:$E,
    'Resource Summary'!$B:$B,zones_to_group,
    'Resource Summary'!$A:$A,TRANSPOSE(_xlfn._xlws.FILTER('Results Grouping'!$G$9:$G$322,('Results Grouping'!$H$9:$H$322=$D$57) * ('Results Grouping'!$I$9:$I$322=$D83),0)),
    'Resource Summary'!$C:$C,J$60
  ))</f>
        <v>0</v>
      </c>
      <c r="K83" s="21" cm="1">
        <f t="array" ref="K83">0.001 * SUM(
  SUMIFS(
    'Resource Summary'!$E:$E,
    'Resource Summary'!$B:$B,zones_to_group,
    'Resource Summary'!$A:$A,TRANSPOSE(_xlfn._xlws.FILTER('Results Grouping'!$G$9:$G$322,('Results Grouping'!$H$9:$H$322=$D$57) * ('Results Grouping'!$I$9:$I$322=$D83),0)),
    'Resource Summary'!$C:$C,K$60
  ))</f>
        <v>0</v>
      </c>
      <c r="L83" s="21" cm="1">
        <f t="array" ref="L83">0.001 * SUM(
  SUMIFS(
    'Resource Summary'!$E:$E,
    'Resource Summary'!$B:$B,zones_to_group,
    'Resource Summary'!$A:$A,TRANSPOSE(_xlfn._xlws.FILTER('Results Grouping'!$G$9:$G$322,('Results Grouping'!$H$9:$H$322=$D$57) * ('Results Grouping'!$I$9:$I$322=$D83),0)),
    'Resource Summary'!$C:$C,L$60
  ))</f>
        <v>0</v>
      </c>
      <c r="M83" s="21" cm="1">
        <f t="array" ref="M83">0.001 * SUM(
  SUMIFS(
    'Resource Summary'!$E:$E,
    'Resource Summary'!$B:$B,zones_to_group,
    'Resource Summary'!$A:$A,TRANSPOSE(_xlfn._xlws.FILTER('Results Grouping'!$G$9:$G$322,('Results Grouping'!$H$9:$H$322=$D$57) * ('Results Grouping'!$I$9:$I$322=$D83),0)),
    'Resource Summary'!$C:$C,M$60
  ))</f>
        <v>0</v>
      </c>
      <c r="N83" s="21" cm="1">
        <f t="array" ref="N83">0.001 * SUM(
  SUMIFS(
    'Resource Summary'!$E:$E,
    'Resource Summary'!$B:$B,zones_to_group,
    'Resource Summary'!$A:$A,TRANSPOSE(_xlfn._xlws.FILTER('Results Grouping'!$G$9:$G$322,('Results Grouping'!$H$9:$H$322=$D$57) * ('Results Grouping'!$I$9:$I$322=$D83),0)),
    'Resource Summary'!$C:$C,N$60
  ))</f>
        <v>0</v>
      </c>
      <c r="O83" s="21" cm="1">
        <f t="array" ref="O83">0.001 * SUM(
  SUMIFS(
    'Resource Summary'!$E:$E,
    'Resource Summary'!$B:$B,zones_to_group,
    'Resource Summary'!$A:$A,TRANSPOSE(_xlfn._xlws.FILTER('Results Grouping'!$G$9:$G$322,('Results Grouping'!$H$9:$H$322=$D$57) * ('Results Grouping'!$I$9:$I$322=$D83),0)),
    'Resource Summary'!$C:$C,O$60
  ))</f>
        <v>0</v>
      </c>
      <c r="P83" s="21" cm="1">
        <f t="array" ref="P83">0.001 * SUM(
  SUMIFS(
    'Resource Summary'!$E:$E,
    'Resource Summary'!$B:$B,zones_to_group,
    'Resource Summary'!$A:$A,TRANSPOSE(_xlfn._xlws.FILTER('Results Grouping'!$G$9:$G$322,('Results Grouping'!$H$9:$H$322=$D$57) * ('Results Grouping'!$I$9:$I$322=$D83),0)),
    'Resource Summary'!$C:$C,P$60
  ))</f>
        <v>0</v>
      </c>
      <c r="Q83" s="21" cm="1">
        <f t="array" ref="Q83">0.001 * SUM(
  SUMIFS(
    'Resource Summary'!$E:$E,
    'Resource Summary'!$B:$B,zones_to_group,
    'Resource Summary'!$A:$A,TRANSPOSE(_xlfn._xlws.FILTER('Results Grouping'!$G$9:$G$322,('Results Grouping'!$H$9:$H$322=$D$57) * ('Results Grouping'!$I$9:$I$322=$D83),0)),
    'Resource Summary'!$C:$C,Q$60
  ))</f>
        <v>0</v>
      </c>
      <c r="R83" s="21" cm="1">
        <f t="array" ref="R83">0.001 * SUM(
  SUMIFS(
    'Resource Summary'!$E:$E,
    'Resource Summary'!$B:$B,zones_to_group,
    'Resource Summary'!$A:$A,TRANSPOSE(_xlfn._xlws.FILTER('Results Grouping'!$G$9:$G$322,('Results Grouping'!$H$9:$H$322=$D$57) * ('Results Grouping'!$I$9:$I$322=$D83),0)),
    'Resource Summary'!$C:$C,R$60
  ))</f>
        <v>0</v>
      </c>
      <c r="S83" s="21" cm="1">
        <f t="array" ref="S83">0.001 * SUM(
  SUMIFS(
    'Resource Summary'!$E:$E,
    'Resource Summary'!$B:$B,zones_to_group,
    'Resource Summary'!$A:$A,TRANSPOSE(_xlfn._xlws.FILTER('Results Grouping'!$G$9:$G$322,('Results Grouping'!$H$9:$H$322=$D$57) * ('Results Grouping'!$I$9:$I$322=$D83),0)),
    'Resource Summary'!$C:$C,S$60
  ))</f>
        <v>0</v>
      </c>
      <c r="T83" s="21" cm="1">
        <f t="array" ref="T83">0.001 * SUM(
  SUMIFS(
    'Resource Summary'!$E:$E,
    'Resource Summary'!$B:$B,zones_to_group,
    'Resource Summary'!$A:$A,TRANSPOSE(_xlfn._xlws.FILTER('Results Grouping'!$G$9:$G$322,('Results Grouping'!$H$9:$H$322=$D$57) * ('Results Grouping'!$I$9:$I$322=$D83),0)),
    'Resource Summary'!$C:$C,T$60
  ))</f>
        <v>0</v>
      </c>
      <c r="U83" s="21" cm="1">
        <f t="array" ref="U83">0.001 * SUM(
  SUMIFS(
    'Resource Summary'!$E:$E,
    'Resource Summary'!$B:$B,zones_to_group,
    'Resource Summary'!$A:$A,TRANSPOSE(_xlfn._xlws.FILTER('Results Grouping'!$G$9:$G$322,('Results Grouping'!$H$9:$H$322=$D$57) * ('Results Grouping'!$I$9:$I$322=$D83),0)),
    'Resource Summary'!$C:$C,U$60
  ))</f>
        <v>0</v>
      </c>
      <c r="V83" s="21" cm="1">
        <f t="array" ref="V83">0.001 * SUM(
  SUMIFS(
    'Resource Summary'!$E:$E,
    'Resource Summary'!$B:$B,zones_to_group,
    'Resource Summary'!$A:$A,TRANSPOSE(_xlfn._xlws.FILTER('Results Grouping'!$G$9:$G$322,('Results Grouping'!$H$9:$H$322=$D$57) * ('Results Grouping'!$I$9:$I$322=$D83),0)),
    'Resource Summary'!$C:$C,V$60
  ))</f>
        <v>0</v>
      </c>
      <c r="W83" s="21" cm="1">
        <f t="array" ref="W83">0.001 * SUM(
  SUMIFS(
    'Resource Summary'!$E:$E,
    'Resource Summary'!$B:$B,zones_to_group,
    'Resource Summary'!$A:$A,TRANSPOSE(_xlfn._xlws.FILTER('Results Grouping'!$G$9:$G$322,('Results Grouping'!$H$9:$H$322=$D$57) * ('Results Grouping'!$I$9:$I$322=$D83),0)),
    'Resource Summary'!$C:$C,W$60
  ))</f>
        <v>0</v>
      </c>
      <c r="X83" s="21" cm="1">
        <f t="array" ref="X83">0.001 * SUM(
  SUMIFS(
    'Resource Summary'!$E:$E,
    'Resource Summary'!$B:$B,zones_to_group,
    'Resource Summary'!$A:$A,TRANSPOSE(_xlfn._xlws.FILTER('Results Grouping'!$G$9:$G$322,('Results Grouping'!$H$9:$H$322=$D$57) * ('Results Grouping'!$I$9:$I$322=$D83),0)),
    'Resource Summary'!$C:$C,X$60
  ))</f>
        <v>0</v>
      </c>
      <c r="Y83" s="21" cm="1">
        <f t="array" ref="Y83">0.001 * SUM(
  SUMIFS(
    'Resource Summary'!$E:$E,
    'Resource Summary'!$B:$B,zones_to_group,
    'Resource Summary'!$A:$A,TRANSPOSE(_xlfn._xlws.FILTER('Results Grouping'!$G$9:$G$322,('Results Grouping'!$H$9:$H$322=$D$57) * ('Results Grouping'!$I$9:$I$322=$D83),0)),
    'Resource Summary'!$C:$C,Y$60
  ))</f>
        <v>0</v>
      </c>
      <c r="Z83" s="21" cm="1">
        <f t="array" ref="Z83">0.001 * SUM(
  SUMIFS(
    'Resource Summary'!$E:$E,
    'Resource Summary'!$B:$B,zones_to_group,
    'Resource Summary'!$A:$A,TRANSPOSE(_xlfn._xlws.FILTER('Results Grouping'!$G$9:$G$322,('Results Grouping'!$H$9:$H$322=$D$57) * ('Results Grouping'!$I$9:$I$322=$D83),0)),
    'Resource Summary'!$C:$C,Z$60
  ))</f>
        <v>0</v>
      </c>
      <c r="AA83" s="21" cm="1">
        <f t="array" ref="AA83">0.001 * SUM(
  SUMIFS(
    'Resource Summary'!$E:$E,
    'Resource Summary'!$B:$B,zones_to_group,
    'Resource Summary'!$A:$A,TRANSPOSE(_xlfn._xlws.FILTER('Results Grouping'!$G$9:$G$322,('Results Grouping'!$H$9:$H$322=$D$57) * ('Results Grouping'!$I$9:$I$322=$D83),0)),
    'Resource Summary'!$C:$C,AA$60
  ))</f>
        <v>0</v>
      </c>
      <c r="AB83" s="21" cm="1">
        <f t="array" ref="AB83">0.001 * SUM(
  SUMIFS(
    'Resource Summary'!$E:$E,
    'Resource Summary'!$B:$B,zones_to_group,
    'Resource Summary'!$A:$A,TRANSPOSE(_xlfn._xlws.FILTER('Results Grouping'!$G$9:$G$322,('Results Grouping'!$H$9:$H$322=$D$57) * ('Results Grouping'!$I$9:$I$322=$D83),0)),
    'Resource Summary'!$C:$C,AB$60
  ))</f>
        <v>0</v>
      </c>
      <c r="AC83" s="21" cm="1">
        <f t="array" ref="AC83">0.001 * SUM(
  SUMIFS(
    'Resource Summary'!$E:$E,
    'Resource Summary'!$B:$B,zones_to_group,
    'Resource Summary'!$A:$A,TRANSPOSE(_xlfn._xlws.FILTER('Results Grouping'!$G$9:$G$322,('Results Grouping'!$H$9:$H$322=$D$57) * ('Results Grouping'!$I$9:$I$322=$D83),0)),
    'Resource Summary'!$C:$C,AC$60
  ))</f>
        <v>0</v>
      </c>
      <c r="AD83" s="21" cm="1">
        <f t="array" ref="AD83">0.001 * SUM(
  SUMIFS(
    'Resource Summary'!$E:$E,
    'Resource Summary'!$B:$B,zones_to_group,
    'Resource Summary'!$A:$A,TRANSPOSE(_xlfn._xlws.FILTER('Results Grouping'!$G$9:$G$322,('Results Grouping'!$H$9:$H$322=$D$57) * ('Results Grouping'!$I$9:$I$322=$D83),0)),
    'Resource Summary'!$C:$C,AD$60
  ))</f>
        <v>0.10230045862800001</v>
      </c>
      <c r="AH83" s="34"/>
    </row>
    <row r="84" spans="4:34" outlineLevel="1" x14ac:dyDescent="0.2">
      <c r="D84" s="8" t="s">
        <v>120</v>
      </c>
      <c r="E84" s="21" cm="1">
        <f t="array" ref="E84">0.001 * SUM(
  SUMIFS(
    'Resource Summary'!$E:$E,
    'Resource Summary'!$B:$B,zones_to_group,
    'Resource Summary'!$A:$A,TRANSPOSE(_xlfn._xlws.FILTER('Results Grouping'!$G$9:$G$322,('Results Grouping'!$H$9:$H$322=$D$57) * ('Results Grouping'!$I$9:$I$322=$D84),0)),
    'Resource Summary'!$C:$C,E$60
  ))</f>
        <v>0</v>
      </c>
      <c r="F84" s="21" cm="1">
        <f t="array" ref="F84">0.001 * SUM(
  SUMIFS(
    'Resource Summary'!$E:$E,
    'Resource Summary'!$B:$B,zones_to_group,
    'Resource Summary'!$A:$A,TRANSPOSE(_xlfn._xlws.FILTER('Results Grouping'!$G$9:$G$322,('Results Grouping'!$H$9:$H$322=$D$57) * ('Results Grouping'!$I$9:$I$322=$D84),0)),
    'Resource Summary'!$C:$C,F$60
  ))</f>
        <v>0</v>
      </c>
      <c r="G84" s="21" cm="1">
        <f t="array" ref="G84">0.001 * SUM(
  SUMIFS(
    'Resource Summary'!$E:$E,
    'Resource Summary'!$B:$B,zones_to_group,
    'Resource Summary'!$A:$A,TRANSPOSE(_xlfn._xlws.FILTER('Results Grouping'!$G$9:$G$322,('Results Grouping'!$H$9:$H$322=$D$57) * ('Results Grouping'!$I$9:$I$322=$D84),0)),
    'Resource Summary'!$C:$C,G$60
  ))</f>
        <v>0</v>
      </c>
      <c r="H84" s="21" cm="1">
        <f t="array" ref="H84">0.001 * SUM(
  SUMIFS(
    'Resource Summary'!$E:$E,
    'Resource Summary'!$B:$B,zones_to_group,
    'Resource Summary'!$A:$A,TRANSPOSE(_xlfn._xlws.FILTER('Results Grouping'!$G$9:$G$322,('Results Grouping'!$H$9:$H$322=$D$57) * ('Results Grouping'!$I$9:$I$322=$D84),0)),
    'Resource Summary'!$C:$C,H$60
  ))</f>
        <v>0</v>
      </c>
      <c r="I84" s="21" cm="1">
        <f t="array" ref="I84">0.001 * SUM(
  SUMIFS(
    'Resource Summary'!$E:$E,
    'Resource Summary'!$B:$B,zones_to_group,
    'Resource Summary'!$A:$A,TRANSPOSE(_xlfn._xlws.FILTER('Results Grouping'!$G$9:$G$322,('Results Grouping'!$H$9:$H$322=$D$57) * ('Results Grouping'!$I$9:$I$322=$D84),0)),
    'Resource Summary'!$C:$C,I$60
  ))</f>
        <v>0</v>
      </c>
      <c r="J84" s="21" cm="1">
        <f t="array" ref="J84">0.001 * SUM(
  SUMIFS(
    'Resource Summary'!$E:$E,
    'Resource Summary'!$B:$B,zones_to_group,
    'Resource Summary'!$A:$A,TRANSPOSE(_xlfn._xlws.FILTER('Results Grouping'!$G$9:$G$322,('Results Grouping'!$H$9:$H$322=$D$57) * ('Results Grouping'!$I$9:$I$322=$D84),0)),
    'Resource Summary'!$C:$C,J$60
  ))</f>
        <v>0</v>
      </c>
      <c r="K84" s="21" cm="1">
        <f t="array" ref="K84">0.001 * SUM(
  SUMIFS(
    'Resource Summary'!$E:$E,
    'Resource Summary'!$B:$B,zones_to_group,
    'Resource Summary'!$A:$A,TRANSPOSE(_xlfn._xlws.FILTER('Results Grouping'!$G$9:$G$322,('Results Grouping'!$H$9:$H$322=$D$57) * ('Results Grouping'!$I$9:$I$322=$D84),0)),
    'Resource Summary'!$C:$C,K$60
  ))</f>
        <v>0</v>
      </c>
      <c r="L84" s="21" cm="1">
        <f t="array" ref="L84">0.001 * SUM(
  SUMIFS(
    'Resource Summary'!$E:$E,
    'Resource Summary'!$B:$B,zones_to_group,
    'Resource Summary'!$A:$A,TRANSPOSE(_xlfn._xlws.FILTER('Results Grouping'!$G$9:$G$322,('Results Grouping'!$H$9:$H$322=$D$57) * ('Results Grouping'!$I$9:$I$322=$D84),0)),
    'Resource Summary'!$C:$C,L$60
  ))</f>
        <v>0</v>
      </c>
      <c r="M84" s="21" cm="1">
        <f t="array" ref="M84">0.001 * SUM(
  SUMIFS(
    'Resource Summary'!$E:$E,
    'Resource Summary'!$B:$B,zones_to_group,
    'Resource Summary'!$A:$A,TRANSPOSE(_xlfn._xlws.FILTER('Results Grouping'!$G$9:$G$322,('Results Grouping'!$H$9:$H$322=$D$57) * ('Results Grouping'!$I$9:$I$322=$D84),0)),
    'Resource Summary'!$C:$C,M$60
  ))</f>
        <v>0</v>
      </c>
      <c r="N84" s="21" cm="1">
        <f t="array" ref="N84">0.001 * SUM(
  SUMIFS(
    'Resource Summary'!$E:$E,
    'Resource Summary'!$B:$B,zones_to_group,
    'Resource Summary'!$A:$A,TRANSPOSE(_xlfn._xlws.FILTER('Results Grouping'!$G$9:$G$322,('Results Grouping'!$H$9:$H$322=$D$57) * ('Results Grouping'!$I$9:$I$322=$D84),0)),
    'Resource Summary'!$C:$C,N$60
  ))</f>
        <v>0</v>
      </c>
      <c r="O84" s="21" cm="1">
        <f t="array" ref="O84">0.001 * SUM(
  SUMIFS(
    'Resource Summary'!$E:$E,
    'Resource Summary'!$B:$B,zones_to_group,
    'Resource Summary'!$A:$A,TRANSPOSE(_xlfn._xlws.FILTER('Results Grouping'!$G$9:$G$322,('Results Grouping'!$H$9:$H$322=$D$57) * ('Results Grouping'!$I$9:$I$322=$D84),0)),
    'Resource Summary'!$C:$C,O$60
  ))</f>
        <v>0</v>
      </c>
      <c r="P84" s="21" cm="1">
        <f t="array" ref="P84">0.001 * SUM(
  SUMIFS(
    'Resource Summary'!$E:$E,
    'Resource Summary'!$B:$B,zones_to_group,
    'Resource Summary'!$A:$A,TRANSPOSE(_xlfn._xlws.FILTER('Results Grouping'!$G$9:$G$322,('Results Grouping'!$H$9:$H$322=$D$57) * ('Results Grouping'!$I$9:$I$322=$D84),0)),
    'Resource Summary'!$C:$C,P$60
  ))</f>
        <v>0</v>
      </c>
      <c r="Q84" s="21" cm="1">
        <f t="array" ref="Q84">0.001 * SUM(
  SUMIFS(
    'Resource Summary'!$E:$E,
    'Resource Summary'!$B:$B,zones_to_group,
    'Resource Summary'!$A:$A,TRANSPOSE(_xlfn._xlws.FILTER('Results Grouping'!$G$9:$G$322,('Results Grouping'!$H$9:$H$322=$D$57) * ('Results Grouping'!$I$9:$I$322=$D84),0)),
    'Resource Summary'!$C:$C,Q$60
  ))</f>
        <v>0</v>
      </c>
      <c r="R84" s="21" cm="1">
        <f t="array" ref="R84">0.001 * SUM(
  SUMIFS(
    'Resource Summary'!$E:$E,
    'Resource Summary'!$B:$B,zones_to_group,
    'Resource Summary'!$A:$A,TRANSPOSE(_xlfn._xlws.FILTER('Results Grouping'!$G$9:$G$322,('Results Grouping'!$H$9:$H$322=$D$57) * ('Results Grouping'!$I$9:$I$322=$D84),0)),
    'Resource Summary'!$C:$C,R$60
  ))</f>
        <v>0</v>
      </c>
      <c r="S84" s="21" cm="1">
        <f t="array" ref="S84">0.001 * SUM(
  SUMIFS(
    'Resource Summary'!$E:$E,
    'Resource Summary'!$B:$B,zones_to_group,
    'Resource Summary'!$A:$A,TRANSPOSE(_xlfn._xlws.FILTER('Results Grouping'!$G$9:$G$322,('Results Grouping'!$H$9:$H$322=$D$57) * ('Results Grouping'!$I$9:$I$322=$D84),0)),
    'Resource Summary'!$C:$C,S$60
  ))</f>
        <v>0</v>
      </c>
      <c r="T84" s="21" cm="1">
        <f t="array" ref="T84">0.001 * SUM(
  SUMIFS(
    'Resource Summary'!$E:$E,
    'Resource Summary'!$B:$B,zones_to_group,
    'Resource Summary'!$A:$A,TRANSPOSE(_xlfn._xlws.FILTER('Results Grouping'!$G$9:$G$322,('Results Grouping'!$H$9:$H$322=$D$57) * ('Results Grouping'!$I$9:$I$322=$D84),0)),
    'Resource Summary'!$C:$C,T$60
  ))</f>
        <v>0</v>
      </c>
      <c r="U84" s="21" cm="1">
        <f t="array" ref="U84">0.001 * SUM(
  SUMIFS(
    'Resource Summary'!$E:$E,
    'Resource Summary'!$B:$B,zones_to_group,
    'Resource Summary'!$A:$A,TRANSPOSE(_xlfn._xlws.FILTER('Results Grouping'!$G$9:$G$322,('Results Grouping'!$H$9:$H$322=$D$57) * ('Results Grouping'!$I$9:$I$322=$D84),0)),
    'Resource Summary'!$C:$C,U$60
  ))</f>
        <v>0</v>
      </c>
      <c r="V84" s="21" cm="1">
        <f t="array" ref="V84">0.001 * SUM(
  SUMIFS(
    'Resource Summary'!$E:$E,
    'Resource Summary'!$B:$B,zones_to_group,
    'Resource Summary'!$A:$A,TRANSPOSE(_xlfn._xlws.FILTER('Results Grouping'!$G$9:$G$322,('Results Grouping'!$H$9:$H$322=$D$57) * ('Results Grouping'!$I$9:$I$322=$D84),0)),
    'Resource Summary'!$C:$C,V$60
  ))</f>
        <v>0</v>
      </c>
      <c r="W84" s="21" cm="1">
        <f t="array" ref="W84">0.001 * SUM(
  SUMIFS(
    'Resource Summary'!$E:$E,
    'Resource Summary'!$B:$B,zones_to_group,
    'Resource Summary'!$A:$A,TRANSPOSE(_xlfn._xlws.FILTER('Results Grouping'!$G$9:$G$322,('Results Grouping'!$H$9:$H$322=$D$57) * ('Results Grouping'!$I$9:$I$322=$D84),0)),
    'Resource Summary'!$C:$C,W$60
  ))</f>
        <v>0</v>
      </c>
      <c r="X84" s="21" cm="1">
        <f t="array" ref="X84">0.001 * SUM(
  SUMIFS(
    'Resource Summary'!$E:$E,
    'Resource Summary'!$B:$B,zones_to_group,
    'Resource Summary'!$A:$A,TRANSPOSE(_xlfn._xlws.FILTER('Results Grouping'!$G$9:$G$322,('Results Grouping'!$H$9:$H$322=$D$57) * ('Results Grouping'!$I$9:$I$322=$D84),0)),
    'Resource Summary'!$C:$C,X$60
  ))</f>
        <v>0</v>
      </c>
      <c r="Y84" s="21" cm="1">
        <f t="array" ref="Y84">0.001 * SUM(
  SUMIFS(
    'Resource Summary'!$E:$E,
    'Resource Summary'!$B:$B,zones_to_group,
    'Resource Summary'!$A:$A,TRANSPOSE(_xlfn._xlws.FILTER('Results Grouping'!$G$9:$G$322,('Results Grouping'!$H$9:$H$322=$D$57) * ('Results Grouping'!$I$9:$I$322=$D84),0)),
    'Resource Summary'!$C:$C,Y$60
  ))</f>
        <v>0</v>
      </c>
      <c r="Z84" s="21" cm="1">
        <f t="array" ref="Z84">0.001 * SUM(
  SUMIFS(
    'Resource Summary'!$E:$E,
    'Resource Summary'!$B:$B,zones_to_group,
    'Resource Summary'!$A:$A,TRANSPOSE(_xlfn._xlws.FILTER('Results Grouping'!$G$9:$G$322,('Results Grouping'!$H$9:$H$322=$D$57) * ('Results Grouping'!$I$9:$I$322=$D84),0)),
    'Resource Summary'!$C:$C,Z$60
  ))</f>
        <v>0</v>
      </c>
      <c r="AA84" s="21" cm="1">
        <f t="array" ref="AA84">0.001 * SUM(
  SUMIFS(
    'Resource Summary'!$E:$E,
    'Resource Summary'!$B:$B,zones_to_group,
    'Resource Summary'!$A:$A,TRANSPOSE(_xlfn._xlws.FILTER('Results Grouping'!$G$9:$G$322,('Results Grouping'!$H$9:$H$322=$D$57) * ('Results Grouping'!$I$9:$I$322=$D84),0)),
    'Resource Summary'!$C:$C,AA$60
  ))</f>
        <v>0</v>
      </c>
      <c r="AB84" s="21" cm="1">
        <f t="array" ref="AB84">0.001 * SUM(
  SUMIFS(
    'Resource Summary'!$E:$E,
    'Resource Summary'!$B:$B,zones_to_group,
    'Resource Summary'!$A:$A,TRANSPOSE(_xlfn._xlws.FILTER('Results Grouping'!$G$9:$G$322,('Results Grouping'!$H$9:$H$322=$D$57) * ('Results Grouping'!$I$9:$I$322=$D84),0)),
    'Resource Summary'!$C:$C,AB$60
  ))</f>
        <v>0</v>
      </c>
      <c r="AC84" s="21" cm="1">
        <f t="array" ref="AC84">0.001 * SUM(
  SUMIFS(
    'Resource Summary'!$E:$E,
    'Resource Summary'!$B:$B,zones_to_group,
    'Resource Summary'!$A:$A,TRANSPOSE(_xlfn._xlws.FILTER('Results Grouping'!$G$9:$G$322,('Results Grouping'!$H$9:$H$322=$D$57) * ('Results Grouping'!$I$9:$I$322=$D84),0)),
    'Resource Summary'!$C:$C,AC$60
  ))</f>
        <v>0</v>
      </c>
      <c r="AD84" s="21" cm="1">
        <f t="array" ref="AD84">0.001 * SUM(
  SUMIFS(
    'Resource Summary'!$E:$E,
    'Resource Summary'!$B:$B,zones_to_group,
    'Resource Summary'!$A:$A,TRANSPOSE(_xlfn._xlws.FILTER('Results Grouping'!$G$9:$G$322,('Results Grouping'!$H$9:$H$322=$D$57) * ('Results Grouping'!$I$9:$I$322=$D84),0)),
    'Resource Summary'!$C:$C,AD$60
  ))</f>
        <v>0</v>
      </c>
      <c r="AH84" s="34"/>
    </row>
    <row r="85" spans="4:34" outlineLevel="1" x14ac:dyDescent="0.2">
      <c r="D85" s="8" t="s">
        <v>122</v>
      </c>
      <c r="E85" s="21" cm="1">
        <f t="array" ref="E85">0.001 * SUM(
  SUMIFS(
    'Resource Summary'!$E:$E,
    'Resource Summary'!$B:$B,zones_to_group,
    'Resource Summary'!$A:$A,TRANSPOSE(_xlfn._xlws.FILTER('Results Grouping'!$G$9:$G$322,('Results Grouping'!$H$9:$H$322=$D$57) * ('Results Grouping'!$I$9:$I$322=$D85),0)),
    'Resource Summary'!$C:$C,E$60
  ))</f>
        <v>0</v>
      </c>
      <c r="F85" s="21" cm="1">
        <f t="array" ref="F85">0.001 * SUM(
  SUMIFS(
    'Resource Summary'!$E:$E,
    'Resource Summary'!$B:$B,zones_to_group,
    'Resource Summary'!$A:$A,TRANSPOSE(_xlfn._xlws.FILTER('Results Grouping'!$G$9:$G$322,('Results Grouping'!$H$9:$H$322=$D$57) * ('Results Grouping'!$I$9:$I$322=$D85),0)),
    'Resource Summary'!$C:$C,F$60
  ))</f>
        <v>0</v>
      </c>
      <c r="G85" s="21" cm="1">
        <f t="array" ref="G85">0.001 * SUM(
  SUMIFS(
    'Resource Summary'!$E:$E,
    'Resource Summary'!$B:$B,zones_to_group,
    'Resource Summary'!$A:$A,TRANSPOSE(_xlfn._xlws.FILTER('Results Grouping'!$G$9:$G$322,('Results Grouping'!$H$9:$H$322=$D$57) * ('Results Grouping'!$I$9:$I$322=$D85),0)),
    'Resource Summary'!$C:$C,G$60
  ))</f>
        <v>0</v>
      </c>
      <c r="H85" s="21" cm="1">
        <f t="array" ref="H85">0.001 * SUM(
  SUMIFS(
    'Resource Summary'!$E:$E,
    'Resource Summary'!$B:$B,zones_to_group,
    'Resource Summary'!$A:$A,TRANSPOSE(_xlfn._xlws.FILTER('Results Grouping'!$G$9:$G$322,('Results Grouping'!$H$9:$H$322=$D$57) * ('Results Grouping'!$I$9:$I$322=$D85),0)),
    'Resource Summary'!$C:$C,H$60
  ))</f>
        <v>0</v>
      </c>
      <c r="I85" s="21" cm="1">
        <f t="array" ref="I85">0.001 * SUM(
  SUMIFS(
    'Resource Summary'!$E:$E,
    'Resource Summary'!$B:$B,zones_to_group,
    'Resource Summary'!$A:$A,TRANSPOSE(_xlfn._xlws.FILTER('Results Grouping'!$G$9:$G$322,('Results Grouping'!$H$9:$H$322=$D$57) * ('Results Grouping'!$I$9:$I$322=$D85),0)),
    'Resource Summary'!$C:$C,I$60
  ))</f>
        <v>0</v>
      </c>
      <c r="J85" s="21" cm="1">
        <f t="array" ref="J85">0.001 * SUM(
  SUMIFS(
    'Resource Summary'!$E:$E,
    'Resource Summary'!$B:$B,zones_to_group,
    'Resource Summary'!$A:$A,TRANSPOSE(_xlfn._xlws.FILTER('Results Grouping'!$G$9:$G$322,('Results Grouping'!$H$9:$H$322=$D$57) * ('Results Grouping'!$I$9:$I$322=$D85),0)),
    'Resource Summary'!$C:$C,J$60
  ))</f>
        <v>0</v>
      </c>
      <c r="K85" s="21" cm="1">
        <f t="array" ref="K85">0.001 * SUM(
  SUMIFS(
    'Resource Summary'!$E:$E,
    'Resource Summary'!$B:$B,zones_to_group,
    'Resource Summary'!$A:$A,TRANSPOSE(_xlfn._xlws.FILTER('Results Grouping'!$G$9:$G$322,('Results Grouping'!$H$9:$H$322=$D$57) * ('Results Grouping'!$I$9:$I$322=$D85),0)),
    'Resource Summary'!$C:$C,K$60
  ))</f>
        <v>0</v>
      </c>
      <c r="L85" s="21" cm="1">
        <f t="array" ref="L85">0.001 * SUM(
  SUMIFS(
    'Resource Summary'!$E:$E,
    'Resource Summary'!$B:$B,zones_to_group,
    'Resource Summary'!$A:$A,TRANSPOSE(_xlfn._xlws.FILTER('Results Grouping'!$G$9:$G$322,('Results Grouping'!$H$9:$H$322=$D$57) * ('Results Grouping'!$I$9:$I$322=$D85),0)),
    'Resource Summary'!$C:$C,L$60
  ))</f>
        <v>0</v>
      </c>
      <c r="M85" s="21" cm="1">
        <f t="array" ref="M85">0.001 * SUM(
  SUMIFS(
    'Resource Summary'!$E:$E,
    'Resource Summary'!$B:$B,zones_to_group,
    'Resource Summary'!$A:$A,TRANSPOSE(_xlfn._xlws.FILTER('Results Grouping'!$G$9:$G$322,('Results Grouping'!$H$9:$H$322=$D$57) * ('Results Grouping'!$I$9:$I$322=$D85),0)),
    'Resource Summary'!$C:$C,M$60
  ))</f>
        <v>0</v>
      </c>
      <c r="N85" s="21" cm="1">
        <f t="array" ref="N85">0.001 * SUM(
  SUMIFS(
    'Resource Summary'!$E:$E,
    'Resource Summary'!$B:$B,zones_to_group,
    'Resource Summary'!$A:$A,TRANSPOSE(_xlfn._xlws.FILTER('Results Grouping'!$G$9:$G$322,('Results Grouping'!$H$9:$H$322=$D$57) * ('Results Grouping'!$I$9:$I$322=$D85),0)),
    'Resource Summary'!$C:$C,N$60
  ))</f>
        <v>0</v>
      </c>
      <c r="O85" s="21" cm="1">
        <f t="array" ref="O85">0.001 * SUM(
  SUMIFS(
    'Resource Summary'!$E:$E,
    'Resource Summary'!$B:$B,zones_to_group,
    'Resource Summary'!$A:$A,TRANSPOSE(_xlfn._xlws.FILTER('Results Grouping'!$G$9:$G$322,('Results Grouping'!$H$9:$H$322=$D$57) * ('Results Grouping'!$I$9:$I$322=$D85),0)),
    'Resource Summary'!$C:$C,O$60
  ))</f>
        <v>0</v>
      </c>
      <c r="P85" s="21" cm="1">
        <f t="array" ref="P85">0.001 * SUM(
  SUMIFS(
    'Resource Summary'!$E:$E,
    'Resource Summary'!$B:$B,zones_to_group,
    'Resource Summary'!$A:$A,TRANSPOSE(_xlfn._xlws.FILTER('Results Grouping'!$G$9:$G$322,('Results Grouping'!$H$9:$H$322=$D$57) * ('Results Grouping'!$I$9:$I$322=$D85),0)),
    'Resource Summary'!$C:$C,P$60
  ))</f>
        <v>0</v>
      </c>
      <c r="Q85" s="21" cm="1">
        <f t="array" ref="Q85">0.001 * SUM(
  SUMIFS(
    'Resource Summary'!$E:$E,
    'Resource Summary'!$B:$B,zones_to_group,
    'Resource Summary'!$A:$A,TRANSPOSE(_xlfn._xlws.FILTER('Results Grouping'!$G$9:$G$322,('Results Grouping'!$H$9:$H$322=$D$57) * ('Results Grouping'!$I$9:$I$322=$D85),0)),
    'Resource Summary'!$C:$C,Q$60
  ))</f>
        <v>0</v>
      </c>
      <c r="R85" s="21" cm="1">
        <f t="array" ref="R85">0.001 * SUM(
  SUMIFS(
    'Resource Summary'!$E:$E,
    'Resource Summary'!$B:$B,zones_to_group,
    'Resource Summary'!$A:$A,TRANSPOSE(_xlfn._xlws.FILTER('Results Grouping'!$G$9:$G$322,('Results Grouping'!$H$9:$H$322=$D$57) * ('Results Grouping'!$I$9:$I$322=$D85),0)),
    'Resource Summary'!$C:$C,R$60
  ))</f>
        <v>0</v>
      </c>
      <c r="S85" s="21" cm="1">
        <f t="array" ref="S85">0.001 * SUM(
  SUMIFS(
    'Resource Summary'!$E:$E,
    'Resource Summary'!$B:$B,zones_to_group,
    'Resource Summary'!$A:$A,TRANSPOSE(_xlfn._xlws.FILTER('Results Grouping'!$G$9:$G$322,('Results Grouping'!$H$9:$H$322=$D$57) * ('Results Grouping'!$I$9:$I$322=$D85),0)),
    'Resource Summary'!$C:$C,S$60
  ))</f>
        <v>0</v>
      </c>
      <c r="T85" s="21" cm="1">
        <f t="array" ref="T85">0.001 * SUM(
  SUMIFS(
    'Resource Summary'!$E:$E,
    'Resource Summary'!$B:$B,zones_to_group,
    'Resource Summary'!$A:$A,TRANSPOSE(_xlfn._xlws.FILTER('Results Grouping'!$G$9:$G$322,('Results Grouping'!$H$9:$H$322=$D$57) * ('Results Grouping'!$I$9:$I$322=$D85),0)),
    'Resource Summary'!$C:$C,T$60
  ))</f>
        <v>0</v>
      </c>
      <c r="U85" s="21" cm="1">
        <f t="array" ref="U85">0.001 * SUM(
  SUMIFS(
    'Resource Summary'!$E:$E,
    'Resource Summary'!$B:$B,zones_to_group,
    'Resource Summary'!$A:$A,TRANSPOSE(_xlfn._xlws.FILTER('Results Grouping'!$G$9:$G$322,('Results Grouping'!$H$9:$H$322=$D$57) * ('Results Grouping'!$I$9:$I$322=$D85),0)),
    'Resource Summary'!$C:$C,U$60
  ))</f>
        <v>0</v>
      </c>
      <c r="V85" s="21" cm="1">
        <f t="array" ref="V85">0.001 * SUM(
  SUMIFS(
    'Resource Summary'!$E:$E,
    'Resource Summary'!$B:$B,zones_to_group,
    'Resource Summary'!$A:$A,TRANSPOSE(_xlfn._xlws.FILTER('Results Grouping'!$G$9:$G$322,('Results Grouping'!$H$9:$H$322=$D$57) * ('Results Grouping'!$I$9:$I$322=$D85),0)),
    'Resource Summary'!$C:$C,V$60
  ))</f>
        <v>0</v>
      </c>
      <c r="W85" s="21" cm="1">
        <f t="array" ref="W85">0.001 * SUM(
  SUMIFS(
    'Resource Summary'!$E:$E,
    'Resource Summary'!$B:$B,zones_to_group,
    'Resource Summary'!$A:$A,TRANSPOSE(_xlfn._xlws.FILTER('Results Grouping'!$G$9:$G$322,('Results Grouping'!$H$9:$H$322=$D$57) * ('Results Grouping'!$I$9:$I$322=$D85),0)),
    'Resource Summary'!$C:$C,W$60
  ))</f>
        <v>0</v>
      </c>
      <c r="X85" s="21" cm="1">
        <f t="array" ref="X85">0.001 * SUM(
  SUMIFS(
    'Resource Summary'!$E:$E,
    'Resource Summary'!$B:$B,zones_to_group,
    'Resource Summary'!$A:$A,TRANSPOSE(_xlfn._xlws.FILTER('Results Grouping'!$G$9:$G$322,('Results Grouping'!$H$9:$H$322=$D$57) * ('Results Grouping'!$I$9:$I$322=$D85),0)),
    'Resource Summary'!$C:$C,X$60
  ))</f>
        <v>0</v>
      </c>
      <c r="Y85" s="21" cm="1">
        <f t="array" ref="Y85">0.001 * SUM(
  SUMIFS(
    'Resource Summary'!$E:$E,
    'Resource Summary'!$B:$B,zones_to_group,
    'Resource Summary'!$A:$A,TRANSPOSE(_xlfn._xlws.FILTER('Results Grouping'!$G$9:$G$322,('Results Grouping'!$H$9:$H$322=$D$57) * ('Results Grouping'!$I$9:$I$322=$D85),0)),
    'Resource Summary'!$C:$C,Y$60
  ))</f>
        <v>0</v>
      </c>
      <c r="Z85" s="21" cm="1">
        <f t="array" ref="Z85">0.001 * SUM(
  SUMIFS(
    'Resource Summary'!$E:$E,
    'Resource Summary'!$B:$B,zones_to_group,
    'Resource Summary'!$A:$A,TRANSPOSE(_xlfn._xlws.FILTER('Results Grouping'!$G$9:$G$322,('Results Grouping'!$H$9:$H$322=$D$57) * ('Results Grouping'!$I$9:$I$322=$D85),0)),
    'Resource Summary'!$C:$C,Z$60
  ))</f>
        <v>0</v>
      </c>
      <c r="AA85" s="21" cm="1">
        <f t="array" ref="AA85">0.001 * SUM(
  SUMIFS(
    'Resource Summary'!$E:$E,
    'Resource Summary'!$B:$B,zones_to_group,
    'Resource Summary'!$A:$A,TRANSPOSE(_xlfn._xlws.FILTER('Results Grouping'!$G$9:$G$322,('Results Grouping'!$H$9:$H$322=$D$57) * ('Results Grouping'!$I$9:$I$322=$D85),0)),
    'Resource Summary'!$C:$C,AA$60
  ))</f>
        <v>0</v>
      </c>
      <c r="AB85" s="21" cm="1">
        <f t="array" ref="AB85">0.001 * SUM(
  SUMIFS(
    'Resource Summary'!$E:$E,
    'Resource Summary'!$B:$B,zones_to_group,
    'Resource Summary'!$A:$A,TRANSPOSE(_xlfn._xlws.FILTER('Results Grouping'!$G$9:$G$322,('Results Grouping'!$H$9:$H$322=$D$57) * ('Results Grouping'!$I$9:$I$322=$D85),0)),
    'Resource Summary'!$C:$C,AB$60
  ))</f>
        <v>0</v>
      </c>
      <c r="AC85" s="21" cm="1">
        <f t="array" ref="AC85">0.001 * SUM(
  SUMIFS(
    'Resource Summary'!$E:$E,
    'Resource Summary'!$B:$B,zones_to_group,
    'Resource Summary'!$A:$A,TRANSPOSE(_xlfn._xlws.FILTER('Results Grouping'!$G$9:$G$322,('Results Grouping'!$H$9:$H$322=$D$57) * ('Results Grouping'!$I$9:$I$322=$D85),0)),
    'Resource Summary'!$C:$C,AC$60
  ))</f>
        <v>0</v>
      </c>
      <c r="AD85" s="21" cm="1">
        <f t="array" ref="AD85">0.001 * SUM(
  SUMIFS(
    'Resource Summary'!$E:$E,
    'Resource Summary'!$B:$B,zones_to_group,
    'Resource Summary'!$A:$A,TRANSPOSE(_xlfn._xlws.FILTER('Results Grouping'!$G$9:$G$322,('Results Grouping'!$H$9:$H$322=$D$57) * ('Results Grouping'!$I$9:$I$322=$D85),0)),
    'Resource Summary'!$C:$C,AD$60
  ))</f>
        <v>0</v>
      </c>
      <c r="AH85" s="34"/>
    </row>
    <row r="86" spans="4:34" outlineLevel="1" x14ac:dyDescent="0.2">
      <c r="D86" s="8" t="s">
        <v>119</v>
      </c>
      <c r="E86" s="21" cm="1">
        <f t="array" ref="E86">0.001 * SUM(
  SUMIFS(
    'Resource Summary'!$E:$E,
    'Resource Summary'!$B:$B,zones_to_group,
    'Resource Summary'!$A:$A,TRANSPOSE(_xlfn._xlws.FILTER('Results Grouping'!$G$9:$G$322,('Results Grouping'!$H$9:$H$322=$D$57) * ('Results Grouping'!$I$9:$I$322=$D86),0)),
    'Resource Summary'!$C:$C,E$60
  ))</f>
        <v>0</v>
      </c>
      <c r="F86" s="21" cm="1">
        <f t="array" ref="F86">0.001 * SUM(
  SUMIFS(
    'Resource Summary'!$E:$E,
    'Resource Summary'!$B:$B,zones_to_group,
    'Resource Summary'!$A:$A,TRANSPOSE(_xlfn._xlws.FILTER('Results Grouping'!$G$9:$G$322,('Results Grouping'!$H$9:$H$322=$D$57) * ('Results Grouping'!$I$9:$I$322=$D86),0)),
    'Resource Summary'!$C:$C,F$60
  ))</f>
        <v>0</v>
      </c>
      <c r="G86" s="21" cm="1">
        <f t="array" ref="G86">0.001 * SUM(
  SUMIFS(
    'Resource Summary'!$E:$E,
    'Resource Summary'!$B:$B,zones_to_group,
    'Resource Summary'!$A:$A,TRANSPOSE(_xlfn._xlws.FILTER('Results Grouping'!$G$9:$G$322,('Results Grouping'!$H$9:$H$322=$D$57) * ('Results Grouping'!$I$9:$I$322=$D86),0)),
    'Resource Summary'!$C:$C,G$60
  ))</f>
        <v>0</v>
      </c>
      <c r="H86" s="21" cm="1">
        <f t="array" ref="H86">0.001 * SUM(
  SUMIFS(
    'Resource Summary'!$E:$E,
    'Resource Summary'!$B:$B,zones_to_group,
    'Resource Summary'!$A:$A,TRANSPOSE(_xlfn._xlws.FILTER('Results Grouping'!$G$9:$G$322,('Results Grouping'!$H$9:$H$322=$D$57) * ('Results Grouping'!$I$9:$I$322=$D86),0)),
    'Resource Summary'!$C:$C,H$60
  ))</f>
        <v>0</v>
      </c>
      <c r="I86" s="21" cm="1">
        <f t="array" ref="I86">0.001 * SUM(
  SUMIFS(
    'Resource Summary'!$E:$E,
    'Resource Summary'!$B:$B,zones_to_group,
    'Resource Summary'!$A:$A,TRANSPOSE(_xlfn._xlws.FILTER('Results Grouping'!$G$9:$G$322,('Results Grouping'!$H$9:$H$322=$D$57) * ('Results Grouping'!$I$9:$I$322=$D86),0)),
    'Resource Summary'!$C:$C,I$60
  ))</f>
        <v>0</v>
      </c>
      <c r="J86" s="21" cm="1">
        <f t="array" ref="J86">0.001 * SUM(
  SUMIFS(
    'Resource Summary'!$E:$E,
    'Resource Summary'!$B:$B,zones_to_group,
    'Resource Summary'!$A:$A,TRANSPOSE(_xlfn._xlws.FILTER('Results Grouping'!$G$9:$G$322,('Results Grouping'!$H$9:$H$322=$D$57) * ('Results Grouping'!$I$9:$I$322=$D86),0)),
    'Resource Summary'!$C:$C,J$60
  ))</f>
        <v>0</v>
      </c>
      <c r="K86" s="21" cm="1">
        <f t="array" ref="K86">0.001 * SUM(
  SUMIFS(
    'Resource Summary'!$E:$E,
    'Resource Summary'!$B:$B,zones_to_group,
    'Resource Summary'!$A:$A,TRANSPOSE(_xlfn._xlws.FILTER('Results Grouping'!$G$9:$G$322,('Results Grouping'!$H$9:$H$322=$D$57) * ('Results Grouping'!$I$9:$I$322=$D86),0)),
    'Resource Summary'!$C:$C,K$60
  ))</f>
        <v>0</v>
      </c>
      <c r="L86" s="21" cm="1">
        <f t="array" ref="L86">0.001 * SUM(
  SUMIFS(
    'Resource Summary'!$E:$E,
    'Resource Summary'!$B:$B,zones_to_group,
    'Resource Summary'!$A:$A,TRANSPOSE(_xlfn._xlws.FILTER('Results Grouping'!$G$9:$G$322,('Results Grouping'!$H$9:$H$322=$D$57) * ('Results Grouping'!$I$9:$I$322=$D86),0)),
    'Resource Summary'!$C:$C,L$60
  ))</f>
        <v>0</v>
      </c>
      <c r="M86" s="21" cm="1">
        <f t="array" ref="M86">0.001 * SUM(
  SUMIFS(
    'Resource Summary'!$E:$E,
    'Resource Summary'!$B:$B,zones_to_group,
    'Resource Summary'!$A:$A,TRANSPOSE(_xlfn._xlws.FILTER('Results Grouping'!$G$9:$G$322,('Results Grouping'!$H$9:$H$322=$D$57) * ('Results Grouping'!$I$9:$I$322=$D86),0)),
    'Resource Summary'!$C:$C,M$60
  ))</f>
        <v>0</v>
      </c>
      <c r="N86" s="21" cm="1">
        <f t="array" ref="N86">0.001 * SUM(
  SUMIFS(
    'Resource Summary'!$E:$E,
    'Resource Summary'!$B:$B,zones_to_group,
    'Resource Summary'!$A:$A,TRANSPOSE(_xlfn._xlws.FILTER('Results Grouping'!$G$9:$G$322,('Results Grouping'!$H$9:$H$322=$D$57) * ('Results Grouping'!$I$9:$I$322=$D86),0)),
    'Resource Summary'!$C:$C,N$60
  ))</f>
        <v>0</v>
      </c>
      <c r="O86" s="21" cm="1">
        <f t="array" ref="O86">0.001 * SUM(
  SUMIFS(
    'Resource Summary'!$E:$E,
    'Resource Summary'!$B:$B,zones_to_group,
    'Resource Summary'!$A:$A,TRANSPOSE(_xlfn._xlws.FILTER('Results Grouping'!$G$9:$G$322,('Results Grouping'!$H$9:$H$322=$D$57) * ('Results Grouping'!$I$9:$I$322=$D86),0)),
    'Resource Summary'!$C:$C,O$60
  ))</f>
        <v>0</v>
      </c>
      <c r="P86" s="21" cm="1">
        <f t="array" ref="P86">0.001 * SUM(
  SUMIFS(
    'Resource Summary'!$E:$E,
    'Resource Summary'!$B:$B,zones_to_group,
    'Resource Summary'!$A:$A,TRANSPOSE(_xlfn._xlws.FILTER('Results Grouping'!$G$9:$G$322,('Results Grouping'!$H$9:$H$322=$D$57) * ('Results Grouping'!$I$9:$I$322=$D86),0)),
    'Resource Summary'!$C:$C,P$60
  ))</f>
        <v>0</v>
      </c>
      <c r="Q86" s="21" cm="1">
        <f t="array" ref="Q86">0.001 * SUM(
  SUMIFS(
    'Resource Summary'!$E:$E,
    'Resource Summary'!$B:$B,zones_to_group,
    'Resource Summary'!$A:$A,TRANSPOSE(_xlfn._xlws.FILTER('Results Grouping'!$G$9:$G$322,('Results Grouping'!$H$9:$H$322=$D$57) * ('Results Grouping'!$I$9:$I$322=$D86),0)),
    'Resource Summary'!$C:$C,Q$60
  ))</f>
        <v>0</v>
      </c>
      <c r="R86" s="21" cm="1">
        <f t="array" ref="R86">0.001 * SUM(
  SUMIFS(
    'Resource Summary'!$E:$E,
    'Resource Summary'!$B:$B,zones_to_group,
    'Resource Summary'!$A:$A,TRANSPOSE(_xlfn._xlws.FILTER('Results Grouping'!$G$9:$G$322,('Results Grouping'!$H$9:$H$322=$D$57) * ('Results Grouping'!$I$9:$I$322=$D86),0)),
    'Resource Summary'!$C:$C,R$60
  ))</f>
        <v>0</v>
      </c>
      <c r="S86" s="21" cm="1">
        <f t="array" ref="S86">0.001 * SUM(
  SUMIFS(
    'Resource Summary'!$E:$E,
    'Resource Summary'!$B:$B,zones_to_group,
    'Resource Summary'!$A:$A,TRANSPOSE(_xlfn._xlws.FILTER('Results Grouping'!$G$9:$G$322,('Results Grouping'!$H$9:$H$322=$D$57) * ('Results Grouping'!$I$9:$I$322=$D86),0)),
    'Resource Summary'!$C:$C,S$60
  ))</f>
        <v>0</v>
      </c>
      <c r="T86" s="21" cm="1">
        <f t="array" ref="T86">0.001 * SUM(
  SUMIFS(
    'Resource Summary'!$E:$E,
    'Resource Summary'!$B:$B,zones_to_group,
    'Resource Summary'!$A:$A,TRANSPOSE(_xlfn._xlws.FILTER('Results Grouping'!$G$9:$G$322,('Results Grouping'!$H$9:$H$322=$D$57) * ('Results Grouping'!$I$9:$I$322=$D86),0)),
    'Resource Summary'!$C:$C,T$60
  ))</f>
        <v>0</v>
      </c>
      <c r="U86" s="21" cm="1">
        <f t="array" ref="U86">0.001 * SUM(
  SUMIFS(
    'Resource Summary'!$E:$E,
    'Resource Summary'!$B:$B,zones_to_group,
    'Resource Summary'!$A:$A,TRANSPOSE(_xlfn._xlws.FILTER('Results Grouping'!$G$9:$G$322,('Results Grouping'!$H$9:$H$322=$D$57) * ('Results Grouping'!$I$9:$I$322=$D86),0)),
    'Resource Summary'!$C:$C,U$60
  ))</f>
        <v>0</v>
      </c>
      <c r="V86" s="21" cm="1">
        <f t="array" ref="V86">0.001 * SUM(
  SUMIFS(
    'Resource Summary'!$E:$E,
    'Resource Summary'!$B:$B,zones_to_group,
    'Resource Summary'!$A:$A,TRANSPOSE(_xlfn._xlws.FILTER('Results Grouping'!$G$9:$G$322,('Results Grouping'!$H$9:$H$322=$D$57) * ('Results Grouping'!$I$9:$I$322=$D86),0)),
    'Resource Summary'!$C:$C,V$60
  ))</f>
        <v>0</v>
      </c>
      <c r="W86" s="21" cm="1">
        <f t="array" ref="W86">0.001 * SUM(
  SUMIFS(
    'Resource Summary'!$E:$E,
    'Resource Summary'!$B:$B,zones_to_group,
    'Resource Summary'!$A:$A,TRANSPOSE(_xlfn._xlws.FILTER('Results Grouping'!$G$9:$G$322,('Results Grouping'!$H$9:$H$322=$D$57) * ('Results Grouping'!$I$9:$I$322=$D86),0)),
    'Resource Summary'!$C:$C,W$60
  ))</f>
        <v>0</v>
      </c>
      <c r="X86" s="21" cm="1">
        <f t="array" ref="X86">0.001 * SUM(
  SUMIFS(
    'Resource Summary'!$E:$E,
    'Resource Summary'!$B:$B,zones_to_group,
    'Resource Summary'!$A:$A,TRANSPOSE(_xlfn._xlws.FILTER('Results Grouping'!$G$9:$G$322,('Results Grouping'!$H$9:$H$322=$D$57) * ('Results Grouping'!$I$9:$I$322=$D86),0)),
    'Resource Summary'!$C:$C,X$60
  ))</f>
        <v>0</v>
      </c>
      <c r="Y86" s="21" cm="1">
        <f t="array" ref="Y86">0.001 * SUM(
  SUMIFS(
    'Resource Summary'!$E:$E,
    'Resource Summary'!$B:$B,zones_to_group,
    'Resource Summary'!$A:$A,TRANSPOSE(_xlfn._xlws.FILTER('Results Grouping'!$G$9:$G$322,('Results Grouping'!$H$9:$H$322=$D$57) * ('Results Grouping'!$I$9:$I$322=$D86),0)),
    'Resource Summary'!$C:$C,Y$60
  ))</f>
        <v>0</v>
      </c>
      <c r="Z86" s="21" cm="1">
        <f t="array" ref="Z86">0.001 * SUM(
  SUMIFS(
    'Resource Summary'!$E:$E,
    'Resource Summary'!$B:$B,zones_to_group,
    'Resource Summary'!$A:$A,TRANSPOSE(_xlfn._xlws.FILTER('Results Grouping'!$G$9:$G$322,('Results Grouping'!$H$9:$H$322=$D$57) * ('Results Grouping'!$I$9:$I$322=$D86),0)),
    'Resource Summary'!$C:$C,Z$60
  ))</f>
        <v>0</v>
      </c>
      <c r="AA86" s="21" cm="1">
        <f t="array" ref="AA86">0.001 * SUM(
  SUMIFS(
    'Resource Summary'!$E:$E,
    'Resource Summary'!$B:$B,zones_to_group,
    'Resource Summary'!$A:$A,TRANSPOSE(_xlfn._xlws.FILTER('Results Grouping'!$G$9:$G$322,('Results Grouping'!$H$9:$H$322=$D$57) * ('Results Grouping'!$I$9:$I$322=$D86),0)),
    'Resource Summary'!$C:$C,AA$60
  ))</f>
        <v>0</v>
      </c>
      <c r="AB86" s="21" cm="1">
        <f t="array" ref="AB86">0.001 * SUM(
  SUMIFS(
    'Resource Summary'!$E:$E,
    'Resource Summary'!$B:$B,zones_to_group,
    'Resource Summary'!$A:$A,TRANSPOSE(_xlfn._xlws.FILTER('Results Grouping'!$G$9:$G$322,('Results Grouping'!$H$9:$H$322=$D$57) * ('Results Grouping'!$I$9:$I$322=$D86),0)),
    'Resource Summary'!$C:$C,AB$60
  ))</f>
        <v>0</v>
      </c>
      <c r="AC86" s="21" cm="1">
        <f t="array" ref="AC86">0.001 * SUM(
  SUMIFS(
    'Resource Summary'!$E:$E,
    'Resource Summary'!$B:$B,zones_to_group,
    'Resource Summary'!$A:$A,TRANSPOSE(_xlfn._xlws.FILTER('Results Grouping'!$G$9:$G$322,('Results Grouping'!$H$9:$H$322=$D$57) * ('Results Grouping'!$I$9:$I$322=$D86),0)),
    'Resource Summary'!$C:$C,AC$60
  ))</f>
        <v>0</v>
      </c>
      <c r="AD86" s="21" cm="1">
        <f t="array" ref="AD86">0.001 * SUM(
  SUMIFS(
    'Resource Summary'!$E:$E,
    'Resource Summary'!$B:$B,zones_to_group,
    'Resource Summary'!$A:$A,TRANSPOSE(_xlfn._xlws.FILTER('Results Grouping'!$G$9:$G$322,('Results Grouping'!$H$9:$H$322=$D$57) * ('Results Grouping'!$I$9:$I$322=$D86),0)),
    'Resource Summary'!$C:$C,AD$60
  ))</f>
        <v>5.0172958231434199</v>
      </c>
      <c r="AH86" s="34"/>
    </row>
    <row r="87" spans="4:34" outlineLevel="1" x14ac:dyDescent="0.2">
      <c r="D87" s="8" t="s">
        <v>127</v>
      </c>
      <c r="E87" s="21" cm="1">
        <f t="array" ref="E87">0.001 * SUM(
  SUMIFS(
    'Resource Summary'!$E:$E,
    'Resource Summary'!$B:$B,zones_to_group,
    'Resource Summary'!$A:$A,TRANSPOSE(_xlfn._xlws.FILTER('Results Grouping'!$G$9:$G$322,('Results Grouping'!$H$9:$H$322=$D$57) * ('Results Grouping'!$I$9:$I$322=$D87),0)),
    'Resource Summary'!$C:$C,E$60
  ))</f>
        <v>0</v>
      </c>
      <c r="F87" s="21" cm="1">
        <f t="array" ref="F87">0.001 * SUM(
  SUMIFS(
    'Resource Summary'!$E:$E,
    'Resource Summary'!$B:$B,zones_to_group,
    'Resource Summary'!$A:$A,TRANSPOSE(_xlfn._xlws.FILTER('Results Grouping'!$G$9:$G$322,('Results Grouping'!$H$9:$H$322=$D$57) * ('Results Grouping'!$I$9:$I$322=$D87),0)),
    'Resource Summary'!$C:$C,F$60
  ))</f>
        <v>0</v>
      </c>
      <c r="G87" s="21" cm="1">
        <f t="array" ref="G87">0.001 * SUM(
  SUMIFS(
    'Resource Summary'!$E:$E,
    'Resource Summary'!$B:$B,zones_to_group,
    'Resource Summary'!$A:$A,TRANSPOSE(_xlfn._xlws.FILTER('Results Grouping'!$G$9:$G$322,('Results Grouping'!$H$9:$H$322=$D$57) * ('Results Grouping'!$I$9:$I$322=$D87),0)),
    'Resource Summary'!$C:$C,G$60
  ))</f>
        <v>0</v>
      </c>
      <c r="H87" s="21" cm="1">
        <f t="array" ref="H87">0.001 * SUM(
  SUMIFS(
    'Resource Summary'!$E:$E,
    'Resource Summary'!$B:$B,zones_to_group,
    'Resource Summary'!$A:$A,TRANSPOSE(_xlfn._xlws.FILTER('Results Grouping'!$G$9:$G$322,('Results Grouping'!$H$9:$H$322=$D$57) * ('Results Grouping'!$I$9:$I$322=$D87),0)),
    'Resource Summary'!$C:$C,H$60
  ))</f>
        <v>0</v>
      </c>
      <c r="I87" s="21" cm="1">
        <f t="array" ref="I87">0.001 * SUM(
  SUMIFS(
    'Resource Summary'!$E:$E,
    'Resource Summary'!$B:$B,zones_to_group,
    'Resource Summary'!$A:$A,TRANSPOSE(_xlfn._xlws.FILTER('Results Grouping'!$G$9:$G$322,('Results Grouping'!$H$9:$H$322=$D$57) * ('Results Grouping'!$I$9:$I$322=$D87),0)),
    'Resource Summary'!$C:$C,I$60
  ))</f>
        <v>0</v>
      </c>
      <c r="J87" s="21" cm="1">
        <f t="array" ref="J87">0.001 * SUM(
  SUMIFS(
    'Resource Summary'!$E:$E,
    'Resource Summary'!$B:$B,zones_to_group,
    'Resource Summary'!$A:$A,TRANSPOSE(_xlfn._xlws.FILTER('Results Grouping'!$G$9:$G$322,('Results Grouping'!$H$9:$H$322=$D$57) * ('Results Grouping'!$I$9:$I$322=$D87),0)),
    'Resource Summary'!$C:$C,J$60
  ))</f>
        <v>0</v>
      </c>
      <c r="K87" s="21" cm="1">
        <f t="array" ref="K87">0.001 * SUM(
  SUMIFS(
    'Resource Summary'!$E:$E,
    'Resource Summary'!$B:$B,zones_to_group,
    'Resource Summary'!$A:$A,TRANSPOSE(_xlfn._xlws.FILTER('Results Grouping'!$G$9:$G$322,('Results Grouping'!$H$9:$H$322=$D$57) * ('Results Grouping'!$I$9:$I$322=$D87),0)),
    'Resource Summary'!$C:$C,K$60
  ))</f>
        <v>0</v>
      </c>
      <c r="L87" s="21" cm="1">
        <f t="array" ref="L87">0.001 * SUM(
  SUMIFS(
    'Resource Summary'!$E:$E,
    'Resource Summary'!$B:$B,zones_to_group,
    'Resource Summary'!$A:$A,TRANSPOSE(_xlfn._xlws.FILTER('Results Grouping'!$G$9:$G$322,('Results Grouping'!$H$9:$H$322=$D$57) * ('Results Grouping'!$I$9:$I$322=$D87),0)),
    'Resource Summary'!$C:$C,L$60
  ))</f>
        <v>0</v>
      </c>
      <c r="M87" s="21" cm="1">
        <f t="array" ref="M87">0.001 * SUM(
  SUMIFS(
    'Resource Summary'!$E:$E,
    'Resource Summary'!$B:$B,zones_to_group,
    'Resource Summary'!$A:$A,TRANSPOSE(_xlfn._xlws.FILTER('Results Grouping'!$G$9:$G$322,('Results Grouping'!$H$9:$H$322=$D$57) * ('Results Grouping'!$I$9:$I$322=$D87),0)),
    'Resource Summary'!$C:$C,M$60
  ))</f>
        <v>0</v>
      </c>
      <c r="N87" s="21" cm="1">
        <f t="array" ref="N87">0.001 * SUM(
  SUMIFS(
    'Resource Summary'!$E:$E,
    'Resource Summary'!$B:$B,zones_to_group,
    'Resource Summary'!$A:$A,TRANSPOSE(_xlfn._xlws.FILTER('Results Grouping'!$G$9:$G$322,('Results Grouping'!$H$9:$H$322=$D$57) * ('Results Grouping'!$I$9:$I$322=$D87),0)),
    'Resource Summary'!$C:$C,N$60
  ))</f>
        <v>0</v>
      </c>
      <c r="O87" s="21" cm="1">
        <f t="array" ref="O87">0.001 * SUM(
  SUMIFS(
    'Resource Summary'!$E:$E,
    'Resource Summary'!$B:$B,zones_to_group,
    'Resource Summary'!$A:$A,TRANSPOSE(_xlfn._xlws.FILTER('Results Grouping'!$G$9:$G$322,('Results Grouping'!$H$9:$H$322=$D$57) * ('Results Grouping'!$I$9:$I$322=$D87),0)),
    'Resource Summary'!$C:$C,O$60
  ))</f>
        <v>0</v>
      </c>
      <c r="P87" s="21" cm="1">
        <f t="array" ref="P87">0.001 * SUM(
  SUMIFS(
    'Resource Summary'!$E:$E,
    'Resource Summary'!$B:$B,zones_to_group,
    'Resource Summary'!$A:$A,TRANSPOSE(_xlfn._xlws.FILTER('Results Grouping'!$G$9:$G$322,('Results Grouping'!$H$9:$H$322=$D$57) * ('Results Grouping'!$I$9:$I$322=$D87),0)),
    'Resource Summary'!$C:$C,P$60
  ))</f>
        <v>0</v>
      </c>
      <c r="Q87" s="21" cm="1">
        <f t="array" ref="Q87">0.001 * SUM(
  SUMIFS(
    'Resource Summary'!$E:$E,
    'Resource Summary'!$B:$B,zones_to_group,
    'Resource Summary'!$A:$A,TRANSPOSE(_xlfn._xlws.FILTER('Results Grouping'!$G$9:$G$322,('Results Grouping'!$H$9:$H$322=$D$57) * ('Results Grouping'!$I$9:$I$322=$D87),0)),
    'Resource Summary'!$C:$C,Q$60
  ))</f>
        <v>0</v>
      </c>
      <c r="R87" s="21" cm="1">
        <f t="array" ref="R87">0.001 * SUM(
  SUMIFS(
    'Resource Summary'!$E:$E,
    'Resource Summary'!$B:$B,zones_to_group,
    'Resource Summary'!$A:$A,TRANSPOSE(_xlfn._xlws.FILTER('Results Grouping'!$G$9:$G$322,('Results Grouping'!$H$9:$H$322=$D$57) * ('Results Grouping'!$I$9:$I$322=$D87),0)),
    'Resource Summary'!$C:$C,R$60
  ))</f>
        <v>0</v>
      </c>
      <c r="S87" s="21" cm="1">
        <f t="array" ref="S87">0.001 * SUM(
  SUMIFS(
    'Resource Summary'!$E:$E,
    'Resource Summary'!$B:$B,zones_to_group,
    'Resource Summary'!$A:$A,TRANSPOSE(_xlfn._xlws.FILTER('Results Grouping'!$G$9:$G$322,('Results Grouping'!$H$9:$H$322=$D$57) * ('Results Grouping'!$I$9:$I$322=$D87),0)),
    'Resource Summary'!$C:$C,S$60
  ))</f>
        <v>0</v>
      </c>
      <c r="T87" s="21" cm="1">
        <f t="array" ref="T87">0.001 * SUM(
  SUMIFS(
    'Resource Summary'!$E:$E,
    'Resource Summary'!$B:$B,zones_to_group,
    'Resource Summary'!$A:$A,TRANSPOSE(_xlfn._xlws.FILTER('Results Grouping'!$G$9:$G$322,('Results Grouping'!$H$9:$H$322=$D$57) * ('Results Grouping'!$I$9:$I$322=$D87),0)),
    'Resource Summary'!$C:$C,T$60
  ))</f>
        <v>0</v>
      </c>
      <c r="U87" s="21" cm="1">
        <f t="array" ref="U87">0.001 * SUM(
  SUMIFS(
    'Resource Summary'!$E:$E,
    'Resource Summary'!$B:$B,zones_to_group,
    'Resource Summary'!$A:$A,TRANSPOSE(_xlfn._xlws.FILTER('Results Grouping'!$G$9:$G$322,('Results Grouping'!$H$9:$H$322=$D$57) * ('Results Grouping'!$I$9:$I$322=$D87),0)),
    'Resource Summary'!$C:$C,U$60
  ))</f>
        <v>0</v>
      </c>
      <c r="V87" s="21" cm="1">
        <f t="array" ref="V87">0.001 * SUM(
  SUMIFS(
    'Resource Summary'!$E:$E,
    'Resource Summary'!$B:$B,zones_to_group,
    'Resource Summary'!$A:$A,TRANSPOSE(_xlfn._xlws.FILTER('Results Grouping'!$G$9:$G$322,('Results Grouping'!$H$9:$H$322=$D$57) * ('Results Grouping'!$I$9:$I$322=$D87),0)),
    'Resource Summary'!$C:$C,V$60
  ))</f>
        <v>0</v>
      </c>
      <c r="W87" s="21" cm="1">
        <f t="array" ref="W87">0.001 * SUM(
  SUMIFS(
    'Resource Summary'!$E:$E,
    'Resource Summary'!$B:$B,zones_to_group,
    'Resource Summary'!$A:$A,TRANSPOSE(_xlfn._xlws.FILTER('Results Grouping'!$G$9:$G$322,('Results Grouping'!$H$9:$H$322=$D$57) * ('Results Grouping'!$I$9:$I$322=$D87),0)),
    'Resource Summary'!$C:$C,W$60
  ))</f>
        <v>0</v>
      </c>
      <c r="X87" s="21" cm="1">
        <f t="array" ref="X87">0.001 * SUM(
  SUMIFS(
    'Resource Summary'!$E:$E,
    'Resource Summary'!$B:$B,zones_to_group,
    'Resource Summary'!$A:$A,TRANSPOSE(_xlfn._xlws.FILTER('Results Grouping'!$G$9:$G$322,('Results Grouping'!$H$9:$H$322=$D$57) * ('Results Grouping'!$I$9:$I$322=$D87),0)),
    'Resource Summary'!$C:$C,X$60
  ))</f>
        <v>0</v>
      </c>
      <c r="Y87" s="21" cm="1">
        <f t="array" ref="Y87">0.001 * SUM(
  SUMIFS(
    'Resource Summary'!$E:$E,
    'Resource Summary'!$B:$B,zones_to_group,
    'Resource Summary'!$A:$A,TRANSPOSE(_xlfn._xlws.FILTER('Results Grouping'!$G$9:$G$322,('Results Grouping'!$H$9:$H$322=$D$57) * ('Results Grouping'!$I$9:$I$322=$D87),0)),
    'Resource Summary'!$C:$C,Y$60
  ))</f>
        <v>0</v>
      </c>
      <c r="Z87" s="21" cm="1">
        <f t="array" ref="Z87">0.001 * SUM(
  SUMIFS(
    'Resource Summary'!$E:$E,
    'Resource Summary'!$B:$B,zones_to_group,
    'Resource Summary'!$A:$A,TRANSPOSE(_xlfn._xlws.FILTER('Results Grouping'!$G$9:$G$322,('Results Grouping'!$H$9:$H$322=$D$57) * ('Results Grouping'!$I$9:$I$322=$D87),0)),
    'Resource Summary'!$C:$C,Z$60
  ))</f>
        <v>0</v>
      </c>
      <c r="AA87" s="21" cm="1">
        <f t="array" ref="AA87">0.001 * SUM(
  SUMIFS(
    'Resource Summary'!$E:$E,
    'Resource Summary'!$B:$B,zones_to_group,
    'Resource Summary'!$A:$A,TRANSPOSE(_xlfn._xlws.FILTER('Results Grouping'!$G$9:$G$322,('Results Grouping'!$H$9:$H$322=$D$57) * ('Results Grouping'!$I$9:$I$322=$D87),0)),
    'Resource Summary'!$C:$C,AA$60
  ))</f>
        <v>0</v>
      </c>
      <c r="AB87" s="21" cm="1">
        <f t="array" ref="AB87">0.001 * SUM(
  SUMIFS(
    'Resource Summary'!$E:$E,
    'Resource Summary'!$B:$B,zones_to_group,
    'Resource Summary'!$A:$A,TRANSPOSE(_xlfn._xlws.FILTER('Results Grouping'!$G$9:$G$322,('Results Grouping'!$H$9:$H$322=$D$57) * ('Results Grouping'!$I$9:$I$322=$D87),0)),
    'Resource Summary'!$C:$C,AB$60
  ))</f>
        <v>0</v>
      </c>
      <c r="AC87" s="21" cm="1">
        <f t="array" ref="AC87">0.001 * SUM(
  SUMIFS(
    'Resource Summary'!$E:$E,
    'Resource Summary'!$B:$B,zones_to_group,
    'Resource Summary'!$A:$A,TRANSPOSE(_xlfn._xlws.FILTER('Results Grouping'!$G$9:$G$322,('Results Grouping'!$H$9:$H$322=$D$57) * ('Results Grouping'!$I$9:$I$322=$D87),0)),
    'Resource Summary'!$C:$C,AC$60
  ))</f>
        <v>0</v>
      </c>
      <c r="AD87" s="21" cm="1">
        <f t="array" ref="AD87">0.001 * SUM(
  SUMIFS(
    'Resource Summary'!$E:$E,
    'Resource Summary'!$B:$B,zones_to_group,
    'Resource Summary'!$A:$A,TRANSPOSE(_xlfn._xlws.FILTER('Results Grouping'!$G$9:$G$322,('Results Grouping'!$H$9:$H$322=$D$57) * ('Results Grouping'!$I$9:$I$322=$D87),0)),
    'Resource Summary'!$C:$C,AD$60
  ))</f>
        <v>9.5519999999999994E-2</v>
      </c>
      <c r="AH87" s="34"/>
    </row>
    <row r="88" spans="4:34" outlineLevel="1" x14ac:dyDescent="0.2">
      <c r="D88" s="8" t="s">
        <v>118</v>
      </c>
      <c r="E88" s="21" cm="1">
        <f t="array" ref="E88">0.001 * SUM(
  SUMIFS(
    'Resource Summary'!$E:$E,
    'Resource Summary'!$B:$B,zones_to_group,
    'Resource Summary'!$A:$A,TRANSPOSE(_xlfn._xlws.FILTER('Results Grouping'!$G$9:$G$322,('Results Grouping'!$H$9:$H$322=$D$57) * ('Results Grouping'!$I$9:$I$322=$D88),0)),
    'Resource Summary'!$C:$C,E$60
  ))</f>
        <v>0</v>
      </c>
      <c r="F88" s="21" cm="1">
        <f t="array" ref="F88">0.001 * SUM(
  SUMIFS(
    'Resource Summary'!$E:$E,
    'Resource Summary'!$B:$B,zones_to_group,
    'Resource Summary'!$A:$A,TRANSPOSE(_xlfn._xlws.FILTER('Results Grouping'!$G$9:$G$322,('Results Grouping'!$H$9:$H$322=$D$57) * ('Results Grouping'!$I$9:$I$322=$D88),0)),
    'Resource Summary'!$C:$C,F$60
  ))</f>
        <v>0</v>
      </c>
      <c r="G88" s="21" cm="1">
        <f t="array" ref="G88">0.001 * SUM(
  SUMIFS(
    'Resource Summary'!$E:$E,
    'Resource Summary'!$B:$B,zones_to_group,
    'Resource Summary'!$A:$A,TRANSPOSE(_xlfn._xlws.FILTER('Results Grouping'!$G$9:$G$322,('Results Grouping'!$H$9:$H$322=$D$57) * ('Results Grouping'!$I$9:$I$322=$D88),0)),
    'Resource Summary'!$C:$C,G$60
  ))</f>
        <v>0</v>
      </c>
      <c r="H88" s="21" cm="1">
        <f t="array" ref="H88">0.001 * SUM(
  SUMIFS(
    'Resource Summary'!$E:$E,
    'Resource Summary'!$B:$B,zones_to_group,
    'Resource Summary'!$A:$A,TRANSPOSE(_xlfn._xlws.FILTER('Results Grouping'!$G$9:$G$322,('Results Grouping'!$H$9:$H$322=$D$57) * ('Results Grouping'!$I$9:$I$322=$D88),0)),
    'Resource Summary'!$C:$C,H$60
  ))</f>
        <v>0</v>
      </c>
      <c r="I88" s="21" cm="1">
        <f t="array" ref="I88">0.001 * SUM(
  SUMIFS(
    'Resource Summary'!$E:$E,
    'Resource Summary'!$B:$B,zones_to_group,
    'Resource Summary'!$A:$A,TRANSPOSE(_xlfn._xlws.FILTER('Results Grouping'!$G$9:$G$322,('Results Grouping'!$H$9:$H$322=$D$57) * ('Results Grouping'!$I$9:$I$322=$D88),0)),
    'Resource Summary'!$C:$C,I$60
  ))</f>
        <v>0</v>
      </c>
      <c r="J88" s="21" cm="1">
        <f t="array" ref="J88">0.001 * SUM(
  SUMIFS(
    'Resource Summary'!$E:$E,
    'Resource Summary'!$B:$B,zones_to_group,
    'Resource Summary'!$A:$A,TRANSPOSE(_xlfn._xlws.FILTER('Results Grouping'!$G$9:$G$322,('Results Grouping'!$H$9:$H$322=$D$57) * ('Results Grouping'!$I$9:$I$322=$D88),0)),
    'Resource Summary'!$C:$C,J$60
  ))</f>
        <v>0</v>
      </c>
      <c r="K88" s="21" cm="1">
        <f t="array" ref="K88">0.001 * SUM(
  SUMIFS(
    'Resource Summary'!$E:$E,
    'Resource Summary'!$B:$B,zones_to_group,
    'Resource Summary'!$A:$A,TRANSPOSE(_xlfn._xlws.FILTER('Results Grouping'!$G$9:$G$322,('Results Grouping'!$H$9:$H$322=$D$57) * ('Results Grouping'!$I$9:$I$322=$D88),0)),
    'Resource Summary'!$C:$C,K$60
  ))</f>
        <v>0</v>
      </c>
      <c r="L88" s="21" cm="1">
        <f t="array" ref="L88">0.001 * SUM(
  SUMIFS(
    'Resource Summary'!$E:$E,
    'Resource Summary'!$B:$B,zones_to_group,
    'Resource Summary'!$A:$A,TRANSPOSE(_xlfn._xlws.FILTER('Results Grouping'!$G$9:$G$322,('Results Grouping'!$H$9:$H$322=$D$57) * ('Results Grouping'!$I$9:$I$322=$D88),0)),
    'Resource Summary'!$C:$C,L$60
  ))</f>
        <v>0</v>
      </c>
      <c r="M88" s="21" cm="1">
        <f t="array" ref="M88">0.001 * SUM(
  SUMIFS(
    'Resource Summary'!$E:$E,
    'Resource Summary'!$B:$B,zones_to_group,
    'Resource Summary'!$A:$A,TRANSPOSE(_xlfn._xlws.FILTER('Results Grouping'!$G$9:$G$322,('Results Grouping'!$H$9:$H$322=$D$57) * ('Results Grouping'!$I$9:$I$322=$D88),0)),
    'Resource Summary'!$C:$C,M$60
  ))</f>
        <v>0</v>
      </c>
      <c r="N88" s="21" cm="1">
        <f t="array" ref="N88">0.001 * SUM(
  SUMIFS(
    'Resource Summary'!$E:$E,
    'Resource Summary'!$B:$B,zones_to_group,
    'Resource Summary'!$A:$A,TRANSPOSE(_xlfn._xlws.FILTER('Results Grouping'!$G$9:$G$322,('Results Grouping'!$H$9:$H$322=$D$57) * ('Results Grouping'!$I$9:$I$322=$D88),0)),
    'Resource Summary'!$C:$C,N$60
  ))</f>
        <v>0</v>
      </c>
      <c r="O88" s="21" cm="1">
        <f t="array" ref="O88">0.001 * SUM(
  SUMIFS(
    'Resource Summary'!$E:$E,
    'Resource Summary'!$B:$B,zones_to_group,
    'Resource Summary'!$A:$A,TRANSPOSE(_xlfn._xlws.FILTER('Results Grouping'!$G$9:$G$322,('Results Grouping'!$H$9:$H$322=$D$57) * ('Results Grouping'!$I$9:$I$322=$D88),0)),
    'Resource Summary'!$C:$C,O$60
  ))</f>
        <v>0</v>
      </c>
      <c r="P88" s="21" cm="1">
        <f t="array" ref="P88">0.001 * SUM(
  SUMIFS(
    'Resource Summary'!$E:$E,
    'Resource Summary'!$B:$B,zones_to_group,
    'Resource Summary'!$A:$A,TRANSPOSE(_xlfn._xlws.FILTER('Results Grouping'!$G$9:$G$322,('Results Grouping'!$H$9:$H$322=$D$57) * ('Results Grouping'!$I$9:$I$322=$D88),0)),
    'Resource Summary'!$C:$C,P$60
  ))</f>
        <v>0</v>
      </c>
      <c r="Q88" s="21" cm="1">
        <f t="array" ref="Q88">0.001 * SUM(
  SUMIFS(
    'Resource Summary'!$E:$E,
    'Resource Summary'!$B:$B,zones_to_group,
    'Resource Summary'!$A:$A,TRANSPOSE(_xlfn._xlws.FILTER('Results Grouping'!$G$9:$G$322,('Results Grouping'!$H$9:$H$322=$D$57) * ('Results Grouping'!$I$9:$I$322=$D88),0)),
    'Resource Summary'!$C:$C,Q$60
  ))</f>
        <v>0</v>
      </c>
      <c r="R88" s="21" cm="1">
        <f t="array" ref="R88">0.001 * SUM(
  SUMIFS(
    'Resource Summary'!$E:$E,
    'Resource Summary'!$B:$B,zones_to_group,
    'Resource Summary'!$A:$A,TRANSPOSE(_xlfn._xlws.FILTER('Results Grouping'!$G$9:$G$322,('Results Grouping'!$H$9:$H$322=$D$57) * ('Results Grouping'!$I$9:$I$322=$D88),0)),
    'Resource Summary'!$C:$C,R$60
  ))</f>
        <v>0</v>
      </c>
      <c r="S88" s="21" cm="1">
        <f t="array" ref="S88">0.001 * SUM(
  SUMIFS(
    'Resource Summary'!$E:$E,
    'Resource Summary'!$B:$B,zones_to_group,
    'Resource Summary'!$A:$A,TRANSPOSE(_xlfn._xlws.FILTER('Results Grouping'!$G$9:$G$322,('Results Grouping'!$H$9:$H$322=$D$57) * ('Results Grouping'!$I$9:$I$322=$D88),0)),
    'Resource Summary'!$C:$C,S$60
  ))</f>
        <v>0</v>
      </c>
      <c r="T88" s="21" cm="1">
        <f t="array" ref="T88">0.001 * SUM(
  SUMIFS(
    'Resource Summary'!$E:$E,
    'Resource Summary'!$B:$B,zones_to_group,
    'Resource Summary'!$A:$A,TRANSPOSE(_xlfn._xlws.FILTER('Results Grouping'!$G$9:$G$322,('Results Grouping'!$H$9:$H$322=$D$57) * ('Results Grouping'!$I$9:$I$322=$D88),0)),
    'Resource Summary'!$C:$C,T$60
  ))</f>
        <v>0</v>
      </c>
      <c r="U88" s="21" cm="1">
        <f t="array" ref="U88">0.001 * SUM(
  SUMIFS(
    'Resource Summary'!$E:$E,
    'Resource Summary'!$B:$B,zones_to_group,
    'Resource Summary'!$A:$A,TRANSPOSE(_xlfn._xlws.FILTER('Results Grouping'!$G$9:$G$322,('Results Grouping'!$H$9:$H$322=$D$57) * ('Results Grouping'!$I$9:$I$322=$D88),0)),
    'Resource Summary'!$C:$C,U$60
  ))</f>
        <v>0</v>
      </c>
      <c r="V88" s="21" cm="1">
        <f t="array" ref="V88">0.001 * SUM(
  SUMIFS(
    'Resource Summary'!$E:$E,
    'Resource Summary'!$B:$B,zones_to_group,
    'Resource Summary'!$A:$A,TRANSPOSE(_xlfn._xlws.FILTER('Results Grouping'!$G$9:$G$322,('Results Grouping'!$H$9:$H$322=$D$57) * ('Results Grouping'!$I$9:$I$322=$D88),0)),
    'Resource Summary'!$C:$C,V$60
  ))</f>
        <v>0</v>
      </c>
      <c r="W88" s="21" cm="1">
        <f t="array" ref="W88">0.001 * SUM(
  SUMIFS(
    'Resource Summary'!$E:$E,
    'Resource Summary'!$B:$B,zones_to_group,
    'Resource Summary'!$A:$A,TRANSPOSE(_xlfn._xlws.FILTER('Results Grouping'!$G$9:$G$322,('Results Grouping'!$H$9:$H$322=$D$57) * ('Results Grouping'!$I$9:$I$322=$D88),0)),
    'Resource Summary'!$C:$C,W$60
  ))</f>
        <v>0</v>
      </c>
      <c r="X88" s="21" cm="1">
        <f t="array" ref="X88">0.001 * SUM(
  SUMIFS(
    'Resource Summary'!$E:$E,
    'Resource Summary'!$B:$B,zones_to_group,
    'Resource Summary'!$A:$A,TRANSPOSE(_xlfn._xlws.FILTER('Results Grouping'!$G$9:$G$322,('Results Grouping'!$H$9:$H$322=$D$57) * ('Results Grouping'!$I$9:$I$322=$D88),0)),
    'Resource Summary'!$C:$C,X$60
  ))</f>
        <v>0</v>
      </c>
      <c r="Y88" s="21" cm="1">
        <f t="array" ref="Y88">0.001 * SUM(
  SUMIFS(
    'Resource Summary'!$E:$E,
    'Resource Summary'!$B:$B,zones_to_group,
    'Resource Summary'!$A:$A,TRANSPOSE(_xlfn._xlws.FILTER('Results Grouping'!$G$9:$G$322,('Results Grouping'!$H$9:$H$322=$D$57) * ('Results Grouping'!$I$9:$I$322=$D88),0)),
    'Resource Summary'!$C:$C,Y$60
  ))</f>
        <v>0</v>
      </c>
      <c r="Z88" s="21" cm="1">
        <f t="array" ref="Z88">0.001 * SUM(
  SUMIFS(
    'Resource Summary'!$E:$E,
    'Resource Summary'!$B:$B,zones_to_group,
    'Resource Summary'!$A:$A,TRANSPOSE(_xlfn._xlws.FILTER('Results Grouping'!$G$9:$G$322,('Results Grouping'!$H$9:$H$322=$D$57) * ('Results Grouping'!$I$9:$I$322=$D88),0)),
    'Resource Summary'!$C:$C,Z$60
  ))</f>
        <v>0</v>
      </c>
      <c r="AA88" s="21" cm="1">
        <f t="array" ref="AA88">0.001 * SUM(
  SUMIFS(
    'Resource Summary'!$E:$E,
    'Resource Summary'!$B:$B,zones_to_group,
    'Resource Summary'!$A:$A,TRANSPOSE(_xlfn._xlws.FILTER('Results Grouping'!$G$9:$G$322,('Results Grouping'!$H$9:$H$322=$D$57) * ('Results Grouping'!$I$9:$I$322=$D88),0)),
    'Resource Summary'!$C:$C,AA$60
  ))</f>
        <v>0</v>
      </c>
      <c r="AB88" s="21" cm="1">
        <f t="array" ref="AB88">0.001 * SUM(
  SUMIFS(
    'Resource Summary'!$E:$E,
    'Resource Summary'!$B:$B,zones_to_group,
    'Resource Summary'!$A:$A,TRANSPOSE(_xlfn._xlws.FILTER('Results Grouping'!$G$9:$G$322,('Results Grouping'!$H$9:$H$322=$D$57) * ('Results Grouping'!$I$9:$I$322=$D88),0)),
    'Resource Summary'!$C:$C,AB$60
  ))</f>
        <v>0</v>
      </c>
      <c r="AC88" s="21" cm="1">
        <f t="array" ref="AC88">0.001 * SUM(
  SUMIFS(
    'Resource Summary'!$E:$E,
    'Resource Summary'!$B:$B,zones_to_group,
    'Resource Summary'!$A:$A,TRANSPOSE(_xlfn._xlws.FILTER('Results Grouping'!$G$9:$G$322,('Results Grouping'!$H$9:$H$322=$D$57) * ('Results Grouping'!$I$9:$I$322=$D88),0)),
    'Resource Summary'!$C:$C,AC$60
  ))</f>
        <v>0</v>
      </c>
      <c r="AD88" s="21" cm="1">
        <f t="array" ref="AD88">0.001 * SUM(
  SUMIFS(
    'Resource Summary'!$E:$E,
    'Resource Summary'!$B:$B,zones_to_group,
    'Resource Summary'!$A:$A,TRANSPOSE(_xlfn._xlws.FILTER('Results Grouping'!$G$9:$G$322,('Results Grouping'!$H$9:$H$322=$D$57) * ('Results Grouping'!$I$9:$I$322=$D88),0)),
    'Resource Summary'!$C:$C,AD$60
  ))</f>
        <v>65.168070244217134</v>
      </c>
      <c r="AH88" s="34"/>
    </row>
    <row r="89" spans="4:34" outlineLevel="1" x14ac:dyDescent="0.2">
      <c r="D89" s="8" t="s">
        <v>126</v>
      </c>
      <c r="E89" s="21" cm="1">
        <f t="array" ref="E89">0.001 * SUM(
  SUMIFS(
    'Resource Summary'!$E:$E,
    'Resource Summary'!$B:$B,zones_to_group,
    'Resource Summary'!$A:$A,TRANSPOSE(_xlfn._xlws.FILTER('Results Grouping'!$G$9:$G$322,('Results Grouping'!$H$9:$H$322=$D$57) * ('Results Grouping'!$I$9:$I$322=$D89),0)),
    'Resource Summary'!$C:$C,E$60
  ))</f>
        <v>0</v>
      </c>
      <c r="F89" s="21" cm="1">
        <f t="array" ref="F89">0.001 * SUM(
  SUMIFS(
    'Resource Summary'!$E:$E,
    'Resource Summary'!$B:$B,zones_to_group,
    'Resource Summary'!$A:$A,TRANSPOSE(_xlfn._xlws.FILTER('Results Grouping'!$G$9:$G$322,('Results Grouping'!$H$9:$H$322=$D$57) * ('Results Grouping'!$I$9:$I$322=$D89),0)),
    'Resource Summary'!$C:$C,F$60
  ))</f>
        <v>0</v>
      </c>
      <c r="G89" s="21" cm="1">
        <f t="array" ref="G89">0.001 * SUM(
  SUMIFS(
    'Resource Summary'!$E:$E,
    'Resource Summary'!$B:$B,zones_to_group,
    'Resource Summary'!$A:$A,TRANSPOSE(_xlfn._xlws.FILTER('Results Grouping'!$G$9:$G$322,('Results Grouping'!$H$9:$H$322=$D$57) * ('Results Grouping'!$I$9:$I$322=$D89),0)),
    'Resource Summary'!$C:$C,G$60
  ))</f>
        <v>0</v>
      </c>
      <c r="H89" s="21" cm="1">
        <f t="array" ref="H89">0.001 * SUM(
  SUMIFS(
    'Resource Summary'!$E:$E,
    'Resource Summary'!$B:$B,zones_to_group,
    'Resource Summary'!$A:$A,TRANSPOSE(_xlfn._xlws.FILTER('Results Grouping'!$G$9:$G$322,('Results Grouping'!$H$9:$H$322=$D$57) * ('Results Grouping'!$I$9:$I$322=$D89),0)),
    'Resource Summary'!$C:$C,H$60
  ))</f>
        <v>0</v>
      </c>
      <c r="I89" s="21" cm="1">
        <f t="array" ref="I89">0.001 * SUM(
  SUMIFS(
    'Resource Summary'!$E:$E,
    'Resource Summary'!$B:$B,zones_to_group,
    'Resource Summary'!$A:$A,TRANSPOSE(_xlfn._xlws.FILTER('Results Grouping'!$G$9:$G$322,('Results Grouping'!$H$9:$H$322=$D$57) * ('Results Grouping'!$I$9:$I$322=$D89),0)),
    'Resource Summary'!$C:$C,I$60
  ))</f>
        <v>0</v>
      </c>
      <c r="J89" s="21" cm="1">
        <f t="array" ref="J89">0.001 * SUM(
  SUMIFS(
    'Resource Summary'!$E:$E,
    'Resource Summary'!$B:$B,zones_to_group,
    'Resource Summary'!$A:$A,TRANSPOSE(_xlfn._xlws.FILTER('Results Grouping'!$G$9:$G$322,('Results Grouping'!$H$9:$H$322=$D$57) * ('Results Grouping'!$I$9:$I$322=$D89),0)),
    'Resource Summary'!$C:$C,J$60
  ))</f>
        <v>0</v>
      </c>
      <c r="K89" s="21" cm="1">
        <f t="array" ref="K89">0.001 * SUM(
  SUMIFS(
    'Resource Summary'!$E:$E,
    'Resource Summary'!$B:$B,zones_to_group,
    'Resource Summary'!$A:$A,TRANSPOSE(_xlfn._xlws.FILTER('Results Grouping'!$G$9:$G$322,('Results Grouping'!$H$9:$H$322=$D$57) * ('Results Grouping'!$I$9:$I$322=$D89),0)),
    'Resource Summary'!$C:$C,K$60
  ))</f>
        <v>0</v>
      </c>
      <c r="L89" s="21" cm="1">
        <f t="array" ref="L89">0.001 * SUM(
  SUMIFS(
    'Resource Summary'!$E:$E,
    'Resource Summary'!$B:$B,zones_to_group,
    'Resource Summary'!$A:$A,TRANSPOSE(_xlfn._xlws.FILTER('Results Grouping'!$G$9:$G$322,('Results Grouping'!$H$9:$H$322=$D$57) * ('Results Grouping'!$I$9:$I$322=$D89),0)),
    'Resource Summary'!$C:$C,L$60
  ))</f>
        <v>0</v>
      </c>
      <c r="M89" s="21" cm="1">
        <f t="array" ref="M89">0.001 * SUM(
  SUMIFS(
    'Resource Summary'!$E:$E,
    'Resource Summary'!$B:$B,zones_to_group,
    'Resource Summary'!$A:$A,TRANSPOSE(_xlfn._xlws.FILTER('Results Grouping'!$G$9:$G$322,('Results Grouping'!$H$9:$H$322=$D$57) * ('Results Grouping'!$I$9:$I$322=$D89),0)),
    'Resource Summary'!$C:$C,M$60
  ))</f>
        <v>0</v>
      </c>
      <c r="N89" s="21" cm="1">
        <f t="array" ref="N89">0.001 * SUM(
  SUMIFS(
    'Resource Summary'!$E:$E,
    'Resource Summary'!$B:$B,zones_to_group,
    'Resource Summary'!$A:$A,TRANSPOSE(_xlfn._xlws.FILTER('Results Grouping'!$G$9:$G$322,('Results Grouping'!$H$9:$H$322=$D$57) * ('Results Grouping'!$I$9:$I$322=$D89),0)),
    'Resource Summary'!$C:$C,N$60
  ))</f>
        <v>0</v>
      </c>
      <c r="O89" s="21" cm="1">
        <f t="array" ref="O89">0.001 * SUM(
  SUMIFS(
    'Resource Summary'!$E:$E,
    'Resource Summary'!$B:$B,zones_to_group,
    'Resource Summary'!$A:$A,TRANSPOSE(_xlfn._xlws.FILTER('Results Grouping'!$G$9:$G$322,('Results Grouping'!$H$9:$H$322=$D$57) * ('Results Grouping'!$I$9:$I$322=$D89),0)),
    'Resource Summary'!$C:$C,O$60
  ))</f>
        <v>0</v>
      </c>
      <c r="P89" s="21" cm="1">
        <f t="array" ref="P89">0.001 * SUM(
  SUMIFS(
    'Resource Summary'!$E:$E,
    'Resource Summary'!$B:$B,zones_to_group,
    'Resource Summary'!$A:$A,TRANSPOSE(_xlfn._xlws.FILTER('Results Grouping'!$G$9:$G$322,('Results Grouping'!$H$9:$H$322=$D$57) * ('Results Grouping'!$I$9:$I$322=$D89),0)),
    'Resource Summary'!$C:$C,P$60
  ))</f>
        <v>0</v>
      </c>
      <c r="Q89" s="21" cm="1">
        <f t="array" ref="Q89">0.001 * SUM(
  SUMIFS(
    'Resource Summary'!$E:$E,
    'Resource Summary'!$B:$B,zones_to_group,
    'Resource Summary'!$A:$A,TRANSPOSE(_xlfn._xlws.FILTER('Results Grouping'!$G$9:$G$322,('Results Grouping'!$H$9:$H$322=$D$57) * ('Results Grouping'!$I$9:$I$322=$D89),0)),
    'Resource Summary'!$C:$C,Q$60
  ))</f>
        <v>0</v>
      </c>
      <c r="R89" s="21" cm="1">
        <f t="array" ref="R89">0.001 * SUM(
  SUMIFS(
    'Resource Summary'!$E:$E,
    'Resource Summary'!$B:$B,zones_to_group,
    'Resource Summary'!$A:$A,TRANSPOSE(_xlfn._xlws.FILTER('Results Grouping'!$G$9:$G$322,('Results Grouping'!$H$9:$H$322=$D$57) * ('Results Grouping'!$I$9:$I$322=$D89),0)),
    'Resource Summary'!$C:$C,R$60
  ))</f>
        <v>0</v>
      </c>
      <c r="S89" s="21" cm="1">
        <f t="array" ref="S89">0.001 * SUM(
  SUMIFS(
    'Resource Summary'!$E:$E,
    'Resource Summary'!$B:$B,zones_to_group,
    'Resource Summary'!$A:$A,TRANSPOSE(_xlfn._xlws.FILTER('Results Grouping'!$G$9:$G$322,('Results Grouping'!$H$9:$H$322=$D$57) * ('Results Grouping'!$I$9:$I$322=$D89),0)),
    'Resource Summary'!$C:$C,S$60
  ))</f>
        <v>0</v>
      </c>
      <c r="T89" s="21" cm="1">
        <f t="array" ref="T89">0.001 * SUM(
  SUMIFS(
    'Resource Summary'!$E:$E,
    'Resource Summary'!$B:$B,zones_to_group,
    'Resource Summary'!$A:$A,TRANSPOSE(_xlfn._xlws.FILTER('Results Grouping'!$G$9:$G$322,('Results Grouping'!$H$9:$H$322=$D$57) * ('Results Grouping'!$I$9:$I$322=$D89),0)),
    'Resource Summary'!$C:$C,T$60
  ))</f>
        <v>0</v>
      </c>
      <c r="U89" s="21" cm="1">
        <f t="array" ref="U89">0.001 * SUM(
  SUMIFS(
    'Resource Summary'!$E:$E,
    'Resource Summary'!$B:$B,zones_to_group,
    'Resource Summary'!$A:$A,TRANSPOSE(_xlfn._xlws.FILTER('Results Grouping'!$G$9:$G$322,('Results Grouping'!$H$9:$H$322=$D$57) * ('Results Grouping'!$I$9:$I$322=$D89),0)),
    'Resource Summary'!$C:$C,U$60
  ))</f>
        <v>0</v>
      </c>
      <c r="V89" s="21" cm="1">
        <f t="array" ref="V89">0.001 * SUM(
  SUMIFS(
    'Resource Summary'!$E:$E,
    'Resource Summary'!$B:$B,zones_to_group,
    'Resource Summary'!$A:$A,TRANSPOSE(_xlfn._xlws.FILTER('Results Grouping'!$G$9:$G$322,('Results Grouping'!$H$9:$H$322=$D$57) * ('Results Grouping'!$I$9:$I$322=$D89),0)),
    'Resource Summary'!$C:$C,V$60
  ))</f>
        <v>0</v>
      </c>
      <c r="W89" s="21" cm="1">
        <f t="array" ref="W89">0.001 * SUM(
  SUMIFS(
    'Resource Summary'!$E:$E,
    'Resource Summary'!$B:$B,zones_to_group,
    'Resource Summary'!$A:$A,TRANSPOSE(_xlfn._xlws.FILTER('Results Grouping'!$G$9:$G$322,('Results Grouping'!$H$9:$H$322=$D$57) * ('Results Grouping'!$I$9:$I$322=$D89),0)),
    'Resource Summary'!$C:$C,W$60
  ))</f>
        <v>0</v>
      </c>
      <c r="X89" s="21" cm="1">
        <f t="array" ref="X89">0.001 * SUM(
  SUMIFS(
    'Resource Summary'!$E:$E,
    'Resource Summary'!$B:$B,zones_to_group,
    'Resource Summary'!$A:$A,TRANSPOSE(_xlfn._xlws.FILTER('Results Grouping'!$G$9:$G$322,('Results Grouping'!$H$9:$H$322=$D$57) * ('Results Grouping'!$I$9:$I$322=$D89),0)),
    'Resource Summary'!$C:$C,X$60
  ))</f>
        <v>0</v>
      </c>
      <c r="Y89" s="21" cm="1">
        <f t="array" ref="Y89">0.001 * SUM(
  SUMIFS(
    'Resource Summary'!$E:$E,
    'Resource Summary'!$B:$B,zones_to_group,
    'Resource Summary'!$A:$A,TRANSPOSE(_xlfn._xlws.FILTER('Results Grouping'!$G$9:$G$322,('Results Grouping'!$H$9:$H$322=$D$57) * ('Results Grouping'!$I$9:$I$322=$D89),0)),
    'Resource Summary'!$C:$C,Y$60
  ))</f>
        <v>0</v>
      </c>
      <c r="Z89" s="21" cm="1">
        <f t="array" ref="Z89">0.001 * SUM(
  SUMIFS(
    'Resource Summary'!$E:$E,
    'Resource Summary'!$B:$B,zones_to_group,
    'Resource Summary'!$A:$A,TRANSPOSE(_xlfn._xlws.FILTER('Results Grouping'!$G$9:$G$322,('Results Grouping'!$H$9:$H$322=$D$57) * ('Results Grouping'!$I$9:$I$322=$D89),0)),
    'Resource Summary'!$C:$C,Z$60
  ))</f>
        <v>0</v>
      </c>
      <c r="AA89" s="21" cm="1">
        <f t="array" ref="AA89">0.001 * SUM(
  SUMIFS(
    'Resource Summary'!$E:$E,
    'Resource Summary'!$B:$B,zones_to_group,
    'Resource Summary'!$A:$A,TRANSPOSE(_xlfn._xlws.FILTER('Results Grouping'!$G$9:$G$322,('Results Grouping'!$H$9:$H$322=$D$57) * ('Results Grouping'!$I$9:$I$322=$D89),0)),
    'Resource Summary'!$C:$C,AA$60
  ))</f>
        <v>0</v>
      </c>
      <c r="AB89" s="21" cm="1">
        <f t="array" ref="AB89">0.001 * SUM(
  SUMIFS(
    'Resource Summary'!$E:$E,
    'Resource Summary'!$B:$B,zones_to_group,
    'Resource Summary'!$A:$A,TRANSPOSE(_xlfn._xlws.FILTER('Results Grouping'!$G$9:$G$322,('Results Grouping'!$H$9:$H$322=$D$57) * ('Results Grouping'!$I$9:$I$322=$D89),0)),
    'Resource Summary'!$C:$C,AB$60
  ))</f>
        <v>0</v>
      </c>
      <c r="AC89" s="21" cm="1">
        <f t="array" ref="AC89">0.001 * SUM(
  SUMIFS(
    'Resource Summary'!$E:$E,
    'Resource Summary'!$B:$B,zones_to_group,
    'Resource Summary'!$A:$A,TRANSPOSE(_xlfn._xlws.FILTER('Results Grouping'!$G$9:$G$322,('Results Grouping'!$H$9:$H$322=$D$57) * ('Results Grouping'!$I$9:$I$322=$D89),0)),
    'Resource Summary'!$C:$C,AC$60
  ))</f>
        <v>0</v>
      </c>
      <c r="AD89" s="21" cm="1">
        <f t="array" ref="AD89">0.001 * SUM(
  SUMIFS(
    'Resource Summary'!$E:$E,
    'Resource Summary'!$B:$B,zones_to_group,
    'Resource Summary'!$A:$A,TRANSPOSE(_xlfn._xlws.FILTER('Results Grouping'!$G$9:$G$322,('Results Grouping'!$H$9:$H$322=$D$57) * ('Results Grouping'!$I$9:$I$322=$D89),0)),
    'Resource Summary'!$C:$C,AD$60
  ))</f>
        <v>0</v>
      </c>
      <c r="AH89" s="34"/>
    </row>
    <row r="90" spans="4:34" outlineLevel="1" x14ac:dyDescent="0.2">
      <c r="D90" s="8" t="s">
        <v>151</v>
      </c>
      <c r="E90" s="21" cm="1">
        <f t="array" ref="E90">0.001 * SUM(
  SUMIFS(
    'Resource Summary'!$E:$E,
    'Resource Summary'!$B:$B,zones_to_group,
    'Resource Summary'!$A:$A,TRANSPOSE(_xlfn._xlws.FILTER('Results Grouping'!$G$9:$G$322,('Results Grouping'!$H$9:$H$322=$D$57) * ('Results Grouping'!$I$9:$I$322=$D90),0)),
    'Resource Summary'!$C:$C,E$60
  ))</f>
        <v>0</v>
      </c>
      <c r="F90" s="21" cm="1">
        <f t="array" ref="F90">0.001 * SUM(
  SUMIFS(
    'Resource Summary'!$E:$E,
    'Resource Summary'!$B:$B,zones_to_group,
    'Resource Summary'!$A:$A,TRANSPOSE(_xlfn._xlws.FILTER('Results Grouping'!$G$9:$G$322,('Results Grouping'!$H$9:$H$322=$D$57) * ('Results Grouping'!$I$9:$I$322=$D90),0)),
    'Resource Summary'!$C:$C,F$60
  ))</f>
        <v>0</v>
      </c>
      <c r="G90" s="21" cm="1">
        <f t="array" ref="G90">0.001 * SUM(
  SUMIFS(
    'Resource Summary'!$E:$E,
    'Resource Summary'!$B:$B,zones_to_group,
    'Resource Summary'!$A:$A,TRANSPOSE(_xlfn._xlws.FILTER('Results Grouping'!$G$9:$G$322,('Results Grouping'!$H$9:$H$322=$D$57) * ('Results Grouping'!$I$9:$I$322=$D90),0)),
    'Resource Summary'!$C:$C,G$60
  ))</f>
        <v>0</v>
      </c>
      <c r="H90" s="21" cm="1">
        <f t="array" ref="H90">0.001 * SUM(
  SUMIFS(
    'Resource Summary'!$E:$E,
    'Resource Summary'!$B:$B,zones_to_group,
    'Resource Summary'!$A:$A,TRANSPOSE(_xlfn._xlws.FILTER('Results Grouping'!$G$9:$G$322,('Results Grouping'!$H$9:$H$322=$D$57) * ('Results Grouping'!$I$9:$I$322=$D90),0)),
    'Resource Summary'!$C:$C,H$60
  ))</f>
        <v>0</v>
      </c>
      <c r="I90" s="21" cm="1">
        <f t="array" ref="I90">0.001 * SUM(
  SUMIFS(
    'Resource Summary'!$E:$E,
    'Resource Summary'!$B:$B,zones_to_group,
    'Resource Summary'!$A:$A,TRANSPOSE(_xlfn._xlws.FILTER('Results Grouping'!$G$9:$G$322,('Results Grouping'!$H$9:$H$322=$D$57) * ('Results Grouping'!$I$9:$I$322=$D90),0)),
    'Resource Summary'!$C:$C,I$60
  ))</f>
        <v>0</v>
      </c>
      <c r="J90" s="21" cm="1">
        <f t="array" ref="J90">0.001 * SUM(
  SUMIFS(
    'Resource Summary'!$E:$E,
    'Resource Summary'!$B:$B,zones_to_group,
    'Resource Summary'!$A:$A,TRANSPOSE(_xlfn._xlws.FILTER('Results Grouping'!$G$9:$G$322,('Results Grouping'!$H$9:$H$322=$D$57) * ('Results Grouping'!$I$9:$I$322=$D90),0)),
    'Resource Summary'!$C:$C,J$60
  ))</f>
        <v>0</v>
      </c>
      <c r="K90" s="21" cm="1">
        <f t="array" ref="K90">0.001 * SUM(
  SUMIFS(
    'Resource Summary'!$E:$E,
    'Resource Summary'!$B:$B,zones_to_group,
    'Resource Summary'!$A:$A,TRANSPOSE(_xlfn._xlws.FILTER('Results Grouping'!$G$9:$G$322,('Results Grouping'!$H$9:$H$322=$D$57) * ('Results Grouping'!$I$9:$I$322=$D90),0)),
    'Resource Summary'!$C:$C,K$60
  ))</f>
        <v>0</v>
      </c>
      <c r="L90" s="21" cm="1">
        <f t="array" ref="L90">0.001 * SUM(
  SUMIFS(
    'Resource Summary'!$E:$E,
    'Resource Summary'!$B:$B,zones_to_group,
    'Resource Summary'!$A:$A,TRANSPOSE(_xlfn._xlws.FILTER('Results Grouping'!$G$9:$G$322,('Results Grouping'!$H$9:$H$322=$D$57) * ('Results Grouping'!$I$9:$I$322=$D90),0)),
    'Resource Summary'!$C:$C,L$60
  ))</f>
        <v>0</v>
      </c>
      <c r="M90" s="21" cm="1">
        <f t="array" ref="M90">0.001 * SUM(
  SUMIFS(
    'Resource Summary'!$E:$E,
    'Resource Summary'!$B:$B,zones_to_group,
    'Resource Summary'!$A:$A,TRANSPOSE(_xlfn._xlws.FILTER('Results Grouping'!$G$9:$G$322,('Results Grouping'!$H$9:$H$322=$D$57) * ('Results Grouping'!$I$9:$I$322=$D90),0)),
    'Resource Summary'!$C:$C,M$60
  ))</f>
        <v>0</v>
      </c>
      <c r="N90" s="21" cm="1">
        <f t="array" ref="N90">0.001 * SUM(
  SUMIFS(
    'Resource Summary'!$E:$E,
    'Resource Summary'!$B:$B,zones_to_group,
    'Resource Summary'!$A:$A,TRANSPOSE(_xlfn._xlws.FILTER('Results Grouping'!$G$9:$G$322,('Results Grouping'!$H$9:$H$322=$D$57) * ('Results Grouping'!$I$9:$I$322=$D90),0)),
    'Resource Summary'!$C:$C,N$60
  ))</f>
        <v>0</v>
      </c>
      <c r="O90" s="21" cm="1">
        <f t="array" ref="O90">0.001 * SUM(
  SUMIFS(
    'Resource Summary'!$E:$E,
    'Resource Summary'!$B:$B,zones_to_group,
    'Resource Summary'!$A:$A,TRANSPOSE(_xlfn._xlws.FILTER('Results Grouping'!$G$9:$G$322,('Results Grouping'!$H$9:$H$322=$D$57) * ('Results Grouping'!$I$9:$I$322=$D90),0)),
    'Resource Summary'!$C:$C,O$60
  ))</f>
        <v>0</v>
      </c>
      <c r="P90" s="21" cm="1">
        <f t="array" ref="P90">0.001 * SUM(
  SUMIFS(
    'Resource Summary'!$E:$E,
    'Resource Summary'!$B:$B,zones_to_group,
    'Resource Summary'!$A:$A,TRANSPOSE(_xlfn._xlws.FILTER('Results Grouping'!$G$9:$G$322,('Results Grouping'!$H$9:$H$322=$D$57) * ('Results Grouping'!$I$9:$I$322=$D90),0)),
    'Resource Summary'!$C:$C,P$60
  ))</f>
        <v>0</v>
      </c>
      <c r="Q90" s="21" cm="1">
        <f t="array" ref="Q90">0.001 * SUM(
  SUMIFS(
    'Resource Summary'!$E:$E,
    'Resource Summary'!$B:$B,zones_to_group,
    'Resource Summary'!$A:$A,TRANSPOSE(_xlfn._xlws.FILTER('Results Grouping'!$G$9:$G$322,('Results Grouping'!$H$9:$H$322=$D$57) * ('Results Grouping'!$I$9:$I$322=$D90),0)),
    'Resource Summary'!$C:$C,Q$60
  ))</f>
        <v>0</v>
      </c>
      <c r="R90" s="21" cm="1">
        <f t="array" ref="R90">0.001 * SUM(
  SUMIFS(
    'Resource Summary'!$E:$E,
    'Resource Summary'!$B:$B,zones_to_group,
    'Resource Summary'!$A:$A,TRANSPOSE(_xlfn._xlws.FILTER('Results Grouping'!$G$9:$G$322,('Results Grouping'!$H$9:$H$322=$D$57) * ('Results Grouping'!$I$9:$I$322=$D90),0)),
    'Resource Summary'!$C:$C,R$60
  ))</f>
        <v>0</v>
      </c>
      <c r="S90" s="21" cm="1">
        <f t="array" ref="S90">0.001 * SUM(
  SUMIFS(
    'Resource Summary'!$E:$E,
    'Resource Summary'!$B:$B,zones_to_group,
    'Resource Summary'!$A:$A,TRANSPOSE(_xlfn._xlws.FILTER('Results Grouping'!$G$9:$G$322,('Results Grouping'!$H$9:$H$322=$D$57) * ('Results Grouping'!$I$9:$I$322=$D90),0)),
    'Resource Summary'!$C:$C,S$60
  ))</f>
        <v>0</v>
      </c>
      <c r="T90" s="21" cm="1">
        <f t="array" ref="T90">0.001 * SUM(
  SUMIFS(
    'Resource Summary'!$E:$E,
    'Resource Summary'!$B:$B,zones_to_group,
    'Resource Summary'!$A:$A,TRANSPOSE(_xlfn._xlws.FILTER('Results Grouping'!$G$9:$G$322,('Results Grouping'!$H$9:$H$322=$D$57) * ('Results Grouping'!$I$9:$I$322=$D90),0)),
    'Resource Summary'!$C:$C,T$60
  ))</f>
        <v>0</v>
      </c>
      <c r="U90" s="21" cm="1">
        <f t="array" ref="U90">0.001 * SUM(
  SUMIFS(
    'Resource Summary'!$E:$E,
    'Resource Summary'!$B:$B,zones_to_group,
    'Resource Summary'!$A:$A,TRANSPOSE(_xlfn._xlws.FILTER('Results Grouping'!$G$9:$G$322,('Results Grouping'!$H$9:$H$322=$D$57) * ('Results Grouping'!$I$9:$I$322=$D90),0)),
    'Resource Summary'!$C:$C,U$60
  ))</f>
        <v>0</v>
      </c>
      <c r="V90" s="21" cm="1">
        <f t="array" ref="V90">0.001 * SUM(
  SUMIFS(
    'Resource Summary'!$E:$E,
    'Resource Summary'!$B:$B,zones_to_group,
    'Resource Summary'!$A:$A,TRANSPOSE(_xlfn._xlws.FILTER('Results Grouping'!$G$9:$G$322,('Results Grouping'!$H$9:$H$322=$D$57) * ('Results Grouping'!$I$9:$I$322=$D90),0)),
    'Resource Summary'!$C:$C,V$60
  ))</f>
        <v>0</v>
      </c>
      <c r="W90" s="21" cm="1">
        <f t="array" ref="W90">0.001 * SUM(
  SUMIFS(
    'Resource Summary'!$E:$E,
    'Resource Summary'!$B:$B,zones_to_group,
    'Resource Summary'!$A:$A,TRANSPOSE(_xlfn._xlws.FILTER('Results Grouping'!$G$9:$G$322,('Results Grouping'!$H$9:$H$322=$D$57) * ('Results Grouping'!$I$9:$I$322=$D90),0)),
    'Resource Summary'!$C:$C,W$60
  ))</f>
        <v>0</v>
      </c>
      <c r="X90" s="21" cm="1">
        <f t="array" ref="X90">0.001 * SUM(
  SUMIFS(
    'Resource Summary'!$E:$E,
    'Resource Summary'!$B:$B,zones_to_group,
    'Resource Summary'!$A:$A,TRANSPOSE(_xlfn._xlws.FILTER('Results Grouping'!$G$9:$G$322,('Results Grouping'!$H$9:$H$322=$D$57) * ('Results Grouping'!$I$9:$I$322=$D90),0)),
    'Resource Summary'!$C:$C,X$60
  ))</f>
        <v>0</v>
      </c>
      <c r="Y90" s="21" cm="1">
        <f t="array" ref="Y90">0.001 * SUM(
  SUMIFS(
    'Resource Summary'!$E:$E,
    'Resource Summary'!$B:$B,zones_to_group,
    'Resource Summary'!$A:$A,TRANSPOSE(_xlfn._xlws.FILTER('Results Grouping'!$G$9:$G$322,('Results Grouping'!$H$9:$H$322=$D$57) * ('Results Grouping'!$I$9:$I$322=$D90),0)),
    'Resource Summary'!$C:$C,Y$60
  ))</f>
        <v>0</v>
      </c>
      <c r="Z90" s="21" cm="1">
        <f t="array" ref="Z90">0.001 * SUM(
  SUMIFS(
    'Resource Summary'!$E:$E,
    'Resource Summary'!$B:$B,zones_to_group,
    'Resource Summary'!$A:$A,TRANSPOSE(_xlfn._xlws.FILTER('Results Grouping'!$G$9:$G$322,('Results Grouping'!$H$9:$H$322=$D$57) * ('Results Grouping'!$I$9:$I$322=$D90),0)),
    'Resource Summary'!$C:$C,Z$60
  ))</f>
        <v>0</v>
      </c>
      <c r="AA90" s="21" cm="1">
        <f t="array" ref="AA90">0.001 * SUM(
  SUMIFS(
    'Resource Summary'!$E:$E,
    'Resource Summary'!$B:$B,zones_to_group,
    'Resource Summary'!$A:$A,TRANSPOSE(_xlfn._xlws.FILTER('Results Grouping'!$G$9:$G$322,('Results Grouping'!$H$9:$H$322=$D$57) * ('Results Grouping'!$I$9:$I$322=$D90),0)),
    'Resource Summary'!$C:$C,AA$60
  ))</f>
        <v>0</v>
      </c>
      <c r="AB90" s="21" cm="1">
        <f t="array" ref="AB90">0.001 * SUM(
  SUMIFS(
    'Resource Summary'!$E:$E,
    'Resource Summary'!$B:$B,zones_to_group,
    'Resource Summary'!$A:$A,TRANSPOSE(_xlfn._xlws.FILTER('Results Grouping'!$G$9:$G$322,('Results Grouping'!$H$9:$H$322=$D$57) * ('Results Grouping'!$I$9:$I$322=$D90),0)),
    'Resource Summary'!$C:$C,AB$60
  ))</f>
        <v>0</v>
      </c>
      <c r="AC90" s="21" cm="1">
        <f t="array" ref="AC90">0.001 * SUM(
  SUMIFS(
    'Resource Summary'!$E:$E,
    'Resource Summary'!$B:$B,zones_to_group,
    'Resource Summary'!$A:$A,TRANSPOSE(_xlfn._xlws.FILTER('Results Grouping'!$G$9:$G$322,('Results Grouping'!$H$9:$H$322=$D$57) * ('Results Grouping'!$I$9:$I$322=$D90),0)),
    'Resource Summary'!$C:$C,AC$60
  ))</f>
        <v>0</v>
      </c>
      <c r="AD90" s="21" cm="1">
        <f t="array" ref="AD90">0.001 * SUM(
  SUMIFS(
    'Resource Summary'!$E:$E,
    'Resource Summary'!$B:$B,zones_to_group,
    'Resource Summary'!$A:$A,TRANSPOSE(_xlfn._xlws.FILTER('Results Grouping'!$G$9:$G$322,('Results Grouping'!$H$9:$H$322=$D$57) * ('Results Grouping'!$I$9:$I$322=$D90),0)),
    'Resource Summary'!$C:$C,AD$60
  ))</f>
        <v>38.520878730769695</v>
      </c>
      <c r="AH90" s="34"/>
    </row>
    <row r="91" spans="4:34" outlineLevel="1" x14ac:dyDescent="0.2">
      <c r="D91" s="8" t="s">
        <v>152</v>
      </c>
      <c r="E91" s="21" cm="1">
        <f t="array" ref="E91">0.001 * SUM(
  SUMIFS(
    'Resource Summary'!$E:$E,
    'Resource Summary'!$B:$B,zones_to_group,
    'Resource Summary'!$A:$A,TRANSPOSE(_xlfn._xlws.FILTER('Results Grouping'!$G$9:$G$322,('Results Grouping'!$H$9:$H$322=$D$57) * ('Results Grouping'!$I$9:$I$322=$D91),0)),
    'Resource Summary'!$C:$C,E$60
  ))</f>
        <v>0</v>
      </c>
      <c r="F91" s="21" cm="1">
        <f t="array" ref="F91">0.001 * SUM(
  SUMIFS(
    'Resource Summary'!$E:$E,
    'Resource Summary'!$B:$B,zones_to_group,
    'Resource Summary'!$A:$A,TRANSPOSE(_xlfn._xlws.FILTER('Results Grouping'!$G$9:$G$322,('Results Grouping'!$H$9:$H$322=$D$57) * ('Results Grouping'!$I$9:$I$322=$D91),0)),
    'Resource Summary'!$C:$C,F$60
  ))</f>
        <v>0</v>
      </c>
      <c r="G91" s="21" cm="1">
        <f t="array" ref="G91">0.001 * SUM(
  SUMIFS(
    'Resource Summary'!$E:$E,
    'Resource Summary'!$B:$B,zones_to_group,
    'Resource Summary'!$A:$A,TRANSPOSE(_xlfn._xlws.FILTER('Results Grouping'!$G$9:$G$322,('Results Grouping'!$H$9:$H$322=$D$57) * ('Results Grouping'!$I$9:$I$322=$D91),0)),
    'Resource Summary'!$C:$C,G$60
  ))</f>
        <v>0</v>
      </c>
      <c r="H91" s="21" cm="1">
        <f t="array" ref="H91">0.001 * SUM(
  SUMIFS(
    'Resource Summary'!$E:$E,
    'Resource Summary'!$B:$B,zones_to_group,
    'Resource Summary'!$A:$A,TRANSPOSE(_xlfn._xlws.FILTER('Results Grouping'!$G$9:$G$322,('Results Grouping'!$H$9:$H$322=$D$57) * ('Results Grouping'!$I$9:$I$322=$D91),0)),
    'Resource Summary'!$C:$C,H$60
  ))</f>
        <v>0</v>
      </c>
      <c r="I91" s="21" cm="1">
        <f t="array" ref="I91">0.001 * SUM(
  SUMIFS(
    'Resource Summary'!$E:$E,
    'Resource Summary'!$B:$B,zones_to_group,
    'Resource Summary'!$A:$A,TRANSPOSE(_xlfn._xlws.FILTER('Results Grouping'!$G$9:$G$322,('Results Grouping'!$H$9:$H$322=$D$57) * ('Results Grouping'!$I$9:$I$322=$D91),0)),
    'Resource Summary'!$C:$C,I$60
  ))</f>
        <v>0</v>
      </c>
      <c r="J91" s="21" cm="1">
        <f t="array" ref="J91">0.001 * SUM(
  SUMIFS(
    'Resource Summary'!$E:$E,
    'Resource Summary'!$B:$B,zones_to_group,
    'Resource Summary'!$A:$A,TRANSPOSE(_xlfn._xlws.FILTER('Results Grouping'!$G$9:$G$322,('Results Grouping'!$H$9:$H$322=$D$57) * ('Results Grouping'!$I$9:$I$322=$D91),0)),
    'Resource Summary'!$C:$C,J$60
  ))</f>
        <v>0</v>
      </c>
      <c r="K91" s="21" cm="1">
        <f t="array" ref="K91">0.001 * SUM(
  SUMIFS(
    'Resource Summary'!$E:$E,
    'Resource Summary'!$B:$B,zones_to_group,
    'Resource Summary'!$A:$A,TRANSPOSE(_xlfn._xlws.FILTER('Results Grouping'!$G$9:$G$322,('Results Grouping'!$H$9:$H$322=$D$57) * ('Results Grouping'!$I$9:$I$322=$D91),0)),
    'Resource Summary'!$C:$C,K$60
  ))</f>
        <v>0</v>
      </c>
      <c r="L91" s="21" cm="1">
        <f t="array" ref="L91">0.001 * SUM(
  SUMIFS(
    'Resource Summary'!$E:$E,
    'Resource Summary'!$B:$B,zones_to_group,
    'Resource Summary'!$A:$A,TRANSPOSE(_xlfn._xlws.FILTER('Results Grouping'!$G$9:$G$322,('Results Grouping'!$H$9:$H$322=$D$57) * ('Results Grouping'!$I$9:$I$322=$D91),0)),
    'Resource Summary'!$C:$C,L$60
  ))</f>
        <v>0</v>
      </c>
      <c r="M91" s="21" cm="1">
        <f t="array" ref="M91">0.001 * SUM(
  SUMIFS(
    'Resource Summary'!$E:$E,
    'Resource Summary'!$B:$B,zones_to_group,
    'Resource Summary'!$A:$A,TRANSPOSE(_xlfn._xlws.FILTER('Results Grouping'!$G$9:$G$322,('Results Grouping'!$H$9:$H$322=$D$57) * ('Results Grouping'!$I$9:$I$322=$D91),0)),
    'Resource Summary'!$C:$C,M$60
  ))</f>
        <v>0</v>
      </c>
      <c r="N91" s="21" cm="1">
        <f t="array" ref="N91">0.001 * SUM(
  SUMIFS(
    'Resource Summary'!$E:$E,
    'Resource Summary'!$B:$B,zones_to_group,
    'Resource Summary'!$A:$A,TRANSPOSE(_xlfn._xlws.FILTER('Results Grouping'!$G$9:$G$322,('Results Grouping'!$H$9:$H$322=$D$57) * ('Results Grouping'!$I$9:$I$322=$D91),0)),
    'Resource Summary'!$C:$C,N$60
  ))</f>
        <v>0</v>
      </c>
      <c r="O91" s="21" cm="1">
        <f t="array" ref="O91">0.001 * SUM(
  SUMIFS(
    'Resource Summary'!$E:$E,
    'Resource Summary'!$B:$B,zones_to_group,
    'Resource Summary'!$A:$A,TRANSPOSE(_xlfn._xlws.FILTER('Results Grouping'!$G$9:$G$322,('Results Grouping'!$H$9:$H$322=$D$57) * ('Results Grouping'!$I$9:$I$322=$D91),0)),
    'Resource Summary'!$C:$C,O$60
  ))</f>
        <v>0</v>
      </c>
      <c r="P91" s="21" cm="1">
        <f t="array" ref="P91">0.001 * SUM(
  SUMIFS(
    'Resource Summary'!$E:$E,
    'Resource Summary'!$B:$B,zones_to_group,
    'Resource Summary'!$A:$A,TRANSPOSE(_xlfn._xlws.FILTER('Results Grouping'!$G$9:$G$322,('Results Grouping'!$H$9:$H$322=$D$57) * ('Results Grouping'!$I$9:$I$322=$D91),0)),
    'Resource Summary'!$C:$C,P$60
  ))</f>
        <v>0</v>
      </c>
      <c r="Q91" s="21" cm="1">
        <f t="array" ref="Q91">0.001 * SUM(
  SUMIFS(
    'Resource Summary'!$E:$E,
    'Resource Summary'!$B:$B,zones_to_group,
    'Resource Summary'!$A:$A,TRANSPOSE(_xlfn._xlws.FILTER('Results Grouping'!$G$9:$G$322,('Results Grouping'!$H$9:$H$322=$D$57) * ('Results Grouping'!$I$9:$I$322=$D91),0)),
    'Resource Summary'!$C:$C,Q$60
  ))</f>
        <v>0</v>
      </c>
      <c r="R91" s="21" cm="1">
        <f t="array" ref="R91">0.001 * SUM(
  SUMIFS(
    'Resource Summary'!$E:$E,
    'Resource Summary'!$B:$B,zones_to_group,
    'Resource Summary'!$A:$A,TRANSPOSE(_xlfn._xlws.FILTER('Results Grouping'!$G$9:$G$322,('Results Grouping'!$H$9:$H$322=$D$57) * ('Results Grouping'!$I$9:$I$322=$D91),0)),
    'Resource Summary'!$C:$C,R$60
  ))</f>
        <v>0</v>
      </c>
      <c r="S91" s="21" cm="1">
        <f t="array" ref="S91">0.001 * SUM(
  SUMIFS(
    'Resource Summary'!$E:$E,
    'Resource Summary'!$B:$B,zones_to_group,
    'Resource Summary'!$A:$A,TRANSPOSE(_xlfn._xlws.FILTER('Results Grouping'!$G$9:$G$322,('Results Grouping'!$H$9:$H$322=$D$57) * ('Results Grouping'!$I$9:$I$322=$D91),0)),
    'Resource Summary'!$C:$C,S$60
  ))</f>
        <v>0</v>
      </c>
      <c r="T91" s="21" cm="1">
        <f t="array" ref="T91">0.001 * SUM(
  SUMIFS(
    'Resource Summary'!$E:$E,
    'Resource Summary'!$B:$B,zones_to_group,
    'Resource Summary'!$A:$A,TRANSPOSE(_xlfn._xlws.FILTER('Results Grouping'!$G$9:$G$322,('Results Grouping'!$H$9:$H$322=$D$57) * ('Results Grouping'!$I$9:$I$322=$D91),0)),
    'Resource Summary'!$C:$C,T$60
  ))</f>
        <v>0</v>
      </c>
      <c r="U91" s="21" cm="1">
        <f t="array" ref="U91">0.001 * SUM(
  SUMIFS(
    'Resource Summary'!$E:$E,
    'Resource Summary'!$B:$B,zones_to_group,
    'Resource Summary'!$A:$A,TRANSPOSE(_xlfn._xlws.FILTER('Results Grouping'!$G$9:$G$322,('Results Grouping'!$H$9:$H$322=$D$57) * ('Results Grouping'!$I$9:$I$322=$D91),0)),
    'Resource Summary'!$C:$C,U$60
  ))</f>
        <v>0</v>
      </c>
      <c r="V91" s="21" cm="1">
        <f t="array" ref="V91">0.001 * SUM(
  SUMIFS(
    'Resource Summary'!$E:$E,
    'Resource Summary'!$B:$B,zones_to_group,
    'Resource Summary'!$A:$A,TRANSPOSE(_xlfn._xlws.FILTER('Results Grouping'!$G$9:$G$322,('Results Grouping'!$H$9:$H$322=$D$57) * ('Results Grouping'!$I$9:$I$322=$D91),0)),
    'Resource Summary'!$C:$C,V$60
  ))</f>
        <v>0</v>
      </c>
      <c r="W91" s="21" cm="1">
        <f t="array" ref="W91">0.001 * SUM(
  SUMIFS(
    'Resource Summary'!$E:$E,
    'Resource Summary'!$B:$B,zones_to_group,
    'Resource Summary'!$A:$A,TRANSPOSE(_xlfn._xlws.FILTER('Results Grouping'!$G$9:$G$322,('Results Grouping'!$H$9:$H$322=$D$57) * ('Results Grouping'!$I$9:$I$322=$D91),0)),
    'Resource Summary'!$C:$C,W$60
  ))</f>
        <v>0</v>
      </c>
      <c r="X91" s="21" cm="1">
        <f t="array" ref="X91">0.001 * SUM(
  SUMIFS(
    'Resource Summary'!$E:$E,
    'Resource Summary'!$B:$B,zones_to_group,
    'Resource Summary'!$A:$A,TRANSPOSE(_xlfn._xlws.FILTER('Results Grouping'!$G$9:$G$322,('Results Grouping'!$H$9:$H$322=$D$57) * ('Results Grouping'!$I$9:$I$322=$D91),0)),
    'Resource Summary'!$C:$C,X$60
  ))</f>
        <v>0</v>
      </c>
      <c r="Y91" s="21" cm="1">
        <f t="array" ref="Y91">0.001 * SUM(
  SUMIFS(
    'Resource Summary'!$E:$E,
    'Resource Summary'!$B:$B,zones_to_group,
    'Resource Summary'!$A:$A,TRANSPOSE(_xlfn._xlws.FILTER('Results Grouping'!$G$9:$G$322,('Results Grouping'!$H$9:$H$322=$D$57) * ('Results Grouping'!$I$9:$I$322=$D91),0)),
    'Resource Summary'!$C:$C,Y$60
  ))</f>
        <v>0</v>
      </c>
      <c r="Z91" s="21" cm="1">
        <f t="array" ref="Z91">0.001 * SUM(
  SUMIFS(
    'Resource Summary'!$E:$E,
    'Resource Summary'!$B:$B,zones_to_group,
    'Resource Summary'!$A:$A,TRANSPOSE(_xlfn._xlws.FILTER('Results Grouping'!$G$9:$G$322,('Results Grouping'!$H$9:$H$322=$D$57) * ('Results Grouping'!$I$9:$I$322=$D91),0)),
    'Resource Summary'!$C:$C,Z$60
  ))</f>
        <v>0</v>
      </c>
      <c r="AA91" s="21" cm="1">
        <f t="array" ref="AA91">0.001 * SUM(
  SUMIFS(
    'Resource Summary'!$E:$E,
    'Resource Summary'!$B:$B,zones_to_group,
    'Resource Summary'!$A:$A,TRANSPOSE(_xlfn._xlws.FILTER('Results Grouping'!$G$9:$G$322,('Results Grouping'!$H$9:$H$322=$D$57) * ('Results Grouping'!$I$9:$I$322=$D91),0)),
    'Resource Summary'!$C:$C,AA$60
  ))</f>
        <v>0</v>
      </c>
      <c r="AB91" s="21" cm="1">
        <f t="array" ref="AB91">0.001 * SUM(
  SUMIFS(
    'Resource Summary'!$E:$E,
    'Resource Summary'!$B:$B,zones_to_group,
    'Resource Summary'!$A:$A,TRANSPOSE(_xlfn._xlws.FILTER('Results Grouping'!$G$9:$G$322,('Results Grouping'!$H$9:$H$322=$D$57) * ('Results Grouping'!$I$9:$I$322=$D91),0)),
    'Resource Summary'!$C:$C,AB$60
  ))</f>
        <v>0</v>
      </c>
      <c r="AC91" s="21" cm="1">
        <f t="array" ref="AC91">0.001 * SUM(
  SUMIFS(
    'Resource Summary'!$E:$E,
    'Resource Summary'!$B:$B,zones_to_group,
    'Resource Summary'!$A:$A,TRANSPOSE(_xlfn._xlws.FILTER('Results Grouping'!$G$9:$G$322,('Results Grouping'!$H$9:$H$322=$D$57) * ('Results Grouping'!$I$9:$I$322=$D91),0)),
    'Resource Summary'!$C:$C,AC$60
  ))</f>
        <v>0</v>
      </c>
      <c r="AD91" s="21" cm="1">
        <f t="array" ref="AD91">0.001 * SUM(
  SUMIFS(
    'Resource Summary'!$E:$E,
    'Resource Summary'!$B:$B,zones_to_group,
    'Resource Summary'!$A:$A,TRANSPOSE(_xlfn._xlws.FILTER('Results Grouping'!$G$9:$G$322,('Results Grouping'!$H$9:$H$322=$D$57) * ('Results Grouping'!$I$9:$I$322=$D91),0)),
    'Resource Summary'!$C:$C,AD$60
  ))</f>
        <v>0</v>
      </c>
      <c r="AH91" s="34"/>
    </row>
    <row r="92" spans="4:34" outlineLevel="1" x14ac:dyDescent="0.2">
      <c r="D92" s="8" t="s">
        <v>123</v>
      </c>
      <c r="E92" s="21" cm="1">
        <f t="array" ref="E92">0.001 * SUM(
  SUMIFS(
    'Resource Summary'!$E:$E,
    'Resource Summary'!$B:$B,zones_to_group,
    'Resource Summary'!$A:$A,TRANSPOSE(_xlfn._xlws.FILTER('Results Grouping'!$G$9:$G$322,('Results Grouping'!$H$9:$H$322=$D$57) * ('Results Grouping'!$I$9:$I$322=$D92),0)),
    'Resource Summary'!$C:$C,E$60
  ))</f>
        <v>0</v>
      </c>
      <c r="F92" s="21" cm="1">
        <f t="array" ref="F92">0.001 * SUM(
  SUMIFS(
    'Resource Summary'!$E:$E,
    'Resource Summary'!$B:$B,zones_to_group,
    'Resource Summary'!$A:$A,TRANSPOSE(_xlfn._xlws.FILTER('Results Grouping'!$G$9:$G$322,('Results Grouping'!$H$9:$H$322=$D$57) * ('Results Grouping'!$I$9:$I$322=$D92),0)),
    'Resource Summary'!$C:$C,F$60
  ))</f>
        <v>0</v>
      </c>
      <c r="G92" s="21" cm="1">
        <f t="array" ref="G92">0.001 * SUM(
  SUMIFS(
    'Resource Summary'!$E:$E,
    'Resource Summary'!$B:$B,zones_to_group,
    'Resource Summary'!$A:$A,TRANSPOSE(_xlfn._xlws.FILTER('Results Grouping'!$G$9:$G$322,('Results Grouping'!$H$9:$H$322=$D$57) * ('Results Grouping'!$I$9:$I$322=$D92),0)),
    'Resource Summary'!$C:$C,G$60
  ))</f>
        <v>0</v>
      </c>
      <c r="H92" s="21" cm="1">
        <f t="array" ref="H92">0.001 * SUM(
  SUMIFS(
    'Resource Summary'!$E:$E,
    'Resource Summary'!$B:$B,zones_to_group,
    'Resource Summary'!$A:$A,TRANSPOSE(_xlfn._xlws.FILTER('Results Grouping'!$G$9:$G$322,('Results Grouping'!$H$9:$H$322=$D$57) * ('Results Grouping'!$I$9:$I$322=$D92),0)),
    'Resource Summary'!$C:$C,H$60
  ))</f>
        <v>0</v>
      </c>
      <c r="I92" s="21" cm="1">
        <f t="array" ref="I92">0.001 * SUM(
  SUMIFS(
    'Resource Summary'!$E:$E,
    'Resource Summary'!$B:$B,zones_to_group,
    'Resource Summary'!$A:$A,TRANSPOSE(_xlfn._xlws.FILTER('Results Grouping'!$G$9:$G$322,('Results Grouping'!$H$9:$H$322=$D$57) * ('Results Grouping'!$I$9:$I$322=$D92),0)),
    'Resource Summary'!$C:$C,I$60
  ))</f>
        <v>0</v>
      </c>
      <c r="J92" s="21" cm="1">
        <f t="array" ref="J92">0.001 * SUM(
  SUMIFS(
    'Resource Summary'!$E:$E,
    'Resource Summary'!$B:$B,zones_to_group,
    'Resource Summary'!$A:$A,TRANSPOSE(_xlfn._xlws.FILTER('Results Grouping'!$G$9:$G$322,('Results Grouping'!$H$9:$H$322=$D$57) * ('Results Grouping'!$I$9:$I$322=$D92),0)),
    'Resource Summary'!$C:$C,J$60
  ))</f>
        <v>0</v>
      </c>
      <c r="K92" s="21" cm="1">
        <f t="array" ref="K92">0.001 * SUM(
  SUMIFS(
    'Resource Summary'!$E:$E,
    'Resource Summary'!$B:$B,zones_to_group,
    'Resource Summary'!$A:$A,TRANSPOSE(_xlfn._xlws.FILTER('Results Grouping'!$G$9:$G$322,('Results Grouping'!$H$9:$H$322=$D$57) * ('Results Grouping'!$I$9:$I$322=$D92),0)),
    'Resource Summary'!$C:$C,K$60
  ))</f>
        <v>0</v>
      </c>
      <c r="L92" s="21" cm="1">
        <f t="array" ref="L92">0.001 * SUM(
  SUMIFS(
    'Resource Summary'!$E:$E,
    'Resource Summary'!$B:$B,zones_to_group,
    'Resource Summary'!$A:$A,TRANSPOSE(_xlfn._xlws.FILTER('Results Grouping'!$G$9:$G$322,('Results Grouping'!$H$9:$H$322=$D$57) * ('Results Grouping'!$I$9:$I$322=$D92),0)),
    'Resource Summary'!$C:$C,L$60
  ))</f>
        <v>0</v>
      </c>
      <c r="M92" s="21" cm="1">
        <f t="array" ref="M92">0.001 * SUM(
  SUMIFS(
    'Resource Summary'!$E:$E,
    'Resource Summary'!$B:$B,zones_to_group,
    'Resource Summary'!$A:$A,TRANSPOSE(_xlfn._xlws.FILTER('Results Grouping'!$G$9:$G$322,('Results Grouping'!$H$9:$H$322=$D$57) * ('Results Grouping'!$I$9:$I$322=$D92),0)),
    'Resource Summary'!$C:$C,M$60
  ))</f>
        <v>0</v>
      </c>
      <c r="N92" s="21" cm="1">
        <f t="array" ref="N92">0.001 * SUM(
  SUMIFS(
    'Resource Summary'!$E:$E,
    'Resource Summary'!$B:$B,zones_to_group,
    'Resource Summary'!$A:$A,TRANSPOSE(_xlfn._xlws.FILTER('Results Grouping'!$G$9:$G$322,('Results Grouping'!$H$9:$H$322=$D$57) * ('Results Grouping'!$I$9:$I$322=$D92),0)),
    'Resource Summary'!$C:$C,N$60
  ))</f>
        <v>0</v>
      </c>
      <c r="O92" s="21" cm="1">
        <f t="array" ref="O92">0.001 * SUM(
  SUMIFS(
    'Resource Summary'!$E:$E,
    'Resource Summary'!$B:$B,zones_to_group,
    'Resource Summary'!$A:$A,TRANSPOSE(_xlfn._xlws.FILTER('Results Grouping'!$G$9:$G$322,('Results Grouping'!$H$9:$H$322=$D$57) * ('Results Grouping'!$I$9:$I$322=$D92),0)),
    'Resource Summary'!$C:$C,O$60
  ))</f>
        <v>0</v>
      </c>
      <c r="P92" s="21" cm="1">
        <f t="array" ref="P92">0.001 * SUM(
  SUMIFS(
    'Resource Summary'!$E:$E,
    'Resource Summary'!$B:$B,zones_to_group,
    'Resource Summary'!$A:$A,TRANSPOSE(_xlfn._xlws.FILTER('Results Grouping'!$G$9:$G$322,('Results Grouping'!$H$9:$H$322=$D$57) * ('Results Grouping'!$I$9:$I$322=$D92),0)),
    'Resource Summary'!$C:$C,P$60
  ))</f>
        <v>0</v>
      </c>
      <c r="Q92" s="21" cm="1">
        <f t="array" ref="Q92">0.001 * SUM(
  SUMIFS(
    'Resource Summary'!$E:$E,
    'Resource Summary'!$B:$B,zones_to_group,
    'Resource Summary'!$A:$A,TRANSPOSE(_xlfn._xlws.FILTER('Results Grouping'!$G$9:$G$322,('Results Grouping'!$H$9:$H$322=$D$57) * ('Results Grouping'!$I$9:$I$322=$D92),0)),
    'Resource Summary'!$C:$C,Q$60
  ))</f>
        <v>0</v>
      </c>
      <c r="R92" s="21" cm="1">
        <f t="array" ref="R92">0.001 * SUM(
  SUMIFS(
    'Resource Summary'!$E:$E,
    'Resource Summary'!$B:$B,zones_to_group,
    'Resource Summary'!$A:$A,TRANSPOSE(_xlfn._xlws.FILTER('Results Grouping'!$G$9:$G$322,('Results Grouping'!$H$9:$H$322=$D$57) * ('Results Grouping'!$I$9:$I$322=$D92),0)),
    'Resource Summary'!$C:$C,R$60
  ))</f>
        <v>0</v>
      </c>
      <c r="S92" s="21" cm="1">
        <f t="array" ref="S92">0.001 * SUM(
  SUMIFS(
    'Resource Summary'!$E:$E,
    'Resource Summary'!$B:$B,zones_to_group,
    'Resource Summary'!$A:$A,TRANSPOSE(_xlfn._xlws.FILTER('Results Grouping'!$G$9:$G$322,('Results Grouping'!$H$9:$H$322=$D$57) * ('Results Grouping'!$I$9:$I$322=$D92),0)),
    'Resource Summary'!$C:$C,S$60
  ))</f>
        <v>0</v>
      </c>
      <c r="T92" s="21" cm="1">
        <f t="array" ref="T92">0.001 * SUM(
  SUMIFS(
    'Resource Summary'!$E:$E,
    'Resource Summary'!$B:$B,zones_to_group,
    'Resource Summary'!$A:$A,TRANSPOSE(_xlfn._xlws.FILTER('Results Grouping'!$G$9:$G$322,('Results Grouping'!$H$9:$H$322=$D$57) * ('Results Grouping'!$I$9:$I$322=$D92),0)),
    'Resource Summary'!$C:$C,T$60
  ))</f>
        <v>0</v>
      </c>
      <c r="U92" s="21" cm="1">
        <f t="array" ref="U92">0.001 * SUM(
  SUMIFS(
    'Resource Summary'!$E:$E,
    'Resource Summary'!$B:$B,zones_to_group,
    'Resource Summary'!$A:$A,TRANSPOSE(_xlfn._xlws.FILTER('Results Grouping'!$G$9:$G$322,('Results Grouping'!$H$9:$H$322=$D$57) * ('Results Grouping'!$I$9:$I$322=$D92),0)),
    'Resource Summary'!$C:$C,U$60
  ))</f>
        <v>0</v>
      </c>
      <c r="V92" s="21" cm="1">
        <f t="array" ref="V92">0.001 * SUM(
  SUMIFS(
    'Resource Summary'!$E:$E,
    'Resource Summary'!$B:$B,zones_to_group,
    'Resource Summary'!$A:$A,TRANSPOSE(_xlfn._xlws.FILTER('Results Grouping'!$G$9:$G$322,('Results Grouping'!$H$9:$H$322=$D$57) * ('Results Grouping'!$I$9:$I$322=$D92),0)),
    'Resource Summary'!$C:$C,V$60
  ))</f>
        <v>0</v>
      </c>
      <c r="W92" s="21" cm="1">
        <f t="array" ref="W92">0.001 * SUM(
  SUMIFS(
    'Resource Summary'!$E:$E,
    'Resource Summary'!$B:$B,zones_to_group,
    'Resource Summary'!$A:$A,TRANSPOSE(_xlfn._xlws.FILTER('Results Grouping'!$G$9:$G$322,('Results Grouping'!$H$9:$H$322=$D$57) * ('Results Grouping'!$I$9:$I$322=$D92),0)),
    'Resource Summary'!$C:$C,W$60
  ))</f>
        <v>0</v>
      </c>
      <c r="X92" s="21" cm="1">
        <f t="array" ref="X92">0.001 * SUM(
  SUMIFS(
    'Resource Summary'!$E:$E,
    'Resource Summary'!$B:$B,zones_to_group,
    'Resource Summary'!$A:$A,TRANSPOSE(_xlfn._xlws.FILTER('Results Grouping'!$G$9:$G$322,('Results Grouping'!$H$9:$H$322=$D$57) * ('Results Grouping'!$I$9:$I$322=$D92),0)),
    'Resource Summary'!$C:$C,X$60
  ))</f>
        <v>0</v>
      </c>
      <c r="Y92" s="21" cm="1">
        <f t="array" ref="Y92">0.001 * SUM(
  SUMIFS(
    'Resource Summary'!$E:$E,
    'Resource Summary'!$B:$B,zones_to_group,
    'Resource Summary'!$A:$A,TRANSPOSE(_xlfn._xlws.FILTER('Results Grouping'!$G$9:$G$322,('Results Grouping'!$H$9:$H$322=$D$57) * ('Results Grouping'!$I$9:$I$322=$D92),0)),
    'Resource Summary'!$C:$C,Y$60
  ))</f>
        <v>0</v>
      </c>
      <c r="Z92" s="21" cm="1">
        <f t="array" ref="Z92">0.001 * SUM(
  SUMIFS(
    'Resource Summary'!$E:$E,
    'Resource Summary'!$B:$B,zones_to_group,
    'Resource Summary'!$A:$A,TRANSPOSE(_xlfn._xlws.FILTER('Results Grouping'!$G$9:$G$322,('Results Grouping'!$H$9:$H$322=$D$57) * ('Results Grouping'!$I$9:$I$322=$D92),0)),
    'Resource Summary'!$C:$C,Z$60
  ))</f>
        <v>0</v>
      </c>
      <c r="AA92" s="21" cm="1">
        <f t="array" ref="AA92">0.001 * SUM(
  SUMIFS(
    'Resource Summary'!$E:$E,
    'Resource Summary'!$B:$B,zones_to_group,
    'Resource Summary'!$A:$A,TRANSPOSE(_xlfn._xlws.FILTER('Results Grouping'!$G$9:$G$322,('Results Grouping'!$H$9:$H$322=$D$57) * ('Results Grouping'!$I$9:$I$322=$D92),0)),
    'Resource Summary'!$C:$C,AA$60
  ))</f>
        <v>0</v>
      </c>
      <c r="AB92" s="21" cm="1">
        <f t="array" ref="AB92">0.001 * SUM(
  SUMIFS(
    'Resource Summary'!$E:$E,
    'Resource Summary'!$B:$B,zones_to_group,
    'Resource Summary'!$A:$A,TRANSPOSE(_xlfn._xlws.FILTER('Results Grouping'!$G$9:$G$322,('Results Grouping'!$H$9:$H$322=$D$57) * ('Results Grouping'!$I$9:$I$322=$D92),0)),
    'Resource Summary'!$C:$C,AB$60
  ))</f>
        <v>0</v>
      </c>
      <c r="AC92" s="21" cm="1">
        <f t="array" ref="AC92">0.001 * SUM(
  SUMIFS(
    'Resource Summary'!$E:$E,
    'Resource Summary'!$B:$B,zones_to_group,
    'Resource Summary'!$A:$A,TRANSPOSE(_xlfn._xlws.FILTER('Results Grouping'!$G$9:$G$322,('Results Grouping'!$H$9:$H$322=$D$57) * ('Results Grouping'!$I$9:$I$322=$D92),0)),
    'Resource Summary'!$C:$C,AC$60
  ))</f>
        <v>0</v>
      </c>
      <c r="AD92" s="21" cm="1">
        <f t="array" ref="AD92">0.001 * SUM(
  SUMIFS(
    'Resource Summary'!$E:$E,
    'Resource Summary'!$B:$B,zones_to_group,
    'Resource Summary'!$A:$A,TRANSPOSE(_xlfn._xlws.FILTER('Results Grouping'!$G$9:$G$322,('Results Grouping'!$H$9:$H$322=$D$57) * ('Results Grouping'!$I$9:$I$322=$D92),0)),
    'Resource Summary'!$C:$C,AD$60
  ))</f>
        <v>0.44070415400000001</v>
      </c>
      <c r="AH92" s="34"/>
    </row>
    <row r="93" spans="4:34" outlineLevel="1" x14ac:dyDescent="0.2">
      <c r="D93" s="8" t="s">
        <v>170</v>
      </c>
      <c r="E93" s="21" cm="1">
        <f t="array" ref="E93">0.001 * SUM(
  - SUMIFS(
    'Resource Summary'!$F:$F,
    'Resource Summary'!$B:$B,zones_to_group,
    'Resource Summary'!$A:$A,TRANSPOSE(_xlfn._xlws.FILTER('Results Grouping'!$G$9:$G$322,('Results Grouping'!$H$9:$H$322=$D$57) * ('Results Grouping'!$I$9:$I$322=$D93),0)),
    'Resource Summary'!$C:$C,E$60
  )
)</f>
        <v>0</v>
      </c>
      <c r="F93" s="21" cm="1">
        <f t="array" ref="F93">0.001 * SUM(
  - SUMIFS(
    'Resource Summary'!$F:$F,
    'Resource Summary'!$B:$B,zones_to_group,
    'Resource Summary'!$A:$A,TRANSPOSE(_xlfn._xlws.FILTER('Results Grouping'!$G$9:$G$322,('Results Grouping'!$H$9:$H$322=$D$57) * ('Results Grouping'!$I$9:$I$322=$D93),0)),
    'Resource Summary'!$C:$C,F$60
  )
)</f>
        <v>0</v>
      </c>
      <c r="G93" s="21" cm="1">
        <f t="array" ref="G93">0.001 * SUM(
  - SUMIFS(
    'Resource Summary'!$F:$F,
    'Resource Summary'!$B:$B,zones_to_group,
    'Resource Summary'!$A:$A,TRANSPOSE(_xlfn._xlws.FILTER('Results Grouping'!$G$9:$G$322,('Results Grouping'!$H$9:$H$322=$D$57) * ('Results Grouping'!$I$9:$I$322=$D93),0)),
    'Resource Summary'!$C:$C,G$60
  )
)</f>
        <v>0</v>
      </c>
      <c r="H93" s="21" cm="1">
        <f t="array" ref="H93">0.001 * SUM(
  - SUMIFS(
    'Resource Summary'!$F:$F,
    'Resource Summary'!$B:$B,zones_to_group,
    'Resource Summary'!$A:$A,TRANSPOSE(_xlfn._xlws.FILTER('Results Grouping'!$G$9:$G$322,('Results Grouping'!$H$9:$H$322=$D$57) * ('Results Grouping'!$I$9:$I$322=$D93),0)),
    'Resource Summary'!$C:$C,H$60
  )
)</f>
        <v>0</v>
      </c>
      <c r="I93" s="21" cm="1">
        <f t="array" ref="I93">0.001 * SUM(
  - SUMIFS(
    'Resource Summary'!$F:$F,
    'Resource Summary'!$B:$B,zones_to_group,
    'Resource Summary'!$A:$A,TRANSPOSE(_xlfn._xlws.FILTER('Results Grouping'!$G$9:$G$322,('Results Grouping'!$H$9:$H$322=$D$57) * ('Results Grouping'!$I$9:$I$322=$D93),0)),
    'Resource Summary'!$C:$C,I$60
  )
)</f>
        <v>0</v>
      </c>
      <c r="J93" s="21" cm="1">
        <f t="array" ref="J93">0.001 * SUM(
  - SUMIFS(
    'Resource Summary'!$F:$F,
    'Resource Summary'!$B:$B,zones_to_group,
    'Resource Summary'!$A:$A,TRANSPOSE(_xlfn._xlws.FILTER('Results Grouping'!$G$9:$G$322,('Results Grouping'!$H$9:$H$322=$D$57) * ('Results Grouping'!$I$9:$I$322=$D93),0)),
    'Resource Summary'!$C:$C,J$60
  )
)</f>
        <v>0</v>
      </c>
      <c r="K93" s="21" cm="1">
        <f t="array" ref="K93">0.001 * SUM(
  - SUMIFS(
    'Resource Summary'!$F:$F,
    'Resource Summary'!$B:$B,zones_to_group,
    'Resource Summary'!$A:$A,TRANSPOSE(_xlfn._xlws.FILTER('Results Grouping'!$G$9:$G$322,('Results Grouping'!$H$9:$H$322=$D$57) * ('Results Grouping'!$I$9:$I$322=$D93),0)),
    'Resource Summary'!$C:$C,K$60
  )
)</f>
        <v>0</v>
      </c>
      <c r="L93" s="21" cm="1">
        <f t="array" ref="L93">0.001 * SUM(
  - SUMIFS(
    'Resource Summary'!$F:$F,
    'Resource Summary'!$B:$B,zones_to_group,
    'Resource Summary'!$A:$A,TRANSPOSE(_xlfn._xlws.FILTER('Results Grouping'!$G$9:$G$322,('Results Grouping'!$H$9:$H$322=$D$57) * ('Results Grouping'!$I$9:$I$322=$D93),0)),
    'Resource Summary'!$C:$C,L$60
  )
)</f>
        <v>0</v>
      </c>
      <c r="M93" s="21" cm="1">
        <f t="array" ref="M93">0.001 * SUM(
  - SUMIFS(
    'Resource Summary'!$F:$F,
    'Resource Summary'!$B:$B,zones_to_group,
    'Resource Summary'!$A:$A,TRANSPOSE(_xlfn._xlws.FILTER('Results Grouping'!$G$9:$G$322,('Results Grouping'!$H$9:$H$322=$D$57) * ('Results Grouping'!$I$9:$I$322=$D93),0)),
    'Resource Summary'!$C:$C,M$60
  )
)</f>
        <v>0</v>
      </c>
      <c r="N93" s="21" cm="1">
        <f t="array" ref="N93">0.001 * SUM(
  - SUMIFS(
    'Resource Summary'!$F:$F,
    'Resource Summary'!$B:$B,zones_to_group,
    'Resource Summary'!$A:$A,TRANSPOSE(_xlfn._xlws.FILTER('Results Grouping'!$G$9:$G$322,('Results Grouping'!$H$9:$H$322=$D$57) * ('Results Grouping'!$I$9:$I$322=$D93),0)),
    'Resource Summary'!$C:$C,N$60
  )
)</f>
        <v>0</v>
      </c>
      <c r="O93" s="21" cm="1">
        <f t="array" ref="O93">0.001 * SUM(
  - SUMIFS(
    'Resource Summary'!$F:$F,
    'Resource Summary'!$B:$B,zones_to_group,
    'Resource Summary'!$A:$A,TRANSPOSE(_xlfn._xlws.FILTER('Results Grouping'!$G$9:$G$322,('Results Grouping'!$H$9:$H$322=$D$57) * ('Results Grouping'!$I$9:$I$322=$D93),0)),
    'Resource Summary'!$C:$C,O$60
  )
)</f>
        <v>0</v>
      </c>
      <c r="P93" s="21" cm="1">
        <f t="array" ref="P93">0.001 * SUM(
  - SUMIFS(
    'Resource Summary'!$F:$F,
    'Resource Summary'!$B:$B,zones_to_group,
    'Resource Summary'!$A:$A,TRANSPOSE(_xlfn._xlws.FILTER('Results Grouping'!$G$9:$G$322,('Results Grouping'!$H$9:$H$322=$D$57) * ('Results Grouping'!$I$9:$I$322=$D93),0)),
    'Resource Summary'!$C:$C,P$60
  )
)</f>
        <v>0</v>
      </c>
      <c r="Q93" s="21" cm="1">
        <f t="array" ref="Q93">0.001 * SUM(
  - SUMIFS(
    'Resource Summary'!$F:$F,
    'Resource Summary'!$B:$B,zones_to_group,
    'Resource Summary'!$A:$A,TRANSPOSE(_xlfn._xlws.FILTER('Results Grouping'!$G$9:$G$322,('Results Grouping'!$H$9:$H$322=$D$57) * ('Results Grouping'!$I$9:$I$322=$D93),0)),
    'Resource Summary'!$C:$C,Q$60
  )
)</f>
        <v>0</v>
      </c>
      <c r="R93" s="21" cm="1">
        <f t="array" ref="R93">0.001 * SUM(
  - SUMIFS(
    'Resource Summary'!$F:$F,
    'Resource Summary'!$B:$B,zones_to_group,
    'Resource Summary'!$A:$A,TRANSPOSE(_xlfn._xlws.FILTER('Results Grouping'!$G$9:$G$322,('Results Grouping'!$H$9:$H$322=$D$57) * ('Results Grouping'!$I$9:$I$322=$D93),0)),
    'Resource Summary'!$C:$C,R$60
  )
)</f>
        <v>0</v>
      </c>
      <c r="S93" s="21" cm="1">
        <f t="array" ref="S93">0.001 * SUM(
  - SUMIFS(
    'Resource Summary'!$F:$F,
    'Resource Summary'!$B:$B,zones_to_group,
    'Resource Summary'!$A:$A,TRANSPOSE(_xlfn._xlws.FILTER('Results Grouping'!$G$9:$G$322,('Results Grouping'!$H$9:$H$322=$D$57) * ('Results Grouping'!$I$9:$I$322=$D93),0)),
    'Resource Summary'!$C:$C,S$60
  )
)</f>
        <v>0</v>
      </c>
      <c r="T93" s="21" cm="1">
        <f t="array" ref="T93">0.001 * SUM(
  - SUMIFS(
    'Resource Summary'!$F:$F,
    'Resource Summary'!$B:$B,zones_to_group,
    'Resource Summary'!$A:$A,TRANSPOSE(_xlfn._xlws.FILTER('Results Grouping'!$G$9:$G$322,('Results Grouping'!$H$9:$H$322=$D$57) * ('Results Grouping'!$I$9:$I$322=$D93),0)),
    'Resource Summary'!$C:$C,T$60
  )
)</f>
        <v>0</v>
      </c>
      <c r="U93" s="21" cm="1">
        <f t="array" ref="U93">0.001 * SUM(
  - SUMIFS(
    'Resource Summary'!$F:$F,
    'Resource Summary'!$B:$B,zones_to_group,
    'Resource Summary'!$A:$A,TRANSPOSE(_xlfn._xlws.FILTER('Results Grouping'!$G$9:$G$322,('Results Grouping'!$H$9:$H$322=$D$57) * ('Results Grouping'!$I$9:$I$322=$D93),0)),
    'Resource Summary'!$C:$C,U$60
  )
)</f>
        <v>0</v>
      </c>
      <c r="V93" s="21" cm="1">
        <f t="array" ref="V93">0.001 * SUM(
  - SUMIFS(
    'Resource Summary'!$F:$F,
    'Resource Summary'!$B:$B,zones_to_group,
    'Resource Summary'!$A:$A,TRANSPOSE(_xlfn._xlws.FILTER('Results Grouping'!$G$9:$G$322,('Results Grouping'!$H$9:$H$322=$D$57) * ('Results Grouping'!$I$9:$I$322=$D93),0)),
    'Resource Summary'!$C:$C,V$60
  )
)</f>
        <v>0</v>
      </c>
      <c r="W93" s="21" cm="1">
        <f t="array" ref="W93">0.001 * SUM(
  - SUMIFS(
    'Resource Summary'!$F:$F,
    'Resource Summary'!$B:$B,zones_to_group,
    'Resource Summary'!$A:$A,TRANSPOSE(_xlfn._xlws.FILTER('Results Grouping'!$G$9:$G$322,('Results Grouping'!$H$9:$H$322=$D$57) * ('Results Grouping'!$I$9:$I$322=$D93),0)),
    'Resource Summary'!$C:$C,W$60
  )
)</f>
        <v>0</v>
      </c>
      <c r="X93" s="21" cm="1">
        <f t="array" ref="X93">0.001 * SUM(
  - SUMIFS(
    'Resource Summary'!$F:$F,
    'Resource Summary'!$B:$B,zones_to_group,
    'Resource Summary'!$A:$A,TRANSPOSE(_xlfn._xlws.FILTER('Results Grouping'!$G$9:$G$322,('Results Grouping'!$H$9:$H$322=$D$57) * ('Results Grouping'!$I$9:$I$322=$D93),0)),
    'Resource Summary'!$C:$C,X$60
  )
)</f>
        <v>0</v>
      </c>
      <c r="Y93" s="21" cm="1">
        <f t="array" ref="Y93">0.001 * SUM(
  - SUMIFS(
    'Resource Summary'!$F:$F,
    'Resource Summary'!$B:$B,zones_to_group,
    'Resource Summary'!$A:$A,TRANSPOSE(_xlfn._xlws.FILTER('Results Grouping'!$G$9:$G$322,('Results Grouping'!$H$9:$H$322=$D$57) * ('Results Grouping'!$I$9:$I$322=$D93),0)),
    'Resource Summary'!$C:$C,Y$60
  )
)</f>
        <v>0</v>
      </c>
      <c r="Z93" s="21" cm="1">
        <f t="array" ref="Z93">0.001 * SUM(
  - SUMIFS(
    'Resource Summary'!$F:$F,
    'Resource Summary'!$B:$B,zones_to_group,
    'Resource Summary'!$A:$A,TRANSPOSE(_xlfn._xlws.FILTER('Results Grouping'!$G$9:$G$322,('Results Grouping'!$H$9:$H$322=$D$57) * ('Results Grouping'!$I$9:$I$322=$D93),0)),
    'Resource Summary'!$C:$C,Z$60
  )
)</f>
        <v>0</v>
      </c>
      <c r="AA93" s="21" cm="1">
        <f t="array" ref="AA93">0.001 * SUM(
  - SUMIFS(
    'Resource Summary'!$F:$F,
    'Resource Summary'!$B:$B,zones_to_group,
    'Resource Summary'!$A:$A,TRANSPOSE(_xlfn._xlws.FILTER('Results Grouping'!$G$9:$G$322,('Results Grouping'!$H$9:$H$322=$D$57) * ('Results Grouping'!$I$9:$I$322=$D93),0)),
    'Resource Summary'!$C:$C,AA$60
  )
)</f>
        <v>0</v>
      </c>
      <c r="AB93" s="21" cm="1">
        <f t="array" ref="AB93">0.001 * SUM(
  - SUMIFS(
    'Resource Summary'!$F:$F,
    'Resource Summary'!$B:$B,zones_to_group,
    'Resource Summary'!$A:$A,TRANSPOSE(_xlfn._xlws.FILTER('Results Grouping'!$G$9:$G$322,('Results Grouping'!$H$9:$H$322=$D$57) * ('Results Grouping'!$I$9:$I$322=$D93),0)),
    'Resource Summary'!$C:$C,AB$60
  )
)</f>
        <v>0</v>
      </c>
      <c r="AC93" s="21" cm="1">
        <f t="array" ref="AC93">0.001 * SUM(
  - SUMIFS(
    'Resource Summary'!$F:$F,
    'Resource Summary'!$B:$B,zones_to_group,
    'Resource Summary'!$A:$A,TRANSPOSE(_xlfn._xlws.FILTER('Results Grouping'!$G$9:$G$322,('Results Grouping'!$H$9:$H$322=$D$57) * ('Results Grouping'!$I$9:$I$322=$D93),0)),
    'Resource Summary'!$C:$C,AC$60
  )
)</f>
        <v>0</v>
      </c>
      <c r="AD93" s="21" cm="1">
        <f t="array" ref="AD93">0.001 * SUM(
  - SUMIFS(
    'Resource Summary'!$F:$F,
    'Resource Summary'!$B:$B,zones_to_group,
    'Resource Summary'!$A:$A,TRANSPOSE(_xlfn._xlws.FILTER('Results Grouping'!$G$9:$G$322,('Results Grouping'!$H$9:$H$322=$D$57) * ('Results Grouping'!$I$9:$I$322=$D93),0)),
    'Resource Summary'!$C:$C,AD$60
  )
)</f>
        <v>0</v>
      </c>
      <c r="AH93" s="34"/>
    </row>
    <row r="94" spans="4:34" ht="12.6" outlineLevel="1" thickBot="1" x14ac:dyDescent="0.25">
      <c r="D94" s="9" t="s">
        <v>139</v>
      </c>
      <c r="E94" s="22">
        <f>SUM(E79:E93)</f>
        <v>0</v>
      </c>
      <c r="F94" s="22">
        <f t="shared" ref="F94" si="68">SUM(F79:F93)</f>
        <v>0</v>
      </c>
      <c r="G94" s="22">
        <f t="shared" ref="G94" si="69">SUM(G79:G93)</f>
        <v>0</v>
      </c>
      <c r="H94" s="22">
        <f t="shared" ref="H94" si="70">SUM(H79:H93)</f>
        <v>0</v>
      </c>
      <c r="I94" s="22">
        <f t="shared" ref="I94" si="71">SUM(I79:I93)</f>
        <v>0</v>
      </c>
      <c r="J94" s="22">
        <f t="shared" ref="J94" si="72">SUM(J79:J93)</f>
        <v>0</v>
      </c>
      <c r="K94" s="22">
        <f t="shared" ref="K94" si="73">SUM(K79:K93)</f>
        <v>0</v>
      </c>
      <c r="L94" s="22">
        <f t="shared" ref="L94" si="74">SUM(L79:L93)</f>
        <v>0</v>
      </c>
      <c r="M94" s="22">
        <f t="shared" ref="M94" si="75">SUM(M79:M93)</f>
        <v>0</v>
      </c>
      <c r="N94" s="22">
        <f t="shared" ref="N94" si="76">SUM(N79:N93)</f>
        <v>0</v>
      </c>
      <c r="O94" s="22">
        <f t="shared" ref="O94" si="77">SUM(O79:O93)</f>
        <v>0</v>
      </c>
      <c r="P94" s="22">
        <f t="shared" ref="P94" si="78">SUM(P79:P93)</f>
        <v>0</v>
      </c>
      <c r="Q94" s="22">
        <f t="shared" ref="Q94" si="79">SUM(Q79:Q93)</f>
        <v>0</v>
      </c>
      <c r="R94" s="22">
        <f t="shared" ref="R94" si="80">SUM(R79:R93)</f>
        <v>0</v>
      </c>
      <c r="S94" s="22">
        <f t="shared" ref="S94" si="81">SUM(S79:S93)</f>
        <v>0</v>
      </c>
      <c r="T94" s="22">
        <f t="shared" ref="T94" si="82">SUM(T79:T93)</f>
        <v>0</v>
      </c>
      <c r="U94" s="22">
        <f t="shared" ref="U94" si="83">SUM(U79:U93)</f>
        <v>0</v>
      </c>
      <c r="V94" s="22">
        <f t="shared" ref="V94" si="84">SUM(V79:V93)</f>
        <v>0</v>
      </c>
      <c r="W94" s="22">
        <f t="shared" ref="W94" si="85">SUM(W79:W93)</f>
        <v>0</v>
      </c>
      <c r="X94" s="22">
        <f t="shared" ref="X94" si="86">SUM(X79:X93)</f>
        <v>0</v>
      </c>
      <c r="Y94" s="22">
        <f t="shared" ref="Y94" si="87">SUM(Y79:Y93)</f>
        <v>0</v>
      </c>
      <c r="Z94" s="22">
        <f t="shared" ref="Z94" si="88">SUM(Z79:Z93)</f>
        <v>0</v>
      </c>
      <c r="AA94" s="22">
        <f t="shared" ref="AA94" si="89">SUM(AA79:AA93)</f>
        <v>0</v>
      </c>
      <c r="AB94" s="22">
        <f t="shared" ref="AB94" si="90">SUM(AB79:AB93)</f>
        <v>0</v>
      </c>
      <c r="AC94" s="22">
        <f t="shared" ref="AC94" si="91">SUM(AC79:AC93)</f>
        <v>0</v>
      </c>
      <c r="AD94" s="22">
        <f>SUM(AD79:AD93)</f>
        <v>112.765733711143</v>
      </c>
      <c r="AH94" s="34"/>
    </row>
    <row r="95" spans="4:34" ht="12" outlineLevel="1" thickTop="1" x14ac:dyDescent="0.2">
      <c r="AH95" s="34"/>
    </row>
    <row r="96" spans="4:34" ht="13.2" outlineLevel="1" x14ac:dyDescent="0.2">
      <c r="E96" s="2" t="s">
        <v>174</v>
      </c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H96" s="34"/>
    </row>
    <row r="97" spans="4:34" outlineLevel="1" x14ac:dyDescent="0.2">
      <c r="E97" s="7">
        <v>43831</v>
      </c>
      <c r="F97" s="7">
        <f>EDATE(E97,12)</f>
        <v>44197</v>
      </c>
      <c r="G97" s="7">
        <f t="shared" ref="G97:AC97" si="92">EDATE(F97,12)</f>
        <v>44562</v>
      </c>
      <c r="H97" s="7">
        <f t="shared" si="92"/>
        <v>44927</v>
      </c>
      <c r="I97" s="7">
        <f t="shared" si="92"/>
        <v>45292</v>
      </c>
      <c r="J97" s="7">
        <f t="shared" si="92"/>
        <v>45658</v>
      </c>
      <c r="K97" s="7">
        <f t="shared" si="92"/>
        <v>46023</v>
      </c>
      <c r="L97" s="7">
        <f t="shared" si="92"/>
        <v>46388</v>
      </c>
      <c r="M97" s="7">
        <f t="shared" si="92"/>
        <v>46753</v>
      </c>
      <c r="N97" s="7">
        <f t="shared" si="92"/>
        <v>47119</v>
      </c>
      <c r="O97" s="7">
        <f t="shared" si="92"/>
        <v>47484</v>
      </c>
      <c r="P97" s="7">
        <f t="shared" si="92"/>
        <v>47849</v>
      </c>
      <c r="Q97" s="7">
        <f t="shared" si="92"/>
        <v>48214</v>
      </c>
      <c r="R97" s="7">
        <f t="shared" si="92"/>
        <v>48580</v>
      </c>
      <c r="S97" s="7">
        <f t="shared" si="92"/>
        <v>48945</v>
      </c>
      <c r="T97" s="7">
        <f t="shared" si="92"/>
        <v>49310</v>
      </c>
      <c r="U97" s="7">
        <f t="shared" si="92"/>
        <v>49675</v>
      </c>
      <c r="V97" s="7">
        <f t="shared" si="92"/>
        <v>50041</v>
      </c>
      <c r="W97" s="7">
        <f t="shared" si="92"/>
        <v>50406</v>
      </c>
      <c r="X97" s="7">
        <f t="shared" si="92"/>
        <v>50771</v>
      </c>
      <c r="Y97" s="7">
        <f t="shared" si="92"/>
        <v>51136</v>
      </c>
      <c r="Z97" s="7">
        <f t="shared" si="92"/>
        <v>51502</v>
      </c>
      <c r="AA97" s="7">
        <f t="shared" si="92"/>
        <v>51867</v>
      </c>
      <c r="AB97" s="7">
        <f t="shared" si="92"/>
        <v>52232</v>
      </c>
      <c r="AC97" s="7">
        <f t="shared" si="92"/>
        <v>52597</v>
      </c>
      <c r="AD97" s="7">
        <f>EDATE(AC97,12)</f>
        <v>52963</v>
      </c>
      <c r="AH97" s="34"/>
    </row>
    <row r="98" spans="4:34" outlineLevel="1" x14ac:dyDescent="0.2">
      <c r="D98" s="8" t="s">
        <v>148</v>
      </c>
      <c r="E98" s="21">
        <f t="shared" ref="E98:AC98" si="93">E61-E79</f>
        <v>0</v>
      </c>
      <c r="F98" s="21">
        <f t="shared" si="93"/>
        <v>0</v>
      </c>
      <c r="G98" s="21">
        <f t="shared" si="93"/>
        <v>0</v>
      </c>
      <c r="H98" s="21">
        <f t="shared" si="93"/>
        <v>0</v>
      </c>
      <c r="I98" s="21">
        <f t="shared" si="93"/>
        <v>0</v>
      </c>
      <c r="J98" s="21">
        <f t="shared" si="93"/>
        <v>0</v>
      </c>
      <c r="K98" s="21">
        <f t="shared" si="93"/>
        <v>0</v>
      </c>
      <c r="L98" s="21">
        <f t="shared" si="93"/>
        <v>0</v>
      </c>
      <c r="M98" s="21">
        <f t="shared" si="93"/>
        <v>0</v>
      </c>
      <c r="N98" s="21">
        <f t="shared" si="93"/>
        <v>0</v>
      </c>
      <c r="O98" s="21">
        <f t="shared" si="93"/>
        <v>0</v>
      </c>
      <c r="P98" s="21">
        <f t="shared" si="93"/>
        <v>0</v>
      </c>
      <c r="Q98" s="21">
        <f t="shared" si="93"/>
        <v>0</v>
      </c>
      <c r="R98" s="21">
        <f t="shared" si="93"/>
        <v>0</v>
      </c>
      <c r="S98" s="21">
        <f t="shared" si="93"/>
        <v>0</v>
      </c>
      <c r="T98" s="21">
        <f t="shared" si="93"/>
        <v>0</v>
      </c>
      <c r="U98" s="21">
        <f t="shared" si="93"/>
        <v>0</v>
      </c>
      <c r="V98" s="21">
        <f t="shared" si="93"/>
        <v>0</v>
      </c>
      <c r="W98" s="21">
        <f t="shared" si="93"/>
        <v>0</v>
      </c>
      <c r="X98" s="21">
        <f t="shared" si="93"/>
        <v>0</v>
      </c>
      <c r="Y98" s="21">
        <f t="shared" si="93"/>
        <v>0</v>
      </c>
      <c r="Z98" s="21">
        <f t="shared" si="93"/>
        <v>0</v>
      </c>
      <c r="AA98" s="21">
        <f t="shared" si="93"/>
        <v>0</v>
      </c>
      <c r="AB98" s="21">
        <f t="shared" si="93"/>
        <v>0</v>
      </c>
      <c r="AC98" s="21">
        <f t="shared" si="93"/>
        <v>0</v>
      </c>
      <c r="AD98" s="21">
        <f t="shared" ref="AD98:AD111" si="94">AD61-AD79</f>
        <v>0.63500000000000001</v>
      </c>
      <c r="AH98" s="34"/>
    </row>
    <row r="99" spans="4:34" outlineLevel="1" x14ac:dyDescent="0.2">
      <c r="D99" s="8" t="s">
        <v>145</v>
      </c>
      <c r="E99" s="21">
        <f t="shared" ref="E99:AC99" si="95">E62-E80</f>
        <v>0</v>
      </c>
      <c r="F99" s="21">
        <f t="shared" si="95"/>
        <v>0</v>
      </c>
      <c r="G99" s="21">
        <f t="shared" si="95"/>
        <v>0</v>
      </c>
      <c r="H99" s="21">
        <f t="shared" si="95"/>
        <v>0</v>
      </c>
      <c r="I99" s="21">
        <f t="shared" si="95"/>
        <v>0</v>
      </c>
      <c r="J99" s="21">
        <f t="shared" si="95"/>
        <v>0</v>
      </c>
      <c r="K99" s="21">
        <f t="shared" si="95"/>
        <v>0</v>
      </c>
      <c r="L99" s="21">
        <f t="shared" si="95"/>
        <v>0</v>
      </c>
      <c r="M99" s="21">
        <f t="shared" si="95"/>
        <v>0</v>
      </c>
      <c r="N99" s="21">
        <f t="shared" si="95"/>
        <v>0</v>
      </c>
      <c r="O99" s="21">
        <f t="shared" si="95"/>
        <v>0</v>
      </c>
      <c r="P99" s="21">
        <f t="shared" si="95"/>
        <v>0</v>
      </c>
      <c r="Q99" s="21">
        <f t="shared" si="95"/>
        <v>0</v>
      </c>
      <c r="R99" s="21">
        <f t="shared" si="95"/>
        <v>0</v>
      </c>
      <c r="S99" s="21">
        <f t="shared" si="95"/>
        <v>0</v>
      </c>
      <c r="T99" s="21">
        <f t="shared" si="95"/>
        <v>0</v>
      </c>
      <c r="U99" s="21">
        <f t="shared" si="95"/>
        <v>0</v>
      </c>
      <c r="V99" s="21">
        <f t="shared" si="95"/>
        <v>0</v>
      </c>
      <c r="W99" s="21">
        <f t="shared" si="95"/>
        <v>0</v>
      </c>
      <c r="X99" s="21">
        <f t="shared" si="95"/>
        <v>0</v>
      </c>
      <c r="Y99" s="21">
        <f t="shared" si="95"/>
        <v>0</v>
      </c>
      <c r="Z99" s="21">
        <f t="shared" si="95"/>
        <v>0</v>
      </c>
      <c r="AA99" s="21">
        <f t="shared" si="95"/>
        <v>0</v>
      </c>
      <c r="AB99" s="21">
        <f t="shared" si="95"/>
        <v>0</v>
      </c>
      <c r="AC99" s="21">
        <f t="shared" si="95"/>
        <v>0</v>
      </c>
      <c r="AD99" s="21">
        <f t="shared" si="94"/>
        <v>0</v>
      </c>
      <c r="AH99" s="34"/>
    </row>
    <row r="100" spans="4:34" outlineLevel="1" x14ac:dyDescent="0.2">
      <c r="D100" s="8" t="s">
        <v>149</v>
      </c>
      <c r="E100" s="21">
        <f t="shared" ref="E100:AC100" si="96">E63-E81</f>
        <v>0</v>
      </c>
      <c r="F100" s="21">
        <f t="shared" si="96"/>
        <v>0</v>
      </c>
      <c r="G100" s="21">
        <f t="shared" si="96"/>
        <v>0</v>
      </c>
      <c r="H100" s="21">
        <f t="shared" si="96"/>
        <v>0</v>
      </c>
      <c r="I100" s="21">
        <f t="shared" si="96"/>
        <v>0</v>
      </c>
      <c r="J100" s="21">
        <f t="shared" si="96"/>
        <v>0</v>
      </c>
      <c r="K100" s="21">
        <f t="shared" si="96"/>
        <v>0</v>
      </c>
      <c r="L100" s="21">
        <f t="shared" si="96"/>
        <v>0</v>
      </c>
      <c r="M100" s="21">
        <f t="shared" si="96"/>
        <v>0</v>
      </c>
      <c r="N100" s="21">
        <f t="shared" si="96"/>
        <v>0</v>
      </c>
      <c r="O100" s="21">
        <f t="shared" si="96"/>
        <v>0</v>
      </c>
      <c r="P100" s="21">
        <f t="shared" si="96"/>
        <v>0</v>
      </c>
      <c r="Q100" s="21">
        <f t="shared" si="96"/>
        <v>0</v>
      </c>
      <c r="R100" s="21">
        <f t="shared" si="96"/>
        <v>0</v>
      </c>
      <c r="S100" s="21">
        <f t="shared" si="96"/>
        <v>0</v>
      </c>
      <c r="T100" s="21">
        <f t="shared" si="96"/>
        <v>0</v>
      </c>
      <c r="U100" s="21">
        <f t="shared" si="96"/>
        <v>0</v>
      </c>
      <c r="V100" s="21">
        <f t="shared" si="96"/>
        <v>0</v>
      </c>
      <c r="W100" s="21">
        <f t="shared" si="96"/>
        <v>0</v>
      </c>
      <c r="X100" s="21">
        <f t="shared" si="96"/>
        <v>0</v>
      </c>
      <c r="Y100" s="21">
        <f t="shared" si="96"/>
        <v>0</v>
      </c>
      <c r="Z100" s="21">
        <f t="shared" si="96"/>
        <v>0</v>
      </c>
      <c r="AA100" s="21">
        <f t="shared" si="96"/>
        <v>0</v>
      </c>
      <c r="AB100" s="21">
        <f t="shared" si="96"/>
        <v>0</v>
      </c>
      <c r="AC100" s="21">
        <f t="shared" si="96"/>
        <v>0</v>
      </c>
      <c r="AD100" s="21">
        <f t="shared" si="94"/>
        <v>0</v>
      </c>
      <c r="AH100" s="34"/>
    </row>
    <row r="101" spans="4:34" outlineLevel="1" x14ac:dyDescent="0.2">
      <c r="D101" s="8" t="s">
        <v>150</v>
      </c>
      <c r="E101" s="21">
        <f t="shared" ref="E101:AC101" si="97">E64-E82</f>
        <v>0</v>
      </c>
      <c r="F101" s="21">
        <f t="shared" si="97"/>
        <v>0</v>
      </c>
      <c r="G101" s="21">
        <f t="shared" si="97"/>
        <v>0</v>
      </c>
      <c r="H101" s="21">
        <f t="shared" si="97"/>
        <v>0</v>
      </c>
      <c r="I101" s="21">
        <f t="shared" si="97"/>
        <v>0</v>
      </c>
      <c r="J101" s="21">
        <f t="shared" si="97"/>
        <v>0</v>
      </c>
      <c r="K101" s="21">
        <f t="shared" si="97"/>
        <v>0</v>
      </c>
      <c r="L101" s="21">
        <f t="shared" si="97"/>
        <v>0</v>
      </c>
      <c r="M101" s="21">
        <f t="shared" si="97"/>
        <v>0</v>
      </c>
      <c r="N101" s="21">
        <f t="shared" si="97"/>
        <v>0</v>
      </c>
      <c r="O101" s="21">
        <f t="shared" si="97"/>
        <v>0</v>
      </c>
      <c r="P101" s="21">
        <f t="shared" si="97"/>
        <v>0</v>
      </c>
      <c r="Q101" s="21">
        <f t="shared" si="97"/>
        <v>0</v>
      </c>
      <c r="R101" s="21">
        <f t="shared" si="97"/>
        <v>0</v>
      </c>
      <c r="S101" s="21">
        <f t="shared" si="97"/>
        <v>0</v>
      </c>
      <c r="T101" s="21">
        <f t="shared" si="97"/>
        <v>0</v>
      </c>
      <c r="U101" s="21">
        <f t="shared" si="97"/>
        <v>0</v>
      </c>
      <c r="V101" s="21">
        <f t="shared" si="97"/>
        <v>0</v>
      </c>
      <c r="W101" s="21">
        <f t="shared" si="97"/>
        <v>0</v>
      </c>
      <c r="X101" s="21">
        <f t="shared" si="97"/>
        <v>0</v>
      </c>
      <c r="Y101" s="21">
        <f t="shared" si="97"/>
        <v>0</v>
      </c>
      <c r="Z101" s="21">
        <f t="shared" si="97"/>
        <v>0</v>
      </c>
      <c r="AA101" s="21">
        <f t="shared" si="97"/>
        <v>0</v>
      </c>
      <c r="AB101" s="21">
        <f t="shared" si="97"/>
        <v>0</v>
      </c>
      <c r="AC101" s="21">
        <f t="shared" si="97"/>
        <v>0</v>
      </c>
      <c r="AD101" s="21">
        <f t="shared" si="94"/>
        <v>24.74213</v>
      </c>
      <c r="AH101" s="34"/>
    </row>
    <row r="102" spans="4:34" outlineLevel="1" x14ac:dyDescent="0.2">
      <c r="D102" s="8" t="s">
        <v>121</v>
      </c>
      <c r="E102" s="21">
        <f t="shared" ref="E102:AC102" si="98">E65-E83</f>
        <v>0</v>
      </c>
      <c r="F102" s="21">
        <f t="shared" si="98"/>
        <v>0</v>
      </c>
      <c r="G102" s="21">
        <f t="shared" si="98"/>
        <v>0</v>
      </c>
      <c r="H102" s="21">
        <f t="shared" si="98"/>
        <v>0</v>
      </c>
      <c r="I102" s="21">
        <f t="shared" si="98"/>
        <v>0</v>
      </c>
      <c r="J102" s="21">
        <f t="shared" si="98"/>
        <v>0</v>
      </c>
      <c r="K102" s="21">
        <f t="shared" si="98"/>
        <v>0</v>
      </c>
      <c r="L102" s="21">
        <f t="shared" si="98"/>
        <v>0</v>
      </c>
      <c r="M102" s="21">
        <f t="shared" si="98"/>
        <v>0</v>
      </c>
      <c r="N102" s="21">
        <f t="shared" si="98"/>
        <v>0</v>
      </c>
      <c r="O102" s="21">
        <f t="shared" si="98"/>
        <v>0</v>
      </c>
      <c r="P102" s="21">
        <f t="shared" si="98"/>
        <v>0</v>
      </c>
      <c r="Q102" s="21">
        <f t="shared" si="98"/>
        <v>0</v>
      </c>
      <c r="R102" s="21">
        <f t="shared" si="98"/>
        <v>0</v>
      </c>
      <c r="S102" s="21">
        <f t="shared" si="98"/>
        <v>0</v>
      </c>
      <c r="T102" s="21">
        <f t="shared" si="98"/>
        <v>0</v>
      </c>
      <c r="U102" s="21">
        <f t="shared" si="98"/>
        <v>0</v>
      </c>
      <c r="V102" s="21">
        <f t="shared" si="98"/>
        <v>0</v>
      </c>
      <c r="W102" s="21">
        <f t="shared" si="98"/>
        <v>0</v>
      </c>
      <c r="X102" s="21">
        <f t="shared" si="98"/>
        <v>0</v>
      </c>
      <c r="Y102" s="21">
        <f t="shared" si="98"/>
        <v>0</v>
      </c>
      <c r="Z102" s="21">
        <f t="shared" si="98"/>
        <v>0</v>
      </c>
      <c r="AA102" s="21">
        <f t="shared" si="98"/>
        <v>0</v>
      </c>
      <c r="AB102" s="21">
        <f t="shared" si="98"/>
        <v>0</v>
      </c>
      <c r="AC102" s="21">
        <f t="shared" si="98"/>
        <v>0</v>
      </c>
      <c r="AD102" s="21">
        <f t="shared" si="94"/>
        <v>1.58744</v>
      </c>
      <c r="AH102" s="34"/>
    </row>
    <row r="103" spans="4:34" outlineLevel="1" x14ac:dyDescent="0.2">
      <c r="D103" s="8" t="s">
        <v>120</v>
      </c>
      <c r="E103" s="21">
        <f t="shared" ref="E103:AC103" si="99">E66-E84</f>
        <v>0</v>
      </c>
      <c r="F103" s="21">
        <f t="shared" si="99"/>
        <v>0</v>
      </c>
      <c r="G103" s="21">
        <f t="shared" si="99"/>
        <v>0</v>
      </c>
      <c r="H103" s="21">
        <f t="shared" si="99"/>
        <v>0</v>
      </c>
      <c r="I103" s="21">
        <f t="shared" si="99"/>
        <v>0</v>
      </c>
      <c r="J103" s="21">
        <f t="shared" si="99"/>
        <v>0</v>
      </c>
      <c r="K103" s="21">
        <f t="shared" si="99"/>
        <v>0</v>
      </c>
      <c r="L103" s="21">
        <f t="shared" si="99"/>
        <v>0</v>
      </c>
      <c r="M103" s="21">
        <f t="shared" si="99"/>
        <v>0</v>
      </c>
      <c r="N103" s="21">
        <f t="shared" si="99"/>
        <v>0</v>
      </c>
      <c r="O103" s="21">
        <f t="shared" si="99"/>
        <v>0</v>
      </c>
      <c r="P103" s="21">
        <f t="shared" si="99"/>
        <v>0</v>
      </c>
      <c r="Q103" s="21">
        <f t="shared" si="99"/>
        <v>0</v>
      </c>
      <c r="R103" s="21">
        <f t="shared" si="99"/>
        <v>0</v>
      </c>
      <c r="S103" s="21">
        <f t="shared" si="99"/>
        <v>0</v>
      </c>
      <c r="T103" s="21">
        <f t="shared" si="99"/>
        <v>0</v>
      </c>
      <c r="U103" s="21">
        <f t="shared" si="99"/>
        <v>0</v>
      </c>
      <c r="V103" s="21">
        <f t="shared" si="99"/>
        <v>0</v>
      </c>
      <c r="W103" s="21">
        <f t="shared" si="99"/>
        <v>0</v>
      </c>
      <c r="X103" s="21">
        <f t="shared" si="99"/>
        <v>0</v>
      </c>
      <c r="Y103" s="21">
        <f t="shared" si="99"/>
        <v>0</v>
      </c>
      <c r="Z103" s="21">
        <f t="shared" si="99"/>
        <v>0</v>
      </c>
      <c r="AA103" s="21">
        <f t="shared" si="99"/>
        <v>0</v>
      </c>
      <c r="AB103" s="21">
        <f t="shared" si="99"/>
        <v>0</v>
      </c>
      <c r="AC103" s="21">
        <f t="shared" si="99"/>
        <v>0</v>
      </c>
      <c r="AD103" s="21">
        <f t="shared" si="94"/>
        <v>0.80772100000000002</v>
      </c>
      <c r="AH103" s="34"/>
    </row>
    <row r="104" spans="4:34" outlineLevel="1" x14ac:dyDescent="0.2">
      <c r="D104" s="8" t="s">
        <v>122</v>
      </c>
      <c r="E104" s="21">
        <f t="shared" ref="E104:AC104" si="100">E67-E85</f>
        <v>0</v>
      </c>
      <c r="F104" s="21">
        <f t="shared" si="100"/>
        <v>0</v>
      </c>
      <c r="G104" s="21">
        <f t="shared" si="100"/>
        <v>0</v>
      </c>
      <c r="H104" s="21">
        <f t="shared" si="100"/>
        <v>0</v>
      </c>
      <c r="I104" s="21">
        <f t="shared" si="100"/>
        <v>0</v>
      </c>
      <c r="J104" s="21">
        <f t="shared" si="100"/>
        <v>0</v>
      </c>
      <c r="K104" s="21">
        <f t="shared" si="100"/>
        <v>0</v>
      </c>
      <c r="L104" s="21">
        <f t="shared" si="100"/>
        <v>0</v>
      </c>
      <c r="M104" s="21">
        <f t="shared" si="100"/>
        <v>0</v>
      </c>
      <c r="N104" s="21">
        <f t="shared" si="100"/>
        <v>0</v>
      </c>
      <c r="O104" s="21">
        <f t="shared" si="100"/>
        <v>0</v>
      </c>
      <c r="P104" s="21">
        <f t="shared" si="100"/>
        <v>0</v>
      </c>
      <c r="Q104" s="21">
        <f t="shared" si="100"/>
        <v>0</v>
      </c>
      <c r="R104" s="21">
        <f t="shared" si="100"/>
        <v>0</v>
      </c>
      <c r="S104" s="21">
        <f t="shared" si="100"/>
        <v>0</v>
      </c>
      <c r="T104" s="21">
        <f t="shared" si="100"/>
        <v>0</v>
      </c>
      <c r="U104" s="21">
        <f t="shared" si="100"/>
        <v>0</v>
      </c>
      <c r="V104" s="21">
        <f t="shared" si="100"/>
        <v>0</v>
      </c>
      <c r="W104" s="21">
        <f t="shared" si="100"/>
        <v>0</v>
      </c>
      <c r="X104" s="21">
        <f t="shared" si="100"/>
        <v>0</v>
      </c>
      <c r="Y104" s="21">
        <f t="shared" si="100"/>
        <v>0</v>
      </c>
      <c r="Z104" s="21">
        <f t="shared" si="100"/>
        <v>0</v>
      </c>
      <c r="AA104" s="21">
        <f t="shared" si="100"/>
        <v>0</v>
      </c>
      <c r="AB104" s="21">
        <f t="shared" si="100"/>
        <v>0</v>
      </c>
      <c r="AC104" s="21">
        <f t="shared" si="100"/>
        <v>0</v>
      </c>
      <c r="AD104" s="21">
        <f t="shared" si="94"/>
        <v>10.882867193288643</v>
      </c>
      <c r="AH104" s="34"/>
    </row>
    <row r="105" spans="4:34" outlineLevel="1" x14ac:dyDescent="0.2">
      <c r="D105" s="8" t="s">
        <v>119</v>
      </c>
      <c r="E105" s="21">
        <f t="shared" ref="E105:AC105" si="101">E68-E86</f>
        <v>0</v>
      </c>
      <c r="F105" s="21">
        <f t="shared" si="101"/>
        <v>0</v>
      </c>
      <c r="G105" s="21">
        <f t="shared" si="101"/>
        <v>0</v>
      </c>
      <c r="H105" s="21">
        <f t="shared" si="101"/>
        <v>0</v>
      </c>
      <c r="I105" s="21">
        <f t="shared" si="101"/>
        <v>0</v>
      </c>
      <c r="J105" s="21">
        <f t="shared" si="101"/>
        <v>0</v>
      </c>
      <c r="K105" s="21">
        <f t="shared" si="101"/>
        <v>0</v>
      </c>
      <c r="L105" s="21">
        <f t="shared" si="101"/>
        <v>0</v>
      </c>
      <c r="M105" s="21">
        <f t="shared" si="101"/>
        <v>0</v>
      </c>
      <c r="N105" s="21">
        <f t="shared" si="101"/>
        <v>0</v>
      </c>
      <c r="O105" s="21">
        <f t="shared" si="101"/>
        <v>0</v>
      </c>
      <c r="P105" s="21">
        <f t="shared" si="101"/>
        <v>0</v>
      </c>
      <c r="Q105" s="21">
        <f t="shared" si="101"/>
        <v>0</v>
      </c>
      <c r="R105" s="21">
        <f t="shared" si="101"/>
        <v>0</v>
      </c>
      <c r="S105" s="21">
        <f t="shared" si="101"/>
        <v>0</v>
      </c>
      <c r="T105" s="21">
        <f t="shared" si="101"/>
        <v>0</v>
      </c>
      <c r="U105" s="21">
        <f t="shared" si="101"/>
        <v>0</v>
      </c>
      <c r="V105" s="21">
        <f t="shared" si="101"/>
        <v>0</v>
      </c>
      <c r="W105" s="21">
        <f t="shared" si="101"/>
        <v>0</v>
      </c>
      <c r="X105" s="21">
        <f t="shared" si="101"/>
        <v>0</v>
      </c>
      <c r="Y105" s="21">
        <f t="shared" si="101"/>
        <v>0</v>
      </c>
      <c r="Z105" s="21">
        <f t="shared" si="101"/>
        <v>0</v>
      </c>
      <c r="AA105" s="21">
        <f t="shared" si="101"/>
        <v>0</v>
      </c>
      <c r="AB105" s="21">
        <f t="shared" si="101"/>
        <v>0</v>
      </c>
      <c r="AC105" s="21">
        <f t="shared" si="101"/>
        <v>0</v>
      </c>
      <c r="AD105" s="21">
        <f t="shared" si="94"/>
        <v>6.9701209999999998</v>
      </c>
      <c r="AH105" s="34"/>
    </row>
    <row r="106" spans="4:34" outlineLevel="1" x14ac:dyDescent="0.2">
      <c r="D106" s="8" t="s">
        <v>127</v>
      </c>
      <c r="E106" s="21">
        <f t="shared" ref="E106:AC106" si="102">E69-E87</f>
        <v>0</v>
      </c>
      <c r="F106" s="21">
        <f t="shared" si="102"/>
        <v>0</v>
      </c>
      <c r="G106" s="21">
        <f t="shared" si="102"/>
        <v>0</v>
      </c>
      <c r="H106" s="21">
        <f t="shared" si="102"/>
        <v>0</v>
      </c>
      <c r="I106" s="21">
        <f t="shared" si="102"/>
        <v>0</v>
      </c>
      <c r="J106" s="21">
        <f t="shared" si="102"/>
        <v>0</v>
      </c>
      <c r="K106" s="21">
        <f t="shared" si="102"/>
        <v>0</v>
      </c>
      <c r="L106" s="21">
        <f t="shared" si="102"/>
        <v>0</v>
      </c>
      <c r="M106" s="21">
        <f t="shared" si="102"/>
        <v>0</v>
      </c>
      <c r="N106" s="21">
        <f t="shared" si="102"/>
        <v>0</v>
      </c>
      <c r="O106" s="21">
        <f t="shared" si="102"/>
        <v>0</v>
      </c>
      <c r="P106" s="21">
        <f t="shared" si="102"/>
        <v>0</v>
      </c>
      <c r="Q106" s="21">
        <f t="shared" si="102"/>
        <v>0</v>
      </c>
      <c r="R106" s="21">
        <f t="shared" si="102"/>
        <v>0</v>
      </c>
      <c r="S106" s="21">
        <f t="shared" si="102"/>
        <v>0</v>
      </c>
      <c r="T106" s="21">
        <f t="shared" si="102"/>
        <v>0</v>
      </c>
      <c r="U106" s="21">
        <f t="shared" si="102"/>
        <v>0</v>
      </c>
      <c r="V106" s="21">
        <f t="shared" si="102"/>
        <v>0</v>
      </c>
      <c r="W106" s="21">
        <f t="shared" si="102"/>
        <v>0</v>
      </c>
      <c r="X106" s="21">
        <f t="shared" si="102"/>
        <v>0</v>
      </c>
      <c r="Y106" s="21">
        <f t="shared" si="102"/>
        <v>0</v>
      </c>
      <c r="Z106" s="21">
        <f t="shared" si="102"/>
        <v>0</v>
      </c>
      <c r="AA106" s="21">
        <f t="shared" si="102"/>
        <v>0</v>
      </c>
      <c r="AB106" s="21">
        <f t="shared" si="102"/>
        <v>0</v>
      </c>
      <c r="AC106" s="21">
        <f t="shared" si="102"/>
        <v>0</v>
      </c>
      <c r="AD106" s="21">
        <f t="shared" si="94"/>
        <v>0</v>
      </c>
      <c r="AH106" s="34"/>
    </row>
    <row r="107" spans="4:34" outlineLevel="1" x14ac:dyDescent="0.2">
      <c r="D107" s="8" t="s">
        <v>118</v>
      </c>
      <c r="E107" s="21">
        <f t="shared" ref="E107:AC107" si="103">E70-E88</f>
        <v>0</v>
      </c>
      <c r="F107" s="21">
        <f t="shared" si="103"/>
        <v>0</v>
      </c>
      <c r="G107" s="21">
        <f t="shared" si="103"/>
        <v>0</v>
      </c>
      <c r="H107" s="21">
        <f t="shared" si="103"/>
        <v>0</v>
      </c>
      <c r="I107" s="21">
        <f t="shared" si="103"/>
        <v>0</v>
      </c>
      <c r="J107" s="21">
        <f t="shared" si="103"/>
        <v>0</v>
      </c>
      <c r="K107" s="21">
        <f t="shared" si="103"/>
        <v>0</v>
      </c>
      <c r="L107" s="21">
        <f t="shared" si="103"/>
        <v>0</v>
      </c>
      <c r="M107" s="21">
        <f t="shared" si="103"/>
        <v>0</v>
      </c>
      <c r="N107" s="21">
        <f t="shared" si="103"/>
        <v>0</v>
      </c>
      <c r="O107" s="21">
        <f t="shared" si="103"/>
        <v>0</v>
      </c>
      <c r="P107" s="21">
        <f t="shared" si="103"/>
        <v>0</v>
      </c>
      <c r="Q107" s="21">
        <f t="shared" si="103"/>
        <v>0</v>
      </c>
      <c r="R107" s="21">
        <f t="shared" si="103"/>
        <v>0</v>
      </c>
      <c r="S107" s="21">
        <f t="shared" si="103"/>
        <v>0</v>
      </c>
      <c r="T107" s="21">
        <f t="shared" si="103"/>
        <v>0</v>
      </c>
      <c r="U107" s="21">
        <f t="shared" si="103"/>
        <v>0</v>
      </c>
      <c r="V107" s="21">
        <f t="shared" si="103"/>
        <v>0</v>
      </c>
      <c r="W107" s="21">
        <f t="shared" si="103"/>
        <v>0</v>
      </c>
      <c r="X107" s="21">
        <f t="shared" si="103"/>
        <v>0</v>
      </c>
      <c r="Y107" s="21">
        <f t="shared" si="103"/>
        <v>0</v>
      </c>
      <c r="Z107" s="21">
        <f t="shared" si="103"/>
        <v>0</v>
      </c>
      <c r="AA107" s="21">
        <f t="shared" si="103"/>
        <v>0</v>
      </c>
      <c r="AB107" s="21">
        <f t="shared" si="103"/>
        <v>0</v>
      </c>
      <c r="AC107" s="21">
        <f t="shared" si="103"/>
        <v>0</v>
      </c>
      <c r="AD107" s="21">
        <f t="shared" si="94"/>
        <v>16.416791000000003</v>
      </c>
      <c r="AH107" s="34"/>
    </row>
    <row r="108" spans="4:34" outlineLevel="1" x14ac:dyDescent="0.2">
      <c r="D108" s="8" t="s">
        <v>126</v>
      </c>
      <c r="E108" s="21">
        <f t="shared" ref="E108:AC108" si="104">E71-E89</f>
        <v>0</v>
      </c>
      <c r="F108" s="21">
        <f t="shared" si="104"/>
        <v>0</v>
      </c>
      <c r="G108" s="21">
        <f t="shared" si="104"/>
        <v>0</v>
      </c>
      <c r="H108" s="21">
        <f t="shared" si="104"/>
        <v>0</v>
      </c>
      <c r="I108" s="21">
        <f t="shared" si="104"/>
        <v>0</v>
      </c>
      <c r="J108" s="21">
        <f t="shared" si="104"/>
        <v>0</v>
      </c>
      <c r="K108" s="21">
        <f t="shared" si="104"/>
        <v>0</v>
      </c>
      <c r="L108" s="21">
        <f t="shared" si="104"/>
        <v>0</v>
      </c>
      <c r="M108" s="21">
        <f t="shared" si="104"/>
        <v>0</v>
      </c>
      <c r="N108" s="21">
        <f t="shared" si="104"/>
        <v>0</v>
      </c>
      <c r="O108" s="21">
        <f t="shared" si="104"/>
        <v>0</v>
      </c>
      <c r="P108" s="21">
        <f t="shared" si="104"/>
        <v>0</v>
      </c>
      <c r="Q108" s="21">
        <f t="shared" si="104"/>
        <v>0</v>
      </c>
      <c r="R108" s="21">
        <f t="shared" si="104"/>
        <v>0</v>
      </c>
      <c r="S108" s="21">
        <f t="shared" si="104"/>
        <v>0</v>
      </c>
      <c r="T108" s="21">
        <f t="shared" si="104"/>
        <v>0</v>
      </c>
      <c r="U108" s="21">
        <f t="shared" si="104"/>
        <v>0</v>
      </c>
      <c r="V108" s="21">
        <f t="shared" si="104"/>
        <v>0</v>
      </c>
      <c r="W108" s="21">
        <f t="shared" si="104"/>
        <v>0</v>
      </c>
      <c r="X108" s="21">
        <f t="shared" si="104"/>
        <v>0</v>
      </c>
      <c r="Y108" s="21">
        <f t="shared" si="104"/>
        <v>0</v>
      </c>
      <c r="Z108" s="21">
        <f t="shared" si="104"/>
        <v>0</v>
      </c>
      <c r="AA108" s="21">
        <f t="shared" si="104"/>
        <v>0</v>
      </c>
      <c r="AB108" s="21">
        <f t="shared" si="104"/>
        <v>0</v>
      </c>
      <c r="AC108" s="21">
        <f t="shared" si="104"/>
        <v>0</v>
      </c>
      <c r="AD108" s="21">
        <f t="shared" si="94"/>
        <v>37.373517441210687</v>
      </c>
      <c r="AH108" s="34"/>
    </row>
    <row r="109" spans="4:34" outlineLevel="1" x14ac:dyDescent="0.2">
      <c r="D109" s="8" t="s">
        <v>151</v>
      </c>
      <c r="E109" s="21">
        <f t="shared" ref="E109:AC109" si="105">E72-E90</f>
        <v>0</v>
      </c>
      <c r="F109" s="21">
        <f t="shared" si="105"/>
        <v>0</v>
      </c>
      <c r="G109" s="21">
        <f t="shared" si="105"/>
        <v>0</v>
      </c>
      <c r="H109" s="21">
        <f t="shared" si="105"/>
        <v>0</v>
      </c>
      <c r="I109" s="21">
        <f t="shared" si="105"/>
        <v>0</v>
      </c>
      <c r="J109" s="21">
        <f t="shared" si="105"/>
        <v>0</v>
      </c>
      <c r="K109" s="21">
        <f t="shared" si="105"/>
        <v>0</v>
      </c>
      <c r="L109" s="21">
        <f t="shared" si="105"/>
        <v>0</v>
      </c>
      <c r="M109" s="21">
        <f t="shared" si="105"/>
        <v>0</v>
      </c>
      <c r="N109" s="21">
        <f t="shared" si="105"/>
        <v>0</v>
      </c>
      <c r="O109" s="21">
        <f t="shared" si="105"/>
        <v>0</v>
      </c>
      <c r="P109" s="21">
        <f t="shared" si="105"/>
        <v>0</v>
      </c>
      <c r="Q109" s="21">
        <f t="shared" si="105"/>
        <v>0</v>
      </c>
      <c r="R109" s="21">
        <f t="shared" si="105"/>
        <v>0</v>
      </c>
      <c r="S109" s="21">
        <f t="shared" si="105"/>
        <v>0</v>
      </c>
      <c r="T109" s="21">
        <f t="shared" si="105"/>
        <v>0</v>
      </c>
      <c r="U109" s="21">
        <f t="shared" si="105"/>
        <v>0</v>
      </c>
      <c r="V109" s="21">
        <f t="shared" si="105"/>
        <v>0</v>
      </c>
      <c r="W109" s="21">
        <f t="shared" si="105"/>
        <v>0</v>
      </c>
      <c r="X109" s="21">
        <f t="shared" si="105"/>
        <v>0</v>
      </c>
      <c r="Y109" s="21">
        <f t="shared" si="105"/>
        <v>0</v>
      </c>
      <c r="Z109" s="21">
        <f t="shared" si="105"/>
        <v>0</v>
      </c>
      <c r="AA109" s="21">
        <f t="shared" si="105"/>
        <v>0</v>
      </c>
      <c r="AB109" s="21">
        <f t="shared" si="105"/>
        <v>0</v>
      </c>
      <c r="AC109" s="21">
        <f t="shared" si="105"/>
        <v>0</v>
      </c>
      <c r="AD109" s="21">
        <f t="shared" si="94"/>
        <v>4.5714441889580897</v>
      </c>
      <c r="AH109" s="34"/>
    </row>
    <row r="110" spans="4:34" outlineLevel="1" x14ac:dyDescent="0.2">
      <c r="D110" s="8" t="s">
        <v>152</v>
      </c>
      <c r="E110" s="21">
        <f t="shared" ref="E110:AC110" si="106">E73-E91</f>
        <v>0</v>
      </c>
      <c r="F110" s="21">
        <f t="shared" si="106"/>
        <v>0</v>
      </c>
      <c r="G110" s="21">
        <f t="shared" si="106"/>
        <v>0</v>
      </c>
      <c r="H110" s="21">
        <f t="shared" si="106"/>
        <v>0</v>
      </c>
      <c r="I110" s="21">
        <f t="shared" si="106"/>
        <v>0</v>
      </c>
      <c r="J110" s="21">
        <f t="shared" si="106"/>
        <v>0</v>
      </c>
      <c r="K110" s="21">
        <f t="shared" si="106"/>
        <v>0</v>
      </c>
      <c r="L110" s="21">
        <f t="shared" si="106"/>
        <v>0</v>
      </c>
      <c r="M110" s="21">
        <f t="shared" si="106"/>
        <v>0</v>
      </c>
      <c r="N110" s="21">
        <f t="shared" si="106"/>
        <v>0</v>
      </c>
      <c r="O110" s="21">
        <f t="shared" si="106"/>
        <v>0</v>
      </c>
      <c r="P110" s="21">
        <f t="shared" si="106"/>
        <v>0</v>
      </c>
      <c r="Q110" s="21">
        <f t="shared" si="106"/>
        <v>0</v>
      </c>
      <c r="R110" s="21">
        <f t="shared" si="106"/>
        <v>0</v>
      </c>
      <c r="S110" s="21">
        <f t="shared" si="106"/>
        <v>0</v>
      </c>
      <c r="T110" s="21">
        <f t="shared" si="106"/>
        <v>0</v>
      </c>
      <c r="U110" s="21">
        <f t="shared" si="106"/>
        <v>0</v>
      </c>
      <c r="V110" s="21">
        <f t="shared" si="106"/>
        <v>0</v>
      </c>
      <c r="W110" s="21">
        <f t="shared" si="106"/>
        <v>0</v>
      </c>
      <c r="X110" s="21">
        <f t="shared" si="106"/>
        <v>0</v>
      </c>
      <c r="Y110" s="21">
        <f t="shared" si="106"/>
        <v>0</v>
      </c>
      <c r="Z110" s="21">
        <f t="shared" si="106"/>
        <v>0</v>
      </c>
      <c r="AA110" s="21">
        <f t="shared" si="106"/>
        <v>0</v>
      </c>
      <c r="AB110" s="21">
        <f t="shared" si="106"/>
        <v>0</v>
      </c>
      <c r="AC110" s="21">
        <f t="shared" si="106"/>
        <v>0</v>
      </c>
      <c r="AD110" s="21">
        <f t="shared" si="94"/>
        <v>1.8985000000000001</v>
      </c>
      <c r="AH110" s="34"/>
    </row>
    <row r="111" spans="4:34" outlineLevel="1" x14ac:dyDescent="0.2">
      <c r="D111" s="8" t="s">
        <v>123</v>
      </c>
      <c r="E111" s="21">
        <f t="shared" ref="E111:AC111" si="107">E74-E92</f>
        <v>0</v>
      </c>
      <c r="F111" s="21">
        <f t="shared" si="107"/>
        <v>0</v>
      </c>
      <c r="G111" s="21">
        <f t="shared" si="107"/>
        <v>0</v>
      </c>
      <c r="H111" s="21">
        <f t="shared" si="107"/>
        <v>0</v>
      </c>
      <c r="I111" s="21">
        <f t="shared" si="107"/>
        <v>0</v>
      </c>
      <c r="J111" s="21">
        <f t="shared" si="107"/>
        <v>0</v>
      </c>
      <c r="K111" s="21">
        <f t="shared" si="107"/>
        <v>0</v>
      </c>
      <c r="L111" s="21">
        <f t="shared" si="107"/>
        <v>0</v>
      </c>
      <c r="M111" s="21">
        <f t="shared" si="107"/>
        <v>0</v>
      </c>
      <c r="N111" s="21">
        <f t="shared" si="107"/>
        <v>0</v>
      </c>
      <c r="O111" s="21">
        <f t="shared" si="107"/>
        <v>0</v>
      </c>
      <c r="P111" s="21">
        <f t="shared" si="107"/>
        <v>0</v>
      </c>
      <c r="Q111" s="21">
        <f t="shared" si="107"/>
        <v>0</v>
      </c>
      <c r="R111" s="21">
        <f t="shared" si="107"/>
        <v>0</v>
      </c>
      <c r="S111" s="21">
        <f t="shared" si="107"/>
        <v>0</v>
      </c>
      <c r="T111" s="21">
        <f t="shared" si="107"/>
        <v>0</v>
      </c>
      <c r="U111" s="21">
        <f t="shared" si="107"/>
        <v>0</v>
      </c>
      <c r="V111" s="21">
        <f t="shared" si="107"/>
        <v>0</v>
      </c>
      <c r="W111" s="21">
        <f t="shared" si="107"/>
        <v>0</v>
      </c>
      <c r="X111" s="21">
        <f t="shared" si="107"/>
        <v>0</v>
      </c>
      <c r="Y111" s="21">
        <f t="shared" si="107"/>
        <v>0</v>
      </c>
      <c r="Z111" s="21">
        <f t="shared" si="107"/>
        <v>0</v>
      </c>
      <c r="AA111" s="21">
        <f t="shared" si="107"/>
        <v>0</v>
      </c>
      <c r="AB111" s="21">
        <f t="shared" si="107"/>
        <v>0</v>
      </c>
      <c r="AC111" s="21">
        <f t="shared" si="107"/>
        <v>0</v>
      </c>
      <c r="AD111" s="21">
        <f t="shared" si="94"/>
        <v>2.1949999999999998</v>
      </c>
      <c r="AH111" s="34"/>
    </row>
    <row r="112" spans="4:34" ht="12.6" outlineLevel="1" thickBot="1" x14ac:dyDescent="0.25">
      <c r="D112" s="9" t="s">
        <v>139</v>
      </c>
      <c r="E112" s="22">
        <f t="shared" ref="E112:AD112" si="108">SUM(E98:E111)</f>
        <v>0</v>
      </c>
      <c r="F112" s="22">
        <f t="shared" si="108"/>
        <v>0</v>
      </c>
      <c r="G112" s="22">
        <f t="shared" si="108"/>
        <v>0</v>
      </c>
      <c r="H112" s="22">
        <f t="shared" si="108"/>
        <v>0</v>
      </c>
      <c r="I112" s="22">
        <f t="shared" si="108"/>
        <v>0</v>
      </c>
      <c r="J112" s="22">
        <f t="shared" si="108"/>
        <v>0</v>
      </c>
      <c r="K112" s="22">
        <f t="shared" si="108"/>
        <v>0</v>
      </c>
      <c r="L112" s="22">
        <f t="shared" si="108"/>
        <v>0</v>
      </c>
      <c r="M112" s="22">
        <f t="shared" si="108"/>
        <v>0</v>
      </c>
      <c r="N112" s="22">
        <f t="shared" si="108"/>
        <v>0</v>
      </c>
      <c r="O112" s="22">
        <f t="shared" si="108"/>
        <v>0</v>
      </c>
      <c r="P112" s="22">
        <f t="shared" si="108"/>
        <v>0</v>
      </c>
      <c r="Q112" s="22">
        <f t="shared" si="108"/>
        <v>0</v>
      </c>
      <c r="R112" s="22">
        <f t="shared" si="108"/>
        <v>0</v>
      </c>
      <c r="S112" s="22">
        <f t="shared" si="108"/>
        <v>0</v>
      </c>
      <c r="T112" s="22">
        <f t="shared" si="108"/>
        <v>0</v>
      </c>
      <c r="U112" s="22">
        <f t="shared" si="108"/>
        <v>0</v>
      </c>
      <c r="V112" s="22">
        <f t="shared" si="108"/>
        <v>0</v>
      </c>
      <c r="W112" s="22">
        <f t="shared" si="108"/>
        <v>0</v>
      </c>
      <c r="X112" s="22">
        <f t="shared" si="108"/>
        <v>0</v>
      </c>
      <c r="Y112" s="22">
        <f t="shared" si="108"/>
        <v>0</v>
      </c>
      <c r="Z112" s="22">
        <f t="shared" si="108"/>
        <v>0</v>
      </c>
      <c r="AA112" s="22">
        <f t="shared" si="108"/>
        <v>0</v>
      </c>
      <c r="AB112" s="22">
        <f t="shared" si="108"/>
        <v>0</v>
      </c>
      <c r="AC112" s="22">
        <f t="shared" si="108"/>
        <v>0</v>
      </c>
      <c r="AD112" s="22">
        <f t="shared" si="108"/>
        <v>108.08053182345741</v>
      </c>
      <c r="AH112" s="34"/>
    </row>
    <row r="113" spans="4:34" ht="12" thickTop="1" x14ac:dyDescent="0.2">
      <c r="AH113" s="34"/>
    </row>
    <row r="114" spans="4:34" ht="17.399999999999999" thickBot="1" x14ac:dyDescent="0.25">
      <c r="D114" s="12" t="s">
        <v>159</v>
      </c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H114" s="34" t="s">
        <v>422</v>
      </c>
    </row>
    <row r="115" spans="4:34" outlineLevel="1" x14ac:dyDescent="0.2">
      <c r="D115" s="15" t="s">
        <v>173</v>
      </c>
      <c r="E115" s="15" t="s">
        <v>156</v>
      </c>
      <c r="AH115" s="34" t="s">
        <v>422</v>
      </c>
    </row>
    <row r="116" spans="4:34" outlineLevel="1" x14ac:dyDescent="0.2">
      <c r="AH116" s="34" t="s">
        <v>422</v>
      </c>
    </row>
    <row r="117" spans="4:34" ht="13.2" outlineLevel="2" x14ac:dyDescent="0.2">
      <c r="E117" s="2" t="s">
        <v>164</v>
      </c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H117" s="34" t="s">
        <v>422</v>
      </c>
    </row>
    <row r="118" spans="4:34" outlineLevel="2" x14ac:dyDescent="0.2">
      <c r="E118" s="7">
        <v>43831</v>
      </c>
      <c r="F118" s="7">
        <f>EDATE(E118,12)</f>
        <v>44197</v>
      </c>
      <c r="G118" s="7">
        <f t="shared" ref="G118:AC118" si="109">EDATE(F118,12)</f>
        <v>44562</v>
      </c>
      <c r="H118" s="7">
        <f t="shared" si="109"/>
        <v>44927</v>
      </c>
      <c r="I118" s="7">
        <f t="shared" si="109"/>
        <v>45292</v>
      </c>
      <c r="J118" s="7">
        <f t="shared" si="109"/>
        <v>45658</v>
      </c>
      <c r="K118" s="7">
        <f t="shared" si="109"/>
        <v>46023</v>
      </c>
      <c r="L118" s="7">
        <f t="shared" si="109"/>
        <v>46388</v>
      </c>
      <c r="M118" s="7">
        <f t="shared" si="109"/>
        <v>46753</v>
      </c>
      <c r="N118" s="7">
        <f t="shared" si="109"/>
        <v>47119</v>
      </c>
      <c r="O118" s="7">
        <f t="shared" si="109"/>
        <v>47484</v>
      </c>
      <c r="P118" s="7">
        <f t="shared" si="109"/>
        <v>47849</v>
      </c>
      <c r="Q118" s="7">
        <f t="shared" si="109"/>
        <v>48214</v>
      </c>
      <c r="R118" s="7">
        <f t="shared" si="109"/>
        <v>48580</v>
      </c>
      <c r="S118" s="7">
        <f t="shared" si="109"/>
        <v>48945</v>
      </c>
      <c r="T118" s="7">
        <f t="shared" si="109"/>
        <v>49310</v>
      </c>
      <c r="U118" s="7">
        <f t="shared" si="109"/>
        <v>49675</v>
      </c>
      <c r="V118" s="7">
        <f t="shared" si="109"/>
        <v>50041</v>
      </c>
      <c r="W118" s="7">
        <f t="shared" si="109"/>
        <v>50406</v>
      </c>
      <c r="X118" s="7">
        <f t="shared" si="109"/>
        <v>50771</v>
      </c>
      <c r="Y118" s="7">
        <f t="shared" si="109"/>
        <v>51136</v>
      </c>
      <c r="Z118" s="7">
        <f t="shared" si="109"/>
        <v>51502</v>
      </c>
      <c r="AA118" s="7">
        <f t="shared" si="109"/>
        <v>51867</v>
      </c>
      <c r="AB118" s="7">
        <f t="shared" si="109"/>
        <v>52232</v>
      </c>
      <c r="AC118" s="7">
        <f t="shared" si="109"/>
        <v>52597</v>
      </c>
      <c r="AD118" s="7">
        <f>EDATE(AC118,12)</f>
        <v>52963</v>
      </c>
      <c r="AH118" s="34" t="s">
        <v>422</v>
      </c>
    </row>
    <row r="119" spans="4:34" outlineLevel="2" x14ac:dyDescent="0.2">
      <c r="D119" s="8" t="s">
        <v>152</v>
      </c>
      <c r="E119" s="14" cm="1">
        <f t="array" ref="E119">0.001 * SUM(
  SUMIFS(
    'Resource Summary'!$E:$E,
    'Resource Summary'!$B:$B,zones_to_group,
    'Resource Summary'!$A:$A,TRANSPOSE(_xlfn._xlws.FILTER('Results Grouping'!$G$9:$G$322,('Results Grouping'!$H$9:$H$322=$E$115) * ('Results Grouping'!$I$9:$I$322=$D119),0)),
    'Resource Summary'!$C:$C,E$60
  )
)</f>
        <v>0</v>
      </c>
      <c r="F119" s="14" cm="1">
        <f t="array" ref="F119">0.001 * SUM(
  SUMIFS(
    'Resource Summary'!$E:$E,
    'Resource Summary'!$B:$B,zones_to_group,
    'Resource Summary'!$A:$A,TRANSPOSE(_xlfn._xlws.FILTER('Results Grouping'!$G$9:$G$322,('Results Grouping'!$H$9:$H$322=$E$115) * ('Results Grouping'!$I$9:$I$322=$D119),0)),
    'Resource Summary'!$C:$C,F$60
  )
)</f>
        <v>0</v>
      </c>
      <c r="G119" s="14" cm="1">
        <f t="array" ref="G119">0.001 * SUM(
  SUMIFS(
    'Resource Summary'!$E:$E,
    'Resource Summary'!$B:$B,zones_to_group,
    'Resource Summary'!$A:$A,TRANSPOSE(_xlfn._xlws.FILTER('Results Grouping'!$G$9:$G$322,('Results Grouping'!$H$9:$H$322=$E$115) * ('Results Grouping'!$I$9:$I$322=$D119),0)),
    'Resource Summary'!$C:$C,G$60
  )
)</f>
        <v>0</v>
      </c>
      <c r="H119" s="14" cm="1">
        <f t="array" ref="H119">0.001 * SUM(
  SUMIFS(
    'Resource Summary'!$E:$E,
    'Resource Summary'!$B:$B,zones_to_group,
    'Resource Summary'!$A:$A,TRANSPOSE(_xlfn._xlws.FILTER('Results Grouping'!$G$9:$G$322,('Results Grouping'!$H$9:$H$322=$E$115) * ('Results Grouping'!$I$9:$I$322=$D119),0)),
    'Resource Summary'!$C:$C,H$60
  )
)</f>
        <v>0</v>
      </c>
      <c r="I119" s="14" cm="1">
        <f t="array" ref="I119">0.001 * SUM(
  SUMIFS(
    'Resource Summary'!$E:$E,
    'Resource Summary'!$B:$B,zones_to_group,
    'Resource Summary'!$A:$A,TRANSPOSE(_xlfn._xlws.FILTER('Results Grouping'!$G$9:$G$322,('Results Grouping'!$H$9:$H$322=$E$115) * ('Results Grouping'!$I$9:$I$322=$D119),0)),
    'Resource Summary'!$C:$C,I$60
  )
)</f>
        <v>0</v>
      </c>
      <c r="J119" s="14" cm="1">
        <f t="array" ref="J119">0.001 * SUM(
  SUMIFS(
    'Resource Summary'!$E:$E,
    'Resource Summary'!$B:$B,zones_to_group,
    'Resource Summary'!$A:$A,TRANSPOSE(_xlfn._xlws.FILTER('Results Grouping'!$G$9:$G$322,('Results Grouping'!$H$9:$H$322=$E$115) * ('Results Grouping'!$I$9:$I$322=$D119),0)),
    'Resource Summary'!$C:$C,J$60
  )
)</f>
        <v>0</v>
      </c>
      <c r="K119" s="14" cm="1">
        <f t="array" ref="K119">0.001 * SUM(
  SUMIFS(
    'Resource Summary'!$E:$E,
    'Resource Summary'!$B:$B,zones_to_group,
    'Resource Summary'!$A:$A,TRANSPOSE(_xlfn._xlws.FILTER('Results Grouping'!$G$9:$G$322,('Results Grouping'!$H$9:$H$322=$E$115) * ('Results Grouping'!$I$9:$I$322=$D119),0)),
    'Resource Summary'!$C:$C,K$60
  )
)</f>
        <v>0</v>
      </c>
      <c r="L119" s="14" cm="1">
        <f t="array" ref="L119">0.001 * SUM(
  SUMIFS(
    'Resource Summary'!$E:$E,
    'Resource Summary'!$B:$B,zones_to_group,
    'Resource Summary'!$A:$A,TRANSPOSE(_xlfn._xlws.FILTER('Results Grouping'!$G$9:$G$322,('Results Grouping'!$H$9:$H$322=$E$115) * ('Results Grouping'!$I$9:$I$322=$D119),0)),
    'Resource Summary'!$C:$C,L$60
  )
)</f>
        <v>0</v>
      </c>
      <c r="M119" s="14" cm="1">
        <f t="array" ref="M119">0.001 * SUM(
  SUMIFS(
    'Resource Summary'!$E:$E,
    'Resource Summary'!$B:$B,zones_to_group,
    'Resource Summary'!$A:$A,TRANSPOSE(_xlfn._xlws.FILTER('Results Grouping'!$G$9:$G$322,('Results Grouping'!$H$9:$H$322=$E$115) * ('Results Grouping'!$I$9:$I$322=$D119),0)),
    'Resource Summary'!$C:$C,M$60
  )
)</f>
        <v>0</v>
      </c>
      <c r="N119" s="14" cm="1">
        <f t="array" ref="N119">0.001 * SUM(
  SUMIFS(
    'Resource Summary'!$E:$E,
    'Resource Summary'!$B:$B,zones_to_group,
    'Resource Summary'!$A:$A,TRANSPOSE(_xlfn._xlws.FILTER('Results Grouping'!$G$9:$G$322,('Results Grouping'!$H$9:$H$322=$E$115) * ('Results Grouping'!$I$9:$I$322=$D119),0)),
    'Resource Summary'!$C:$C,N$60
  )
)</f>
        <v>0</v>
      </c>
      <c r="O119" s="14" cm="1">
        <f t="array" ref="O119">0.001 * SUM(
  SUMIFS(
    'Resource Summary'!$E:$E,
    'Resource Summary'!$B:$B,zones_to_group,
    'Resource Summary'!$A:$A,TRANSPOSE(_xlfn._xlws.FILTER('Results Grouping'!$G$9:$G$322,('Results Grouping'!$H$9:$H$322=$E$115) * ('Results Grouping'!$I$9:$I$322=$D119),0)),
    'Resource Summary'!$C:$C,O$60
  )
)</f>
        <v>0</v>
      </c>
      <c r="P119" s="14" cm="1">
        <f t="array" ref="P119">0.001 * SUM(
  SUMIFS(
    'Resource Summary'!$E:$E,
    'Resource Summary'!$B:$B,zones_to_group,
    'Resource Summary'!$A:$A,TRANSPOSE(_xlfn._xlws.FILTER('Results Grouping'!$G$9:$G$322,('Results Grouping'!$H$9:$H$322=$E$115) * ('Results Grouping'!$I$9:$I$322=$D119),0)),
    'Resource Summary'!$C:$C,P$60
  )
)</f>
        <v>0</v>
      </c>
      <c r="Q119" s="14" cm="1">
        <f t="array" ref="Q119">0.001 * SUM(
  SUMIFS(
    'Resource Summary'!$E:$E,
    'Resource Summary'!$B:$B,zones_to_group,
    'Resource Summary'!$A:$A,TRANSPOSE(_xlfn._xlws.FILTER('Results Grouping'!$G$9:$G$322,('Results Grouping'!$H$9:$H$322=$E$115) * ('Results Grouping'!$I$9:$I$322=$D119),0)),
    'Resource Summary'!$C:$C,Q$60
  )
)</f>
        <v>0</v>
      </c>
      <c r="R119" s="14" cm="1">
        <f t="array" ref="R119">0.001 * SUM(
  SUMIFS(
    'Resource Summary'!$E:$E,
    'Resource Summary'!$B:$B,zones_to_group,
    'Resource Summary'!$A:$A,TRANSPOSE(_xlfn._xlws.FILTER('Results Grouping'!$G$9:$G$322,('Results Grouping'!$H$9:$H$322=$E$115) * ('Results Grouping'!$I$9:$I$322=$D119),0)),
    'Resource Summary'!$C:$C,R$60
  )
)</f>
        <v>0</v>
      </c>
      <c r="S119" s="14" cm="1">
        <f t="array" ref="S119">0.001 * SUM(
  SUMIFS(
    'Resource Summary'!$E:$E,
    'Resource Summary'!$B:$B,zones_to_group,
    'Resource Summary'!$A:$A,TRANSPOSE(_xlfn._xlws.FILTER('Results Grouping'!$G$9:$G$322,('Results Grouping'!$H$9:$H$322=$E$115) * ('Results Grouping'!$I$9:$I$322=$D119),0)),
    'Resource Summary'!$C:$C,S$60
  )
)</f>
        <v>0</v>
      </c>
      <c r="T119" s="14" cm="1">
        <f t="array" ref="T119">0.001 * SUM(
  SUMIFS(
    'Resource Summary'!$E:$E,
    'Resource Summary'!$B:$B,zones_to_group,
    'Resource Summary'!$A:$A,TRANSPOSE(_xlfn._xlws.FILTER('Results Grouping'!$G$9:$G$322,('Results Grouping'!$H$9:$H$322=$E$115) * ('Results Grouping'!$I$9:$I$322=$D119),0)),
    'Resource Summary'!$C:$C,T$60
  )
)</f>
        <v>0</v>
      </c>
      <c r="U119" s="14" cm="1">
        <f t="array" ref="U119">0.001 * SUM(
  SUMIFS(
    'Resource Summary'!$E:$E,
    'Resource Summary'!$B:$B,zones_to_group,
    'Resource Summary'!$A:$A,TRANSPOSE(_xlfn._xlws.FILTER('Results Grouping'!$G$9:$G$322,('Results Grouping'!$H$9:$H$322=$E$115) * ('Results Grouping'!$I$9:$I$322=$D119),0)),
    'Resource Summary'!$C:$C,U$60
  )
)</f>
        <v>0</v>
      </c>
      <c r="V119" s="14" cm="1">
        <f t="array" ref="V119">0.001 * SUM(
  SUMIFS(
    'Resource Summary'!$E:$E,
    'Resource Summary'!$B:$B,zones_to_group,
    'Resource Summary'!$A:$A,TRANSPOSE(_xlfn._xlws.FILTER('Results Grouping'!$G$9:$G$322,('Results Grouping'!$H$9:$H$322=$E$115) * ('Results Grouping'!$I$9:$I$322=$D119),0)),
    'Resource Summary'!$C:$C,V$60
  )
)</f>
        <v>0</v>
      </c>
      <c r="W119" s="14" cm="1">
        <f t="array" ref="W119">0.001 * SUM(
  SUMIFS(
    'Resource Summary'!$E:$E,
    'Resource Summary'!$B:$B,zones_to_group,
    'Resource Summary'!$A:$A,TRANSPOSE(_xlfn._xlws.FILTER('Results Grouping'!$G$9:$G$322,('Results Grouping'!$H$9:$H$322=$E$115) * ('Results Grouping'!$I$9:$I$322=$D119),0)),
    'Resource Summary'!$C:$C,W$60
  )
)</f>
        <v>0</v>
      </c>
      <c r="X119" s="14" cm="1">
        <f t="array" ref="X119">0.001 * SUM(
  SUMIFS(
    'Resource Summary'!$E:$E,
    'Resource Summary'!$B:$B,zones_to_group,
    'Resource Summary'!$A:$A,TRANSPOSE(_xlfn._xlws.FILTER('Results Grouping'!$G$9:$G$322,('Results Grouping'!$H$9:$H$322=$E$115) * ('Results Grouping'!$I$9:$I$322=$D119),0)),
    'Resource Summary'!$C:$C,X$60
  )
)</f>
        <v>0</v>
      </c>
      <c r="Y119" s="14" cm="1">
        <f t="array" ref="Y119">0.001 * SUM(
  SUMIFS(
    'Resource Summary'!$E:$E,
    'Resource Summary'!$B:$B,zones_to_group,
    'Resource Summary'!$A:$A,TRANSPOSE(_xlfn._xlws.FILTER('Results Grouping'!$G$9:$G$322,('Results Grouping'!$H$9:$H$322=$E$115) * ('Results Grouping'!$I$9:$I$322=$D119),0)),
    'Resource Summary'!$C:$C,Y$60
  )
)</f>
        <v>0</v>
      </c>
      <c r="Z119" s="14" cm="1">
        <f t="array" ref="Z119">0.001 * SUM(
  SUMIFS(
    'Resource Summary'!$E:$E,
    'Resource Summary'!$B:$B,zones_to_group,
    'Resource Summary'!$A:$A,TRANSPOSE(_xlfn._xlws.FILTER('Results Grouping'!$G$9:$G$322,('Results Grouping'!$H$9:$H$322=$E$115) * ('Results Grouping'!$I$9:$I$322=$D119),0)),
    'Resource Summary'!$C:$C,Z$60
  )
)</f>
        <v>0</v>
      </c>
      <c r="AA119" s="14" cm="1">
        <f t="array" ref="AA119">0.001 * SUM(
  SUMIFS(
    'Resource Summary'!$E:$E,
    'Resource Summary'!$B:$B,zones_to_group,
    'Resource Summary'!$A:$A,TRANSPOSE(_xlfn._xlws.FILTER('Results Grouping'!$G$9:$G$322,('Results Grouping'!$H$9:$H$322=$E$115) * ('Results Grouping'!$I$9:$I$322=$D119),0)),
    'Resource Summary'!$C:$C,AA$60
  )
)</f>
        <v>0</v>
      </c>
      <c r="AB119" s="14" cm="1">
        <f t="array" ref="AB119">0.001 * SUM(
  SUMIFS(
    'Resource Summary'!$E:$E,
    'Resource Summary'!$B:$B,zones_to_group,
    'Resource Summary'!$A:$A,TRANSPOSE(_xlfn._xlws.FILTER('Results Grouping'!$G$9:$G$322,('Results Grouping'!$H$9:$H$322=$E$115) * ('Results Grouping'!$I$9:$I$322=$D119),0)),
    'Resource Summary'!$C:$C,AB$60
  )
)</f>
        <v>0</v>
      </c>
      <c r="AC119" s="14" cm="1">
        <f t="array" ref="AC119">0.001 * SUM(
  SUMIFS(
    'Resource Summary'!$E:$E,
    'Resource Summary'!$B:$B,zones_to_group,
    'Resource Summary'!$A:$A,TRANSPOSE(_xlfn._xlws.FILTER('Results Grouping'!$G$9:$G$322,('Results Grouping'!$H$9:$H$322=$E$115) * ('Results Grouping'!$I$9:$I$322=$D119),0)),
    'Resource Summary'!$C:$C,AC$60
  )
)</f>
        <v>0</v>
      </c>
      <c r="AD119" s="14" cm="1">
        <f t="array" ref="AD119">0.001 * SUM(
  SUMIFS(
    'Resource Summary'!$E:$E,
    'Resource Summary'!$B:$B,zones_to_group,
    'Resource Summary'!$A:$A,TRANSPOSE(_xlfn._xlws.FILTER('Results Grouping'!$G$9:$G$322,('Results Grouping'!$H$9:$H$322=$E$115) * ('Results Grouping'!$I$9:$I$322=$D119),0)),
    'Resource Summary'!$C:$C,AD$60
  )
)</f>
        <v>0</v>
      </c>
      <c r="AH119" s="34" t="s">
        <v>422</v>
      </c>
    </row>
    <row r="120" spans="4:34" outlineLevel="2" x14ac:dyDescent="0.2">
      <c r="D120" s="8" t="s">
        <v>157</v>
      </c>
      <c r="E120" s="14" cm="1">
        <f t="array" ref="E120">0.001 * SUM(
  SUMIFS(
    'Resource Summary'!$E:$E,
    'Resource Summary'!$B:$B,zones_to_group,
    'Resource Summary'!$A:$A,TRANSPOSE(_xlfn._xlws.FILTER('Results Grouping'!$G$9:$G$322,('Results Grouping'!$H$9:$H$322=$E$115) * ('Results Grouping'!$I$9:$I$322=$D120),0)),
    'Resource Summary'!$C:$C,E$60
  )
)</f>
        <v>0</v>
      </c>
      <c r="F120" s="14" cm="1">
        <f t="array" ref="F120">0.001 * SUM(
  SUMIFS(
    'Resource Summary'!$E:$E,
    'Resource Summary'!$B:$B,zones_to_group,
    'Resource Summary'!$A:$A,TRANSPOSE(_xlfn._xlws.FILTER('Results Grouping'!$G$9:$G$322,('Results Grouping'!$H$9:$H$322=$E$115) * ('Results Grouping'!$I$9:$I$322=$D120),0)),
    'Resource Summary'!$C:$C,F$60
  )
)</f>
        <v>0</v>
      </c>
      <c r="G120" s="14" cm="1">
        <f t="array" ref="G120">0.001 * SUM(
  SUMIFS(
    'Resource Summary'!$E:$E,
    'Resource Summary'!$B:$B,zones_to_group,
    'Resource Summary'!$A:$A,TRANSPOSE(_xlfn._xlws.FILTER('Results Grouping'!$G$9:$G$322,('Results Grouping'!$H$9:$H$322=$E$115) * ('Results Grouping'!$I$9:$I$322=$D120),0)),
    'Resource Summary'!$C:$C,G$60
  )
)</f>
        <v>0</v>
      </c>
      <c r="H120" s="14" cm="1">
        <f t="array" ref="H120">0.001 * SUM(
  SUMIFS(
    'Resource Summary'!$E:$E,
    'Resource Summary'!$B:$B,zones_to_group,
    'Resource Summary'!$A:$A,TRANSPOSE(_xlfn._xlws.FILTER('Results Grouping'!$G$9:$G$322,('Results Grouping'!$H$9:$H$322=$E$115) * ('Results Grouping'!$I$9:$I$322=$D120),0)),
    'Resource Summary'!$C:$C,H$60
  )
)</f>
        <v>0</v>
      </c>
      <c r="I120" s="14" cm="1">
        <f t="array" ref="I120">0.001 * SUM(
  SUMIFS(
    'Resource Summary'!$E:$E,
    'Resource Summary'!$B:$B,zones_to_group,
    'Resource Summary'!$A:$A,TRANSPOSE(_xlfn._xlws.FILTER('Results Grouping'!$G$9:$G$322,('Results Grouping'!$H$9:$H$322=$E$115) * ('Results Grouping'!$I$9:$I$322=$D120),0)),
    'Resource Summary'!$C:$C,I$60
  )
)</f>
        <v>0</v>
      </c>
      <c r="J120" s="14" cm="1">
        <f t="array" ref="J120">0.001 * SUM(
  SUMIFS(
    'Resource Summary'!$E:$E,
    'Resource Summary'!$B:$B,zones_to_group,
    'Resource Summary'!$A:$A,TRANSPOSE(_xlfn._xlws.FILTER('Results Grouping'!$G$9:$G$322,('Results Grouping'!$H$9:$H$322=$E$115) * ('Results Grouping'!$I$9:$I$322=$D120),0)),
    'Resource Summary'!$C:$C,J$60
  )
)</f>
        <v>0</v>
      </c>
      <c r="K120" s="14" cm="1">
        <f t="array" ref="K120">0.001 * SUM(
  SUMIFS(
    'Resource Summary'!$E:$E,
    'Resource Summary'!$B:$B,zones_to_group,
    'Resource Summary'!$A:$A,TRANSPOSE(_xlfn._xlws.FILTER('Results Grouping'!$G$9:$G$322,('Results Grouping'!$H$9:$H$322=$E$115) * ('Results Grouping'!$I$9:$I$322=$D120),0)),
    'Resource Summary'!$C:$C,K$60
  )
)</f>
        <v>0</v>
      </c>
      <c r="L120" s="14" cm="1">
        <f t="array" ref="L120">0.001 * SUM(
  SUMIFS(
    'Resource Summary'!$E:$E,
    'Resource Summary'!$B:$B,zones_to_group,
    'Resource Summary'!$A:$A,TRANSPOSE(_xlfn._xlws.FILTER('Results Grouping'!$G$9:$G$322,('Results Grouping'!$H$9:$H$322=$E$115) * ('Results Grouping'!$I$9:$I$322=$D120),0)),
    'Resource Summary'!$C:$C,L$60
  )
)</f>
        <v>0</v>
      </c>
      <c r="M120" s="14" cm="1">
        <f t="array" ref="M120">0.001 * SUM(
  SUMIFS(
    'Resource Summary'!$E:$E,
    'Resource Summary'!$B:$B,zones_to_group,
    'Resource Summary'!$A:$A,TRANSPOSE(_xlfn._xlws.FILTER('Results Grouping'!$G$9:$G$322,('Results Grouping'!$H$9:$H$322=$E$115) * ('Results Grouping'!$I$9:$I$322=$D120),0)),
    'Resource Summary'!$C:$C,M$60
  )
)</f>
        <v>0</v>
      </c>
      <c r="N120" s="14" cm="1">
        <f t="array" ref="N120">0.001 * SUM(
  SUMIFS(
    'Resource Summary'!$E:$E,
    'Resource Summary'!$B:$B,zones_to_group,
    'Resource Summary'!$A:$A,TRANSPOSE(_xlfn._xlws.FILTER('Results Grouping'!$G$9:$G$322,('Results Grouping'!$H$9:$H$322=$E$115) * ('Results Grouping'!$I$9:$I$322=$D120),0)),
    'Resource Summary'!$C:$C,N$60
  )
)</f>
        <v>0</v>
      </c>
      <c r="O120" s="14" cm="1">
        <f t="array" ref="O120">0.001 * SUM(
  SUMIFS(
    'Resource Summary'!$E:$E,
    'Resource Summary'!$B:$B,zones_to_group,
    'Resource Summary'!$A:$A,TRANSPOSE(_xlfn._xlws.FILTER('Results Grouping'!$G$9:$G$322,('Results Grouping'!$H$9:$H$322=$E$115) * ('Results Grouping'!$I$9:$I$322=$D120),0)),
    'Resource Summary'!$C:$C,O$60
  )
)</f>
        <v>0</v>
      </c>
      <c r="P120" s="14" cm="1">
        <f t="array" ref="P120">0.001 * SUM(
  SUMIFS(
    'Resource Summary'!$E:$E,
    'Resource Summary'!$B:$B,zones_to_group,
    'Resource Summary'!$A:$A,TRANSPOSE(_xlfn._xlws.FILTER('Results Grouping'!$G$9:$G$322,('Results Grouping'!$H$9:$H$322=$E$115) * ('Results Grouping'!$I$9:$I$322=$D120),0)),
    'Resource Summary'!$C:$C,P$60
  )
)</f>
        <v>0</v>
      </c>
      <c r="Q120" s="14" cm="1">
        <f t="array" ref="Q120">0.001 * SUM(
  SUMIFS(
    'Resource Summary'!$E:$E,
    'Resource Summary'!$B:$B,zones_to_group,
    'Resource Summary'!$A:$A,TRANSPOSE(_xlfn._xlws.FILTER('Results Grouping'!$G$9:$G$322,('Results Grouping'!$H$9:$H$322=$E$115) * ('Results Grouping'!$I$9:$I$322=$D120),0)),
    'Resource Summary'!$C:$C,Q$60
  )
)</f>
        <v>0</v>
      </c>
      <c r="R120" s="14" cm="1">
        <f t="array" ref="R120">0.001 * SUM(
  SUMIFS(
    'Resource Summary'!$E:$E,
    'Resource Summary'!$B:$B,zones_to_group,
    'Resource Summary'!$A:$A,TRANSPOSE(_xlfn._xlws.FILTER('Results Grouping'!$G$9:$G$322,('Results Grouping'!$H$9:$H$322=$E$115) * ('Results Grouping'!$I$9:$I$322=$D120),0)),
    'Resource Summary'!$C:$C,R$60
  )
)</f>
        <v>0</v>
      </c>
      <c r="S120" s="14" cm="1">
        <f t="array" ref="S120">0.001 * SUM(
  SUMIFS(
    'Resource Summary'!$E:$E,
    'Resource Summary'!$B:$B,zones_to_group,
    'Resource Summary'!$A:$A,TRANSPOSE(_xlfn._xlws.FILTER('Results Grouping'!$G$9:$G$322,('Results Grouping'!$H$9:$H$322=$E$115) * ('Results Grouping'!$I$9:$I$322=$D120),0)),
    'Resource Summary'!$C:$C,S$60
  )
)</f>
        <v>0</v>
      </c>
      <c r="T120" s="14" cm="1">
        <f t="array" ref="T120">0.001 * SUM(
  SUMIFS(
    'Resource Summary'!$E:$E,
    'Resource Summary'!$B:$B,zones_to_group,
    'Resource Summary'!$A:$A,TRANSPOSE(_xlfn._xlws.FILTER('Results Grouping'!$G$9:$G$322,('Results Grouping'!$H$9:$H$322=$E$115) * ('Results Grouping'!$I$9:$I$322=$D120),0)),
    'Resource Summary'!$C:$C,T$60
  )
)</f>
        <v>0</v>
      </c>
      <c r="U120" s="14" cm="1">
        <f t="array" ref="U120">0.001 * SUM(
  SUMIFS(
    'Resource Summary'!$E:$E,
    'Resource Summary'!$B:$B,zones_to_group,
    'Resource Summary'!$A:$A,TRANSPOSE(_xlfn._xlws.FILTER('Results Grouping'!$G$9:$G$322,('Results Grouping'!$H$9:$H$322=$E$115) * ('Results Grouping'!$I$9:$I$322=$D120),0)),
    'Resource Summary'!$C:$C,U$60
  )
)</f>
        <v>0</v>
      </c>
      <c r="V120" s="14" cm="1">
        <f t="array" ref="V120">0.001 * SUM(
  SUMIFS(
    'Resource Summary'!$E:$E,
    'Resource Summary'!$B:$B,zones_to_group,
    'Resource Summary'!$A:$A,TRANSPOSE(_xlfn._xlws.FILTER('Results Grouping'!$G$9:$G$322,('Results Grouping'!$H$9:$H$322=$E$115) * ('Results Grouping'!$I$9:$I$322=$D120),0)),
    'Resource Summary'!$C:$C,V$60
  )
)</f>
        <v>0</v>
      </c>
      <c r="W120" s="14" cm="1">
        <f t="array" ref="W120">0.001 * SUM(
  SUMIFS(
    'Resource Summary'!$E:$E,
    'Resource Summary'!$B:$B,zones_to_group,
    'Resource Summary'!$A:$A,TRANSPOSE(_xlfn._xlws.FILTER('Results Grouping'!$G$9:$G$322,('Results Grouping'!$H$9:$H$322=$E$115) * ('Results Grouping'!$I$9:$I$322=$D120),0)),
    'Resource Summary'!$C:$C,W$60
  )
)</f>
        <v>0</v>
      </c>
      <c r="X120" s="14" cm="1">
        <f t="array" ref="X120">0.001 * SUM(
  SUMIFS(
    'Resource Summary'!$E:$E,
    'Resource Summary'!$B:$B,zones_to_group,
    'Resource Summary'!$A:$A,TRANSPOSE(_xlfn._xlws.FILTER('Results Grouping'!$G$9:$G$322,('Results Grouping'!$H$9:$H$322=$E$115) * ('Results Grouping'!$I$9:$I$322=$D120),0)),
    'Resource Summary'!$C:$C,X$60
  )
)</f>
        <v>0</v>
      </c>
      <c r="Y120" s="14" cm="1">
        <f t="array" ref="Y120">0.001 * SUM(
  SUMIFS(
    'Resource Summary'!$E:$E,
    'Resource Summary'!$B:$B,zones_to_group,
    'Resource Summary'!$A:$A,TRANSPOSE(_xlfn._xlws.FILTER('Results Grouping'!$G$9:$G$322,('Results Grouping'!$H$9:$H$322=$E$115) * ('Results Grouping'!$I$9:$I$322=$D120),0)),
    'Resource Summary'!$C:$C,Y$60
  )
)</f>
        <v>0</v>
      </c>
      <c r="Z120" s="14" cm="1">
        <f t="array" ref="Z120">0.001 * SUM(
  SUMIFS(
    'Resource Summary'!$E:$E,
    'Resource Summary'!$B:$B,zones_to_group,
    'Resource Summary'!$A:$A,TRANSPOSE(_xlfn._xlws.FILTER('Results Grouping'!$G$9:$G$322,('Results Grouping'!$H$9:$H$322=$E$115) * ('Results Grouping'!$I$9:$I$322=$D120),0)),
    'Resource Summary'!$C:$C,Z$60
  )
)</f>
        <v>0</v>
      </c>
      <c r="AA120" s="14" cm="1">
        <f t="array" ref="AA120">0.001 * SUM(
  SUMIFS(
    'Resource Summary'!$E:$E,
    'Resource Summary'!$B:$B,zones_to_group,
    'Resource Summary'!$A:$A,TRANSPOSE(_xlfn._xlws.FILTER('Results Grouping'!$G$9:$G$322,('Results Grouping'!$H$9:$H$322=$E$115) * ('Results Grouping'!$I$9:$I$322=$D120),0)),
    'Resource Summary'!$C:$C,AA$60
  )
)</f>
        <v>0</v>
      </c>
      <c r="AB120" s="14" cm="1">
        <f t="array" ref="AB120">0.001 * SUM(
  SUMIFS(
    'Resource Summary'!$E:$E,
    'Resource Summary'!$B:$B,zones_to_group,
    'Resource Summary'!$A:$A,TRANSPOSE(_xlfn._xlws.FILTER('Results Grouping'!$G$9:$G$322,('Results Grouping'!$H$9:$H$322=$E$115) * ('Results Grouping'!$I$9:$I$322=$D120),0)),
    'Resource Summary'!$C:$C,AB$60
  )
)</f>
        <v>0</v>
      </c>
      <c r="AC120" s="14" cm="1">
        <f t="array" ref="AC120">0.001 * SUM(
  SUMIFS(
    'Resource Summary'!$E:$E,
    'Resource Summary'!$B:$B,zones_to_group,
    'Resource Summary'!$A:$A,TRANSPOSE(_xlfn._xlws.FILTER('Results Grouping'!$G$9:$G$322,('Results Grouping'!$H$9:$H$322=$E$115) * ('Results Grouping'!$I$9:$I$322=$D120),0)),
    'Resource Summary'!$C:$C,AC$60
  )
)</f>
        <v>0</v>
      </c>
      <c r="AD120" s="14" cm="1">
        <f t="array" ref="AD120">0.001 * SUM(
  SUMIFS(
    'Resource Summary'!$E:$E,
    'Resource Summary'!$B:$B,zones_to_group,
    'Resource Summary'!$A:$A,TRANSPOSE(_xlfn._xlws.FILTER('Results Grouping'!$G$9:$G$322,('Results Grouping'!$H$9:$H$322=$E$115) * ('Results Grouping'!$I$9:$I$322=$D120),0)),
    'Resource Summary'!$C:$C,AD$60
  )
)</f>
        <v>38.257966645272688</v>
      </c>
      <c r="AH120" s="34" t="s">
        <v>422</v>
      </c>
    </row>
    <row r="121" spans="4:34" outlineLevel="2" x14ac:dyDescent="0.2">
      <c r="D121" s="8" t="s">
        <v>124</v>
      </c>
      <c r="E121" s="14" cm="1">
        <f t="array" ref="E121">0.001 * SUM(
  SUMIFS(
    'Resource Summary'!$E:$E,
    'Resource Summary'!$B:$B,zones_to_group,
    'Resource Summary'!$A:$A,TRANSPOSE(_xlfn._xlws.FILTER('Results Grouping'!$G$9:$G$322,('Results Grouping'!$H$9:$H$322=$E$115) * ('Results Grouping'!$I$9:$I$322=$D121),0)),
    'Resource Summary'!$C:$C,E$60
  )
)</f>
        <v>0</v>
      </c>
      <c r="F121" s="14" cm="1">
        <f t="array" ref="F121">0.001 * SUM(
  SUMIFS(
    'Resource Summary'!$E:$E,
    'Resource Summary'!$B:$B,zones_to_group,
    'Resource Summary'!$A:$A,TRANSPOSE(_xlfn._xlws.FILTER('Results Grouping'!$G$9:$G$322,('Results Grouping'!$H$9:$H$322=$E$115) * ('Results Grouping'!$I$9:$I$322=$D121),0)),
    'Resource Summary'!$C:$C,F$60
  )
)</f>
        <v>0</v>
      </c>
      <c r="G121" s="14" cm="1">
        <f t="array" ref="G121">0.001 * SUM(
  SUMIFS(
    'Resource Summary'!$E:$E,
    'Resource Summary'!$B:$B,zones_to_group,
    'Resource Summary'!$A:$A,TRANSPOSE(_xlfn._xlws.FILTER('Results Grouping'!$G$9:$G$322,('Results Grouping'!$H$9:$H$322=$E$115) * ('Results Grouping'!$I$9:$I$322=$D121),0)),
    'Resource Summary'!$C:$C,G$60
  )
)</f>
        <v>0</v>
      </c>
      <c r="H121" s="14" cm="1">
        <f t="array" ref="H121">0.001 * SUM(
  SUMIFS(
    'Resource Summary'!$E:$E,
    'Resource Summary'!$B:$B,zones_to_group,
    'Resource Summary'!$A:$A,TRANSPOSE(_xlfn._xlws.FILTER('Results Grouping'!$G$9:$G$322,('Results Grouping'!$H$9:$H$322=$E$115) * ('Results Grouping'!$I$9:$I$322=$D121),0)),
    'Resource Summary'!$C:$C,H$60
  )
)</f>
        <v>0</v>
      </c>
      <c r="I121" s="14" cm="1">
        <f t="array" ref="I121">0.001 * SUM(
  SUMIFS(
    'Resource Summary'!$E:$E,
    'Resource Summary'!$B:$B,zones_to_group,
    'Resource Summary'!$A:$A,TRANSPOSE(_xlfn._xlws.FILTER('Results Grouping'!$G$9:$G$322,('Results Grouping'!$H$9:$H$322=$E$115) * ('Results Grouping'!$I$9:$I$322=$D121),0)),
    'Resource Summary'!$C:$C,I$60
  )
)</f>
        <v>0</v>
      </c>
      <c r="J121" s="14" cm="1">
        <f t="array" ref="J121">0.001 * SUM(
  SUMIFS(
    'Resource Summary'!$E:$E,
    'Resource Summary'!$B:$B,zones_to_group,
    'Resource Summary'!$A:$A,TRANSPOSE(_xlfn._xlws.FILTER('Results Grouping'!$G$9:$G$322,('Results Grouping'!$H$9:$H$322=$E$115) * ('Results Grouping'!$I$9:$I$322=$D121),0)),
    'Resource Summary'!$C:$C,J$60
  )
)</f>
        <v>0</v>
      </c>
      <c r="K121" s="14" cm="1">
        <f t="array" ref="K121">0.001 * SUM(
  SUMIFS(
    'Resource Summary'!$E:$E,
    'Resource Summary'!$B:$B,zones_to_group,
    'Resource Summary'!$A:$A,TRANSPOSE(_xlfn._xlws.FILTER('Results Grouping'!$G$9:$G$322,('Results Grouping'!$H$9:$H$322=$E$115) * ('Results Grouping'!$I$9:$I$322=$D121),0)),
    'Resource Summary'!$C:$C,K$60
  )
)</f>
        <v>0</v>
      </c>
      <c r="L121" s="14" cm="1">
        <f t="array" ref="L121">0.001 * SUM(
  SUMIFS(
    'Resource Summary'!$E:$E,
    'Resource Summary'!$B:$B,zones_to_group,
    'Resource Summary'!$A:$A,TRANSPOSE(_xlfn._xlws.FILTER('Results Grouping'!$G$9:$G$322,('Results Grouping'!$H$9:$H$322=$E$115) * ('Results Grouping'!$I$9:$I$322=$D121),0)),
    'Resource Summary'!$C:$C,L$60
  )
)</f>
        <v>0</v>
      </c>
      <c r="M121" s="14" cm="1">
        <f t="array" ref="M121">0.001 * SUM(
  SUMIFS(
    'Resource Summary'!$E:$E,
    'Resource Summary'!$B:$B,zones_to_group,
    'Resource Summary'!$A:$A,TRANSPOSE(_xlfn._xlws.FILTER('Results Grouping'!$G$9:$G$322,('Results Grouping'!$H$9:$H$322=$E$115) * ('Results Grouping'!$I$9:$I$322=$D121),0)),
    'Resource Summary'!$C:$C,M$60
  )
)</f>
        <v>0</v>
      </c>
      <c r="N121" s="14" cm="1">
        <f t="array" ref="N121">0.001 * SUM(
  SUMIFS(
    'Resource Summary'!$E:$E,
    'Resource Summary'!$B:$B,zones_to_group,
    'Resource Summary'!$A:$A,TRANSPOSE(_xlfn._xlws.FILTER('Results Grouping'!$G$9:$G$322,('Results Grouping'!$H$9:$H$322=$E$115) * ('Results Grouping'!$I$9:$I$322=$D121),0)),
    'Resource Summary'!$C:$C,N$60
  )
)</f>
        <v>0</v>
      </c>
      <c r="O121" s="14" cm="1">
        <f t="array" ref="O121">0.001 * SUM(
  SUMIFS(
    'Resource Summary'!$E:$E,
    'Resource Summary'!$B:$B,zones_to_group,
    'Resource Summary'!$A:$A,TRANSPOSE(_xlfn._xlws.FILTER('Results Grouping'!$G$9:$G$322,('Results Grouping'!$H$9:$H$322=$E$115) * ('Results Grouping'!$I$9:$I$322=$D121),0)),
    'Resource Summary'!$C:$C,O$60
  )
)</f>
        <v>0</v>
      </c>
      <c r="P121" s="14" cm="1">
        <f t="array" ref="P121">0.001 * SUM(
  SUMIFS(
    'Resource Summary'!$E:$E,
    'Resource Summary'!$B:$B,zones_to_group,
    'Resource Summary'!$A:$A,TRANSPOSE(_xlfn._xlws.FILTER('Results Grouping'!$G$9:$G$322,('Results Grouping'!$H$9:$H$322=$E$115) * ('Results Grouping'!$I$9:$I$322=$D121),0)),
    'Resource Summary'!$C:$C,P$60
  )
)</f>
        <v>0</v>
      </c>
      <c r="Q121" s="14" cm="1">
        <f t="array" ref="Q121">0.001 * SUM(
  SUMIFS(
    'Resource Summary'!$E:$E,
    'Resource Summary'!$B:$B,zones_to_group,
    'Resource Summary'!$A:$A,TRANSPOSE(_xlfn._xlws.FILTER('Results Grouping'!$G$9:$G$322,('Results Grouping'!$H$9:$H$322=$E$115) * ('Results Grouping'!$I$9:$I$322=$D121),0)),
    'Resource Summary'!$C:$C,Q$60
  )
)</f>
        <v>0</v>
      </c>
      <c r="R121" s="14" cm="1">
        <f t="array" ref="R121">0.001 * SUM(
  SUMIFS(
    'Resource Summary'!$E:$E,
    'Resource Summary'!$B:$B,zones_to_group,
    'Resource Summary'!$A:$A,TRANSPOSE(_xlfn._xlws.FILTER('Results Grouping'!$G$9:$G$322,('Results Grouping'!$H$9:$H$322=$E$115) * ('Results Grouping'!$I$9:$I$322=$D121),0)),
    'Resource Summary'!$C:$C,R$60
  )
)</f>
        <v>0</v>
      </c>
      <c r="S121" s="14" cm="1">
        <f t="array" ref="S121">0.001 * SUM(
  SUMIFS(
    'Resource Summary'!$E:$E,
    'Resource Summary'!$B:$B,zones_to_group,
    'Resource Summary'!$A:$A,TRANSPOSE(_xlfn._xlws.FILTER('Results Grouping'!$G$9:$G$322,('Results Grouping'!$H$9:$H$322=$E$115) * ('Results Grouping'!$I$9:$I$322=$D121),0)),
    'Resource Summary'!$C:$C,S$60
  )
)</f>
        <v>0</v>
      </c>
      <c r="T121" s="14" cm="1">
        <f t="array" ref="T121">0.001 * SUM(
  SUMIFS(
    'Resource Summary'!$E:$E,
    'Resource Summary'!$B:$B,zones_to_group,
    'Resource Summary'!$A:$A,TRANSPOSE(_xlfn._xlws.FILTER('Results Grouping'!$G$9:$G$322,('Results Grouping'!$H$9:$H$322=$E$115) * ('Results Grouping'!$I$9:$I$322=$D121),0)),
    'Resource Summary'!$C:$C,T$60
  )
)</f>
        <v>0</v>
      </c>
      <c r="U121" s="14" cm="1">
        <f t="array" ref="U121">0.001 * SUM(
  SUMIFS(
    'Resource Summary'!$E:$E,
    'Resource Summary'!$B:$B,zones_to_group,
    'Resource Summary'!$A:$A,TRANSPOSE(_xlfn._xlws.FILTER('Results Grouping'!$G$9:$G$322,('Results Grouping'!$H$9:$H$322=$E$115) * ('Results Grouping'!$I$9:$I$322=$D121),0)),
    'Resource Summary'!$C:$C,U$60
  )
)</f>
        <v>0</v>
      </c>
      <c r="V121" s="14" cm="1">
        <f t="array" ref="V121">0.001 * SUM(
  SUMIFS(
    'Resource Summary'!$E:$E,
    'Resource Summary'!$B:$B,zones_to_group,
    'Resource Summary'!$A:$A,TRANSPOSE(_xlfn._xlws.FILTER('Results Grouping'!$G$9:$G$322,('Results Grouping'!$H$9:$H$322=$E$115) * ('Results Grouping'!$I$9:$I$322=$D121),0)),
    'Resource Summary'!$C:$C,V$60
  )
)</f>
        <v>0</v>
      </c>
      <c r="W121" s="14" cm="1">
        <f t="array" ref="W121">0.001 * SUM(
  SUMIFS(
    'Resource Summary'!$E:$E,
    'Resource Summary'!$B:$B,zones_to_group,
    'Resource Summary'!$A:$A,TRANSPOSE(_xlfn._xlws.FILTER('Results Grouping'!$G$9:$G$322,('Results Grouping'!$H$9:$H$322=$E$115) * ('Results Grouping'!$I$9:$I$322=$D121),0)),
    'Resource Summary'!$C:$C,W$60
  )
)</f>
        <v>0</v>
      </c>
      <c r="X121" s="14" cm="1">
        <f t="array" ref="X121">0.001 * SUM(
  SUMIFS(
    'Resource Summary'!$E:$E,
    'Resource Summary'!$B:$B,zones_to_group,
    'Resource Summary'!$A:$A,TRANSPOSE(_xlfn._xlws.FILTER('Results Grouping'!$G$9:$G$322,('Results Grouping'!$H$9:$H$322=$E$115) * ('Results Grouping'!$I$9:$I$322=$D121),0)),
    'Resource Summary'!$C:$C,X$60
  )
)</f>
        <v>0</v>
      </c>
      <c r="Y121" s="14" cm="1">
        <f t="array" ref="Y121">0.001 * SUM(
  SUMIFS(
    'Resource Summary'!$E:$E,
    'Resource Summary'!$B:$B,zones_to_group,
    'Resource Summary'!$A:$A,TRANSPOSE(_xlfn._xlws.FILTER('Results Grouping'!$G$9:$G$322,('Results Grouping'!$H$9:$H$322=$E$115) * ('Results Grouping'!$I$9:$I$322=$D121),0)),
    'Resource Summary'!$C:$C,Y$60
  )
)</f>
        <v>0</v>
      </c>
      <c r="Z121" s="14" cm="1">
        <f t="array" ref="Z121">0.001 * SUM(
  SUMIFS(
    'Resource Summary'!$E:$E,
    'Resource Summary'!$B:$B,zones_to_group,
    'Resource Summary'!$A:$A,TRANSPOSE(_xlfn._xlws.FILTER('Results Grouping'!$G$9:$G$322,('Results Grouping'!$H$9:$H$322=$E$115) * ('Results Grouping'!$I$9:$I$322=$D121),0)),
    'Resource Summary'!$C:$C,Z$60
  )
)</f>
        <v>0</v>
      </c>
      <c r="AA121" s="14" cm="1">
        <f t="array" ref="AA121">0.001 * SUM(
  SUMIFS(
    'Resource Summary'!$E:$E,
    'Resource Summary'!$B:$B,zones_to_group,
    'Resource Summary'!$A:$A,TRANSPOSE(_xlfn._xlws.FILTER('Results Grouping'!$G$9:$G$322,('Results Grouping'!$H$9:$H$322=$E$115) * ('Results Grouping'!$I$9:$I$322=$D121),0)),
    'Resource Summary'!$C:$C,AA$60
  )
)</f>
        <v>0</v>
      </c>
      <c r="AB121" s="14" cm="1">
        <f t="array" ref="AB121">0.001 * SUM(
  SUMIFS(
    'Resource Summary'!$E:$E,
    'Resource Summary'!$B:$B,zones_to_group,
    'Resource Summary'!$A:$A,TRANSPOSE(_xlfn._xlws.FILTER('Results Grouping'!$G$9:$G$322,('Results Grouping'!$H$9:$H$322=$E$115) * ('Results Grouping'!$I$9:$I$322=$D121),0)),
    'Resource Summary'!$C:$C,AB$60
  )
)</f>
        <v>0</v>
      </c>
      <c r="AC121" s="14" cm="1">
        <f t="array" ref="AC121">0.001 * SUM(
  SUMIFS(
    'Resource Summary'!$E:$E,
    'Resource Summary'!$B:$B,zones_to_group,
    'Resource Summary'!$A:$A,TRANSPOSE(_xlfn._xlws.FILTER('Results Grouping'!$G$9:$G$322,('Results Grouping'!$H$9:$H$322=$E$115) * ('Results Grouping'!$I$9:$I$322=$D121),0)),
    'Resource Summary'!$C:$C,AC$60
  )
)</f>
        <v>0</v>
      </c>
      <c r="AD121" s="14" cm="1">
        <f t="array" ref="AD121">0.001 * SUM(
  SUMIFS(
    'Resource Summary'!$E:$E,
    'Resource Summary'!$B:$B,zones_to_group,
    'Resource Summary'!$A:$A,TRANSPOSE(_xlfn._xlws.FILTER('Results Grouping'!$G$9:$G$322,('Results Grouping'!$H$9:$H$322=$E$115) * ('Results Grouping'!$I$9:$I$322=$D121),0)),
    'Resource Summary'!$C:$C,AD$60
  )
)</f>
        <v>7.9000000000000008E-3</v>
      </c>
      <c r="AH121" s="34" t="s">
        <v>422</v>
      </c>
    </row>
    <row r="122" spans="4:34" outlineLevel="2" x14ac:dyDescent="0.2">
      <c r="D122" s="8" t="s">
        <v>125</v>
      </c>
      <c r="E122" s="14" cm="1">
        <f t="array" ref="E122">0.001 * SUM(
  SUMIFS(
    'Resource Summary'!$E:$E,
    'Resource Summary'!$B:$B,zones_to_group,
    'Resource Summary'!$A:$A,TRANSPOSE(_xlfn._xlws.FILTER('Results Grouping'!$G$9:$G$322,('Results Grouping'!$H$9:$H$322=$E$115) * ('Results Grouping'!$I$9:$I$322=$D122),0)),
    'Resource Summary'!$C:$C,E$60
  )
)</f>
        <v>0</v>
      </c>
      <c r="F122" s="14" cm="1">
        <f t="array" ref="F122">0.001 * SUM(
  SUMIFS(
    'Resource Summary'!$E:$E,
    'Resource Summary'!$B:$B,zones_to_group,
    'Resource Summary'!$A:$A,TRANSPOSE(_xlfn._xlws.FILTER('Results Grouping'!$G$9:$G$322,('Results Grouping'!$H$9:$H$322=$E$115) * ('Results Grouping'!$I$9:$I$322=$D122),0)),
    'Resource Summary'!$C:$C,F$60
  )
)</f>
        <v>0</v>
      </c>
      <c r="G122" s="14" cm="1">
        <f t="array" ref="G122">0.001 * SUM(
  SUMIFS(
    'Resource Summary'!$E:$E,
    'Resource Summary'!$B:$B,zones_to_group,
    'Resource Summary'!$A:$A,TRANSPOSE(_xlfn._xlws.FILTER('Results Grouping'!$G$9:$G$322,('Results Grouping'!$H$9:$H$322=$E$115) * ('Results Grouping'!$I$9:$I$322=$D122),0)),
    'Resource Summary'!$C:$C,G$60
  )
)</f>
        <v>0</v>
      </c>
      <c r="H122" s="14" cm="1">
        <f t="array" ref="H122">0.001 * SUM(
  SUMIFS(
    'Resource Summary'!$E:$E,
    'Resource Summary'!$B:$B,zones_to_group,
    'Resource Summary'!$A:$A,TRANSPOSE(_xlfn._xlws.FILTER('Results Grouping'!$G$9:$G$322,('Results Grouping'!$H$9:$H$322=$E$115) * ('Results Grouping'!$I$9:$I$322=$D122),0)),
    'Resource Summary'!$C:$C,H$60
  )
)</f>
        <v>0</v>
      </c>
      <c r="I122" s="14" cm="1">
        <f t="array" ref="I122">0.001 * SUM(
  SUMIFS(
    'Resource Summary'!$E:$E,
    'Resource Summary'!$B:$B,zones_to_group,
    'Resource Summary'!$A:$A,TRANSPOSE(_xlfn._xlws.FILTER('Results Grouping'!$G$9:$G$322,('Results Grouping'!$H$9:$H$322=$E$115) * ('Results Grouping'!$I$9:$I$322=$D122),0)),
    'Resource Summary'!$C:$C,I$60
  )
)</f>
        <v>0</v>
      </c>
      <c r="J122" s="14" cm="1">
        <f t="array" ref="J122">0.001 * SUM(
  SUMIFS(
    'Resource Summary'!$E:$E,
    'Resource Summary'!$B:$B,zones_to_group,
    'Resource Summary'!$A:$A,TRANSPOSE(_xlfn._xlws.FILTER('Results Grouping'!$G$9:$G$322,('Results Grouping'!$H$9:$H$322=$E$115) * ('Results Grouping'!$I$9:$I$322=$D122),0)),
    'Resource Summary'!$C:$C,J$60
  )
)</f>
        <v>0</v>
      </c>
      <c r="K122" s="14" cm="1">
        <f t="array" ref="K122">0.001 * SUM(
  SUMIFS(
    'Resource Summary'!$E:$E,
    'Resource Summary'!$B:$B,zones_to_group,
    'Resource Summary'!$A:$A,TRANSPOSE(_xlfn._xlws.FILTER('Results Grouping'!$G$9:$G$322,('Results Grouping'!$H$9:$H$322=$E$115) * ('Results Grouping'!$I$9:$I$322=$D122),0)),
    'Resource Summary'!$C:$C,K$60
  )
)</f>
        <v>0</v>
      </c>
      <c r="L122" s="14" cm="1">
        <f t="array" ref="L122">0.001 * SUM(
  SUMIFS(
    'Resource Summary'!$E:$E,
    'Resource Summary'!$B:$B,zones_to_group,
    'Resource Summary'!$A:$A,TRANSPOSE(_xlfn._xlws.FILTER('Results Grouping'!$G$9:$G$322,('Results Grouping'!$H$9:$H$322=$E$115) * ('Results Grouping'!$I$9:$I$322=$D122),0)),
    'Resource Summary'!$C:$C,L$60
  )
)</f>
        <v>0</v>
      </c>
      <c r="M122" s="14" cm="1">
        <f t="array" ref="M122">0.001 * SUM(
  SUMIFS(
    'Resource Summary'!$E:$E,
    'Resource Summary'!$B:$B,zones_to_group,
    'Resource Summary'!$A:$A,TRANSPOSE(_xlfn._xlws.FILTER('Results Grouping'!$G$9:$G$322,('Results Grouping'!$H$9:$H$322=$E$115) * ('Results Grouping'!$I$9:$I$322=$D122),0)),
    'Resource Summary'!$C:$C,M$60
  )
)</f>
        <v>0</v>
      </c>
      <c r="N122" s="14" cm="1">
        <f t="array" ref="N122">0.001 * SUM(
  SUMIFS(
    'Resource Summary'!$E:$E,
    'Resource Summary'!$B:$B,zones_to_group,
    'Resource Summary'!$A:$A,TRANSPOSE(_xlfn._xlws.FILTER('Results Grouping'!$G$9:$G$322,('Results Grouping'!$H$9:$H$322=$E$115) * ('Results Grouping'!$I$9:$I$322=$D122),0)),
    'Resource Summary'!$C:$C,N$60
  )
)</f>
        <v>0</v>
      </c>
      <c r="O122" s="14" cm="1">
        <f t="array" ref="O122">0.001 * SUM(
  SUMIFS(
    'Resource Summary'!$E:$E,
    'Resource Summary'!$B:$B,zones_to_group,
    'Resource Summary'!$A:$A,TRANSPOSE(_xlfn._xlws.FILTER('Results Grouping'!$G$9:$G$322,('Results Grouping'!$H$9:$H$322=$E$115) * ('Results Grouping'!$I$9:$I$322=$D122),0)),
    'Resource Summary'!$C:$C,O$60
  )
)</f>
        <v>0</v>
      </c>
      <c r="P122" s="14" cm="1">
        <f t="array" ref="P122">0.001 * SUM(
  SUMIFS(
    'Resource Summary'!$E:$E,
    'Resource Summary'!$B:$B,zones_to_group,
    'Resource Summary'!$A:$A,TRANSPOSE(_xlfn._xlws.FILTER('Results Grouping'!$G$9:$G$322,('Results Grouping'!$H$9:$H$322=$E$115) * ('Results Grouping'!$I$9:$I$322=$D122),0)),
    'Resource Summary'!$C:$C,P$60
  )
)</f>
        <v>0</v>
      </c>
      <c r="Q122" s="14" cm="1">
        <f t="array" ref="Q122">0.001 * SUM(
  SUMIFS(
    'Resource Summary'!$E:$E,
    'Resource Summary'!$B:$B,zones_to_group,
    'Resource Summary'!$A:$A,TRANSPOSE(_xlfn._xlws.FILTER('Results Grouping'!$G$9:$G$322,('Results Grouping'!$H$9:$H$322=$E$115) * ('Results Grouping'!$I$9:$I$322=$D122),0)),
    'Resource Summary'!$C:$C,Q$60
  )
)</f>
        <v>0</v>
      </c>
      <c r="R122" s="14" cm="1">
        <f t="array" ref="R122">0.001 * SUM(
  SUMIFS(
    'Resource Summary'!$E:$E,
    'Resource Summary'!$B:$B,zones_to_group,
    'Resource Summary'!$A:$A,TRANSPOSE(_xlfn._xlws.FILTER('Results Grouping'!$G$9:$G$322,('Results Grouping'!$H$9:$H$322=$E$115) * ('Results Grouping'!$I$9:$I$322=$D122),0)),
    'Resource Summary'!$C:$C,R$60
  )
)</f>
        <v>0</v>
      </c>
      <c r="S122" s="14" cm="1">
        <f t="array" ref="S122">0.001 * SUM(
  SUMIFS(
    'Resource Summary'!$E:$E,
    'Resource Summary'!$B:$B,zones_to_group,
    'Resource Summary'!$A:$A,TRANSPOSE(_xlfn._xlws.FILTER('Results Grouping'!$G$9:$G$322,('Results Grouping'!$H$9:$H$322=$E$115) * ('Results Grouping'!$I$9:$I$322=$D122),0)),
    'Resource Summary'!$C:$C,S$60
  )
)</f>
        <v>0</v>
      </c>
      <c r="T122" s="14" cm="1">
        <f t="array" ref="T122">0.001 * SUM(
  SUMIFS(
    'Resource Summary'!$E:$E,
    'Resource Summary'!$B:$B,zones_to_group,
    'Resource Summary'!$A:$A,TRANSPOSE(_xlfn._xlws.FILTER('Results Grouping'!$G$9:$G$322,('Results Grouping'!$H$9:$H$322=$E$115) * ('Results Grouping'!$I$9:$I$322=$D122),0)),
    'Resource Summary'!$C:$C,T$60
  )
)</f>
        <v>0</v>
      </c>
      <c r="U122" s="14" cm="1">
        <f t="array" ref="U122">0.001 * SUM(
  SUMIFS(
    'Resource Summary'!$E:$E,
    'Resource Summary'!$B:$B,zones_to_group,
    'Resource Summary'!$A:$A,TRANSPOSE(_xlfn._xlws.FILTER('Results Grouping'!$G$9:$G$322,('Results Grouping'!$H$9:$H$322=$E$115) * ('Results Grouping'!$I$9:$I$322=$D122),0)),
    'Resource Summary'!$C:$C,U$60
  )
)</f>
        <v>0</v>
      </c>
      <c r="V122" s="14" cm="1">
        <f t="array" ref="V122">0.001 * SUM(
  SUMIFS(
    'Resource Summary'!$E:$E,
    'Resource Summary'!$B:$B,zones_to_group,
    'Resource Summary'!$A:$A,TRANSPOSE(_xlfn._xlws.FILTER('Results Grouping'!$G$9:$G$322,('Results Grouping'!$H$9:$H$322=$E$115) * ('Results Grouping'!$I$9:$I$322=$D122),0)),
    'Resource Summary'!$C:$C,V$60
  )
)</f>
        <v>0</v>
      </c>
      <c r="W122" s="14" cm="1">
        <f t="array" ref="W122">0.001 * SUM(
  SUMIFS(
    'Resource Summary'!$E:$E,
    'Resource Summary'!$B:$B,zones_to_group,
    'Resource Summary'!$A:$A,TRANSPOSE(_xlfn._xlws.FILTER('Results Grouping'!$G$9:$G$322,('Results Grouping'!$H$9:$H$322=$E$115) * ('Results Grouping'!$I$9:$I$322=$D122),0)),
    'Resource Summary'!$C:$C,W$60
  )
)</f>
        <v>0</v>
      </c>
      <c r="X122" s="14" cm="1">
        <f t="array" ref="X122">0.001 * SUM(
  SUMIFS(
    'Resource Summary'!$E:$E,
    'Resource Summary'!$B:$B,zones_to_group,
    'Resource Summary'!$A:$A,TRANSPOSE(_xlfn._xlws.FILTER('Results Grouping'!$G$9:$G$322,('Results Grouping'!$H$9:$H$322=$E$115) * ('Results Grouping'!$I$9:$I$322=$D122),0)),
    'Resource Summary'!$C:$C,X$60
  )
)</f>
        <v>0</v>
      </c>
      <c r="Y122" s="14" cm="1">
        <f t="array" ref="Y122">0.001 * SUM(
  SUMIFS(
    'Resource Summary'!$E:$E,
    'Resource Summary'!$B:$B,zones_to_group,
    'Resource Summary'!$A:$A,TRANSPOSE(_xlfn._xlws.FILTER('Results Grouping'!$G$9:$G$322,('Results Grouping'!$H$9:$H$322=$E$115) * ('Results Grouping'!$I$9:$I$322=$D122),0)),
    'Resource Summary'!$C:$C,Y$60
  )
)</f>
        <v>0</v>
      </c>
      <c r="Z122" s="14" cm="1">
        <f t="array" ref="Z122">0.001 * SUM(
  SUMIFS(
    'Resource Summary'!$E:$E,
    'Resource Summary'!$B:$B,zones_to_group,
    'Resource Summary'!$A:$A,TRANSPOSE(_xlfn._xlws.FILTER('Results Grouping'!$G$9:$G$322,('Results Grouping'!$H$9:$H$322=$E$115) * ('Results Grouping'!$I$9:$I$322=$D122),0)),
    'Resource Summary'!$C:$C,Z$60
  )
)</f>
        <v>0</v>
      </c>
      <c r="AA122" s="14" cm="1">
        <f t="array" ref="AA122">0.001 * SUM(
  SUMIFS(
    'Resource Summary'!$E:$E,
    'Resource Summary'!$B:$B,zones_to_group,
    'Resource Summary'!$A:$A,TRANSPOSE(_xlfn._xlws.FILTER('Results Grouping'!$G$9:$G$322,('Results Grouping'!$H$9:$H$322=$E$115) * ('Results Grouping'!$I$9:$I$322=$D122),0)),
    'Resource Summary'!$C:$C,AA$60
  )
)</f>
        <v>0</v>
      </c>
      <c r="AB122" s="14" cm="1">
        <f t="array" ref="AB122">0.001 * SUM(
  SUMIFS(
    'Resource Summary'!$E:$E,
    'Resource Summary'!$B:$B,zones_to_group,
    'Resource Summary'!$A:$A,TRANSPOSE(_xlfn._xlws.FILTER('Results Grouping'!$G$9:$G$322,('Results Grouping'!$H$9:$H$322=$E$115) * ('Results Grouping'!$I$9:$I$322=$D122),0)),
    'Resource Summary'!$C:$C,AB$60
  )
)</f>
        <v>0</v>
      </c>
      <c r="AC122" s="14" cm="1">
        <f t="array" ref="AC122">0.001 * SUM(
  SUMIFS(
    'Resource Summary'!$E:$E,
    'Resource Summary'!$B:$B,zones_to_group,
    'Resource Summary'!$A:$A,TRANSPOSE(_xlfn._xlws.FILTER('Results Grouping'!$G$9:$G$322,('Results Grouping'!$H$9:$H$322=$E$115) * ('Results Grouping'!$I$9:$I$322=$D122),0)),
    'Resource Summary'!$C:$C,AC$60
  )
)</f>
        <v>0</v>
      </c>
      <c r="AD122" s="14" cm="1">
        <f t="array" ref="AD122">0.001 * SUM(
  SUMIFS(
    'Resource Summary'!$E:$E,
    'Resource Summary'!$B:$B,zones_to_group,
    'Resource Summary'!$A:$A,TRANSPOSE(_xlfn._xlws.FILTER('Results Grouping'!$G$9:$G$322,('Results Grouping'!$H$9:$H$322=$E$115) * ('Results Grouping'!$I$9:$I$322=$D122),0)),
    'Resource Summary'!$C:$C,AD$60
  )
)</f>
        <v>0</v>
      </c>
      <c r="AH122" s="34" t="s">
        <v>422</v>
      </c>
    </row>
    <row r="123" spans="4:34" ht="12.6" outlineLevel="2" thickBot="1" x14ac:dyDescent="0.25">
      <c r="D123" s="9" t="s">
        <v>139</v>
      </c>
      <c r="E123" s="13">
        <f>SUM(E119:E122)</f>
        <v>0</v>
      </c>
      <c r="F123" s="13">
        <f t="shared" ref="F123:AD123" si="110">SUM(F119:F122)</f>
        <v>0</v>
      </c>
      <c r="G123" s="13">
        <f t="shared" si="110"/>
        <v>0</v>
      </c>
      <c r="H123" s="13">
        <f t="shared" si="110"/>
        <v>0</v>
      </c>
      <c r="I123" s="13">
        <f t="shared" si="110"/>
        <v>0</v>
      </c>
      <c r="J123" s="13">
        <f t="shared" si="110"/>
        <v>0</v>
      </c>
      <c r="K123" s="13">
        <f t="shared" si="110"/>
        <v>0</v>
      </c>
      <c r="L123" s="13">
        <f t="shared" si="110"/>
        <v>0</v>
      </c>
      <c r="M123" s="13">
        <f t="shared" si="110"/>
        <v>0</v>
      </c>
      <c r="N123" s="13">
        <f t="shared" si="110"/>
        <v>0</v>
      </c>
      <c r="O123" s="13">
        <f t="shared" si="110"/>
        <v>0</v>
      </c>
      <c r="P123" s="13">
        <f t="shared" si="110"/>
        <v>0</v>
      </c>
      <c r="Q123" s="13">
        <f t="shared" si="110"/>
        <v>0</v>
      </c>
      <c r="R123" s="13">
        <f t="shared" si="110"/>
        <v>0</v>
      </c>
      <c r="S123" s="13">
        <f t="shared" si="110"/>
        <v>0</v>
      </c>
      <c r="T123" s="13">
        <f t="shared" si="110"/>
        <v>0</v>
      </c>
      <c r="U123" s="13">
        <f t="shared" si="110"/>
        <v>0</v>
      </c>
      <c r="V123" s="13">
        <f t="shared" si="110"/>
        <v>0</v>
      </c>
      <c r="W123" s="13">
        <f t="shared" si="110"/>
        <v>0</v>
      </c>
      <c r="X123" s="13">
        <f t="shared" si="110"/>
        <v>0</v>
      </c>
      <c r="Y123" s="13">
        <f t="shared" si="110"/>
        <v>0</v>
      </c>
      <c r="Z123" s="13">
        <f t="shared" si="110"/>
        <v>0</v>
      </c>
      <c r="AA123" s="13">
        <f t="shared" si="110"/>
        <v>0</v>
      </c>
      <c r="AB123" s="13">
        <f t="shared" si="110"/>
        <v>0</v>
      </c>
      <c r="AC123" s="13">
        <f t="shared" si="110"/>
        <v>0</v>
      </c>
      <c r="AD123" s="13">
        <f t="shared" si="110"/>
        <v>38.265866645272688</v>
      </c>
      <c r="AH123" s="34" t="s">
        <v>422</v>
      </c>
    </row>
    <row r="124" spans="4:34" ht="12" outlineLevel="2" thickTop="1" x14ac:dyDescent="0.2">
      <c r="AH124" s="34" t="s">
        <v>422</v>
      </c>
    </row>
    <row r="125" spans="4:34" ht="13.2" outlineLevel="2" x14ac:dyDescent="0.2">
      <c r="E125" s="2" t="s">
        <v>165</v>
      </c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H125" s="34" t="s">
        <v>422</v>
      </c>
    </row>
    <row r="126" spans="4:34" outlineLevel="2" x14ac:dyDescent="0.2">
      <c r="E126" s="7">
        <v>43831</v>
      </c>
      <c r="F126" s="7">
        <f>EDATE(E126,12)</f>
        <v>44197</v>
      </c>
      <c r="G126" s="7">
        <f t="shared" ref="G126:AC126" si="111">EDATE(F126,12)</f>
        <v>44562</v>
      </c>
      <c r="H126" s="7">
        <f t="shared" si="111"/>
        <v>44927</v>
      </c>
      <c r="I126" s="7">
        <f t="shared" si="111"/>
        <v>45292</v>
      </c>
      <c r="J126" s="7">
        <f t="shared" si="111"/>
        <v>45658</v>
      </c>
      <c r="K126" s="7">
        <f t="shared" si="111"/>
        <v>46023</v>
      </c>
      <c r="L126" s="7">
        <f t="shared" si="111"/>
        <v>46388</v>
      </c>
      <c r="M126" s="7">
        <f t="shared" si="111"/>
        <v>46753</v>
      </c>
      <c r="N126" s="7">
        <f t="shared" si="111"/>
        <v>47119</v>
      </c>
      <c r="O126" s="7">
        <f t="shared" si="111"/>
        <v>47484</v>
      </c>
      <c r="P126" s="7">
        <f t="shared" si="111"/>
        <v>47849</v>
      </c>
      <c r="Q126" s="7">
        <f t="shared" si="111"/>
        <v>48214</v>
      </c>
      <c r="R126" s="7">
        <f t="shared" si="111"/>
        <v>48580</v>
      </c>
      <c r="S126" s="7">
        <f t="shared" si="111"/>
        <v>48945</v>
      </c>
      <c r="T126" s="7">
        <f t="shared" si="111"/>
        <v>49310</v>
      </c>
      <c r="U126" s="7">
        <f t="shared" si="111"/>
        <v>49675</v>
      </c>
      <c r="V126" s="7">
        <f t="shared" si="111"/>
        <v>50041</v>
      </c>
      <c r="W126" s="7">
        <f t="shared" si="111"/>
        <v>50406</v>
      </c>
      <c r="X126" s="7">
        <f t="shared" si="111"/>
        <v>50771</v>
      </c>
      <c r="Y126" s="7">
        <f t="shared" si="111"/>
        <v>51136</v>
      </c>
      <c r="Z126" s="7">
        <f t="shared" si="111"/>
        <v>51502</v>
      </c>
      <c r="AA126" s="7">
        <f t="shared" si="111"/>
        <v>51867</v>
      </c>
      <c r="AB126" s="7">
        <f t="shared" si="111"/>
        <v>52232</v>
      </c>
      <c r="AC126" s="7">
        <f t="shared" si="111"/>
        <v>52597</v>
      </c>
      <c r="AD126" s="7">
        <f>EDATE(AC126,12)</f>
        <v>52963</v>
      </c>
      <c r="AH126" s="34" t="s">
        <v>422</v>
      </c>
    </row>
    <row r="127" spans="4:34" outlineLevel="2" x14ac:dyDescent="0.2">
      <c r="D127" s="8" t="s">
        <v>152</v>
      </c>
      <c r="E127" s="14" cm="1">
        <f t="array" ref="E127">0.001 * SUM(
  SUMIFS(
    'Resource Summary'!$J:$J,
    'Resource Summary'!$B:$B,zones_to_group,
    'Resource Summary'!$A:$A,TRANSPOSE(_xlfn._xlws.FILTER('Results Grouping'!$G$9:$G$322,('Results Grouping'!$H$9:$H$322=$E$115) * ('Results Grouping'!$I$9:$I$322=$D127),0)),
    'Resource Summary'!$C:$C,E$60
  )
)</f>
        <v>0</v>
      </c>
      <c r="F127" s="14" cm="1">
        <f t="array" ref="F127">0.001 * SUM(
  SUMIFS(
    'Resource Summary'!$J:$J,
    'Resource Summary'!$B:$B,zones_to_group,
    'Resource Summary'!$A:$A,TRANSPOSE(_xlfn._xlws.FILTER('Results Grouping'!$G$9:$G$322,('Results Grouping'!$H$9:$H$322=$E$115) * ('Results Grouping'!$I$9:$I$322=$D127),0)),
    'Resource Summary'!$C:$C,F$60
  )
)</f>
        <v>0</v>
      </c>
      <c r="G127" s="14" cm="1">
        <f t="array" ref="G127">0.001 * SUM(
  SUMIFS(
    'Resource Summary'!$J:$J,
    'Resource Summary'!$B:$B,zones_to_group,
    'Resource Summary'!$A:$A,TRANSPOSE(_xlfn._xlws.FILTER('Results Grouping'!$G$9:$G$322,('Results Grouping'!$H$9:$H$322=$E$115) * ('Results Grouping'!$I$9:$I$322=$D127),0)),
    'Resource Summary'!$C:$C,G$60
  )
)</f>
        <v>0</v>
      </c>
      <c r="H127" s="14" cm="1">
        <f t="array" ref="H127">0.001 * SUM(
  SUMIFS(
    'Resource Summary'!$J:$J,
    'Resource Summary'!$B:$B,zones_to_group,
    'Resource Summary'!$A:$A,TRANSPOSE(_xlfn._xlws.FILTER('Results Grouping'!$G$9:$G$322,('Results Grouping'!$H$9:$H$322=$E$115) * ('Results Grouping'!$I$9:$I$322=$D127),0)),
    'Resource Summary'!$C:$C,H$60
  )
)</f>
        <v>0</v>
      </c>
      <c r="I127" s="14" cm="1">
        <f t="array" ref="I127">0.001 * SUM(
  SUMIFS(
    'Resource Summary'!$J:$J,
    'Resource Summary'!$B:$B,zones_to_group,
    'Resource Summary'!$A:$A,TRANSPOSE(_xlfn._xlws.FILTER('Results Grouping'!$G$9:$G$322,('Results Grouping'!$H$9:$H$322=$E$115) * ('Results Grouping'!$I$9:$I$322=$D127),0)),
    'Resource Summary'!$C:$C,I$60
  )
)</f>
        <v>0</v>
      </c>
      <c r="J127" s="14" cm="1">
        <f t="array" ref="J127">0.001 * SUM(
  SUMIFS(
    'Resource Summary'!$J:$J,
    'Resource Summary'!$B:$B,zones_to_group,
    'Resource Summary'!$A:$A,TRANSPOSE(_xlfn._xlws.FILTER('Results Grouping'!$G$9:$G$322,('Results Grouping'!$H$9:$H$322=$E$115) * ('Results Grouping'!$I$9:$I$322=$D127),0)),
    'Resource Summary'!$C:$C,J$60
  )
)</f>
        <v>0</v>
      </c>
      <c r="K127" s="14" cm="1">
        <f t="array" ref="K127">0.001 * SUM(
  SUMIFS(
    'Resource Summary'!$J:$J,
    'Resource Summary'!$B:$B,zones_to_group,
    'Resource Summary'!$A:$A,TRANSPOSE(_xlfn._xlws.FILTER('Results Grouping'!$G$9:$G$322,('Results Grouping'!$H$9:$H$322=$E$115) * ('Results Grouping'!$I$9:$I$322=$D127),0)),
    'Resource Summary'!$C:$C,K$60
  )
)</f>
        <v>0</v>
      </c>
      <c r="L127" s="14" cm="1">
        <f t="array" ref="L127">0.001 * SUM(
  SUMIFS(
    'Resource Summary'!$J:$J,
    'Resource Summary'!$B:$B,zones_to_group,
    'Resource Summary'!$A:$A,TRANSPOSE(_xlfn._xlws.FILTER('Results Grouping'!$G$9:$G$322,('Results Grouping'!$H$9:$H$322=$E$115) * ('Results Grouping'!$I$9:$I$322=$D127),0)),
    'Resource Summary'!$C:$C,L$60
  )
)</f>
        <v>0</v>
      </c>
      <c r="M127" s="14" cm="1">
        <f t="array" ref="M127">0.001 * SUM(
  SUMIFS(
    'Resource Summary'!$J:$J,
    'Resource Summary'!$B:$B,zones_to_group,
    'Resource Summary'!$A:$A,TRANSPOSE(_xlfn._xlws.FILTER('Results Grouping'!$G$9:$G$322,('Results Grouping'!$H$9:$H$322=$E$115) * ('Results Grouping'!$I$9:$I$322=$D127),0)),
    'Resource Summary'!$C:$C,M$60
  )
)</f>
        <v>0</v>
      </c>
      <c r="N127" s="14" cm="1">
        <f t="array" ref="N127">0.001 * SUM(
  SUMIFS(
    'Resource Summary'!$J:$J,
    'Resource Summary'!$B:$B,zones_to_group,
    'Resource Summary'!$A:$A,TRANSPOSE(_xlfn._xlws.FILTER('Results Grouping'!$G$9:$G$322,('Results Grouping'!$H$9:$H$322=$E$115) * ('Results Grouping'!$I$9:$I$322=$D127),0)),
    'Resource Summary'!$C:$C,N$60
  )
)</f>
        <v>0</v>
      </c>
      <c r="O127" s="14" cm="1">
        <f t="array" ref="O127">0.001 * SUM(
  SUMIFS(
    'Resource Summary'!$J:$J,
    'Resource Summary'!$B:$B,zones_to_group,
    'Resource Summary'!$A:$A,TRANSPOSE(_xlfn._xlws.FILTER('Results Grouping'!$G$9:$G$322,('Results Grouping'!$H$9:$H$322=$E$115) * ('Results Grouping'!$I$9:$I$322=$D127),0)),
    'Resource Summary'!$C:$C,O$60
  )
)</f>
        <v>0</v>
      </c>
      <c r="P127" s="14" cm="1">
        <f t="array" ref="P127">0.001 * SUM(
  SUMIFS(
    'Resource Summary'!$J:$J,
    'Resource Summary'!$B:$B,zones_to_group,
    'Resource Summary'!$A:$A,TRANSPOSE(_xlfn._xlws.FILTER('Results Grouping'!$G$9:$G$322,('Results Grouping'!$H$9:$H$322=$E$115) * ('Results Grouping'!$I$9:$I$322=$D127),0)),
    'Resource Summary'!$C:$C,P$60
  )
)</f>
        <v>0</v>
      </c>
      <c r="Q127" s="14" cm="1">
        <f t="array" ref="Q127">0.001 * SUM(
  SUMIFS(
    'Resource Summary'!$J:$J,
    'Resource Summary'!$B:$B,zones_to_group,
    'Resource Summary'!$A:$A,TRANSPOSE(_xlfn._xlws.FILTER('Results Grouping'!$G$9:$G$322,('Results Grouping'!$H$9:$H$322=$E$115) * ('Results Grouping'!$I$9:$I$322=$D127),0)),
    'Resource Summary'!$C:$C,Q$60
  )
)</f>
        <v>0</v>
      </c>
      <c r="R127" s="14" cm="1">
        <f t="array" ref="R127">0.001 * SUM(
  SUMIFS(
    'Resource Summary'!$J:$J,
    'Resource Summary'!$B:$B,zones_to_group,
    'Resource Summary'!$A:$A,TRANSPOSE(_xlfn._xlws.FILTER('Results Grouping'!$G$9:$G$322,('Results Grouping'!$H$9:$H$322=$E$115) * ('Results Grouping'!$I$9:$I$322=$D127),0)),
    'Resource Summary'!$C:$C,R$60
  )
)</f>
        <v>0</v>
      </c>
      <c r="S127" s="14" cm="1">
        <f t="array" ref="S127">0.001 * SUM(
  SUMIFS(
    'Resource Summary'!$J:$J,
    'Resource Summary'!$B:$B,zones_to_group,
    'Resource Summary'!$A:$A,TRANSPOSE(_xlfn._xlws.FILTER('Results Grouping'!$G$9:$G$322,('Results Grouping'!$H$9:$H$322=$E$115) * ('Results Grouping'!$I$9:$I$322=$D127),0)),
    'Resource Summary'!$C:$C,S$60
  )
)</f>
        <v>0</v>
      </c>
      <c r="T127" s="14" cm="1">
        <f t="array" ref="T127">0.001 * SUM(
  SUMIFS(
    'Resource Summary'!$J:$J,
    'Resource Summary'!$B:$B,zones_to_group,
    'Resource Summary'!$A:$A,TRANSPOSE(_xlfn._xlws.FILTER('Results Grouping'!$G$9:$G$322,('Results Grouping'!$H$9:$H$322=$E$115) * ('Results Grouping'!$I$9:$I$322=$D127),0)),
    'Resource Summary'!$C:$C,T$60
  )
)</f>
        <v>0</v>
      </c>
      <c r="U127" s="14" cm="1">
        <f t="array" ref="U127">0.001 * SUM(
  SUMIFS(
    'Resource Summary'!$J:$J,
    'Resource Summary'!$B:$B,zones_to_group,
    'Resource Summary'!$A:$A,TRANSPOSE(_xlfn._xlws.FILTER('Results Grouping'!$G$9:$G$322,('Results Grouping'!$H$9:$H$322=$E$115) * ('Results Grouping'!$I$9:$I$322=$D127),0)),
    'Resource Summary'!$C:$C,U$60
  )
)</f>
        <v>0</v>
      </c>
      <c r="V127" s="14" cm="1">
        <f t="array" ref="V127">0.001 * SUM(
  SUMIFS(
    'Resource Summary'!$J:$J,
    'Resource Summary'!$B:$B,zones_to_group,
    'Resource Summary'!$A:$A,TRANSPOSE(_xlfn._xlws.FILTER('Results Grouping'!$G$9:$G$322,('Results Grouping'!$H$9:$H$322=$E$115) * ('Results Grouping'!$I$9:$I$322=$D127),0)),
    'Resource Summary'!$C:$C,V$60
  )
)</f>
        <v>0</v>
      </c>
      <c r="W127" s="14" cm="1">
        <f t="array" ref="W127">0.001 * SUM(
  SUMIFS(
    'Resource Summary'!$J:$J,
    'Resource Summary'!$B:$B,zones_to_group,
    'Resource Summary'!$A:$A,TRANSPOSE(_xlfn._xlws.FILTER('Results Grouping'!$G$9:$G$322,('Results Grouping'!$H$9:$H$322=$E$115) * ('Results Grouping'!$I$9:$I$322=$D127),0)),
    'Resource Summary'!$C:$C,W$60
  )
)</f>
        <v>0</v>
      </c>
      <c r="X127" s="14" cm="1">
        <f t="array" ref="X127">0.001 * SUM(
  SUMIFS(
    'Resource Summary'!$J:$J,
    'Resource Summary'!$B:$B,zones_to_group,
    'Resource Summary'!$A:$A,TRANSPOSE(_xlfn._xlws.FILTER('Results Grouping'!$G$9:$G$322,('Results Grouping'!$H$9:$H$322=$E$115) * ('Results Grouping'!$I$9:$I$322=$D127),0)),
    'Resource Summary'!$C:$C,X$60
  )
)</f>
        <v>0</v>
      </c>
      <c r="Y127" s="14" cm="1">
        <f t="array" ref="Y127">0.001 * SUM(
  SUMIFS(
    'Resource Summary'!$J:$J,
    'Resource Summary'!$B:$B,zones_to_group,
    'Resource Summary'!$A:$A,TRANSPOSE(_xlfn._xlws.FILTER('Results Grouping'!$G$9:$G$322,('Results Grouping'!$H$9:$H$322=$E$115) * ('Results Grouping'!$I$9:$I$322=$D127),0)),
    'Resource Summary'!$C:$C,Y$60
  )
)</f>
        <v>0</v>
      </c>
      <c r="Z127" s="14" cm="1">
        <f t="array" ref="Z127">0.001 * SUM(
  SUMIFS(
    'Resource Summary'!$J:$J,
    'Resource Summary'!$B:$B,zones_to_group,
    'Resource Summary'!$A:$A,TRANSPOSE(_xlfn._xlws.FILTER('Results Grouping'!$G$9:$G$322,('Results Grouping'!$H$9:$H$322=$E$115) * ('Results Grouping'!$I$9:$I$322=$D127),0)),
    'Resource Summary'!$C:$C,Z$60
  )
)</f>
        <v>0</v>
      </c>
      <c r="AA127" s="14" cm="1">
        <f t="array" ref="AA127">0.001 * SUM(
  SUMIFS(
    'Resource Summary'!$J:$J,
    'Resource Summary'!$B:$B,zones_to_group,
    'Resource Summary'!$A:$A,TRANSPOSE(_xlfn._xlws.FILTER('Results Grouping'!$G$9:$G$322,('Results Grouping'!$H$9:$H$322=$E$115) * ('Results Grouping'!$I$9:$I$322=$D127),0)),
    'Resource Summary'!$C:$C,AA$60
  )
)</f>
        <v>0</v>
      </c>
      <c r="AB127" s="14" cm="1">
        <f t="array" ref="AB127">0.001 * SUM(
  SUMIFS(
    'Resource Summary'!$J:$J,
    'Resource Summary'!$B:$B,zones_to_group,
    'Resource Summary'!$A:$A,TRANSPOSE(_xlfn._xlws.FILTER('Results Grouping'!$G$9:$G$322,('Results Grouping'!$H$9:$H$322=$E$115) * ('Results Grouping'!$I$9:$I$322=$D127),0)),
    'Resource Summary'!$C:$C,AB$60
  )
)</f>
        <v>0</v>
      </c>
      <c r="AC127" s="14" cm="1">
        <f t="array" ref="AC127">0.001 * SUM(
  SUMIFS(
    'Resource Summary'!$J:$J,
    'Resource Summary'!$B:$B,zones_to_group,
    'Resource Summary'!$A:$A,TRANSPOSE(_xlfn._xlws.FILTER('Results Grouping'!$G$9:$G$322,('Results Grouping'!$H$9:$H$322=$E$115) * ('Results Grouping'!$I$9:$I$322=$D127),0)),
    'Resource Summary'!$C:$C,AC$60
  )
)</f>
        <v>0</v>
      </c>
      <c r="AD127" s="14" cm="1">
        <f t="array" ref="AD127">0.001 * SUM(
  SUMIFS(
    'Resource Summary'!$J:$J,
    'Resource Summary'!$B:$B,zones_to_group,
    'Resource Summary'!$A:$A,TRANSPOSE(_xlfn._xlws.FILTER('Results Grouping'!$G$9:$G$322,('Results Grouping'!$H$9:$H$322=$E$115) * ('Results Grouping'!$I$9:$I$322=$D127),0)),
    'Resource Summary'!$C:$C,AD$60
  )
)</f>
        <v>0</v>
      </c>
      <c r="AH127" s="34" t="s">
        <v>422</v>
      </c>
    </row>
    <row r="128" spans="4:34" outlineLevel="2" x14ac:dyDescent="0.2">
      <c r="D128" s="8" t="s">
        <v>157</v>
      </c>
      <c r="E128" s="14" cm="1">
        <f t="array" ref="E128">0.001 * SUM(
  SUMIFS(
    'Resource Summary'!$J:$J,
    'Resource Summary'!$B:$B,zones_to_group,
    'Resource Summary'!$A:$A,TRANSPOSE(_xlfn._xlws.FILTER('Results Grouping'!$G$9:$G$322,('Results Grouping'!$H$9:$H$322=$E$115) * ('Results Grouping'!$I$9:$I$322=$D128),0)),
    'Resource Summary'!$C:$C,E$60
  )
)</f>
        <v>0</v>
      </c>
      <c r="F128" s="14" cm="1">
        <f t="array" ref="F128">0.001 * SUM(
  SUMIFS(
    'Resource Summary'!$J:$J,
    'Resource Summary'!$B:$B,zones_to_group,
    'Resource Summary'!$A:$A,TRANSPOSE(_xlfn._xlws.FILTER('Results Grouping'!$G$9:$G$322,('Results Grouping'!$H$9:$H$322=$E$115) * ('Results Grouping'!$I$9:$I$322=$D128),0)),
    'Resource Summary'!$C:$C,F$60
  )
)</f>
        <v>0</v>
      </c>
      <c r="G128" s="14" cm="1">
        <f t="array" ref="G128">0.001 * SUM(
  SUMIFS(
    'Resource Summary'!$J:$J,
    'Resource Summary'!$B:$B,zones_to_group,
    'Resource Summary'!$A:$A,TRANSPOSE(_xlfn._xlws.FILTER('Results Grouping'!$G$9:$G$322,('Results Grouping'!$H$9:$H$322=$E$115) * ('Results Grouping'!$I$9:$I$322=$D128),0)),
    'Resource Summary'!$C:$C,G$60
  )
)</f>
        <v>0</v>
      </c>
      <c r="H128" s="14" cm="1">
        <f t="array" ref="H128">0.001 * SUM(
  SUMIFS(
    'Resource Summary'!$J:$J,
    'Resource Summary'!$B:$B,zones_to_group,
    'Resource Summary'!$A:$A,TRANSPOSE(_xlfn._xlws.FILTER('Results Grouping'!$G$9:$G$322,('Results Grouping'!$H$9:$H$322=$E$115) * ('Results Grouping'!$I$9:$I$322=$D128),0)),
    'Resource Summary'!$C:$C,H$60
  )
)</f>
        <v>0</v>
      </c>
      <c r="I128" s="14" cm="1">
        <f t="array" ref="I128">0.001 * SUM(
  SUMIFS(
    'Resource Summary'!$J:$J,
    'Resource Summary'!$B:$B,zones_to_group,
    'Resource Summary'!$A:$A,TRANSPOSE(_xlfn._xlws.FILTER('Results Grouping'!$G$9:$G$322,('Results Grouping'!$H$9:$H$322=$E$115) * ('Results Grouping'!$I$9:$I$322=$D128),0)),
    'Resource Summary'!$C:$C,I$60
  )
)</f>
        <v>0</v>
      </c>
      <c r="J128" s="14" cm="1">
        <f t="array" ref="J128">0.001 * SUM(
  SUMIFS(
    'Resource Summary'!$J:$J,
    'Resource Summary'!$B:$B,zones_to_group,
    'Resource Summary'!$A:$A,TRANSPOSE(_xlfn._xlws.FILTER('Results Grouping'!$G$9:$G$322,('Results Grouping'!$H$9:$H$322=$E$115) * ('Results Grouping'!$I$9:$I$322=$D128),0)),
    'Resource Summary'!$C:$C,J$60
  )
)</f>
        <v>0</v>
      </c>
      <c r="K128" s="14" cm="1">
        <f t="array" ref="K128">0.001 * SUM(
  SUMIFS(
    'Resource Summary'!$J:$J,
    'Resource Summary'!$B:$B,zones_to_group,
    'Resource Summary'!$A:$A,TRANSPOSE(_xlfn._xlws.FILTER('Results Grouping'!$G$9:$G$322,('Results Grouping'!$H$9:$H$322=$E$115) * ('Results Grouping'!$I$9:$I$322=$D128),0)),
    'Resource Summary'!$C:$C,K$60
  )
)</f>
        <v>0</v>
      </c>
      <c r="L128" s="14" cm="1">
        <f t="array" ref="L128">0.001 * SUM(
  SUMIFS(
    'Resource Summary'!$J:$J,
    'Resource Summary'!$B:$B,zones_to_group,
    'Resource Summary'!$A:$A,TRANSPOSE(_xlfn._xlws.FILTER('Results Grouping'!$G$9:$G$322,('Results Grouping'!$H$9:$H$322=$E$115) * ('Results Grouping'!$I$9:$I$322=$D128),0)),
    'Resource Summary'!$C:$C,L$60
  )
)</f>
        <v>0</v>
      </c>
      <c r="M128" s="14" cm="1">
        <f t="array" ref="M128">0.001 * SUM(
  SUMIFS(
    'Resource Summary'!$J:$J,
    'Resource Summary'!$B:$B,zones_to_group,
    'Resource Summary'!$A:$A,TRANSPOSE(_xlfn._xlws.FILTER('Results Grouping'!$G$9:$G$322,('Results Grouping'!$H$9:$H$322=$E$115) * ('Results Grouping'!$I$9:$I$322=$D128),0)),
    'Resource Summary'!$C:$C,M$60
  )
)</f>
        <v>0</v>
      </c>
      <c r="N128" s="14" cm="1">
        <f t="array" ref="N128">0.001 * SUM(
  SUMIFS(
    'Resource Summary'!$J:$J,
    'Resource Summary'!$B:$B,zones_to_group,
    'Resource Summary'!$A:$A,TRANSPOSE(_xlfn._xlws.FILTER('Results Grouping'!$G$9:$G$322,('Results Grouping'!$H$9:$H$322=$E$115) * ('Results Grouping'!$I$9:$I$322=$D128),0)),
    'Resource Summary'!$C:$C,N$60
  )
)</f>
        <v>0</v>
      </c>
      <c r="O128" s="14" cm="1">
        <f t="array" ref="O128">0.001 * SUM(
  SUMIFS(
    'Resource Summary'!$J:$J,
    'Resource Summary'!$B:$B,zones_to_group,
    'Resource Summary'!$A:$A,TRANSPOSE(_xlfn._xlws.FILTER('Results Grouping'!$G$9:$G$322,('Results Grouping'!$H$9:$H$322=$E$115) * ('Results Grouping'!$I$9:$I$322=$D128),0)),
    'Resource Summary'!$C:$C,O$60
  )
)</f>
        <v>0</v>
      </c>
      <c r="P128" s="14" cm="1">
        <f t="array" ref="P128">0.001 * SUM(
  SUMIFS(
    'Resource Summary'!$J:$J,
    'Resource Summary'!$B:$B,zones_to_group,
    'Resource Summary'!$A:$A,TRANSPOSE(_xlfn._xlws.FILTER('Results Grouping'!$G$9:$G$322,('Results Grouping'!$H$9:$H$322=$E$115) * ('Results Grouping'!$I$9:$I$322=$D128),0)),
    'Resource Summary'!$C:$C,P$60
  )
)</f>
        <v>0</v>
      </c>
      <c r="Q128" s="14" cm="1">
        <f t="array" ref="Q128">0.001 * SUM(
  SUMIFS(
    'Resource Summary'!$J:$J,
    'Resource Summary'!$B:$B,zones_to_group,
    'Resource Summary'!$A:$A,TRANSPOSE(_xlfn._xlws.FILTER('Results Grouping'!$G$9:$G$322,('Results Grouping'!$H$9:$H$322=$E$115) * ('Results Grouping'!$I$9:$I$322=$D128),0)),
    'Resource Summary'!$C:$C,Q$60
  )
)</f>
        <v>0</v>
      </c>
      <c r="R128" s="14" cm="1">
        <f t="array" ref="R128">0.001 * SUM(
  SUMIFS(
    'Resource Summary'!$J:$J,
    'Resource Summary'!$B:$B,zones_to_group,
    'Resource Summary'!$A:$A,TRANSPOSE(_xlfn._xlws.FILTER('Results Grouping'!$G$9:$G$322,('Results Grouping'!$H$9:$H$322=$E$115) * ('Results Grouping'!$I$9:$I$322=$D128),0)),
    'Resource Summary'!$C:$C,R$60
  )
)</f>
        <v>0</v>
      </c>
      <c r="S128" s="14" cm="1">
        <f t="array" ref="S128">0.001 * SUM(
  SUMIFS(
    'Resource Summary'!$J:$J,
    'Resource Summary'!$B:$B,zones_to_group,
    'Resource Summary'!$A:$A,TRANSPOSE(_xlfn._xlws.FILTER('Results Grouping'!$G$9:$G$322,('Results Grouping'!$H$9:$H$322=$E$115) * ('Results Grouping'!$I$9:$I$322=$D128),0)),
    'Resource Summary'!$C:$C,S$60
  )
)</f>
        <v>0</v>
      </c>
      <c r="T128" s="14" cm="1">
        <f t="array" ref="T128">0.001 * SUM(
  SUMIFS(
    'Resource Summary'!$J:$J,
    'Resource Summary'!$B:$B,zones_to_group,
    'Resource Summary'!$A:$A,TRANSPOSE(_xlfn._xlws.FILTER('Results Grouping'!$G$9:$G$322,('Results Grouping'!$H$9:$H$322=$E$115) * ('Results Grouping'!$I$9:$I$322=$D128),0)),
    'Resource Summary'!$C:$C,T$60
  )
)</f>
        <v>0</v>
      </c>
      <c r="U128" s="14" cm="1">
        <f t="array" ref="U128">0.001 * SUM(
  SUMIFS(
    'Resource Summary'!$J:$J,
    'Resource Summary'!$B:$B,zones_to_group,
    'Resource Summary'!$A:$A,TRANSPOSE(_xlfn._xlws.FILTER('Results Grouping'!$G$9:$G$322,('Results Grouping'!$H$9:$H$322=$E$115) * ('Results Grouping'!$I$9:$I$322=$D128),0)),
    'Resource Summary'!$C:$C,U$60
  )
)</f>
        <v>0</v>
      </c>
      <c r="V128" s="14" cm="1">
        <f t="array" ref="V128">0.001 * SUM(
  SUMIFS(
    'Resource Summary'!$J:$J,
    'Resource Summary'!$B:$B,zones_to_group,
    'Resource Summary'!$A:$A,TRANSPOSE(_xlfn._xlws.FILTER('Results Grouping'!$G$9:$G$322,('Results Grouping'!$H$9:$H$322=$E$115) * ('Results Grouping'!$I$9:$I$322=$D128),0)),
    'Resource Summary'!$C:$C,V$60
  )
)</f>
        <v>0</v>
      </c>
      <c r="W128" s="14" cm="1">
        <f t="array" ref="W128">0.001 * SUM(
  SUMIFS(
    'Resource Summary'!$J:$J,
    'Resource Summary'!$B:$B,zones_to_group,
    'Resource Summary'!$A:$A,TRANSPOSE(_xlfn._xlws.FILTER('Results Grouping'!$G$9:$G$322,('Results Grouping'!$H$9:$H$322=$E$115) * ('Results Grouping'!$I$9:$I$322=$D128),0)),
    'Resource Summary'!$C:$C,W$60
  )
)</f>
        <v>0</v>
      </c>
      <c r="X128" s="14" cm="1">
        <f t="array" ref="X128">0.001 * SUM(
  SUMIFS(
    'Resource Summary'!$J:$J,
    'Resource Summary'!$B:$B,zones_to_group,
    'Resource Summary'!$A:$A,TRANSPOSE(_xlfn._xlws.FILTER('Results Grouping'!$G$9:$G$322,('Results Grouping'!$H$9:$H$322=$E$115) * ('Results Grouping'!$I$9:$I$322=$D128),0)),
    'Resource Summary'!$C:$C,X$60
  )
)</f>
        <v>0</v>
      </c>
      <c r="Y128" s="14" cm="1">
        <f t="array" ref="Y128">0.001 * SUM(
  SUMIFS(
    'Resource Summary'!$J:$J,
    'Resource Summary'!$B:$B,zones_to_group,
    'Resource Summary'!$A:$A,TRANSPOSE(_xlfn._xlws.FILTER('Results Grouping'!$G$9:$G$322,('Results Grouping'!$H$9:$H$322=$E$115) * ('Results Grouping'!$I$9:$I$322=$D128),0)),
    'Resource Summary'!$C:$C,Y$60
  )
)</f>
        <v>0</v>
      </c>
      <c r="Z128" s="14" cm="1">
        <f t="array" ref="Z128">0.001 * SUM(
  SUMIFS(
    'Resource Summary'!$J:$J,
    'Resource Summary'!$B:$B,zones_to_group,
    'Resource Summary'!$A:$A,TRANSPOSE(_xlfn._xlws.FILTER('Results Grouping'!$G$9:$G$322,('Results Grouping'!$H$9:$H$322=$E$115) * ('Results Grouping'!$I$9:$I$322=$D128),0)),
    'Resource Summary'!$C:$C,Z$60
  )
)</f>
        <v>0</v>
      </c>
      <c r="AA128" s="14" cm="1">
        <f t="array" ref="AA128">0.001 * SUM(
  SUMIFS(
    'Resource Summary'!$J:$J,
    'Resource Summary'!$B:$B,zones_to_group,
    'Resource Summary'!$A:$A,TRANSPOSE(_xlfn._xlws.FILTER('Results Grouping'!$G$9:$G$322,('Results Grouping'!$H$9:$H$322=$E$115) * ('Results Grouping'!$I$9:$I$322=$D128),0)),
    'Resource Summary'!$C:$C,AA$60
  )
)</f>
        <v>0</v>
      </c>
      <c r="AB128" s="14" cm="1">
        <f t="array" ref="AB128">0.001 * SUM(
  SUMIFS(
    'Resource Summary'!$J:$J,
    'Resource Summary'!$B:$B,zones_to_group,
    'Resource Summary'!$A:$A,TRANSPOSE(_xlfn._xlws.FILTER('Results Grouping'!$G$9:$G$322,('Results Grouping'!$H$9:$H$322=$E$115) * ('Results Grouping'!$I$9:$I$322=$D128),0)),
    'Resource Summary'!$C:$C,AB$60
  )
)</f>
        <v>0</v>
      </c>
      <c r="AC128" s="14" cm="1">
        <f t="array" ref="AC128">0.001 * SUM(
  SUMIFS(
    'Resource Summary'!$J:$J,
    'Resource Summary'!$B:$B,zones_to_group,
    'Resource Summary'!$A:$A,TRANSPOSE(_xlfn._xlws.FILTER('Results Grouping'!$G$9:$G$322,('Results Grouping'!$H$9:$H$322=$E$115) * ('Results Grouping'!$I$9:$I$322=$D128),0)),
    'Resource Summary'!$C:$C,AC$60
  )
)</f>
        <v>0</v>
      </c>
      <c r="AD128" s="14" cm="1">
        <f t="array" ref="AD128">0.001 * SUM(
  SUMIFS(
    'Resource Summary'!$J:$J,
    'Resource Summary'!$B:$B,zones_to_group,
    'Resource Summary'!$A:$A,TRANSPOSE(_xlfn._xlws.FILTER('Results Grouping'!$G$9:$G$322,('Results Grouping'!$H$9:$H$322=$E$115) * ('Results Grouping'!$I$9:$I$322=$D128),0)),
    'Resource Summary'!$C:$C,AD$60
  )
)</f>
        <v>276.89035001651655</v>
      </c>
      <c r="AH128" s="34" t="s">
        <v>422</v>
      </c>
    </row>
    <row r="129" spans="2:34" outlineLevel="2" x14ac:dyDescent="0.2">
      <c r="D129" s="8" t="s">
        <v>124</v>
      </c>
      <c r="E129" s="14" cm="1">
        <f t="array" ref="E129">0.001 * SUM(
  SUMIFS(
    'Resource Summary'!$J:$J,
    'Resource Summary'!$B:$B,zones_to_group,
    'Resource Summary'!$A:$A,TRANSPOSE(_xlfn._xlws.FILTER('Results Grouping'!$G$9:$G$322,('Results Grouping'!$H$9:$H$322=$E$115) * ('Results Grouping'!$I$9:$I$322=$D129),0)),
    'Resource Summary'!$C:$C,E$60
  )
)</f>
        <v>0</v>
      </c>
      <c r="F129" s="14" cm="1">
        <f t="array" ref="F129">0.001 * SUM(
  SUMIFS(
    'Resource Summary'!$J:$J,
    'Resource Summary'!$B:$B,zones_to_group,
    'Resource Summary'!$A:$A,TRANSPOSE(_xlfn._xlws.FILTER('Results Grouping'!$G$9:$G$322,('Results Grouping'!$H$9:$H$322=$E$115) * ('Results Grouping'!$I$9:$I$322=$D129),0)),
    'Resource Summary'!$C:$C,F$60
  )
)</f>
        <v>0</v>
      </c>
      <c r="G129" s="14" cm="1">
        <f t="array" ref="G129">0.001 * SUM(
  SUMIFS(
    'Resource Summary'!$J:$J,
    'Resource Summary'!$B:$B,zones_to_group,
    'Resource Summary'!$A:$A,TRANSPOSE(_xlfn._xlws.FILTER('Results Grouping'!$G$9:$G$322,('Results Grouping'!$H$9:$H$322=$E$115) * ('Results Grouping'!$I$9:$I$322=$D129),0)),
    'Resource Summary'!$C:$C,G$60
  )
)</f>
        <v>0</v>
      </c>
      <c r="H129" s="14" cm="1">
        <f t="array" ref="H129">0.001 * SUM(
  SUMIFS(
    'Resource Summary'!$J:$J,
    'Resource Summary'!$B:$B,zones_to_group,
    'Resource Summary'!$A:$A,TRANSPOSE(_xlfn._xlws.FILTER('Results Grouping'!$G$9:$G$322,('Results Grouping'!$H$9:$H$322=$E$115) * ('Results Grouping'!$I$9:$I$322=$D129),0)),
    'Resource Summary'!$C:$C,H$60
  )
)</f>
        <v>0</v>
      </c>
      <c r="I129" s="14" cm="1">
        <f t="array" ref="I129">0.001 * SUM(
  SUMIFS(
    'Resource Summary'!$J:$J,
    'Resource Summary'!$B:$B,zones_to_group,
    'Resource Summary'!$A:$A,TRANSPOSE(_xlfn._xlws.FILTER('Results Grouping'!$G$9:$G$322,('Results Grouping'!$H$9:$H$322=$E$115) * ('Results Grouping'!$I$9:$I$322=$D129),0)),
    'Resource Summary'!$C:$C,I$60
  )
)</f>
        <v>0</v>
      </c>
      <c r="J129" s="14" cm="1">
        <f t="array" ref="J129">0.001 * SUM(
  SUMIFS(
    'Resource Summary'!$J:$J,
    'Resource Summary'!$B:$B,zones_to_group,
    'Resource Summary'!$A:$A,TRANSPOSE(_xlfn._xlws.FILTER('Results Grouping'!$G$9:$G$322,('Results Grouping'!$H$9:$H$322=$E$115) * ('Results Grouping'!$I$9:$I$322=$D129),0)),
    'Resource Summary'!$C:$C,J$60
  )
)</f>
        <v>0</v>
      </c>
      <c r="K129" s="14" cm="1">
        <f t="array" ref="K129">0.001 * SUM(
  SUMIFS(
    'Resource Summary'!$J:$J,
    'Resource Summary'!$B:$B,zones_to_group,
    'Resource Summary'!$A:$A,TRANSPOSE(_xlfn._xlws.FILTER('Results Grouping'!$G$9:$G$322,('Results Grouping'!$H$9:$H$322=$E$115) * ('Results Grouping'!$I$9:$I$322=$D129),0)),
    'Resource Summary'!$C:$C,K$60
  )
)</f>
        <v>0</v>
      </c>
      <c r="L129" s="14" cm="1">
        <f t="array" ref="L129">0.001 * SUM(
  SUMIFS(
    'Resource Summary'!$J:$J,
    'Resource Summary'!$B:$B,zones_to_group,
    'Resource Summary'!$A:$A,TRANSPOSE(_xlfn._xlws.FILTER('Results Grouping'!$G$9:$G$322,('Results Grouping'!$H$9:$H$322=$E$115) * ('Results Grouping'!$I$9:$I$322=$D129),0)),
    'Resource Summary'!$C:$C,L$60
  )
)</f>
        <v>0</v>
      </c>
      <c r="M129" s="14" cm="1">
        <f t="array" ref="M129">0.001 * SUM(
  SUMIFS(
    'Resource Summary'!$J:$J,
    'Resource Summary'!$B:$B,zones_to_group,
    'Resource Summary'!$A:$A,TRANSPOSE(_xlfn._xlws.FILTER('Results Grouping'!$G$9:$G$322,('Results Grouping'!$H$9:$H$322=$E$115) * ('Results Grouping'!$I$9:$I$322=$D129),0)),
    'Resource Summary'!$C:$C,M$60
  )
)</f>
        <v>0</v>
      </c>
      <c r="N129" s="14" cm="1">
        <f t="array" ref="N129">0.001 * SUM(
  SUMIFS(
    'Resource Summary'!$J:$J,
    'Resource Summary'!$B:$B,zones_to_group,
    'Resource Summary'!$A:$A,TRANSPOSE(_xlfn._xlws.FILTER('Results Grouping'!$G$9:$G$322,('Results Grouping'!$H$9:$H$322=$E$115) * ('Results Grouping'!$I$9:$I$322=$D129),0)),
    'Resource Summary'!$C:$C,N$60
  )
)</f>
        <v>0</v>
      </c>
      <c r="O129" s="14" cm="1">
        <f t="array" ref="O129">0.001 * SUM(
  SUMIFS(
    'Resource Summary'!$J:$J,
    'Resource Summary'!$B:$B,zones_to_group,
    'Resource Summary'!$A:$A,TRANSPOSE(_xlfn._xlws.FILTER('Results Grouping'!$G$9:$G$322,('Results Grouping'!$H$9:$H$322=$E$115) * ('Results Grouping'!$I$9:$I$322=$D129),0)),
    'Resource Summary'!$C:$C,O$60
  )
)</f>
        <v>0</v>
      </c>
      <c r="P129" s="14" cm="1">
        <f t="array" ref="P129">0.001 * SUM(
  SUMIFS(
    'Resource Summary'!$J:$J,
    'Resource Summary'!$B:$B,zones_to_group,
    'Resource Summary'!$A:$A,TRANSPOSE(_xlfn._xlws.FILTER('Results Grouping'!$G$9:$G$322,('Results Grouping'!$H$9:$H$322=$E$115) * ('Results Grouping'!$I$9:$I$322=$D129),0)),
    'Resource Summary'!$C:$C,P$60
  )
)</f>
        <v>0</v>
      </c>
      <c r="Q129" s="14" cm="1">
        <f t="array" ref="Q129">0.001 * SUM(
  SUMIFS(
    'Resource Summary'!$J:$J,
    'Resource Summary'!$B:$B,zones_to_group,
    'Resource Summary'!$A:$A,TRANSPOSE(_xlfn._xlws.FILTER('Results Grouping'!$G$9:$G$322,('Results Grouping'!$H$9:$H$322=$E$115) * ('Results Grouping'!$I$9:$I$322=$D129),0)),
    'Resource Summary'!$C:$C,Q$60
  )
)</f>
        <v>0</v>
      </c>
      <c r="R129" s="14" cm="1">
        <f t="array" ref="R129">0.001 * SUM(
  SUMIFS(
    'Resource Summary'!$J:$J,
    'Resource Summary'!$B:$B,zones_to_group,
    'Resource Summary'!$A:$A,TRANSPOSE(_xlfn._xlws.FILTER('Results Grouping'!$G$9:$G$322,('Results Grouping'!$H$9:$H$322=$E$115) * ('Results Grouping'!$I$9:$I$322=$D129),0)),
    'Resource Summary'!$C:$C,R$60
  )
)</f>
        <v>0</v>
      </c>
      <c r="S129" s="14" cm="1">
        <f t="array" ref="S129">0.001 * SUM(
  SUMIFS(
    'Resource Summary'!$J:$J,
    'Resource Summary'!$B:$B,zones_to_group,
    'Resource Summary'!$A:$A,TRANSPOSE(_xlfn._xlws.FILTER('Results Grouping'!$G$9:$G$322,('Results Grouping'!$H$9:$H$322=$E$115) * ('Results Grouping'!$I$9:$I$322=$D129),0)),
    'Resource Summary'!$C:$C,S$60
  )
)</f>
        <v>0</v>
      </c>
      <c r="T129" s="14" cm="1">
        <f t="array" ref="T129">0.001 * SUM(
  SUMIFS(
    'Resource Summary'!$J:$J,
    'Resource Summary'!$B:$B,zones_to_group,
    'Resource Summary'!$A:$A,TRANSPOSE(_xlfn._xlws.FILTER('Results Grouping'!$G$9:$G$322,('Results Grouping'!$H$9:$H$322=$E$115) * ('Results Grouping'!$I$9:$I$322=$D129),0)),
    'Resource Summary'!$C:$C,T$60
  )
)</f>
        <v>0</v>
      </c>
      <c r="U129" s="14" cm="1">
        <f t="array" ref="U129">0.001 * SUM(
  SUMIFS(
    'Resource Summary'!$J:$J,
    'Resource Summary'!$B:$B,zones_to_group,
    'Resource Summary'!$A:$A,TRANSPOSE(_xlfn._xlws.FILTER('Results Grouping'!$G$9:$G$322,('Results Grouping'!$H$9:$H$322=$E$115) * ('Results Grouping'!$I$9:$I$322=$D129),0)),
    'Resource Summary'!$C:$C,U$60
  )
)</f>
        <v>0</v>
      </c>
      <c r="V129" s="14" cm="1">
        <f t="array" ref="V129">0.001 * SUM(
  SUMIFS(
    'Resource Summary'!$J:$J,
    'Resource Summary'!$B:$B,zones_to_group,
    'Resource Summary'!$A:$A,TRANSPOSE(_xlfn._xlws.FILTER('Results Grouping'!$G$9:$G$322,('Results Grouping'!$H$9:$H$322=$E$115) * ('Results Grouping'!$I$9:$I$322=$D129),0)),
    'Resource Summary'!$C:$C,V$60
  )
)</f>
        <v>0</v>
      </c>
      <c r="W129" s="14" cm="1">
        <f t="array" ref="W129">0.001 * SUM(
  SUMIFS(
    'Resource Summary'!$J:$J,
    'Resource Summary'!$B:$B,zones_to_group,
    'Resource Summary'!$A:$A,TRANSPOSE(_xlfn._xlws.FILTER('Results Grouping'!$G$9:$G$322,('Results Grouping'!$H$9:$H$322=$E$115) * ('Results Grouping'!$I$9:$I$322=$D129),0)),
    'Resource Summary'!$C:$C,W$60
  )
)</f>
        <v>0</v>
      </c>
      <c r="X129" s="14" cm="1">
        <f t="array" ref="X129">0.001 * SUM(
  SUMIFS(
    'Resource Summary'!$J:$J,
    'Resource Summary'!$B:$B,zones_to_group,
    'Resource Summary'!$A:$A,TRANSPOSE(_xlfn._xlws.FILTER('Results Grouping'!$G$9:$G$322,('Results Grouping'!$H$9:$H$322=$E$115) * ('Results Grouping'!$I$9:$I$322=$D129),0)),
    'Resource Summary'!$C:$C,X$60
  )
)</f>
        <v>0</v>
      </c>
      <c r="Y129" s="14" cm="1">
        <f t="array" ref="Y129">0.001 * SUM(
  SUMIFS(
    'Resource Summary'!$J:$J,
    'Resource Summary'!$B:$B,zones_to_group,
    'Resource Summary'!$A:$A,TRANSPOSE(_xlfn._xlws.FILTER('Results Grouping'!$G$9:$G$322,('Results Grouping'!$H$9:$H$322=$E$115) * ('Results Grouping'!$I$9:$I$322=$D129),0)),
    'Resource Summary'!$C:$C,Y$60
  )
)</f>
        <v>0</v>
      </c>
      <c r="Z129" s="14" cm="1">
        <f t="array" ref="Z129">0.001 * SUM(
  SUMIFS(
    'Resource Summary'!$J:$J,
    'Resource Summary'!$B:$B,zones_to_group,
    'Resource Summary'!$A:$A,TRANSPOSE(_xlfn._xlws.FILTER('Results Grouping'!$G$9:$G$322,('Results Grouping'!$H$9:$H$322=$E$115) * ('Results Grouping'!$I$9:$I$322=$D129),0)),
    'Resource Summary'!$C:$C,Z$60
  )
)</f>
        <v>0</v>
      </c>
      <c r="AA129" s="14" cm="1">
        <f t="array" ref="AA129">0.001 * SUM(
  SUMIFS(
    'Resource Summary'!$J:$J,
    'Resource Summary'!$B:$B,zones_to_group,
    'Resource Summary'!$A:$A,TRANSPOSE(_xlfn._xlws.FILTER('Results Grouping'!$G$9:$G$322,('Results Grouping'!$H$9:$H$322=$E$115) * ('Results Grouping'!$I$9:$I$322=$D129),0)),
    'Resource Summary'!$C:$C,AA$60
  )
)</f>
        <v>0</v>
      </c>
      <c r="AB129" s="14" cm="1">
        <f t="array" ref="AB129">0.001 * SUM(
  SUMIFS(
    'Resource Summary'!$J:$J,
    'Resource Summary'!$B:$B,zones_to_group,
    'Resource Summary'!$A:$A,TRANSPOSE(_xlfn._xlws.FILTER('Results Grouping'!$G$9:$G$322,('Results Grouping'!$H$9:$H$322=$E$115) * ('Results Grouping'!$I$9:$I$322=$D129),0)),
    'Resource Summary'!$C:$C,AB$60
  )
)</f>
        <v>0</v>
      </c>
      <c r="AC129" s="14" cm="1">
        <f t="array" ref="AC129">0.001 * SUM(
  SUMIFS(
    'Resource Summary'!$J:$J,
    'Resource Summary'!$B:$B,zones_to_group,
    'Resource Summary'!$A:$A,TRANSPOSE(_xlfn._xlws.FILTER('Results Grouping'!$G$9:$G$322,('Results Grouping'!$H$9:$H$322=$E$115) * ('Results Grouping'!$I$9:$I$322=$D129),0)),
    'Resource Summary'!$C:$C,AC$60
  )
)</f>
        <v>0</v>
      </c>
      <c r="AD129" s="14" cm="1">
        <f t="array" ref="AD129">0.001 * SUM(
  SUMIFS(
    'Resource Summary'!$J:$J,
    'Resource Summary'!$B:$B,zones_to_group,
    'Resource Summary'!$A:$A,TRANSPOSE(_xlfn._xlws.FILTER('Results Grouping'!$G$9:$G$322,('Results Grouping'!$H$9:$H$322=$E$115) * ('Results Grouping'!$I$9:$I$322=$D129),0)),
    'Resource Summary'!$C:$C,AD$60
  )
)</f>
        <v>7.9000000000000008E-3</v>
      </c>
      <c r="AH129" s="34" t="s">
        <v>422</v>
      </c>
    </row>
    <row r="130" spans="2:34" outlineLevel="2" x14ac:dyDescent="0.2">
      <c r="D130" s="8" t="s">
        <v>125</v>
      </c>
      <c r="E130" s="14" cm="1">
        <f t="array" ref="E130">0.001 * SUM(
  SUMIFS(
    'Resource Summary'!$J:$J,
    'Resource Summary'!$B:$B,zones_to_group,
    'Resource Summary'!$A:$A,TRANSPOSE(_xlfn._xlws.FILTER('Results Grouping'!$G$9:$G$322,('Results Grouping'!$H$9:$H$322=$E$115) * ('Results Grouping'!$I$9:$I$322=$D130),0)),
    'Resource Summary'!$C:$C,E$60
  )
)</f>
        <v>0</v>
      </c>
      <c r="F130" s="14" cm="1">
        <f t="array" ref="F130">0.001 * SUM(
  SUMIFS(
    'Resource Summary'!$J:$J,
    'Resource Summary'!$B:$B,zones_to_group,
    'Resource Summary'!$A:$A,TRANSPOSE(_xlfn._xlws.FILTER('Results Grouping'!$G$9:$G$322,('Results Grouping'!$H$9:$H$322=$E$115) * ('Results Grouping'!$I$9:$I$322=$D130),0)),
    'Resource Summary'!$C:$C,F$60
  )
)</f>
        <v>0</v>
      </c>
      <c r="G130" s="14" cm="1">
        <f t="array" ref="G130">0.001 * SUM(
  SUMIFS(
    'Resource Summary'!$J:$J,
    'Resource Summary'!$B:$B,zones_to_group,
    'Resource Summary'!$A:$A,TRANSPOSE(_xlfn._xlws.FILTER('Results Grouping'!$G$9:$G$322,('Results Grouping'!$H$9:$H$322=$E$115) * ('Results Grouping'!$I$9:$I$322=$D130),0)),
    'Resource Summary'!$C:$C,G$60
  )
)</f>
        <v>0</v>
      </c>
      <c r="H130" s="14" cm="1">
        <f t="array" ref="H130">0.001 * SUM(
  SUMIFS(
    'Resource Summary'!$J:$J,
    'Resource Summary'!$B:$B,zones_to_group,
    'Resource Summary'!$A:$A,TRANSPOSE(_xlfn._xlws.FILTER('Results Grouping'!$G$9:$G$322,('Results Grouping'!$H$9:$H$322=$E$115) * ('Results Grouping'!$I$9:$I$322=$D130),0)),
    'Resource Summary'!$C:$C,H$60
  )
)</f>
        <v>0</v>
      </c>
      <c r="I130" s="14" cm="1">
        <f t="array" ref="I130">0.001 * SUM(
  SUMIFS(
    'Resource Summary'!$J:$J,
    'Resource Summary'!$B:$B,zones_to_group,
    'Resource Summary'!$A:$A,TRANSPOSE(_xlfn._xlws.FILTER('Results Grouping'!$G$9:$G$322,('Results Grouping'!$H$9:$H$322=$E$115) * ('Results Grouping'!$I$9:$I$322=$D130),0)),
    'Resource Summary'!$C:$C,I$60
  )
)</f>
        <v>0</v>
      </c>
      <c r="J130" s="14" cm="1">
        <f t="array" ref="J130">0.001 * SUM(
  SUMIFS(
    'Resource Summary'!$J:$J,
    'Resource Summary'!$B:$B,zones_to_group,
    'Resource Summary'!$A:$A,TRANSPOSE(_xlfn._xlws.FILTER('Results Grouping'!$G$9:$G$322,('Results Grouping'!$H$9:$H$322=$E$115) * ('Results Grouping'!$I$9:$I$322=$D130),0)),
    'Resource Summary'!$C:$C,J$60
  )
)</f>
        <v>0</v>
      </c>
      <c r="K130" s="14" cm="1">
        <f t="array" ref="K130">0.001 * SUM(
  SUMIFS(
    'Resource Summary'!$J:$J,
    'Resource Summary'!$B:$B,zones_to_group,
    'Resource Summary'!$A:$A,TRANSPOSE(_xlfn._xlws.FILTER('Results Grouping'!$G$9:$G$322,('Results Grouping'!$H$9:$H$322=$E$115) * ('Results Grouping'!$I$9:$I$322=$D130),0)),
    'Resource Summary'!$C:$C,K$60
  )
)</f>
        <v>0</v>
      </c>
      <c r="L130" s="14" cm="1">
        <f t="array" ref="L130">0.001 * SUM(
  SUMIFS(
    'Resource Summary'!$J:$J,
    'Resource Summary'!$B:$B,zones_to_group,
    'Resource Summary'!$A:$A,TRANSPOSE(_xlfn._xlws.FILTER('Results Grouping'!$G$9:$G$322,('Results Grouping'!$H$9:$H$322=$E$115) * ('Results Grouping'!$I$9:$I$322=$D130),0)),
    'Resource Summary'!$C:$C,L$60
  )
)</f>
        <v>0</v>
      </c>
      <c r="M130" s="14" cm="1">
        <f t="array" ref="M130">0.001 * SUM(
  SUMIFS(
    'Resource Summary'!$J:$J,
    'Resource Summary'!$B:$B,zones_to_group,
    'Resource Summary'!$A:$A,TRANSPOSE(_xlfn._xlws.FILTER('Results Grouping'!$G$9:$G$322,('Results Grouping'!$H$9:$H$322=$E$115) * ('Results Grouping'!$I$9:$I$322=$D130),0)),
    'Resource Summary'!$C:$C,M$60
  )
)</f>
        <v>0</v>
      </c>
      <c r="N130" s="14" cm="1">
        <f t="array" ref="N130">0.001 * SUM(
  SUMIFS(
    'Resource Summary'!$J:$J,
    'Resource Summary'!$B:$B,zones_to_group,
    'Resource Summary'!$A:$A,TRANSPOSE(_xlfn._xlws.FILTER('Results Grouping'!$G$9:$G$322,('Results Grouping'!$H$9:$H$322=$E$115) * ('Results Grouping'!$I$9:$I$322=$D130),0)),
    'Resource Summary'!$C:$C,N$60
  )
)</f>
        <v>0</v>
      </c>
      <c r="O130" s="14" cm="1">
        <f t="array" ref="O130">0.001 * SUM(
  SUMIFS(
    'Resource Summary'!$J:$J,
    'Resource Summary'!$B:$B,zones_to_group,
    'Resource Summary'!$A:$A,TRANSPOSE(_xlfn._xlws.FILTER('Results Grouping'!$G$9:$G$322,('Results Grouping'!$H$9:$H$322=$E$115) * ('Results Grouping'!$I$9:$I$322=$D130),0)),
    'Resource Summary'!$C:$C,O$60
  )
)</f>
        <v>0</v>
      </c>
      <c r="P130" s="14" cm="1">
        <f t="array" ref="P130">0.001 * SUM(
  SUMIFS(
    'Resource Summary'!$J:$J,
    'Resource Summary'!$B:$B,zones_to_group,
    'Resource Summary'!$A:$A,TRANSPOSE(_xlfn._xlws.FILTER('Results Grouping'!$G$9:$G$322,('Results Grouping'!$H$9:$H$322=$E$115) * ('Results Grouping'!$I$9:$I$322=$D130),0)),
    'Resource Summary'!$C:$C,P$60
  )
)</f>
        <v>0</v>
      </c>
      <c r="Q130" s="14" cm="1">
        <f t="array" ref="Q130">0.001 * SUM(
  SUMIFS(
    'Resource Summary'!$J:$J,
    'Resource Summary'!$B:$B,zones_to_group,
    'Resource Summary'!$A:$A,TRANSPOSE(_xlfn._xlws.FILTER('Results Grouping'!$G$9:$G$322,('Results Grouping'!$H$9:$H$322=$E$115) * ('Results Grouping'!$I$9:$I$322=$D130),0)),
    'Resource Summary'!$C:$C,Q$60
  )
)</f>
        <v>0</v>
      </c>
      <c r="R130" s="14" cm="1">
        <f t="array" ref="R130">0.001 * SUM(
  SUMIFS(
    'Resource Summary'!$J:$J,
    'Resource Summary'!$B:$B,zones_to_group,
    'Resource Summary'!$A:$A,TRANSPOSE(_xlfn._xlws.FILTER('Results Grouping'!$G$9:$G$322,('Results Grouping'!$H$9:$H$322=$E$115) * ('Results Grouping'!$I$9:$I$322=$D130),0)),
    'Resource Summary'!$C:$C,R$60
  )
)</f>
        <v>0</v>
      </c>
      <c r="S130" s="14" cm="1">
        <f t="array" ref="S130">0.001 * SUM(
  SUMIFS(
    'Resource Summary'!$J:$J,
    'Resource Summary'!$B:$B,zones_to_group,
    'Resource Summary'!$A:$A,TRANSPOSE(_xlfn._xlws.FILTER('Results Grouping'!$G$9:$G$322,('Results Grouping'!$H$9:$H$322=$E$115) * ('Results Grouping'!$I$9:$I$322=$D130),0)),
    'Resource Summary'!$C:$C,S$60
  )
)</f>
        <v>0</v>
      </c>
      <c r="T130" s="14" cm="1">
        <f t="array" ref="T130">0.001 * SUM(
  SUMIFS(
    'Resource Summary'!$J:$J,
    'Resource Summary'!$B:$B,zones_to_group,
    'Resource Summary'!$A:$A,TRANSPOSE(_xlfn._xlws.FILTER('Results Grouping'!$G$9:$G$322,('Results Grouping'!$H$9:$H$322=$E$115) * ('Results Grouping'!$I$9:$I$322=$D130),0)),
    'Resource Summary'!$C:$C,T$60
  )
)</f>
        <v>0</v>
      </c>
      <c r="U130" s="14" cm="1">
        <f t="array" ref="U130">0.001 * SUM(
  SUMIFS(
    'Resource Summary'!$J:$J,
    'Resource Summary'!$B:$B,zones_to_group,
    'Resource Summary'!$A:$A,TRANSPOSE(_xlfn._xlws.FILTER('Results Grouping'!$G$9:$G$322,('Results Grouping'!$H$9:$H$322=$E$115) * ('Results Grouping'!$I$9:$I$322=$D130),0)),
    'Resource Summary'!$C:$C,U$60
  )
)</f>
        <v>0</v>
      </c>
      <c r="V130" s="14" cm="1">
        <f t="array" ref="V130">0.001 * SUM(
  SUMIFS(
    'Resource Summary'!$J:$J,
    'Resource Summary'!$B:$B,zones_to_group,
    'Resource Summary'!$A:$A,TRANSPOSE(_xlfn._xlws.FILTER('Results Grouping'!$G$9:$G$322,('Results Grouping'!$H$9:$H$322=$E$115) * ('Results Grouping'!$I$9:$I$322=$D130),0)),
    'Resource Summary'!$C:$C,V$60
  )
)</f>
        <v>0</v>
      </c>
      <c r="W130" s="14" cm="1">
        <f t="array" ref="W130">0.001 * SUM(
  SUMIFS(
    'Resource Summary'!$J:$J,
    'Resource Summary'!$B:$B,zones_to_group,
    'Resource Summary'!$A:$A,TRANSPOSE(_xlfn._xlws.FILTER('Results Grouping'!$G$9:$G$322,('Results Grouping'!$H$9:$H$322=$E$115) * ('Results Grouping'!$I$9:$I$322=$D130),0)),
    'Resource Summary'!$C:$C,W$60
  )
)</f>
        <v>0</v>
      </c>
      <c r="X130" s="14" cm="1">
        <f t="array" ref="X130">0.001 * SUM(
  SUMIFS(
    'Resource Summary'!$J:$J,
    'Resource Summary'!$B:$B,zones_to_group,
    'Resource Summary'!$A:$A,TRANSPOSE(_xlfn._xlws.FILTER('Results Grouping'!$G$9:$G$322,('Results Grouping'!$H$9:$H$322=$E$115) * ('Results Grouping'!$I$9:$I$322=$D130),0)),
    'Resource Summary'!$C:$C,X$60
  )
)</f>
        <v>0</v>
      </c>
      <c r="Y130" s="14" cm="1">
        <f t="array" ref="Y130">0.001 * SUM(
  SUMIFS(
    'Resource Summary'!$J:$J,
    'Resource Summary'!$B:$B,zones_to_group,
    'Resource Summary'!$A:$A,TRANSPOSE(_xlfn._xlws.FILTER('Results Grouping'!$G$9:$G$322,('Results Grouping'!$H$9:$H$322=$E$115) * ('Results Grouping'!$I$9:$I$322=$D130),0)),
    'Resource Summary'!$C:$C,Y$60
  )
)</f>
        <v>0</v>
      </c>
      <c r="Z130" s="14" cm="1">
        <f t="array" ref="Z130">0.001 * SUM(
  SUMIFS(
    'Resource Summary'!$J:$J,
    'Resource Summary'!$B:$B,zones_to_group,
    'Resource Summary'!$A:$A,TRANSPOSE(_xlfn._xlws.FILTER('Results Grouping'!$G$9:$G$322,('Results Grouping'!$H$9:$H$322=$E$115) * ('Results Grouping'!$I$9:$I$322=$D130),0)),
    'Resource Summary'!$C:$C,Z$60
  )
)</f>
        <v>0</v>
      </c>
      <c r="AA130" s="14" cm="1">
        <f t="array" ref="AA130">0.001 * SUM(
  SUMIFS(
    'Resource Summary'!$J:$J,
    'Resource Summary'!$B:$B,zones_to_group,
    'Resource Summary'!$A:$A,TRANSPOSE(_xlfn._xlws.FILTER('Results Grouping'!$G$9:$G$322,('Results Grouping'!$H$9:$H$322=$E$115) * ('Results Grouping'!$I$9:$I$322=$D130),0)),
    'Resource Summary'!$C:$C,AA$60
  )
)</f>
        <v>0</v>
      </c>
      <c r="AB130" s="14" cm="1">
        <f t="array" ref="AB130">0.001 * SUM(
  SUMIFS(
    'Resource Summary'!$J:$J,
    'Resource Summary'!$B:$B,zones_to_group,
    'Resource Summary'!$A:$A,TRANSPOSE(_xlfn._xlws.FILTER('Results Grouping'!$G$9:$G$322,('Results Grouping'!$H$9:$H$322=$E$115) * ('Results Grouping'!$I$9:$I$322=$D130),0)),
    'Resource Summary'!$C:$C,AB$60
  )
)</f>
        <v>0</v>
      </c>
      <c r="AC130" s="14" cm="1">
        <f t="array" ref="AC130">0.001 * SUM(
  SUMIFS(
    'Resource Summary'!$J:$J,
    'Resource Summary'!$B:$B,zones_to_group,
    'Resource Summary'!$A:$A,TRANSPOSE(_xlfn._xlws.FILTER('Results Grouping'!$G$9:$G$322,('Results Grouping'!$H$9:$H$322=$E$115) * ('Results Grouping'!$I$9:$I$322=$D130),0)),
    'Resource Summary'!$C:$C,AC$60
  )
)</f>
        <v>0</v>
      </c>
      <c r="AD130" s="14" cm="1">
        <f t="array" ref="AD130">0.001 * SUM(
  SUMIFS(
    'Resource Summary'!$J:$J,
    'Resource Summary'!$B:$B,zones_to_group,
    'Resource Summary'!$A:$A,TRANSPOSE(_xlfn._xlws.FILTER('Results Grouping'!$G$9:$G$322,('Results Grouping'!$H$9:$H$322=$E$115) * ('Results Grouping'!$I$9:$I$322=$D130),0)),
    'Resource Summary'!$C:$C,AD$60
  )
)</f>
        <v>0</v>
      </c>
      <c r="AH130" s="34" t="s">
        <v>422</v>
      </c>
    </row>
    <row r="131" spans="2:34" ht="12.6" outlineLevel="2" thickBot="1" x14ac:dyDescent="0.25">
      <c r="D131" s="9" t="s">
        <v>139</v>
      </c>
      <c r="E131" s="13">
        <f>SUM(E127:E130)</f>
        <v>0</v>
      </c>
      <c r="F131" s="13">
        <f t="shared" ref="F131" si="112">SUM(F127:F130)</f>
        <v>0</v>
      </c>
      <c r="G131" s="13">
        <f t="shared" ref="G131" si="113">SUM(G127:G130)</f>
        <v>0</v>
      </c>
      <c r="H131" s="13">
        <f t="shared" ref="H131" si="114">SUM(H127:H130)</f>
        <v>0</v>
      </c>
      <c r="I131" s="13">
        <f t="shared" ref="I131" si="115">SUM(I127:I130)</f>
        <v>0</v>
      </c>
      <c r="J131" s="13">
        <f t="shared" ref="J131" si="116">SUM(J127:J130)</f>
        <v>0</v>
      </c>
      <c r="K131" s="13">
        <f t="shared" ref="K131" si="117">SUM(K127:K130)</f>
        <v>0</v>
      </c>
      <c r="L131" s="13">
        <f t="shared" ref="L131" si="118">SUM(L127:L130)</f>
        <v>0</v>
      </c>
      <c r="M131" s="13">
        <f t="shared" ref="M131" si="119">SUM(M127:M130)</f>
        <v>0</v>
      </c>
      <c r="N131" s="13">
        <f t="shared" ref="N131" si="120">SUM(N127:N130)</f>
        <v>0</v>
      </c>
      <c r="O131" s="13">
        <f t="shared" ref="O131" si="121">SUM(O127:O130)</f>
        <v>0</v>
      </c>
      <c r="P131" s="13">
        <f t="shared" ref="P131" si="122">SUM(P127:P130)</f>
        <v>0</v>
      </c>
      <c r="Q131" s="13">
        <f t="shared" ref="Q131" si="123">SUM(Q127:Q130)</f>
        <v>0</v>
      </c>
      <c r="R131" s="13">
        <f t="shared" ref="R131" si="124">SUM(R127:R130)</f>
        <v>0</v>
      </c>
      <c r="S131" s="13">
        <f t="shared" ref="S131" si="125">SUM(S127:S130)</f>
        <v>0</v>
      </c>
      <c r="T131" s="13">
        <f t="shared" ref="T131" si="126">SUM(T127:T130)</f>
        <v>0</v>
      </c>
      <c r="U131" s="13">
        <f t="shared" ref="U131" si="127">SUM(U127:U130)</f>
        <v>0</v>
      </c>
      <c r="V131" s="13">
        <f t="shared" ref="V131" si="128">SUM(V127:V130)</f>
        <v>0</v>
      </c>
      <c r="W131" s="13">
        <f t="shared" ref="W131" si="129">SUM(W127:W130)</f>
        <v>0</v>
      </c>
      <c r="X131" s="13">
        <f t="shared" ref="X131" si="130">SUM(X127:X130)</f>
        <v>0</v>
      </c>
      <c r="Y131" s="13">
        <f t="shared" ref="Y131" si="131">SUM(Y127:Y130)</f>
        <v>0</v>
      </c>
      <c r="Z131" s="13">
        <f t="shared" ref="Z131" si="132">SUM(Z127:Z130)</f>
        <v>0</v>
      </c>
      <c r="AA131" s="13">
        <f t="shared" ref="AA131" si="133">SUM(AA127:AA130)</f>
        <v>0</v>
      </c>
      <c r="AB131" s="13">
        <f t="shared" ref="AB131" si="134">SUM(AB127:AB130)</f>
        <v>0</v>
      </c>
      <c r="AC131" s="13">
        <f t="shared" ref="AC131" si="135">SUM(AC127:AC130)</f>
        <v>0</v>
      </c>
      <c r="AD131" s="13">
        <f t="shared" ref="AD131" si="136">SUM(AD127:AD130)</f>
        <v>276.89825001651656</v>
      </c>
      <c r="AH131" s="34" t="s">
        <v>422</v>
      </c>
    </row>
    <row r="132" spans="2:34" ht="12" outlineLevel="2" thickTop="1" x14ac:dyDescent="0.2">
      <c r="AH132" s="34" t="s">
        <v>422</v>
      </c>
    </row>
    <row r="133" spans="2:34" ht="13.2" outlineLevel="1" x14ac:dyDescent="0.2">
      <c r="E133" s="2" t="s">
        <v>158</v>
      </c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H133" s="34" t="s">
        <v>422</v>
      </c>
    </row>
    <row r="134" spans="2:34" outlineLevel="1" x14ac:dyDescent="0.2">
      <c r="E134" s="7">
        <v>43831</v>
      </c>
      <c r="F134" s="7">
        <f>EDATE(E134,12)</f>
        <v>44197</v>
      </c>
      <c r="G134" s="7">
        <f t="shared" ref="G134:AC134" si="137">EDATE(F134,12)</f>
        <v>44562</v>
      </c>
      <c r="H134" s="7">
        <f t="shared" si="137"/>
        <v>44927</v>
      </c>
      <c r="I134" s="7">
        <f t="shared" si="137"/>
        <v>45292</v>
      </c>
      <c r="J134" s="7">
        <f t="shared" si="137"/>
        <v>45658</v>
      </c>
      <c r="K134" s="7">
        <f t="shared" si="137"/>
        <v>46023</v>
      </c>
      <c r="L134" s="7">
        <f t="shared" si="137"/>
        <v>46388</v>
      </c>
      <c r="M134" s="7">
        <f t="shared" si="137"/>
        <v>46753</v>
      </c>
      <c r="N134" s="7">
        <f t="shared" si="137"/>
        <v>47119</v>
      </c>
      <c r="O134" s="7">
        <f t="shared" si="137"/>
        <v>47484</v>
      </c>
      <c r="P134" s="7">
        <f t="shared" si="137"/>
        <v>47849</v>
      </c>
      <c r="Q134" s="7">
        <f t="shared" si="137"/>
        <v>48214</v>
      </c>
      <c r="R134" s="7">
        <f t="shared" si="137"/>
        <v>48580</v>
      </c>
      <c r="S134" s="7">
        <f t="shared" si="137"/>
        <v>48945</v>
      </c>
      <c r="T134" s="7">
        <f t="shared" si="137"/>
        <v>49310</v>
      </c>
      <c r="U134" s="7">
        <f t="shared" si="137"/>
        <v>49675</v>
      </c>
      <c r="V134" s="7">
        <f t="shared" si="137"/>
        <v>50041</v>
      </c>
      <c r="W134" s="7">
        <f t="shared" si="137"/>
        <v>50406</v>
      </c>
      <c r="X134" s="7">
        <f t="shared" si="137"/>
        <v>50771</v>
      </c>
      <c r="Y134" s="7">
        <f t="shared" si="137"/>
        <v>51136</v>
      </c>
      <c r="Z134" s="7">
        <f t="shared" si="137"/>
        <v>51502</v>
      </c>
      <c r="AA134" s="7">
        <f t="shared" si="137"/>
        <v>51867</v>
      </c>
      <c r="AB134" s="7">
        <f t="shared" si="137"/>
        <v>52232</v>
      </c>
      <c r="AC134" s="7">
        <f t="shared" si="137"/>
        <v>52597</v>
      </c>
      <c r="AD134" s="7">
        <f>EDATE(AC134,12)</f>
        <v>52963</v>
      </c>
      <c r="AH134" s="34" t="s">
        <v>422</v>
      </c>
    </row>
    <row r="135" spans="2:34" outlineLevel="1" x14ac:dyDescent="0.2">
      <c r="D135" s="8" t="s">
        <v>152</v>
      </c>
      <c r="E135" s="14">
        <f t="shared" ref="E135:AD135" si="138">IFERROR(E127/E119,0)</f>
        <v>0</v>
      </c>
      <c r="F135" s="14">
        <f t="shared" si="138"/>
        <v>0</v>
      </c>
      <c r="G135" s="14">
        <f t="shared" si="138"/>
        <v>0</v>
      </c>
      <c r="H135" s="14">
        <f t="shared" si="138"/>
        <v>0</v>
      </c>
      <c r="I135" s="14">
        <f t="shared" si="138"/>
        <v>0</v>
      </c>
      <c r="J135" s="14">
        <f t="shared" si="138"/>
        <v>0</v>
      </c>
      <c r="K135" s="14">
        <f t="shared" si="138"/>
        <v>0</v>
      </c>
      <c r="L135" s="14">
        <f t="shared" si="138"/>
        <v>0</v>
      </c>
      <c r="M135" s="14">
        <f t="shared" si="138"/>
        <v>0</v>
      </c>
      <c r="N135" s="14">
        <f t="shared" si="138"/>
        <v>0</v>
      </c>
      <c r="O135" s="14">
        <f t="shared" si="138"/>
        <v>0</v>
      </c>
      <c r="P135" s="14">
        <f t="shared" si="138"/>
        <v>0</v>
      </c>
      <c r="Q135" s="14">
        <f t="shared" si="138"/>
        <v>0</v>
      </c>
      <c r="R135" s="14">
        <f t="shared" si="138"/>
        <v>0</v>
      </c>
      <c r="S135" s="14">
        <f t="shared" si="138"/>
        <v>0</v>
      </c>
      <c r="T135" s="14">
        <f t="shared" si="138"/>
        <v>0</v>
      </c>
      <c r="U135" s="14">
        <f t="shared" si="138"/>
        <v>0</v>
      </c>
      <c r="V135" s="14">
        <f t="shared" si="138"/>
        <v>0</v>
      </c>
      <c r="W135" s="14">
        <f t="shared" si="138"/>
        <v>0</v>
      </c>
      <c r="X135" s="14">
        <f t="shared" si="138"/>
        <v>0</v>
      </c>
      <c r="Y135" s="14">
        <f t="shared" si="138"/>
        <v>0</v>
      </c>
      <c r="Z135" s="14">
        <f t="shared" si="138"/>
        <v>0</v>
      </c>
      <c r="AA135" s="14">
        <f t="shared" si="138"/>
        <v>0</v>
      </c>
      <c r="AB135" s="14">
        <f t="shared" si="138"/>
        <v>0</v>
      </c>
      <c r="AC135" s="14">
        <f t="shared" si="138"/>
        <v>0</v>
      </c>
      <c r="AD135" s="14">
        <f t="shared" si="138"/>
        <v>0</v>
      </c>
      <c r="AH135" s="34" t="s">
        <v>422</v>
      </c>
    </row>
    <row r="136" spans="2:34" outlineLevel="1" x14ac:dyDescent="0.2">
      <c r="D136" s="8" t="s">
        <v>157</v>
      </c>
      <c r="E136" s="14">
        <f t="shared" ref="E136:AD136" si="139">IFERROR(E128/E120,0)</f>
        <v>0</v>
      </c>
      <c r="F136" s="14">
        <f t="shared" si="139"/>
        <v>0</v>
      </c>
      <c r="G136" s="14">
        <f t="shared" si="139"/>
        <v>0</v>
      </c>
      <c r="H136" s="14">
        <f t="shared" si="139"/>
        <v>0</v>
      </c>
      <c r="I136" s="14">
        <f t="shared" si="139"/>
        <v>0</v>
      </c>
      <c r="J136" s="14">
        <f t="shared" si="139"/>
        <v>0</v>
      </c>
      <c r="K136" s="14">
        <f t="shared" si="139"/>
        <v>0</v>
      </c>
      <c r="L136" s="14">
        <f t="shared" si="139"/>
        <v>0</v>
      </c>
      <c r="M136" s="14">
        <f t="shared" si="139"/>
        <v>0</v>
      </c>
      <c r="N136" s="14">
        <f t="shared" si="139"/>
        <v>0</v>
      </c>
      <c r="O136" s="14">
        <f t="shared" si="139"/>
        <v>0</v>
      </c>
      <c r="P136" s="14">
        <f t="shared" si="139"/>
        <v>0</v>
      </c>
      <c r="Q136" s="14">
        <f t="shared" si="139"/>
        <v>0</v>
      </c>
      <c r="R136" s="14">
        <f t="shared" si="139"/>
        <v>0</v>
      </c>
      <c r="S136" s="14">
        <f t="shared" si="139"/>
        <v>0</v>
      </c>
      <c r="T136" s="14">
        <f t="shared" si="139"/>
        <v>0</v>
      </c>
      <c r="U136" s="14">
        <f t="shared" si="139"/>
        <v>0</v>
      </c>
      <c r="V136" s="14">
        <f t="shared" si="139"/>
        <v>0</v>
      </c>
      <c r="W136" s="14">
        <f t="shared" si="139"/>
        <v>0</v>
      </c>
      <c r="X136" s="14">
        <f t="shared" si="139"/>
        <v>0</v>
      </c>
      <c r="Y136" s="14">
        <f t="shared" si="139"/>
        <v>0</v>
      </c>
      <c r="Z136" s="14">
        <f t="shared" si="139"/>
        <v>0</v>
      </c>
      <c r="AA136" s="14">
        <f t="shared" si="139"/>
        <v>0</v>
      </c>
      <c r="AB136" s="14">
        <f t="shared" si="139"/>
        <v>0</v>
      </c>
      <c r="AC136" s="14">
        <f t="shared" si="139"/>
        <v>0</v>
      </c>
      <c r="AD136" s="14">
        <f t="shared" si="139"/>
        <v>7.2374559940375258</v>
      </c>
      <c r="AH136" s="34" t="s">
        <v>422</v>
      </c>
    </row>
    <row r="137" spans="2:34" outlineLevel="1" x14ac:dyDescent="0.2">
      <c r="D137" s="8" t="s">
        <v>124</v>
      </c>
      <c r="E137" s="14">
        <f t="shared" ref="E137:AD137" si="140">IFERROR(E129/E121,0)</f>
        <v>0</v>
      </c>
      <c r="F137" s="14">
        <f t="shared" si="140"/>
        <v>0</v>
      </c>
      <c r="G137" s="14">
        <f t="shared" si="140"/>
        <v>0</v>
      </c>
      <c r="H137" s="14">
        <f t="shared" si="140"/>
        <v>0</v>
      </c>
      <c r="I137" s="14">
        <f t="shared" si="140"/>
        <v>0</v>
      </c>
      <c r="J137" s="14">
        <f t="shared" si="140"/>
        <v>0</v>
      </c>
      <c r="K137" s="14">
        <f t="shared" si="140"/>
        <v>0</v>
      </c>
      <c r="L137" s="14">
        <f t="shared" si="140"/>
        <v>0</v>
      </c>
      <c r="M137" s="14">
        <f t="shared" si="140"/>
        <v>0</v>
      </c>
      <c r="N137" s="14">
        <f t="shared" si="140"/>
        <v>0</v>
      </c>
      <c r="O137" s="14">
        <f t="shared" si="140"/>
        <v>0</v>
      </c>
      <c r="P137" s="14">
        <f t="shared" si="140"/>
        <v>0</v>
      </c>
      <c r="Q137" s="14">
        <f t="shared" si="140"/>
        <v>0</v>
      </c>
      <c r="R137" s="14">
        <f t="shared" si="140"/>
        <v>0</v>
      </c>
      <c r="S137" s="14">
        <f t="shared" si="140"/>
        <v>0</v>
      </c>
      <c r="T137" s="14">
        <f t="shared" si="140"/>
        <v>0</v>
      </c>
      <c r="U137" s="14">
        <f t="shared" si="140"/>
        <v>0</v>
      </c>
      <c r="V137" s="14">
        <f t="shared" si="140"/>
        <v>0</v>
      </c>
      <c r="W137" s="14">
        <f t="shared" si="140"/>
        <v>0</v>
      </c>
      <c r="X137" s="14">
        <f t="shared" si="140"/>
        <v>0</v>
      </c>
      <c r="Y137" s="14">
        <f t="shared" si="140"/>
        <v>0</v>
      </c>
      <c r="Z137" s="14">
        <f t="shared" si="140"/>
        <v>0</v>
      </c>
      <c r="AA137" s="14">
        <f t="shared" si="140"/>
        <v>0</v>
      </c>
      <c r="AB137" s="14">
        <f t="shared" si="140"/>
        <v>0</v>
      </c>
      <c r="AC137" s="14">
        <f t="shared" si="140"/>
        <v>0</v>
      </c>
      <c r="AD137" s="14">
        <f t="shared" si="140"/>
        <v>1</v>
      </c>
      <c r="AH137" s="34" t="s">
        <v>422</v>
      </c>
    </row>
    <row r="138" spans="2:34" outlineLevel="1" x14ac:dyDescent="0.2">
      <c r="D138" s="8" t="s">
        <v>125</v>
      </c>
      <c r="E138" s="14">
        <f t="shared" ref="E138:AD138" si="141">IFERROR(E130/E122,0)</f>
        <v>0</v>
      </c>
      <c r="F138" s="14">
        <f t="shared" si="141"/>
        <v>0</v>
      </c>
      <c r="G138" s="14">
        <f t="shared" si="141"/>
        <v>0</v>
      </c>
      <c r="H138" s="14">
        <f t="shared" si="141"/>
        <v>0</v>
      </c>
      <c r="I138" s="14">
        <f t="shared" si="141"/>
        <v>0</v>
      </c>
      <c r="J138" s="14">
        <f t="shared" si="141"/>
        <v>0</v>
      </c>
      <c r="K138" s="14">
        <f t="shared" si="141"/>
        <v>0</v>
      </c>
      <c r="L138" s="14">
        <f t="shared" si="141"/>
        <v>0</v>
      </c>
      <c r="M138" s="14">
        <f t="shared" si="141"/>
        <v>0</v>
      </c>
      <c r="N138" s="14">
        <f t="shared" si="141"/>
        <v>0</v>
      </c>
      <c r="O138" s="14">
        <f t="shared" si="141"/>
        <v>0</v>
      </c>
      <c r="P138" s="14">
        <f t="shared" si="141"/>
        <v>0</v>
      </c>
      <c r="Q138" s="14">
        <f t="shared" si="141"/>
        <v>0</v>
      </c>
      <c r="R138" s="14">
        <f t="shared" si="141"/>
        <v>0</v>
      </c>
      <c r="S138" s="14">
        <f t="shared" si="141"/>
        <v>0</v>
      </c>
      <c r="T138" s="14">
        <f t="shared" si="141"/>
        <v>0</v>
      </c>
      <c r="U138" s="14">
        <f t="shared" si="141"/>
        <v>0</v>
      </c>
      <c r="V138" s="14">
        <f t="shared" si="141"/>
        <v>0</v>
      </c>
      <c r="W138" s="14">
        <f t="shared" si="141"/>
        <v>0</v>
      </c>
      <c r="X138" s="14">
        <f t="shared" si="141"/>
        <v>0</v>
      </c>
      <c r="Y138" s="14">
        <f t="shared" si="141"/>
        <v>0</v>
      </c>
      <c r="Z138" s="14">
        <f t="shared" si="141"/>
        <v>0</v>
      </c>
      <c r="AA138" s="14">
        <f t="shared" si="141"/>
        <v>0</v>
      </c>
      <c r="AB138" s="14">
        <f t="shared" si="141"/>
        <v>0</v>
      </c>
      <c r="AC138" s="14">
        <f t="shared" si="141"/>
        <v>0</v>
      </c>
      <c r="AD138" s="14">
        <f t="shared" si="141"/>
        <v>0</v>
      </c>
      <c r="AH138" s="34" t="s">
        <v>422</v>
      </c>
    </row>
    <row r="139" spans="2:34" ht="12.6" outlineLevel="1" thickBot="1" x14ac:dyDescent="0.25">
      <c r="D139" s="9" t="s">
        <v>160</v>
      </c>
      <c r="E139" s="13">
        <f t="shared" ref="E139:AD139" si="142">IFERROR(E131/E123,0)</f>
        <v>0</v>
      </c>
      <c r="F139" s="13">
        <f t="shared" si="142"/>
        <v>0</v>
      </c>
      <c r="G139" s="13">
        <f t="shared" si="142"/>
        <v>0</v>
      </c>
      <c r="H139" s="13">
        <f t="shared" si="142"/>
        <v>0</v>
      </c>
      <c r="I139" s="13">
        <f t="shared" si="142"/>
        <v>0</v>
      </c>
      <c r="J139" s="13">
        <f t="shared" si="142"/>
        <v>0</v>
      </c>
      <c r="K139" s="13">
        <f t="shared" si="142"/>
        <v>0</v>
      </c>
      <c r="L139" s="13">
        <f t="shared" si="142"/>
        <v>0</v>
      </c>
      <c r="M139" s="13">
        <f t="shared" si="142"/>
        <v>0</v>
      </c>
      <c r="N139" s="13">
        <f t="shared" si="142"/>
        <v>0</v>
      </c>
      <c r="O139" s="13">
        <f t="shared" si="142"/>
        <v>0</v>
      </c>
      <c r="P139" s="13">
        <f t="shared" si="142"/>
        <v>0</v>
      </c>
      <c r="Q139" s="13">
        <f t="shared" si="142"/>
        <v>0</v>
      </c>
      <c r="R139" s="13">
        <f t="shared" si="142"/>
        <v>0</v>
      </c>
      <c r="S139" s="13">
        <f t="shared" si="142"/>
        <v>0</v>
      </c>
      <c r="T139" s="13">
        <f t="shared" si="142"/>
        <v>0</v>
      </c>
      <c r="U139" s="13">
        <f t="shared" si="142"/>
        <v>0</v>
      </c>
      <c r="V139" s="13">
        <f t="shared" si="142"/>
        <v>0</v>
      </c>
      <c r="W139" s="13">
        <f t="shared" si="142"/>
        <v>0</v>
      </c>
      <c r="X139" s="13">
        <f t="shared" si="142"/>
        <v>0</v>
      </c>
      <c r="Y139" s="13">
        <f t="shared" si="142"/>
        <v>0</v>
      </c>
      <c r="Z139" s="13">
        <f t="shared" si="142"/>
        <v>0</v>
      </c>
      <c r="AA139" s="13">
        <f t="shared" si="142"/>
        <v>0</v>
      </c>
      <c r="AB139" s="13">
        <f t="shared" si="142"/>
        <v>0</v>
      </c>
      <c r="AC139" s="13">
        <f t="shared" si="142"/>
        <v>0</v>
      </c>
      <c r="AD139" s="13">
        <f t="shared" si="142"/>
        <v>7.2361682693190534</v>
      </c>
      <c r="AH139" s="34" t="s">
        <v>422</v>
      </c>
    </row>
    <row r="140" spans="2:34" ht="12" thickTop="1" x14ac:dyDescent="0.2">
      <c r="AH140" s="34"/>
    </row>
    <row r="141" spans="2:34" x14ac:dyDescent="0.2">
      <c r="AH141" s="34"/>
    </row>
    <row r="142" spans="2:34" ht="18" thickBot="1" x14ac:dyDescent="0.25">
      <c r="B142" s="6" t="s">
        <v>146</v>
      </c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H142" s="34"/>
    </row>
    <row r="143" spans="2:34" outlineLevel="1" x14ac:dyDescent="0.2">
      <c r="C143" s="15" t="s">
        <v>173</v>
      </c>
      <c r="D143" s="15" t="s">
        <v>131</v>
      </c>
      <c r="AH143" s="34"/>
    </row>
    <row r="144" spans="2:34" outlineLevel="1" x14ac:dyDescent="0.2">
      <c r="AH144" s="34"/>
    </row>
    <row r="145" spans="4:34" ht="13.2" outlineLevel="1" x14ac:dyDescent="0.2">
      <c r="E145" s="2" t="s">
        <v>154</v>
      </c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H145" s="34"/>
    </row>
    <row r="146" spans="4:34" outlineLevel="1" x14ac:dyDescent="0.2">
      <c r="E146" s="7">
        <v>43831</v>
      </c>
      <c r="F146" s="7">
        <f>EDATE(E146,12)</f>
        <v>44197</v>
      </c>
      <c r="G146" s="7">
        <f t="shared" ref="G146" si="143">EDATE(F146,12)</f>
        <v>44562</v>
      </c>
      <c r="H146" s="7">
        <f t="shared" ref="H146" si="144">EDATE(G146,12)</f>
        <v>44927</v>
      </c>
      <c r="I146" s="7">
        <f t="shared" ref="I146" si="145">EDATE(H146,12)</f>
        <v>45292</v>
      </c>
      <c r="J146" s="7">
        <f t="shared" ref="J146" si="146">EDATE(I146,12)</f>
        <v>45658</v>
      </c>
      <c r="K146" s="7">
        <f t="shared" ref="K146" si="147">EDATE(J146,12)</f>
        <v>46023</v>
      </c>
      <c r="L146" s="7">
        <f t="shared" ref="L146" si="148">EDATE(K146,12)</f>
        <v>46388</v>
      </c>
      <c r="M146" s="7">
        <f t="shared" ref="M146" si="149">EDATE(L146,12)</f>
        <v>46753</v>
      </c>
      <c r="N146" s="7">
        <f t="shared" ref="N146" si="150">EDATE(M146,12)</f>
        <v>47119</v>
      </c>
      <c r="O146" s="7">
        <f t="shared" ref="O146" si="151">EDATE(N146,12)</f>
        <v>47484</v>
      </c>
      <c r="P146" s="7">
        <f t="shared" ref="P146" si="152">EDATE(O146,12)</f>
        <v>47849</v>
      </c>
      <c r="Q146" s="7">
        <f t="shared" ref="Q146" si="153">EDATE(P146,12)</f>
        <v>48214</v>
      </c>
      <c r="R146" s="7">
        <f t="shared" ref="R146" si="154">EDATE(Q146,12)</f>
        <v>48580</v>
      </c>
      <c r="S146" s="7">
        <f t="shared" ref="S146" si="155">EDATE(R146,12)</f>
        <v>48945</v>
      </c>
      <c r="T146" s="7">
        <f t="shared" ref="T146" si="156">EDATE(S146,12)</f>
        <v>49310</v>
      </c>
      <c r="U146" s="7">
        <f t="shared" ref="U146" si="157">EDATE(T146,12)</f>
        <v>49675</v>
      </c>
      <c r="V146" s="7">
        <f t="shared" ref="V146" si="158">EDATE(U146,12)</f>
        <v>50041</v>
      </c>
      <c r="W146" s="7">
        <f t="shared" ref="W146" si="159">EDATE(V146,12)</f>
        <v>50406</v>
      </c>
      <c r="X146" s="7">
        <f t="shared" ref="X146" si="160">EDATE(W146,12)</f>
        <v>50771</v>
      </c>
      <c r="Y146" s="7">
        <f t="shared" ref="Y146" si="161">EDATE(X146,12)</f>
        <v>51136</v>
      </c>
      <c r="Z146" s="7">
        <f t="shared" ref="Z146" si="162">EDATE(Y146,12)</f>
        <v>51502</v>
      </c>
      <c r="AA146" s="7">
        <f t="shared" ref="AA146" si="163">EDATE(Z146,12)</f>
        <v>51867</v>
      </c>
      <c r="AB146" s="7">
        <f t="shared" ref="AB146" si="164">EDATE(AA146,12)</f>
        <v>52232</v>
      </c>
      <c r="AC146" s="7">
        <f t="shared" ref="AC146" si="165">EDATE(AB146,12)</f>
        <v>52597</v>
      </c>
      <c r="AD146" s="7">
        <f>EDATE(AC146,12)</f>
        <v>52963</v>
      </c>
      <c r="AH146" s="34"/>
    </row>
    <row r="147" spans="4:34" outlineLevel="1" x14ac:dyDescent="0.2">
      <c r="D147" s="8" t="s">
        <v>148</v>
      </c>
      <c r="E147" s="14" cm="1">
        <f t="array" ref="E147">0.000001 * SUM(
  SUMIFS(
    'Resource Summary'!$O:$O,
    'Resource Summary'!$B:$B,zones_to_group,
    'Resource Summary'!$A:$A,TRANSPOSE(_xlfn._xlws.FILTER('Results Grouping'!$G$9:$G$322,('Results Grouping'!$H$9:$H$322=$D$143) * ('Results Grouping'!$I$9:$I$322=$D147),0)),
    'Resource Summary'!$C:$C,E$146
  )
)</f>
        <v>0</v>
      </c>
      <c r="F147" s="14" cm="1">
        <f t="array" ref="F147">0.000001 * SUM(
  SUMIFS(
    'Resource Summary'!$O:$O,
    'Resource Summary'!$B:$B,zones_to_group,
    'Resource Summary'!$A:$A,TRANSPOSE(_xlfn._xlws.FILTER('Results Grouping'!$G$9:$G$322,('Results Grouping'!$H$9:$H$322=$D$143) * ('Results Grouping'!$I$9:$I$322=$D147),0)),
    'Resource Summary'!$C:$C,F$146
  )
)</f>
        <v>0</v>
      </c>
      <c r="G147" s="14" cm="1">
        <f t="array" ref="G147">0.000001 * SUM(
  SUMIFS(
    'Resource Summary'!$O:$O,
    'Resource Summary'!$B:$B,zones_to_group,
    'Resource Summary'!$A:$A,TRANSPOSE(_xlfn._xlws.FILTER('Results Grouping'!$G$9:$G$322,('Results Grouping'!$H$9:$H$322=$D$143) * ('Results Grouping'!$I$9:$I$322=$D147),0)),
    'Resource Summary'!$C:$C,G$146
  )
)</f>
        <v>0</v>
      </c>
      <c r="H147" s="14" cm="1">
        <f t="array" ref="H147">0.000001 * SUM(
  SUMIFS(
    'Resource Summary'!$O:$O,
    'Resource Summary'!$B:$B,zones_to_group,
    'Resource Summary'!$A:$A,TRANSPOSE(_xlfn._xlws.FILTER('Results Grouping'!$G$9:$G$322,('Results Grouping'!$H$9:$H$322=$D$143) * ('Results Grouping'!$I$9:$I$322=$D147),0)),
    'Resource Summary'!$C:$C,H$146
  )
)</f>
        <v>0</v>
      </c>
      <c r="I147" s="14" cm="1">
        <f t="array" ref="I147">0.000001 * SUM(
  SUMIFS(
    'Resource Summary'!$O:$O,
    'Resource Summary'!$B:$B,zones_to_group,
    'Resource Summary'!$A:$A,TRANSPOSE(_xlfn._xlws.FILTER('Results Grouping'!$G$9:$G$322,('Results Grouping'!$H$9:$H$322=$D$143) * ('Results Grouping'!$I$9:$I$322=$D147),0)),
    'Resource Summary'!$C:$C,I$146
  )
)</f>
        <v>0</v>
      </c>
      <c r="J147" s="14" cm="1">
        <f t="array" ref="J147">0.000001 * SUM(
  SUMIFS(
    'Resource Summary'!$O:$O,
    'Resource Summary'!$B:$B,zones_to_group,
    'Resource Summary'!$A:$A,TRANSPOSE(_xlfn._xlws.FILTER('Results Grouping'!$G$9:$G$322,('Results Grouping'!$H$9:$H$322=$D$143) * ('Results Grouping'!$I$9:$I$322=$D147),0)),
    'Resource Summary'!$C:$C,J$146
  )
)</f>
        <v>0</v>
      </c>
      <c r="K147" s="14" cm="1">
        <f t="array" ref="K147">0.000001 * SUM(
  SUMIFS(
    'Resource Summary'!$O:$O,
    'Resource Summary'!$B:$B,zones_to_group,
    'Resource Summary'!$A:$A,TRANSPOSE(_xlfn._xlws.FILTER('Results Grouping'!$G$9:$G$322,('Results Grouping'!$H$9:$H$322=$D$143) * ('Results Grouping'!$I$9:$I$322=$D147),0)),
    'Resource Summary'!$C:$C,K$146
  )
)</f>
        <v>0</v>
      </c>
      <c r="L147" s="14" cm="1">
        <f t="array" ref="L147">0.000001 * SUM(
  SUMIFS(
    'Resource Summary'!$O:$O,
    'Resource Summary'!$B:$B,zones_to_group,
    'Resource Summary'!$A:$A,TRANSPOSE(_xlfn._xlws.FILTER('Results Grouping'!$G$9:$G$322,('Results Grouping'!$H$9:$H$322=$D$143) * ('Results Grouping'!$I$9:$I$322=$D147),0)),
    'Resource Summary'!$C:$C,L$146
  )
)</f>
        <v>0</v>
      </c>
      <c r="M147" s="14" cm="1">
        <f t="array" ref="M147">0.000001 * SUM(
  SUMIFS(
    'Resource Summary'!$O:$O,
    'Resource Summary'!$B:$B,zones_to_group,
    'Resource Summary'!$A:$A,TRANSPOSE(_xlfn._xlws.FILTER('Results Grouping'!$G$9:$G$322,('Results Grouping'!$H$9:$H$322=$D$143) * ('Results Grouping'!$I$9:$I$322=$D147),0)),
    'Resource Summary'!$C:$C,M$146
  )
)</f>
        <v>0</v>
      </c>
      <c r="N147" s="14" cm="1">
        <f t="array" ref="N147">0.000001 * SUM(
  SUMIFS(
    'Resource Summary'!$O:$O,
    'Resource Summary'!$B:$B,zones_to_group,
    'Resource Summary'!$A:$A,TRANSPOSE(_xlfn._xlws.FILTER('Results Grouping'!$G$9:$G$322,('Results Grouping'!$H$9:$H$322=$D$143) * ('Results Grouping'!$I$9:$I$322=$D147),0)),
    'Resource Summary'!$C:$C,N$146
  )
)</f>
        <v>0</v>
      </c>
      <c r="O147" s="14" cm="1">
        <f t="array" ref="O147">0.000001 * SUM(
  SUMIFS(
    'Resource Summary'!$O:$O,
    'Resource Summary'!$B:$B,zones_to_group,
    'Resource Summary'!$A:$A,TRANSPOSE(_xlfn._xlws.FILTER('Results Grouping'!$G$9:$G$322,('Results Grouping'!$H$9:$H$322=$D$143) * ('Results Grouping'!$I$9:$I$322=$D147),0)),
    'Resource Summary'!$C:$C,O$146
  )
)</f>
        <v>0</v>
      </c>
      <c r="P147" s="14" cm="1">
        <f t="array" ref="P147">0.000001 * SUM(
  SUMIFS(
    'Resource Summary'!$O:$O,
    'Resource Summary'!$B:$B,zones_to_group,
    'Resource Summary'!$A:$A,TRANSPOSE(_xlfn._xlws.FILTER('Results Grouping'!$G$9:$G$322,('Results Grouping'!$H$9:$H$322=$D$143) * ('Results Grouping'!$I$9:$I$322=$D147),0)),
    'Resource Summary'!$C:$C,P$146
  )
)</f>
        <v>0</v>
      </c>
      <c r="Q147" s="14" cm="1">
        <f t="array" ref="Q147">0.000001 * SUM(
  SUMIFS(
    'Resource Summary'!$O:$O,
    'Resource Summary'!$B:$B,zones_to_group,
    'Resource Summary'!$A:$A,TRANSPOSE(_xlfn._xlws.FILTER('Results Grouping'!$G$9:$G$322,('Results Grouping'!$H$9:$H$322=$D$143) * ('Results Grouping'!$I$9:$I$322=$D147),0)),
    'Resource Summary'!$C:$C,Q$146
  )
)</f>
        <v>0</v>
      </c>
      <c r="R147" s="14" cm="1">
        <f t="array" ref="R147">0.000001 * SUM(
  SUMIFS(
    'Resource Summary'!$O:$O,
    'Resource Summary'!$B:$B,zones_to_group,
    'Resource Summary'!$A:$A,TRANSPOSE(_xlfn._xlws.FILTER('Results Grouping'!$G$9:$G$322,('Results Grouping'!$H$9:$H$322=$D$143) * ('Results Grouping'!$I$9:$I$322=$D147),0)),
    'Resource Summary'!$C:$C,R$146
  )
)</f>
        <v>0</v>
      </c>
      <c r="S147" s="14" cm="1">
        <f t="array" ref="S147">0.000001 * SUM(
  SUMIFS(
    'Resource Summary'!$O:$O,
    'Resource Summary'!$B:$B,zones_to_group,
    'Resource Summary'!$A:$A,TRANSPOSE(_xlfn._xlws.FILTER('Results Grouping'!$G$9:$G$322,('Results Grouping'!$H$9:$H$322=$D$143) * ('Results Grouping'!$I$9:$I$322=$D147),0)),
    'Resource Summary'!$C:$C,S$146
  )
)</f>
        <v>0</v>
      </c>
      <c r="T147" s="14" cm="1">
        <f t="array" ref="T147">0.000001 * SUM(
  SUMIFS(
    'Resource Summary'!$O:$O,
    'Resource Summary'!$B:$B,zones_to_group,
    'Resource Summary'!$A:$A,TRANSPOSE(_xlfn._xlws.FILTER('Results Grouping'!$G$9:$G$322,('Results Grouping'!$H$9:$H$322=$D$143) * ('Results Grouping'!$I$9:$I$322=$D147),0)),
    'Resource Summary'!$C:$C,T$146
  )
)</f>
        <v>0</v>
      </c>
      <c r="U147" s="14" cm="1">
        <f t="array" ref="U147">0.000001 * SUM(
  SUMIFS(
    'Resource Summary'!$O:$O,
    'Resource Summary'!$B:$B,zones_to_group,
    'Resource Summary'!$A:$A,TRANSPOSE(_xlfn._xlws.FILTER('Results Grouping'!$G$9:$G$322,('Results Grouping'!$H$9:$H$322=$D$143) * ('Results Grouping'!$I$9:$I$322=$D147),0)),
    'Resource Summary'!$C:$C,U$146
  )
)</f>
        <v>0</v>
      </c>
      <c r="V147" s="14" cm="1">
        <f t="array" ref="V147">0.000001 * SUM(
  SUMIFS(
    'Resource Summary'!$O:$O,
    'Resource Summary'!$B:$B,zones_to_group,
    'Resource Summary'!$A:$A,TRANSPOSE(_xlfn._xlws.FILTER('Results Grouping'!$G$9:$G$322,('Results Grouping'!$H$9:$H$322=$D$143) * ('Results Grouping'!$I$9:$I$322=$D147),0)),
    'Resource Summary'!$C:$C,V$146
  )
)</f>
        <v>0</v>
      </c>
      <c r="W147" s="14" cm="1">
        <f t="array" ref="W147">0.000001 * SUM(
  SUMIFS(
    'Resource Summary'!$O:$O,
    'Resource Summary'!$B:$B,zones_to_group,
    'Resource Summary'!$A:$A,TRANSPOSE(_xlfn._xlws.FILTER('Results Grouping'!$G$9:$G$322,('Results Grouping'!$H$9:$H$322=$D$143) * ('Results Grouping'!$I$9:$I$322=$D147),0)),
    'Resource Summary'!$C:$C,W$146
  )
)</f>
        <v>0</v>
      </c>
      <c r="X147" s="14" cm="1">
        <f t="array" ref="X147">0.000001 * SUM(
  SUMIFS(
    'Resource Summary'!$O:$O,
    'Resource Summary'!$B:$B,zones_to_group,
    'Resource Summary'!$A:$A,TRANSPOSE(_xlfn._xlws.FILTER('Results Grouping'!$G$9:$G$322,('Results Grouping'!$H$9:$H$322=$D$143) * ('Results Grouping'!$I$9:$I$322=$D147),0)),
    'Resource Summary'!$C:$C,X$146
  )
)</f>
        <v>0</v>
      </c>
      <c r="Y147" s="14" cm="1">
        <f t="array" ref="Y147">0.000001 * SUM(
  SUMIFS(
    'Resource Summary'!$O:$O,
    'Resource Summary'!$B:$B,zones_to_group,
    'Resource Summary'!$A:$A,TRANSPOSE(_xlfn._xlws.FILTER('Results Grouping'!$G$9:$G$322,('Results Grouping'!$H$9:$H$322=$D$143) * ('Results Grouping'!$I$9:$I$322=$D147),0)),
    'Resource Summary'!$C:$C,Y$146
  )
)</f>
        <v>0</v>
      </c>
      <c r="Z147" s="14" cm="1">
        <f t="array" ref="Z147">0.000001 * SUM(
  SUMIFS(
    'Resource Summary'!$O:$O,
    'Resource Summary'!$B:$B,zones_to_group,
    'Resource Summary'!$A:$A,TRANSPOSE(_xlfn._xlws.FILTER('Results Grouping'!$G$9:$G$322,('Results Grouping'!$H$9:$H$322=$D$143) * ('Results Grouping'!$I$9:$I$322=$D147),0)),
    'Resource Summary'!$C:$C,Z$146
  )
)</f>
        <v>0</v>
      </c>
      <c r="AA147" s="14" cm="1">
        <f t="array" ref="AA147">0.000001 * SUM(
  SUMIFS(
    'Resource Summary'!$O:$O,
    'Resource Summary'!$B:$B,zones_to_group,
    'Resource Summary'!$A:$A,TRANSPOSE(_xlfn._xlws.FILTER('Results Grouping'!$G$9:$G$322,('Results Grouping'!$H$9:$H$322=$D$143) * ('Results Grouping'!$I$9:$I$322=$D147),0)),
    'Resource Summary'!$C:$C,AA$146
  )
)</f>
        <v>0</v>
      </c>
      <c r="AB147" s="14" cm="1">
        <f t="array" ref="AB147">0.000001 * SUM(
  SUMIFS(
    'Resource Summary'!$O:$O,
    'Resource Summary'!$B:$B,zones_to_group,
    'Resource Summary'!$A:$A,TRANSPOSE(_xlfn._xlws.FILTER('Results Grouping'!$G$9:$G$322,('Results Grouping'!$H$9:$H$322=$D$143) * ('Results Grouping'!$I$9:$I$322=$D147),0)),
    'Resource Summary'!$C:$C,AB$146
  )
)</f>
        <v>0</v>
      </c>
      <c r="AC147" s="14" cm="1">
        <f t="array" ref="AC147">0.000001 * SUM(
  SUMIFS(
    'Resource Summary'!$O:$O,
    'Resource Summary'!$B:$B,zones_to_group,
    'Resource Summary'!$A:$A,TRANSPOSE(_xlfn._xlws.FILTER('Results Grouping'!$G$9:$G$322,('Results Grouping'!$H$9:$H$322=$D$143) * ('Results Grouping'!$I$9:$I$322=$D147),0)),
    'Resource Summary'!$C:$C,AC$146
  )
)</f>
        <v>0</v>
      </c>
      <c r="AD147" s="14" cm="1">
        <f t="array" ref="AD147">0.000001 * SUM(
  SUMIFS(
    'Resource Summary'!$O:$O,
    'Resource Summary'!$B:$B,zones_to_group,
    'Resource Summary'!$A:$A,TRANSPOSE(_xlfn._xlws.FILTER('Results Grouping'!$G$9:$G$322,('Results Grouping'!$H$9:$H$322=$D$143) * ('Results Grouping'!$I$9:$I$322=$D147),0)),
    'Resource Summary'!$C:$C,AD$146
  )
)</f>
        <v>5.2123998175182482</v>
      </c>
      <c r="AH147" s="34"/>
    </row>
    <row r="148" spans="4:34" outlineLevel="1" x14ac:dyDescent="0.2">
      <c r="D148" s="8" t="s">
        <v>145</v>
      </c>
      <c r="E148" s="14" cm="1">
        <f t="array" ref="E148">0.000001 * SUM(
  SUMIFS(
    'Resource Summary'!$O:$O,
    'Resource Summary'!$B:$B,zones_to_group,
    'Resource Summary'!$A:$A,TRANSPOSE(_xlfn._xlws.FILTER('Results Grouping'!$G$9:$G$322,('Results Grouping'!$H$9:$H$322=$D$143) * ('Results Grouping'!$I$9:$I$322=$D148),0)),
    'Resource Summary'!$C:$C,E$146
  )
)</f>
        <v>0</v>
      </c>
      <c r="F148" s="14" cm="1">
        <f t="array" ref="F148">0.000001 * SUM(
  SUMIFS(
    'Resource Summary'!$O:$O,
    'Resource Summary'!$B:$B,zones_to_group,
    'Resource Summary'!$A:$A,TRANSPOSE(_xlfn._xlws.FILTER('Results Grouping'!$G$9:$G$322,('Results Grouping'!$H$9:$H$322=$D$143) * ('Results Grouping'!$I$9:$I$322=$D148),0)),
    'Resource Summary'!$C:$C,F$146
  )
)</f>
        <v>0</v>
      </c>
      <c r="G148" s="14" cm="1">
        <f t="array" ref="G148">0.000001 * SUM(
  SUMIFS(
    'Resource Summary'!$O:$O,
    'Resource Summary'!$B:$B,zones_to_group,
    'Resource Summary'!$A:$A,TRANSPOSE(_xlfn._xlws.FILTER('Results Grouping'!$G$9:$G$322,('Results Grouping'!$H$9:$H$322=$D$143) * ('Results Grouping'!$I$9:$I$322=$D148),0)),
    'Resource Summary'!$C:$C,G$146
  )
)</f>
        <v>0</v>
      </c>
      <c r="H148" s="14" cm="1">
        <f t="array" ref="H148">0.000001 * SUM(
  SUMIFS(
    'Resource Summary'!$O:$O,
    'Resource Summary'!$B:$B,zones_to_group,
    'Resource Summary'!$A:$A,TRANSPOSE(_xlfn._xlws.FILTER('Results Grouping'!$G$9:$G$322,('Results Grouping'!$H$9:$H$322=$D$143) * ('Results Grouping'!$I$9:$I$322=$D148),0)),
    'Resource Summary'!$C:$C,H$146
  )
)</f>
        <v>0</v>
      </c>
      <c r="I148" s="14" cm="1">
        <f t="array" ref="I148">0.000001 * SUM(
  SUMIFS(
    'Resource Summary'!$O:$O,
    'Resource Summary'!$B:$B,zones_to_group,
    'Resource Summary'!$A:$A,TRANSPOSE(_xlfn._xlws.FILTER('Results Grouping'!$G$9:$G$322,('Results Grouping'!$H$9:$H$322=$D$143) * ('Results Grouping'!$I$9:$I$322=$D148),0)),
    'Resource Summary'!$C:$C,I$146
  )
)</f>
        <v>0</v>
      </c>
      <c r="J148" s="14" cm="1">
        <f t="array" ref="J148">0.000001 * SUM(
  SUMIFS(
    'Resource Summary'!$O:$O,
    'Resource Summary'!$B:$B,zones_to_group,
    'Resource Summary'!$A:$A,TRANSPOSE(_xlfn._xlws.FILTER('Results Grouping'!$G$9:$G$322,('Results Grouping'!$H$9:$H$322=$D$143) * ('Results Grouping'!$I$9:$I$322=$D148),0)),
    'Resource Summary'!$C:$C,J$146
  )
)</f>
        <v>0</v>
      </c>
      <c r="K148" s="14" cm="1">
        <f t="array" ref="K148">0.000001 * SUM(
  SUMIFS(
    'Resource Summary'!$O:$O,
    'Resource Summary'!$B:$B,zones_to_group,
    'Resource Summary'!$A:$A,TRANSPOSE(_xlfn._xlws.FILTER('Results Grouping'!$G$9:$G$322,('Results Grouping'!$H$9:$H$322=$D$143) * ('Results Grouping'!$I$9:$I$322=$D148),0)),
    'Resource Summary'!$C:$C,K$146
  )
)</f>
        <v>0</v>
      </c>
      <c r="L148" s="14" cm="1">
        <f t="array" ref="L148">0.000001 * SUM(
  SUMIFS(
    'Resource Summary'!$O:$O,
    'Resource Summary'!$B:$B,zones_to_group,
    'Resource Summary'!$A:$A,TRANSPOSE(_xlfn._xlws.FILTER('Results Grouping'!$G$9:$G$322,('Results Grouping'!$H$9:$H$322=$D$143) * ('Results Grouping'!$I$9:$I$322=$D148),0)),
    'Resource Summary'!$C:$C,L$146
  )
)</f>
        <v>0</v>
      </c>
      <c r="M148" s="14" cm="1">
        <f t="array" ref="M148">0.000001 * SUM(
  SUMIFS(
    'Resource Summary'!$O:$O,
    'Resource Summary'!$B:$B,zones_to_group,
    'Resource Summary'!$A:$A,TRANSPOSE(_xlfn._xlws.FILTER('Results Grouping'!$G$9:$G$322,('Results Grouping'!$H$9:$H$322=$D$143) * ('Results Grouping'!$I$9:$I$322=$D148),0)),
    'Resource Summary'!$C:$C,M$146
  )
)</f>
        <v>0</v>
      </c>
      <c r="N148" s="14" cm="1">
        <f t="array" ref="N148">0.000001 * SUM(
  SUMIFS(
    'Resource Summary'!$O:$O,
    'Resource Summary'!$B:$B,zones_to_group,
    'Resource Summary'!$A:$A,TRANSPOSE(_xlfn._xlws.FILTER('Results Grouping'!$G$9:$G$322,('Results Grouping'!$H$9:$H$322=$D$143) * ('Results Grouping'!$I$9:$I$322=$D148),0)),
    'Resource Summary'!$C:$C,N$146
  )
)</f>
        <v>0</v>
      </c>
      <c r="O148" s="14" cm="1">
        <f t="array" ref="O148">0.000001 * SUM(
  SUMIFS(
    'Resource Summary'!$O:$O,
    'Resource Summary'!$B:$B,zones_to_group,
    'Resource Summary'!$A:$A,TRANSPOSE(_xlfn._xlws.FILTER('Results Grouping'!$G$9:$G$322,('Results Grouping'!$H$9:$H$322=$D$143) * ('Results Grouping'!$I$9:$I$322=$D148),0)),
    'Resource Summary'!$C:$C,O$146
  )
)</f>
        <v>0</v>
      </c>
      <c r="P148" s="14" cm="1">
        <f t="array" ref="P148">0.000001 * SUM(
  SUMIFS(
    'Resource Summary'!$O:$O,
    'Resource Summary'!$B:$B,zones_to_group,
    'Resource Summary'!$A:$A,TRANSPOSE(_xlfn._xlws.FILTER('Results Grouping'!$G$9:$G$322,('Results Grouping'!$H$9:$H$322=$D$143) * ('Results Grouping'!$I$9:$I$322=$D148),0)),
    'Resource Summary'!$C:$C,P$146
  )
)</f>
        <v>0</v>
      </c>
      <c r="Q148" s="14" cm="1">
        <f t="array" ref="Q148">0.000001 * SUM(
  SUMIFS(
    'Resource Summary'!$O:$O,
    'Resource Summary'!$B:$B,zones_to_group,
    'Resource Summary'!$A:$A,TRANSPOSE(_xlfn._xlws.FILTER('Results Grouping'!$G$9:$G$322,('Results Grouping'!$H$9:$H$322=$D$143) * ('Results Grouping'!$I$9:$I$322=$D148),0)),
    'Resource Summary'!$C:$C,Q$146
  )
)</f>
        <v>0</v>
      </c>
      <c r="R148" s="14" cm="1">
        <f t="array" ref="R148">0.000001 * SUM(
  SUMIFS(
    'Resource Summary'!$O:$O,
    'Resource Summary'!$B:$B,zones_to_group,
    'Resource Summary'!$A:$A,TRANSPOSE(_xlfn._xlws.FILTER('Results Grouping'!$G$9:$G$322,('Results Grouping'!$H$9:$H$322=$D$143) * ('Results Grouping'!$I$9:$I$322=$D148),0)),
    'Resource Summary'!$C:$C,R$146
  )
)</f>
        <v>0</v>
      </c>
      <c r="S148" s="14" cm="1">
        <f t="array" ref="S148">0.000001 * SUM(
  SUMIFS(
    'Resource Summary'!$O:$O,
    'Resource Summary'!$B:$B,zones_to_group,
    'Resource Summary'!$A:$A,TRANSPOSE(_xlfn._xlws.FILTER('Results Grouping'!$G$9:$G$322,('Results Grouping'!$H$9:$H$322=$D$143) * ('Results Grouping'!$I$9:$I$322=$D148),0)),
    'Resource Summary'!$C:$C,S$146
  )
)</f>
        <v>0</v>
      </c>
      <c r="T148" s="14" cm="1">
        <f t="array" ref="T148">0.000001 * SUM(
  SUMIFS(
    'Resource Summary'!$O:$O,
    'Resource Summary'!$B:$B,zones_to_group,
    'Resource Summary'!$A:$A,TRANSPOSE(_xlfn._xlws.FILTER('Results Grouping'!$G$9:$G$322,('Results Grouping'!$H$9:$H$322=$D$143) * ('Results Grouping'!$I$9:$I$322=$D148),0)),
    'Resource Summary'!$C:$C,T$146
  )
)</f>
        <v>0</v>
      </c>
      <c r="U148" s="14" cm="1">
        <f t="array" ref="U148">0.000001 * SUM(
  SUMIFS(
    'Resource Summary'!$O:$O,
    'Resource Summary'!$B:$B,zones_to_group,
    'Resource Summary'!$A:$A,TRANSPOSE(_xlfn._xlws.FILTER('Results Grouping'!$G$9:$G$322,('Results Grouping'!$H$9:$H$322=$D$143) * ('Results Grouping'!$I$9:$I$322=$D148),0)),
    'Resource Summary'!$C:$C,U$146
  )
)</f>
        <v>0</v>
      </c>
      <c r="V148" s="14" cm="1">
        <f t="array" ref="V148">0.000001 * SUM(
  SUMIFS(
    'Resource Summary'!$O:$O,
    'Resource Summary'!$B:$B,zones_to_group,
    'Resource Summary'!$A:$A,TRANSPOSE(_xlfn._xlws.FILTER('Results Grouping'!$G$9:$G$322,('Results Grouping'!$H$9:$H$322=$D$143) * ('Results Grouping'!$I$9:$I$322=$D148),0)),
    'Resource Summary'!$C:$C,V$146
  )
)</f>
        <v>0</v>
      </c>
      <c r="W148" s="14" cm="1">
        <f t="array" ref="W148">0.000001 * SUM(
  SUMIFS(
    'Resource Summary'!$O:$O,
    'Resource Summary'!$B:$B,zones_to_group,
    'Resource Summary'!$A:$A,TRANSPOSE(_xlfn._xlws.FILTER('Results Grouping'!$G$9:$G$322,('Results Grouping'!$H$9:$H$322=$D$143) * ('Results Grouping'!$I$9:$I$322=$D148),0)),
    'Resource Summary'!$C:$C,W$146
  )
)</f>
        <v>0</v>
      </c>
      <c r="X148" s="14" cm="1">
        <f t="array" ref="X148">0.000001 * SUM(
  SUMIFS(
    'Resource Summary'!$O:$O,
    'Resource Summary'!$B:$B,zones_to_group,
    'Resource Summary'!$A:$A,TRANSPOSE(_xlfn._xlws.FILTER('Results Grouping'!$G$9:$G$322,('Results Grouping'!$H$9:$H$322=$D$143) * ('Results Grouping'!$I$9:$I$322=$D148),0)),
    'Resource Summary'!$C:$C,X$146
  )
)</f>
        <v>0</v>
      </c>
      <c r="Y148" s="14" cm="1">
        <f t="array" ref="Y148">0.000001 * SUM(
  SUMIFS(
    'Resource Summary'!$O:$O,
    'Resource Summary'!$B:$B,zones_to_group,
    'Resource Summary'!$A:$A,TRANSPOSE(_xlfn._xlws.FILTER('Results Grouping'!$G$9:$G$322,('Results Grouping'!$H$9:$H$322=$D$143) * ('Results Grouping'!$I$9:$I$322=$D148),0)),
    'Resource Summary'!$C:$C,Y$146
  )
)</f>
        <v>0</v>
      </c>
      <c r="Z148" s="14" cm="1">
        <f t="array" ref="Z148">0.000001 * SUM(
  SUMIFS(
    'Resource Summary'!$O:$O,
    'Resource Summary'!$B:$B,zones_to_group,
    'Resource Summary'!$A:$A,TRANSPOSE(_xlfn._xlws.FILTER('Results Grouping'!$G$9:$G$322,('Results Grouping'!$H$9:$H$322=$D$143) * ('Results Grouping'!$I$9:$I$322=$D148),0)),
    'Resource Summary'!$C:$C,Z$146
  )
)</f>
        <v>0</v>
      </c>
      <c r="AA148" s="14" cm="1">
        <f t="array" ref="AA148">0.000001 * SUM(
  SUMIFS(
    'Resource Summary'!$O:$O,
    'Resource Summary'!$B:$B,zones_to_group,
    'Resource Summary'!$A:$A,TRANSPOSE(_xlfn._xlws.FILTER('Results Grouping'!$G$9:$G$322,('Results Grouping'!$H$9:$H$322=$D$143) * ('Results Grouping'!$I$9:$I$322=$D148),0)),
    'Resource Summary'!$C:$C,AA$146
  )
)</f>
        <v>0</v>
      </c>
      <c r="AB148" s="14" cm="1">
        <f t="array" ref="AB148">0.000001 * SUM(
  SUMIFS(
    'Resource Summary'!$O:$O,
    'Resource Summary'!$B:$B,zones_to_group,
    'Resource Summary'!$A:$A,TRANSPOSE(_xlfn._xlws.FILTER('Results Grouping'!$G$9:$G$322,('Results Grouping'!$H$9:$H$322=$D$143) * ('Results Grouping'!$I$9:$I$322=$D148),0)),
    'Resource Summary'!$C:$C,AB$146
  )
)</f>
        <v>0</v>
      </c>
      <c r="AC148" s="14" cm="1">
        <f t="array" ref="AC148">0.000001 * SUM(
  SUMIFS(
    'Resource Summary'!$O:$O,
    'Resource Summary'!$B:$B,zones_to_group,
    'Resource Summary'!$A:$A,TRANSPOSE(_xlfn._xlws.FILTER('Results Grouping'!$G$9:$G$322,('Results Grouping'!$H$9:$H$322=$D$143) * ('Results Grouping'!$I$9:$I$322=$D148),0)),
    'Resource Summary'!$C:$C,AC$146
  )
)</f>
        <v>0</v>
      </c>
      <c r="AD148" s="14" cm="1">
        <f t="array" ref="AD148">0.000001 * SUM(
  SUMIFS(
    'Resource Summary'!$O:$O,
    'Resource Summary'!$B:$B,zones_to_group,
    'Resource Summary'!$A:$A,TRANSPOSE(_xlfn._xlws.FILTER('Results Grouping'!$G$9:$G$322,('Results Grouping'!$H$9:$H$322=$D$143) * ('Results Grouping'!$I$9:$I$322=$D148),0)),
    'Resource Summary'!$C:$C,AD$146
  )
)</f>
        <v>0</v>
      </c>
      <c r="AH148" s="34"/>
    </row>
    <row r="149" spans="4:34" outlineLevel="1" x14ac:dyDescent="0.2">
      <c r="D149" s="8" t="s">
        <v>149</v>
      </c>
      <c r="E149" s="14" cm="1">
        <f t="array" ref="E149">0.000001 * SUM(
  SUMIFS(
    'Resource Summary'!$O:$O,
    'Resource Summary'!$B:$B,zones_to_group,
    'Resource Summary'!$A:$A,TRANSPOSE(_xlfn._xlws.FILTER('Results Grouping'!$G$9:$G$322,('Results Grouping'!$H$9:$H$322=$D$143) * ('Results Grouping'!$I$9:$I$322=$D149),0)),
    'Resource Summary'!$C:$C,E$146
  )
)</f>
        <v>0</v>
      </c>
      <c r="F149" s="14" cm="1">
        <f t="array" ref="F149">0.000001 * SUM(
  SUMIFS(
    'Resource Summary'!$O:$O,
    'Resource Summary'!$B:$B,zones_to_group,
    'Resource Summary'!$A:$A,TRANSPOSE(_xlfn._xlws.FILTER('Results Grouping'!$G$9:$G$322,('Results Grouping'!$H$9:$H$322=$D$143) * ('Results Grouping'!$I$9:$I$322=$D149),0)),
    'Resource Summary'!$C:$C,F$146
  )
)</f>
        <v>0</v>
      </c>
      <c r="G149" s="14" cm="1">
        <f t="array" ref="G149">0.000001 * SUM(
  SUMIFS(
    'Resource Summary'!$O:$O,
    'Resource Summary'!$B:$B,zones_to_group,
    'Resource Summary'!$A:$A,TRANSPOSE(_xlfn._xlws.FILTER('Results Grouping'!$G$9:$G$322,('Results Grouping'!$H$9:$H$322=$D$143) * ('Results Grouping'!$I$9:$I$322=$D149),0)),
    'Resource Summary'!$C:$C,G$146
  )
)</f>
        <v>0</v>
      </c>
      <c r="H149" s="14" cm="1">
        <f t="array" ref="H149">0.000001 * SUM(
  SUMIFS(
    'Resource Summary'!$O:$O,
    'Resource Summary'!$B:$B,zones_to_group,
    'Resource Summary'!$A:$A,TRANSPOSE(_xlfn._xlws.FILTER('Results Grouping'!$G$9:$G$322,('Results Grouping'!$H$9:$H$322=$D$143) * ('Results Grouping'!$I$9:$I$322=$D149),0)),
    'Resource Summary'!$C:$C,H$146
  )
)</f>
        <v>0</v>
      </c>
      <c r="I149" s="14" cm="1">
        <f t="array" ref="I149">0.000001 * SUM(
  SUMIFS(
    'Resource Summary'!$O:$O,
    'Resource Summary'!$B:$B,zones_to_group,
    'Resource Summary'!$A:$A,TRANSPOSE(_xlfn._xlws.FILTER('Results Grouping'!$G$9:$G$322,('Results Grouping'!$H$9:$H$322=$D$143) * ('Results Grouping'!$I$9:$I$322=$D149),0)),
    'Resource Summary'!$C:$C,I$146
  )
)</f>
        <v>0</v>
      </c>
      <c r="J149" s="14" cm="1">
        <f t="array" ref="J149">0.000001 * SUM(
  SUMIFS(
    'Resource Summary'!$O:$O,
    'Resource Summary'!$B:$B,zones_to_group,
    'Resource Summary'!$A:$A,TRANSPOSE(_xlfn._xlws.FILTER('Results Grouping'!$G$9:$G$322,('Results Grouping'!$H$9:$H$322=$D$143) * ('Results Grouping'!$I$9:$I$322=$D149),0)),
    'Resource Summary'!$C:$C,J$146
  )
)</f>
        <v>0</v>
      </c>
      <c r="K149" s="14" cm="1">
        <f t="array" ref="K149">0.000001 * SUM(
  SUMIFS(
    'Resource Summary'!$O:$O,
    'Resource Summary'!$B:$B,zones_to_group,
    'Resource Summary'!$A:$A,TRANSPOSE(_xlfn._xlws.FILTER('Results Grouping'!$G$9:$G$322,('Results Grouping'!$H$9:$H$322=$D$143) * ('Results Grouping'!$I$9:$I$322=$D149),0)),
    'Resource Summary'!$C:$C,K$146
  )
)</f>
        <v>0</v>
      </c>
      <c r="L149" s="14" cm="1">
        <f t="array" ref="L149">0.000001 * SUM(
  SUMIFS(
    'Resource Summary'!$O:$O,
    'Resource Summary'!$B:$B,zones_to_group,
    'Resource Summary'!$A:$A,TRANSPOSE(_xlfn._xlws.FILTER('Results Grouping'!$G$9:$G$322,('Results Grouping'!$H$9:$H$322=$D$143) * ('Results Grouping'!$I$9:$I$322=$D149),0)),
    'Resource Summary'!$C:$C,L$146
  )
)</f>
        <v>0</v>
      </c>
      <c r="M149" s="14" cm="1">
        <f t="array" ref="M149">0.000001 * SUM(
  SUMIFS(
    'Resource Summary'!$O:$O,
    'Resource Summary'!$B:$B,zones_to_group,
    'Resource Summary'!$A:$A,TRANSPOSE(_xlfn._xlws.FILTER('Results Grouping'!$G$9:$G$322,('Results Grouping'!$H$9:$H$322=$D$143) * ('Results Grouping'!$I$9:$I$322=$D149),0)),
    'Resource Summary'!$C:$C,M$146
  )
)</f>
        <v>0</v>
      </c>
      <c r="N149" s="14" cm="1">
        <f t="array" ref="N149">0.000001 * SUM(
  SUMIFS(
    'Resource Summary'!$O:$O,
    'Resource Summary'!$B:$B,zones_to_group,
    'Resource Summary'!$A:$A,TRANSPOSE(_xlfn._xlws.FILTER('Results Grouping'!$G$9:$G$322,('Results Grouping'!$H$9:$H$322=$D$143) * ('Results Grouping'!$I$9:$I$322=$D149),0)),
    'Resource Summary'!$C:$C,N$146
  )
)</f>
        <v>0</v>
      </c>
      <c r="O149" s="14" cm="1">
        <f t="array" ref="O149">0.000001 * SUM(
  SUMIFS(
    'Resource Summary'!$O:$O,
    'Resource Summary'!$B:$B,zones_to_group,
    'Resource Summary'!$A:$A,TRANSPOSE(_xlfn._xlws.FILTER('Results Grouping'!$G$9:$G$322,('Results Grouping'!$H$9:$H$322=$D$143) * ('Results Grouping'!$I$9:$I$322=$D149),0)),
    'Resource Summary'!$C:$C,O$146
  )
)</f>
        <v>0</v>
      </c>
      <c r="P149" s="14" cm="1">
        <f t="array" ref="P149">0.000001 * SUM(
  SUMIFS(
    'Resource Summary'!$O:$O,
    'Resource Summary'!$B:$B,zones_to_group,
    'Resource Summary'!$A:$A,TRANSPOSE(_xlfn._xlws.FILTER('Results Grouping'!$G$9:$G$322,('Results Grouping'!$H$9:$H$322=$D$143) * ('Results Grouping'!$I$9:$I$322=$D149),0)),
    'Resource Summary'!$C:$C,P$146
  )
)</f>
        <v>0</v>
      </c>
      <c r="Q149" s="14" cm="1">
        <f t="array" ref="Q149">0.000001 * SUM(
  SUMIFS(
    'Resource Summary'!$O:$O,
    'Resource Summary'!$B:$B,zones_to_group,
    'Resource Summary'!$A:$A,TRANSPOSE(_xlfn._xlws.FILTER('Results Grouping'!$G$9:$G$322,('Results Grouping'!$H$9:$H$322=$D$143) * ('Results Grouping'!$I$9:$I$322=$D149),0)),
    'Resource Summary'!$C:$C,Q$146
  )
)</f>
        <v>0</v>
      </c>
      <c r="R149" s="14" cm="1">
        <f t="array" ref="R149">0.000001 * SUM(
  SUMIFS(
    'Resource Summary'!$O:$O,
    'Resource Summary'!$B:$B,zones_to_group,
    'Resource Summary'!$A:$A,TRANSPOSE(_xlfn._xlws.FILTER('Results Grouping'!$G$9:$G$322,('Results Grouping'!$H$9:$H$322=$D$143) * ('Results Grouping'!$I$9:$I$322=$D149),0)),
    'Resource Summary'!$C:$C,R$146
  )
)</f>
        <v>0</v>
      </c>
      <c r="S149" s="14" cm="1">
        <f t="array" ref="S149">0.000001 * SUM(
  SUMIFS(
    'Resource Summary'!$O:$O,
    'Resource Summary'!$B:$B,zones_to_group,
    'Resource Summary'!$A:$A,TRANSPOSE(_xlfn._xlws.FILTER('Results Grouping'!$G$9:$G$322,('Results Grouping'!$H$9:$H$322=$D$143) * ('Results Grouping'!$I$9:$I$322=$D149),0)),
    'Resource Summary'!$C:$C,S$146
  )
)</f>
        <v>0</v>
      </c>
      <c r="T149" s="14" cm="1">
        <f t="array" ref="T149">0.000001 * SUM(
  SUMIFS(
    'Resource Summary'!$O:$O,
    'Resource Summary'!$B:$B,zones_to_group,
    'Resource Summary'!$A:$A,TRANSPOSE(_xlfn._xlws.FILTER('Results Grouping'!$G$9:$G$322,('Results Grouping'!$H$9:$H$322=$D$143) * ('Results Grouping'!$I$9:$I$322=$D149),0)),
    'Resource Summary'!$C:$C,T$146
  )
)</f>
        <v>0</v>
      </c>
      <c r="U149" s="14" cm="1">
        <f t="array" ref="U149">0.000001 * SUM(
  SUMIFS(
    'Resource Summary'!$O:$O,
    'Resource Summary'!$B:$B,zones_to_group,
    'Resource Summary'!$A:$A,TRANSPOSE(_xlfn._xlws.FILTER('Results Grouping'!$G$9:$G$322,('Results Grouping'!$H$9:$H$322=$D$143) * ('Results Grouping'!$I$9:$I$322=$D149),0)),
    'Resource Summary'!$C:$C,U$146
  )
)</f>
        <v>0</v>
      </c>
      <c r="V149" s="14" cm="1">
        <f t="array" ref="V149">0.000001 * SUM(
  SUMIFS(
    'Resource Summary'!$O:$O,
    'Resource Summary'!$B:$B,zones_to_group,
    'Resource Summary'!$A:$A,TRANSPOSE(_xlfn._xlws.FILTER('Results Grouping'!$G$9:$G$322,('Results Grouping'!$H$9:$H$322=$D$143) * ('Results Grouping'!$I$9:$I$322=$D149),0)),
    'Resource Summary'!$C:$C,V$146
  )
)</f>
        <v>0</v>
      </c>
      <c r="W149" s="14" cm="1">
        <f t="array" ref="W149">0.000001 * SUM(
  SUMIFS(
    'Resource Summary'!$O:$O,
    'Resource Summary'!$B:$B,zones_to_group,
    'Resource Summary'!$A:$A,TRANSPOSE(_xlfn._xlws.FILTER('Results Grouping'!$G$9:$G$322,('Results Grouping'!$H$9:$H$322=$D$143) * ('Results Grouping'!$I$9:$I$322=$D149),0)),
    'Resource Summary'!$C:$C,W$146
  )
)</f>
        <v>0</v>
      </c>
      <c r="X149" s="14" cm="1">
        <f t="array" ref="X149">0.000001 * SUM(
  SUMIFS(
    'Resource Summary'!$O:$O,
    'Resource Summary'!$B:$B,zones_to_group,
    'Resource Summary'!$A:$A,TRANSPOSE(_xlfn._xlws.FILTER('Results Grouping'!$G$9:$G$322,('Results Grouping'!$H$9:$H$322=$D$143) * ('Results Grouping'!$I$9:$I$322=$D149),0)),
    'Resource Summary'!$C:$C,X$146
  )
)</f>
        <v>0</v>
      </c>
      <c r="Y149" s="14" cm="1">
        <f t="array" ref="Y149">0.000001 * SUM(
  SUMIFS(
    'Resource Summary'!$O:$O,
    'Resource Summary'!$B:$B,zones_to_group,
    'Resource Summary'!$A:$A,TRANSPOSE(_xlfn._xlws.FILTER('Results Grouping'!$G$9:$G$322,('Results Grouping'!$H$9:$H$322=$D$143) * ('Results Grouping'!$I$9:$I$322=$D149),0)),
    'Resource Summary'!$C:$C,Y$146
  )
)</f>
        <v>0</v>
      </c>
      <c r="Z149" s="14" cm="1">
        <f t="array" ref="Z149">0.000001 * SUM(
  SUMIFS(
    'Resource Summary'!$O:$O,
    'Resource Summary'!$B:$B,zones_to_group,
    'Resource Summary'!$A:$A,TRANSPOSE(_xlfn._xlws.FILTER('Results Grouping'!$G$9:$G$322,('Results Grouping'!$H$9:$H$322=$D$143) * ('Results Grouping'!$I$9:$I$322=$D149),0)),
    'Resource Summary'!$C:$C,Z$146
  )
)</f>
        <v>0</v>
      </c>
      <c r="AA149" s="14" cm="1">
        <f t="array" ref="AA149">0.000001 * SUM(
  SUMIFS(
    'Resource Summary'!$O:$O,
    'Resource Summary'!$B:$B,zones_to_group,
    'Resource Summary'!$A:$A,TRANSPOSE(_xlfn._xlws.FILTER('Results Grouping'!$G$9:$G$322,('Results Grouping'!$H$9:$H$322=$D$143) * ('Results Grouping'!$I$9:$I$322=$D149),0)),
    'Resource Summary'!$C:$C,AA$146
  )
)</f>
        <v>0</v>
      </c>
      <c r="AB149" s="14" cm="1">
        <f t="array" ref="AB149">0.000001 * SUM(
  SUMIFS(
    'Resource Summary'!$O:$O,
    'Resource Summary'!$B:$B,zones_to_group,
    'Resource Summary'!$A:$A,TRANSPOSE(_xlfn._xlws.FILTER('Results Grouping'!$G$9:$G$322,('Results Grouping'!$H$9:$H$322=$D$143) * ('Results Grouping'!$I$9:$I$322=$D149),0)),
    'Resource Summary'!$C:$C,AB$146
  )
)</f>
        <v>0</v>
      </c>
      <c r="AC149" s="14" cm="1">
        <f t="array" ref="AC149">0.000001 * SUM(
  SUMIFS(
    'Resource Summary'!$O:$O,
    'Resource Summary'!$B:$B,zones_to_group,
    'Resource Summary'!$A:$A,TRANSPOSE(_xlfn._xlws.FILTER('Results Grouping'!$G$9:$G$322,('Results Grouping'!$H$9:$H$322=$D$143) * ('Results Grouping'!$I$9:$I$322=$D149),0)),
    'Resource Summary'!$C:$C,AC$146
  )
)</f>
        <v>0</v>
      </c>
      <c r="AD149" s="14" cm="1">
        <f t="array" ref="AD149">0.000001 * SUM(
  SUMIFS(
    'Resource Summary'!$O:$O,
    'Resource Summary'!$B:$B,zones_to_group,
    'Resource Summary'!$A:$A,TRANSPOSE(_xlfn._xlws.FILTER('Results Grouping'!$G$9:$G$322,('Results Grouping'!$H$9:$H$322=$D$143) * ('Results Grouping'!$I$9:$I$322=$D149),0)),
    'Resource Summary'!$C:$C,AD$146
  )
)</f>
        <v>0</v>
      </c>
      <c r="AH149" s="34"/>
    </row>
    <row r="150" spans="4:34" outlineLevel="1" x14ac:dyDescent="0.2">
      <c r="D150" s="8" t="s">
        <v>150</v>
      </c>
      <c r="E150" s="14" cm="1">
        <f t="array" ref="E150">0.000001 * SUM(
  SUMIFS(
    'Resource Summary'!$O:$O,
    'Resource Summary'!$B:$B,zones_to_group,
    'Resource Summary'!$A:$A,TRANSPOSE(_xlfn._xlws.FILTER('Results Grouping'!$G$9:$G$322,('Results Grouping'!$H$9:$H$322=$D$143) * ('Results Grouping'!$I$9:$I$322=$D150),0)),
    'Resource Summary'!$C:$C,E$146
  )
)</f>
        <v>0</v>
      </c>
      <c r="F150" s="14" cm="1">
        <f t="array" ref="F150">0.000001 * SUM(
  SUMIFS(
    'Resource Summary'!$O:$O,
    'Resource Summary'!$B:$B,zones_to_group,
    'Resource Summary'!$A:$A,TRANSPOSE(_xlfn._xlws.FILTER('Results Grouping'!$G$9:$G$322,('Results Grouping'!$H$9:$H$322=$D$143) * ('Results Grouping'!$I$9:$I$322=$D150),0)),
    'Resource Summary'!$C:$C,F$146
  )
)</f>
        <v>0</v>
      </c>
      <c r="G150" s="14" cm="1">
        <f t="array" ref="G150">0.000001 * SUM(
  SUMIFS(
    'Resource Summary'!$O:$O,
    'Resource Summary'!$B:$B,zones_to_group,
    'Resource Summary'!$A:$A,TRANSPOSE(_xlfn._xlws.FILTER('Results Grouping'!$G$9:$G$322,('Results Grouping'!$H$9:$H$322=$D$143) * ('Results Grouping'!$I$9:$I$322=$D150),0)),
    'Resource Summary'!$C:$C,G$146
  )
)</f>
        <v>0</v>
      </c>
      <c r="H150" s="14" cm="1">
        <f t="array" ref="H150">0.000001 * SUM(
  SUMIFS(
    'Resource Summary'!$O:$O,
    'Resource Summary'!$B:$B,zones_to_group,
    'Resource Summary'!$A:$A,TRANSPOSE(_xlfn._xlws.FILTER('Results Grouping'!$G$9:$G$322,('Results Grouping'!$H$9:$H$322=$D$143) * ('Results Grouping'!$I$9:$I$322=$D150),0)),
    'Resource Summary'!$C:$C,H$146
  )
)</f>
        <v>0</v>
      </c>
      <c r="I150" s="14" cm="1">
        <f t="array" ref="I150">0.000001 * SUM(
  SUMIFS(
    'Resource Summary'!$O:$O,
    'Resource Summary'!$B:$B,zones_to_group,
    'Resource Summary'!$A:$A,TRANSPOSE(_xlfn._xlws.FILTER('Results Grouping'!$G$9:$G$322,('Results Grouping'!$H$9:$H$322=$D$143) * ('Results Grouping'!$I$9:$I$322=$D150),0)),
    'Resource Summary'!$C:$C,I$146
  )
)</f>
        <v>0</v>
      </c>
      <c r="J150" s="14" cm="1">
        <f t="array" ref="J150">0.000001 * SUM(
  SUMIFS(
    'Resource Summary'!$O:$O,
    'Resource Summary'!$B:$B,zones_to_group,
    'Resource Summary'!$A:$A,TRANSPOSE(_xlfn._xlws.FILTER('Results Grouping'!$G$9:$G$322,('Results Grouping'!$H$9:$H$322=$D$143) * ('Results Grouping'!$I$9:$I$322=$D150),0)),
    'Resource Summary'!$C:$C,J$146
  )
)</f>
        <v>0</v>
      </c>
      <c r="K150" s="14" cm="1">
        <f t="array" ref="K150">0.000001 * SUM(
  SUMIFS(
    'Resource Summary'!$O:$O,
    'Resource Summary'!$B:$B,zones_to_group,
    'Resource Summary'!$A:$A,TRANSPOSE(_xlfn._xlws.FILTER('Results Grouping'!$G$9:$G$322,('Results Grouping'!$H$9:$H$322=$D$143) * ('Results Grouping'!$I$9:$I$322=$D150),0)),
    'Resource Summary'!$C:$C,K$146
  )
)</f>
        <v>0</v>
      </c>
      <c r="L150" s="14" cm="1">
        <f t="array" ref="L150">0.000001 * SUM(
  SUMIFS(
    'Resource Summary'!$O:$O,
    'Resource Summary'!$B:$B,zones_to_group,
    'Resource Summary'!$A:$A,TRANSPOSE(_xlfn._xlws.FILTER('Results Grouping'!$G$9:$G$322,('Results Grouping'!$H$9:$H$322=$D$143) * ('Results Grouping'!$I$9:$I$322=$D150),0)),
    'Resource Summary'!$C:$C,L$146
  )
)</f>
        <v>0</v>
      </c>
      <c r="M150" s="14" cm="1">
        <f t="array" ref="M150">0.000001 * SUM(
  SUMIFS(
    'Resource Summary'!$O:$O,
    'Resource Summary'!$B:$B,zones_to_group,
    'Resource Summary'!$A:$A,TRANSPOSE(_xlfn._xlws.FILTER('Results Grouping'!$G$9:$G$322,('Results Grouping'!$H$9:$H$322=$D$143) * ('Results Grouping'!$I$9:$I$322=$D150),0)),
    'Resource Summary'!$C:$C,M$146
  )
)</f>
        <v>0</v>
      </c>
      <c r="N150" s="14" cm="1">
        <f t="array" ref="N150">0.000001 * SUM(
  SUMIFS(
    'Resource Summary'!$O:$O,
    'Resource Summary'!$B:$B,zones_to_group,
    'Resource Summary'!$A:$A,TRANSPOSE(_xlfn._xlws.FILTER('Results Grouping'!$G$9:$G$322,('Results Grouping'!$H$9:$H$322=$D$143) * ('Results Grouping'!$I$9:$I$322=$D150),0)),
    'Resource Summary'!$C:$C,N$146
  )
)</f>
        <v>0</v>
      </c>
      <c r="O150" s="14" cm="1">
        <f t="array" ref="O150">0.000001 * SUM(
  SUMIFS(
    'Resource Summary'!$O:$O,
    'Resource Summary'!$B:$B,zones_to_group,
    'Resource Summary'!$A:$A,TRANSPOSE(_xlfn._xlws.FILTER('Results Grouping'!$G$9:$G$322,('Results Grouping'!$H$9:$H$322=$D$143) * ('Results Grouping'!$I$9:$I$322=$D150),0)),
    'Resource Summary'!$C:$C,O$146
  )
)</f>
        <v>0</v>
      </c>
      <c r="P150" s="14" cm="1">
        <f t="array" ref="P150">0.000001 * SUM(
  SUMIFS(
    'Resource Summary'!$O:$O,
    'Resource Summary'!$B:$B,zones_to_group,
    'Resource Summary'!$A:$A,TRANSPOSE(_xlfn._xlws.FILTER('Results Grouping'!$G$9:$G$322,('Results Grouping'!$H$9:$H$322=$D$143) * ('Results Grouping'!$I$9:$I$322=$D150),0)),
    'Resource Summary'!$C:$C,P$146
  )
)</f>
        <v>0</v>
      </c>
      <c r="Q150" s="14" cm="1">
        <f t="array" ref="Q150">0.000001 * SUM(
  SUMIFS(
    'Resource Summary'!$O:$O,
    'Resource Summary'!$B:$B,zones_to_group,
    'Resource Summary'!$A:$A,TRANSPOSE(_xlfn._xlws.FILTER('Results Grouping'!$G$9:$G$322,('Results Grouping'!$H$9:$H$322=$D$143) * ('Results Grouping'!$I$9:$I$322=$D150),0)),
    'Resource Summary'!$C:$C,Q$146
  )
)</f>
        <v>0</v>
      </c>
      <c r="R150" s="14" cm="1">
        <f t="array" ref="R150">0.000001 * SUM(
  SUMIFS(
    'Resource Summary'!$O:$O,
    'Resource Summary'!$B:$B,zones_to_group,
    'Resource Summary'!$A:$A,TRANSPOSE(_xlfn._xlws.FILTER('Results Grouping'!$G$9:$G$322,('Results Grouping'!$H$9:$H$322=$D$143) * ('Results Grouping'!$I$9:$I$322=$D150),0)),
    'Resource Summary'!$C:$C,R$146
  )
)</f>
        <v>0</v>
      </c>
      <c r="S150" s="14" cm="1">
        <f t="array" ref="S150">0.000001 * SUM(
  SUMIFS(
    'Resource Summary'!$O:$O,
    'Resource Summary'!$B:$B,zones_to_group,
    'Resource Summary'!$A:$A,TRANSPOSE(_xlfn._xlws.FILTER('Results Grouping'!$G$9:$G$322,('Results Grouping'!$H$9:$H$322=$D$143) * ('Results Grouping'!$I$9:$I$322=$D150),0)),
    'Resource Summary'!$C:$C,S$146
  )
)</f>
        <v>0</v>
      </c>
      <c r="T150" s="14" cm="1">
        <f t="array" ref="T150">0.000001 * SUM(
  SUMIFS(
    'Resource Summary'!$O:$O,
    'Resource Summary'!$B:$B,zones_to_group,
    'Resource Summary'!$A:$A,TRANSPOSE(_xlfn._xlws.FILTER('Results Grouping'!$G$9:$G$322,('Results Grouping'!$H$9:$H$322=$D$143) * ('Results Grouping'!$I$9:$I$322=$D150),0)),
    'Resource Summary'!$C:$C,T$146
  )
)</f>
        <v>0</v>
      </c>
      <c r="U150" s="14" cm="1">
        <f t="array" ref="U150">0.000001 * SUM(
  SUMIFS(
    'Resource Summary'!$O:$O,
    'Resource Summary'!$B:$B,zones_to_group,
    'Resource Summary'!$A:$A,TRANSPOSE(_xlfn._xlws.FILTER('Results Grouping'!$G$9:$G$322,('Results Grouping'!$H$9:$H$322=$D$143) * ('Results Grouping'!$I$9:$I$322=$D150),0)),
    'Resource Summary'!$C:$C,U$146
  )
)</f>
        <v>0</v>
      </c>
      <c r="V150" s="14" cm="1">
        <f t="array" ref="V150">0.000001 * SUM(
  SUMIFS(
    'Resource Summary'!$O:$O,
    'Resource Summary'!$B:$B,zones_to_group,
    'Resource Summary'!$A:$A,TRANSPOSE(_xlfn._xlws.FILTER('Results Grouping'!$G$9:$G$322,('Results Grouping'!$H$9:$H$322=$D$143) * ('Results Grouping'!$I$9:$I$322=$D150),0)),
    'Resource Summary'!$C:$C,V$146
  )
)</f>
        <v>0</v>
      </c>
      <c r="W150" s="14" cm="1">
        <f t="array" ref="W150">0.000001 * SUM(
  SUMIFS(
    'Resource Summary'!$O:$O,
    'Resource Summary'!$B:$B,zones_to_group,
    'Resource Summary'!$A:$A,TRANSPOSE(_xlfn._xlws.FILTER('Results Grouping'!$G$9:$G$322,('Results Grouping'!$H$9:$H$322=$D$143) * ('Results Grouping'!$I$9:$I$322=$D150),0)),
    'Resource Summary'!$C:$C,W$146
  )
)</f>
        <v>0</v>
      </c>
      <c r="X150" s="14" cm="1">
        <f t="array" ref="X150">0.000001 * SUM(
  SUMIFS(
    'Resource Summary'!$O:$O,
    'Resource Summary'!$B:$B,zones_to_group,
    'Resource Summary'!$A:$A,TRANSPOSE(_xlfn._xlws.FILTER('Results Grouping'!$G$9:$G$322,('Results Grouping'!$H$9:$H$322=$D$143) * ('Results Grouping'!$I$9:$I$322=$D150),0)),
    'Resource Summary'!$C:$C,X$146
  )
)</f>
        <v>0</v>
      </c>
      <c r="Y150" s="14" cm="1">
        <f t="array" ref="Y150">0.000001 * SUM(
  SUMIFS(
    'Resource Summary'!$O:$O,
    'Resource Summary'!$B:$B,zones_to_group,
    'Resource Summary'!$A:$A,TRANSPOSE(_xlfn._xlws.FILTER('Results Grouping'!$G$9:$G$322,('Results Grouping'!$H$9:$H$322=$D$143) * ('Results Grouping'!$I$9:$I$322=$D150),0)),
    'Resource Summary'!$C:$C,Y$146
  )
)</f>
        <v>0</v>
      </c>
      <c r="Z150" s="14" cm="1">
        <f t="array" ref="Z150">0.000001 * SUM(
  SUMIFS(
    'Resource Summary'!$O:$O,
    'Resource Summary'!$B:$B,zones_to_group,
    'Resource Summary'!$A:$A,TRANSPOSE(_xlfn._xlws.FILTER('Results Grouping'!$G$9:$G$322,('Results Grouping'!$H$9:$H$322=$D$143) * ('Results Grouping'!$I$9:$I$322=$D150),0)),
    'Resource Summary'!$C:$C,Z$146
  )
)</f>
        <v>0</v>
      </c>
      <c r="AA150" s="14" cm="1">
        <f t="array" ref="AA150">0.000001 * SUM(
  SUMIFS(
    'Resource Summary'!$O:$O,
    'Resource Summary'!$B:$B,zones_to_group,
    'Resource Summary'!$A:$A,TRANSPOSE(_xlfn._xlws.FILTER('Results Grouping'!$G$9:$G$322,('Results Grouping'!$H$9:$H$322=$D$143) * ('Results Grouping'!$I$9:$I$322=$D150),0)),
    'Resource Summary'!$C:$C,AA$146
  )
)</f>
        <v>0</v>
      </c>
      <c r="AB150" s="14" cm="1">
        <f t="array" ref="AB150">0.000001 * SUM(
  SUMIFS(
    'Resource Summary'!$O:$O,
    'Resource Summary'!$B:$B,zones_to_group,
    'Resource Summary'!$A:$A,TRANSPOSE(_xlfn._xlws.FILTER('Results Grouping'!$G$9:$G$322,('Results Grouping'!$H$9:$H$322=$D$143) * ('Results Grouping'!$I$9:$I$322=$D150),0)),
    'Resource Summary'!$C:$C,AB$146
  )
)</f>
        <v>0</v>
      </c>
      <c r="AC150" s="14" cm="1">
        <f t="array" ref="AC150">0.000001 * SUM(
  SUMIFS(
    'Resource Summary'!$O:$O,
    'Resource Summary'!$B:$B,zones_to_group,
    'Resource Summary'!$A:$A,TRANSPOSE(_xlfn._xlws.FILTER('Results Grouping'!$G$9:$G$322,('Results Grouping'!$H$9:$H$322=$D$143) * ('Results Grouping'!$I$9:$I$322=$D150),0)),
    'Resource Summary'!$C:$C,AC$146
  )
)</f>
        <v>0</v>
      </c>
      <c r="AD150" s="14" cm="1">
        <f t="array" ref="AD150">0.000001 * SUM(
  SUMIFS(
    'Resource Summary'!$O:$O,
    'Resource Summary'!$B:$B,zones_to_group,
    'Resource Summary'!$A:$A,TRANSPOSE(_xlfn._xlws.FILTER('Results Grouping'!$G$9:$G$322,('Results Grouping'!$H$9:$H$322=$D$143) * ('Results Grouping'!$I$9:$I$322=$D150),0)),
    'Resource Summary'!$C:$C,AD$146
  )
)</f>
        <v>14.856055766346115</v>
      </c>
      <c r="AH150" s="34"/>
    </row>
    <row r="151" spans="4:34" outlineLevel="1" x14ac:dyDescent="0.2">
      <c r="D151" s="8" t="s">
        <v>121</v>
      </c>
      <c r="E151" s="14" cm="1">
        <f t="array" ref="E151">0.000001 * SUM(
  SUMIFS(
    'Resource Summary'!$O:$O,
    'Resource Summary'!$B:$B,zones_to_group,
    'Resource Summary'!$A:$A,TRANSPOSE(_xlfn._xlws.FILTER('Results Grouping'!$G$9:$G$322,('Results Grouping'!$H$9:$H$322=$D$143) * ('Results Grouping'!$I$9:$I$322=$D151),0)),
    'Resource Summary'!$C:$C,E$146
  )
)</f>
        <v>0</v>
      </c>
      <c r="F151" s="14" cm="1">
        <f t="array" ref="F151">0.000001 * SUM(
  SUMIFS(
    'Resource Summary'!$O:$O,
    'Resource Summary'!$B:$B,zones_to_group,
    'Resource Summary'!$A:$A,TRANSPOSE(_xlfn._xlws.FILTER('Results Grouping'!$G$9:$G$322,('Results Grouping'!$H$9:$H$322=$D$143) * ('Results Grouping'!$I$9:$I$322=$D151),0)),
    'Resource Summary'!$C:$C,F$146
  )
)</f>
        <v>0</v>
      </c>
      <c r="G151" s="14" cm="1">
        <f t="array" ref="G151">0.000001 * SUM(
  SUMIFS(
    'Resource Summary'!$O:$O,
    'Resource Summary'!$B:$B,zones_to_group,
    'Resource Summary'!$A:$A,TRANSPOSE(_xlfn._xlws.FILTER('Results Grouping'!$G$9:$G$322,('Results Grouping'!$H$9:$H$322=$D$143) * ('Results Grouping'!$I$9:$I$322=$D151),0)),
    'Resource Summary'!$C:$C,G$146
  )
)</f>
        <v>0</v>
      </c>
      <c r="H151" s="14" cm="1">
        <f t="array" ref="H151">0.000001 * SUM(
  SUMIFS(
    'Resource Summary'!$O:$O,
    'Resource Summary'!$B:$B,zones_to_group,
    'Resource Summary'!$A:$A,TRANSPOSE(_xlfn._xlws.FILTER('Results Grouping'!$G$9:$G$322,('Results Grouping'!$H$9:$H$322=$D$143) * ('Results Grouping'!$I$9:$I$322=$D151),0)),
    'Resource Summary'!$C:$C,H$146
  )
)</f>
        <v>0</v>
      </c>
      <c r="I151" s="14" cm="1">
        <f t="array" ref="I151">0.000001 * SUM(
  SUMIFS(
    'Resource Summary'!$O:$O,
    'Resource Summary'!$B:$B,zones_to_group,
    'Resource Summary'!$A:$A,TRANSPOSE(_xlfn._xlws.FILTER('Results Grouping'!$G$9:$G$322,('Results Grouping'!$H$9:$H$322=$D$143) * ('Results Grouping'!$I$9:$I$322=$D151),0)),
    'Resource Summary'!$C:$C,I$146
  )
)</f>
        <v>0</v>
      </c>
      <c r="J151" s="14" cm="1">
        <f t="array" ref="J151">0.000001 * SUM(
  SUMIFS(
    'Resource Summary'!$O:$O,
    'Resource Summary'!$B:$B,zones_to_group,
    'Resource Summary'!$A:$A,TRANSPOSE(_xlfn._xlws.FILTER('Results Grouping'!$G$9:$G$322,('Results Grouping'!$H$9:$H$322=$D$143) * ('Results Grouping'!$I$9:$I$322=$D151),0)),
    'Resource Summary'!$C:$C,J$146
  )
)</f>
        <v>0</v>
      </c>
      <c r="K151" s="14" cm="1">
        <f t="array" ref="K151">0.000001 * SUM(
  SUMIFS(
    'Resource Summary'!$O:$O,
    'Resource Summary'!$B:$B,zones_to_group,
    'Resource Summary'!$A:$A,TRANSPOSE(_xlfn._xlws.FILTER('Results Grouping'!$G$9:$G$322,('Results Grouping'!$H$9:$H$322=$D$143) * ('Results Grouping'!$I$9:$I$322=$D151),0)),
    'Resource Summary'!$C:$C,K$146
  )
)</f>
        <v>0</v>
      </c>
      <c r="L151" s="14" cm="1">
        <f t="array" ref="L151">0.000001 * SUM(
  SUMIFS(
    'Resource Summary'!$O:$O,
    'Resource Summary'!$B:$B,zones_to_group,
    'Resource Summary'!$A:$A,TRANSPOSE(_xlfn._xlws.FILTER('Results Grouping'!$G$9:$G$322,('Results Grouping'!$H$9:$H$322=$D$143) * ('Results Grouping'!$I$9:$I$322=$D151),0)),
    'Resource Summary'!$C:$C,L$146
  )
)</f>
        <v>0</v>
      </c>
      <c r="M151" s="14" cm="1">
        <f t="array" ref="M151">0.000001 * SUM(
  SUMIFS(
    'Resource Summary'!$O:$O,
    'Resource Summary'!$B:$B,zones_to_group,
    'Resource Summary'!$A:$A,TRANSPOSE(_xlfn._xlws.FILTER('Results Grouping'!$G$9:$G$322,('Results Grouping'!$H$9:$H$322=$D$143) * ('Results Grouping'!$I$9:$I$322=$D151),0)),
    'Resource Summary'!$C:$C,M$146
  )
)</f>
        <v>0</v>
      </c>
      <c r="N151" s="14" cm="1">
        <f t="array" ref="N151">0.000001 * SUM(
  SUMIFS(
    'Resource Summary'!$O:$O,
    'Resource Summary'!$B:$B,zones_to_group,
    'Resource Summary'!$A:$A,TRANSPOSE(_xlfn._xlws.FILTER('Results Grouping'!$G$9:$G$322,('Results Grouping'!$H$9:$H$322=$D$143) * ('Results Grouping'!$I$9:$I$322=$D151),0)),
    'Resource Summary'!$C:$C,N$146
  )
)</f>
        <v>0</v>
      </c>
      <c r="O151" s="14" cm="1">
        <f t="array" ref="O151">0.000001 * SUM(
  SUMIFS(
    'Resource Summary'!$O:$O,
    'Resource Summary'!$B:$B,zones_to_group,
    'Resource Summary'!$A:$A,TRANSPOSE(_xlfn._xlws.FILTER('Results Grouping'!$G$9:$G$322,('Results Grouping'!$H$9:$H$322=$D$143) * ('Results Grouping'!$I$9:$I$322=$D151),0)),
    'Resource Summary'!$C:$C,O$146
  )
)</f>
        <v>0</v>
      </c>
      <c r="P151" s="14" cm="1">
        <f t="array" ref="P151">0.000001 * SUM(
  SUMIFS(
    'Resource Summary'!$O:$O,
    'Resource Summary'!$B:$B,zones_to_group,
    'Resource Summary'!$A:$A,TRANSPOSE(_xlfn._xlws.FILTER('Results Grouping'!$G$9:$G$322,('Results Grouping'!$H$9:$H$322=$D$143) * ('Results Grouping'!$I$9:$I$322=$D151),0)),
    'Resource Summary'!$C:$C,P$146
  )
)</f>
        <v>0</v>
      </c>
      <c r="Q151" s="14" cm="1">
        <f t="array" ref="Q151">0.000001 * SUM(
  SUMIFS(
    'Resource Summary'!$O:$O,
    'Resource Summary'!$B:$B,zones_to_group,
    'Resource Summary'!$A:$A,TRANSPOSE(_xlfn._xlws.FILTER('Results Grouping'!$G$9:$G$322,('Results Grouping'!$H$9:$H$322=$D$143) * ('Results Grouping'!$I$9:$I$322=$D151),0)),
    'Resource Summary'!$C:$C,Q$146
  )
)</f>
        <v>0</v>
      </c>
      <c r="R151" s="14" cm="1">
        <f t="array" ref="R151">0.000001 * SUM(
  SUMIFS(
    'Resource Summary'!$O:$O,
    'Resource Summary'!$B:$B,zones_to_group,
    'Resource Summary'!$A:$A,TRANSPOSE(_xlfn._xlws.FILTER('Results Grouping'!$G$9:$G$322,('Results Grouping'!$H$9:$H$322=$D$143) * ('Results Grouping'!$I$9:$I$322=$D151),0)),
    'Resource Summary'!$C:$C,R$146
  )
)</f>
        <v>0</v>
      </c>
      <c r="S151" s="14" cm="1">
        <f t="array" ref="S151">0.000001 * SUM(
  SUMIFS(
    'Resource Summary'!$O:$O,
    'Resource Summary'!$B:$B,zones_to_group,
    'Resource Summary'!$A:$A,TRANSPOSE(_xlfn._xlws.FILTER('Results Grouping'!$G$9:$G$322,('Results Grouping'!$H$9:$H$322=$D$143) * ('Results Grouping'!$I$9:$I$322=$D151),0)),
    'Resource Summary'!$C:$C,S$146
  )
)</f>
        <v>0</v>
      </c>
      <c r="T151" s="14" cm="1">
        <f t="array" ref="T151">0.000001 * SUM(
  SUMIFS(
    'Resource Summary'!$O:$O,
    'Resource Summary'!$B:$B,zones_to_group,
    'Resource Summary'!$A:$A,TRANSPOSE(_xlfn._xlws.FILTER('Results Grouping'!$G$9:$G$322,('Results Grouping'!$H$9:$H$322=$D$143) * ('Results Grouping'!$I$9:$I$322=$D151),0)),
    'Resource Summary'!$C:$C,T$146
  )
)</f>
        <v>0</v>
      </c>
      <c r="U151" s="14" cm="1">
        <f t="array" ref="U151">0.000001 * SUM(
  SUMIFS(
    'Resource Summary'!$O:$O,
    'Resource Summary'!$B:$B,zones_to_group,
    'Resource Summary'!$A:$A,TRANSPOSE(_xlfn._xlws.FILTER('Results Grouping'!$G$9:$G$322,('Results Grouping'!$H$9:$H$322=$D$143) * ('Results Grouping'!$I$9:$I$322=$D151),0)),
    'Resource Summary'!$C:$C,U$146
  )
)</f>
        <v>0</v>
      </c>
      <c r="V151" s="14" cm="1">
        <f t="array" ref="V151">0.000001 * SUM(
  SUMIFS(
    'Resource Summary'!$O:$O,
    'Resource Summary'!$B:$B,zones_to_group,
    'Resource Summary'!$A:$A,TRANSPOSE(_xlfn._xlws.FILTER('Results Grouping'!$G$9:$G$322,('Results Grouping'!$H$9:$H$322=$D$143) * ('Results Grouping'!$I$9:$I$322=$D151),0)),
    'Resource Summary'!$C:$C,V$146
  )
)</f>
        <v>0</v>
      </c>
      <c r="W151" s="14" cm="1">
        <f t="array" ref="W151">0.000001 * SUM(
  SUMIFS(
    'Resource Summary'!$O:$O,
    'Resource Summary'!$B:$B,zones_to_group,
    'Resource Summary'!$A:$A,TRANSPOSE(_xlfn._xlws.FILTER('Results Grouping'!$G$9:$G$322,('Results Grouping'!$H$9:$H$322=$D$143) * ('Results Grouping'!$I$9:$I$322=$D151),0)),
    'Resource Summary'!$C:$C,W$146
  )
)</f>
        <v>0</v>
      </c>
      <c r="X151" s="14" cm="1">
        <f t="array" ref="X151">0.000001 * SUM(
  SUMIFS(
    'Resource Summary'!$O:$O,
    'Resource Summary'!$B:$B,zones_to_group,
    'Resource Summary'!$A:$A,TRANSPOSE(_xlfn._xlws.FILTER('Results Grouping'!$G$9:$G$322,('Results Grouping'!$H$9:$H$322=$D$143) * ('Results Grouping'!$I$9:$I$322=$D151),0)),
    'Resource Summary'!$C:$C,X$146
  )
)</f>
        <v>0</v>
      </c>
      <c r="Y151" s="14" cm="1">
        <f t="array" ref="Y151">0.000001 * SUM(
  SUMIFS(
    'Resource Summary'!$O:$O,
    'Resource Summary'!$B:$B,zones_to_group,
    'Resource Summary'!$A:$A,TRANSPOSE(_xlfn._xlws.FILTER('Results Grouping'!$G$9:$G$322,('Results Grouping'!$H$9:$H$322=$D$143) * ('Results Grouping'!$I$9:$I$322=$D151),0)),
    'Resource Summary'!$C:$C,Y$146
  )
)</f>
        <v>0</v>
      </c>
      <c r="Z151" s="14" cm="1">
        <f t="array" ref="Z151">0.000001 * SUM(
  SUMIFS(
    'Resource Summary'!$O:$O,
    'Resource Summary'!$B:$B,zones_to_group,
    'Resource Summary'!$A:$A,TRANSPOSE(_xlfn._xlws.FILTER('Results Grouping'!$G$9:$G$322,('Results Grouping'!$H$9:$H$322=$D$143) * ('Results Grouping'!$I$9:$I$322=$D151),0)),
    'Resource Summary'!$C:$C,Z$146
  )
)</f>
        <v>0</v>
      </c>
      <c r="AA151" s="14" cm="1">
        <f t="array" ref="AA151">0.000001 * SUM(
  SUMIFS(
    'Resource Summary'!$O:$O,
    'Resource Summary'!$B:$B,zones_to_group,
    'Resource Summary'!$A:$A,TRANSPOSE(_xlfn._xlws.FILTER('Results Grouping'!$G$9:$G$322,('Results Grouping'!$H$9:$H$322=$D$143) * ('Results Grouping'!$I$9:$I$322=$D151),0)),
    'Resource Summary'!$C:$C,AA$146
  )
)</f>
        <v>0</v>
      </c>
      <c r="AB151" s="14" cm="1">
        <f t="array" ref="AB151">0.000001 * SUM(
  SUMIFS(
    'Resource Summary'!$O:$O,
    'Resource Summary'!$B:$B,zones_to_group,
    'Resource Summary'!$A:$A,TRANSPOSE(_xlfn._xlws.FILTER('Results Grouping'!$G$9:$G$322,('Results Grouping'!$H$9:$H$322=$D$143) * ('Results Grouping'!$I$9:$I$322=$D151),0)),
    'Resource Summary'!$C:$C,AB$146
  )
)</f>
        <v>0</v>
      </c>
      <c r="AC151" s="14" cm="1">
        <f t="array" ref="AC151">0.000001 * SUM(
  SUMIFS(
    'Resource Summary'!$O:$O,
    'Resource Summary'!$B:$B,zones_to_group,
    'Resource Summary'!$A:$A,TRANSPOSE(_xlfn._xlws.FILTER('Results Grouping'!$G$9:$G$322,('Results Grouping'!$H$9:$H$322=$D$143) * ('Results Grouping'!$I$9:$I$322=$D151),0)),
    'Resource Summary'!$C:$C,AC$146
  )
)</f>
        <v>0</v>
      </c>
      <c r="AD151" s="14" cm="1">
        <f t="array" ref="AD151">0.000001 * SUM(
  SUMIFS(
    'Resource Summary'!$O:$O,
    'Resource Summary'!$B:$B,zones_to_group,
    'Resource Summary'!$A:$A,TRANSPOSE(_xlfn._xlws.FILTER('Results Grouping'!$G$9:$G$322,('Results Grouping'!$H$9:$H$322=$D$143) * ('Results Grouping'!$I$9:$I$322=$D151),0)),
    'Resource Summary'!$C:$C,AD$146
  )
)</f>
        <v>9.4400019880289854</v>
      </c>
      <c r="AH151" s="34"/>
    </row>
    <row r="152" spans="4:34" outlineLevel="1" x14ac:dyDescent="0.2">
      <c r="D152" s="8" t="s">
        <v>120</v>
      </c>
      <c r="E152" s="14" cm="1">
        <f t="array" ref="E152">0.000001 * SUM(
  SUMIFS(
    'Resource Summary'!$O:$O,
    'Resource Summary'!$B:$B,zones_to_group,
    'Resource Summary'!$A:$A,TRANSPOSE(_xlfn._xlws.FILTER('Results Grouping'!$G$9:$G$322,('Results Grouping'!$H$9:$H$322=$D$143) * ('Results Grouping'!$I$9:$I$322=$D152),0)),
    'Resource Summary'!$C:$C,E$146
  )
)</f>
        <v>0</v>
      </c>
      <c r="F152" s="14" cm="1">
        <f t="array" ref="F152">0.000001 * SUM(
  SUMIFS(
    'Resource Summary'!$O:$O,
    'Resource Summary'!$B:$B,zones_to_group,
    'Resource Summary'!$A:$A,TRANSPOSE(_xlfn._xlws.FILTER('Results Grouping'!$G$9:$G$322,('Results Grouping'!$H$9:$H$322=$D$143) * ('Results Grouping'!$I$9:$I$322=$D152),0)),
    'Resource Summary'!$C:$C,F$146
  )
)</f>
        <v>0</v>
      </c>
      <c r="G152" s="14" cm="1">
        <f t="array" ref="G152">0.000001 * SUM(
  SUMIFS(
    'Resource Summary'!$O:$O,
    'Resource Summary'!$B:$B,zones_to_group,
    'Resource Summary'!$A:$A,TRANSPOSE(_xlfn._xlws.FILTER('Results Grouping'!$G$9:$G$322,('Results Grouping'!$H$9:$H$322=$D$143) * ('Results Grouping'!$I$9:$I$322=$D152),0)),
    'Resource Summary'!$C:$C,G$146
  )
)</f>
        <v>0</v>
      </c>
      <c r="H152" s="14" cm="1">
        <f t="array" ref="H152">0.000001 * SUM(
  SUMIFS(
    'Resource Summary'!$O:$O,
    'Resource Summary'!$B:$B,zones_to_group,
    'Resource Summary'!$A:$A,TRANSPOSE(_xlfn._xlws.FILTER('Results Grouping'!$G$9:$G$322,('Results Grouping'!$H$9:$H$322=$D$143) * ('Results Grouping'!$I$9:$I$322=$D152),0)),
    'Resource Summary'!$C:$C,H$146
  )
)</f>
        <v>0</v>
      </c>
      <c r="I152" s="14" cm="1">
        <f t="array" ref="I152">0.000001 * SUM(
  SUMIFS(
    'Resource Summary'!$O:$O,
    'Resource Summary'!$B:$B,zones_to_group,
    'Resource Summary'!$A:$A,TRANSPOSE(_xlfn._xlws.FILTER('Results Grouping'!$G$9:$G$322,('Results Grouping'!$H$9:$H$322=$D$143) * ('Results Grouping'!$I$9:$I$322=$D152),0)),
    'Resource Summary'!$C:$C,I$146
  )
)</f>
        <v>0</v>
      </c>
      <c r="J152" s="14" cm="1">
        <f t="array" ref="J152">0.000001 * SUM(
  SUMIFS(
    'Resource Summary'!$O:$O,
    'Resource Summary'!$B:$B,zones_to_group,
    'Resource Summary'!$A:$A,TRANSPOSE(_xlfn._xlws.FILTER('Results Grouping'!$G$9:$G$322,('Results Grouping'!$H$9:$H$322=$D$143) * ('Results Grouping'!$I$9:$I$322=$D152),0)),
    'Resource Summary'!$C:$C,J$146
  )
)</f>
        <v>0</v>
      </c>
      <c r="K152" s="14" cm="1">
        <f t="array" ref="K152">0.000001 * SUM(
  SUMIFS(
    'Resource Summary'!$O:$O,
    'Resource Summary'!$B:$B,zones_to_group,
    'Resource Summary'!$A:$A,TRANSPOSE(_xlfn._xlws.FILTER('Results Grouping'!$G$9:$G$322,('Results Grouping'!$H$9:$H$322=$D$143) * ('Results Grouping'!$I$9:$I$322=$D152),0)),
    'Resource Summary'!$C:$C,K$146
  )
)</f>
        <v>0</v>
      </c>
      <c r="L152" s="14" cm="1">
        <f t="array" ref="L152">0.000001 * SUM(
  SUMIFS(
    'Resource Summary'!$O:$O,
    'Resource Summary'!$B:$B,zones_to_group,
    'Resource Summary'!$A:$A,TRANSPOSE(_xlfn._xlws.FILTER('Results Grouping'!$G$9:$G$322,('Results Grouping'!$H$9:$H$322=$D$143) * ('Results Grouping'!$I$9:$I$322=$D152),0)),
    'Resource Summary'!$C:$C,L$146
  )
)</f>
        <v>0</v>
      </c>
      <c r="M152" s="14" cm="1">
        <f t="array" ref="M152">0.000001 * SUM(
  SUMIFS(
    'Resource Summary'!$O:$O,
    'Resource Summary'!$B:$B,zones_to_group,
    'Resource Summary'!$A:$A,TRANSPOSE(_xlfn._xlws.FILTER('Results Grouping'!$G$9:$G$322,('Results Grouping'!$H$9:$H$322=$D$143) * ('Results Grouping'!$I$9:$I$322=$D152),0)),
    'Resource Summary'!$C:$C,M$146
  )
)</f>
        <v>0</v>
      </c>
      <c r="N152" s="14" cm="1">
        <f t="array" ref="N152">0.000001 * SUM(
  SUMIFS(
    'Resource Summary'!$O:$O,
    'Resource Summary'!$B:$B,zones_to_group,
    'Resource Summary'!$A:$A,TRANSPOSE(_xlfn._xlws.FILTER('Results Grouping'!$G$9:$G$322,('Results Grouping'!$H$9:$H$322=$D$143) * ('Results Grouping'!$I$9:$I$322=$D152),0)),
    'Resource Summary'!$C:$C,N$146
  )
)</f>
        <v>0</v>
      </c>
      <c r="O152" s="14" cm="1">
        <f t="array" ref="O152">0.000001 * SUM(
  SUMIFS(
    'Resource Summary'!$O:$O,
    'Resource Summary'!$B:$B,zones_to_group,
    'Resource Summary'!$A:$A,TRANSPOSE(_xlfn._xlws.FILTER('Results Grouping'!$G$9:$G$322,('Results Grouping'!$H$9:$H$322=$D$143) * ('Results Grouping'!$I$9:$I$322=$D152),0)),
    'Resource Summary'!$C:$C,O$146
  )
)</f>
        <v>0</v>
      </c>
      <c r="P152" s="14" cm="1">
        <f t="array" ref="P152">0.000001 * SUM(
  SUMIFS(
    'Resource Summary'!$O:$O,
    'Resource Summary'!$B:$B,zones_to_group,
    'Resource Summary'!$A:$A,TRANSPOSE(_xlfn._xlws.FILTER('Results Grouping'!$G$9:$G$322,('Results Grouping'!$H$9:$H$322=$D$143) * ('Results Grouping'!$I$9:$I$322=$D152),0)),
    'Resource Summary'!$C:$C,P$146
  )
)</f>
        <v>0</v>
      </c>
      <c r="Q152" s="14" cm="1">
        <f t="array" ref="Q152">0.000001 * SUM(
  SUMIFS(
    'Resource Summary'!$O:$O,
    'Resource Summary'!$B:$B,zones_to_group,
    'Resource Summary'!$A:$A,TRANSPOSE(_xlfn._xlws.FILTER('Results Grouping'!$G$9:$G$322,('Results Grouping'!$H$9:$H$322=$D$143) * ('Results Grouping'!$I$9:$I$322=$D152),0)),
    'Resource Summary'!$C:$C,Q$146
  )
)</f>
        <v>0</v>
      </c>
      <c r="R152" s="14" cm="1">
        <f t="array" ref="R152">0.000001 * SUM(
  SUMIFS(
    'Resource Summary'!$O:$O,
    'Resource Summary'!$B:$B,zones_to_group,
    'Resource Summary'!$A:$A,TRANSPOSE(_xlfn._xlws.FILTER('Results Grouping'!$G$9:$G$322,('Results Grouping'!$H$9:$H$322=$D$143) * ('Results Grouping'!$I$9:$I$322=$D152),0)),
    'Resource Summary'!$C:$C,R$146
  )
)</f>
        <v>0</v>
      </c>
      <c r="S152" s="14" cm="1">
        <f t="array" ref="S152">0.000001 * SUM(
  SUMIFS(
    'Resource Summary'!$O:$O,
    'Resource Summary'!$B:$B,zones_to_group,
    'Resource Summary'!$A:$A,TRANSPOSE(_xlfn._xlws.FILTER('Results Grouping'!$G$9:$G$322,('Results Grouping'!$H$9:$H$322=$D$143) * ('Results Grouping'!$I$9:$I$322=$D152),0)),
    'Resource Summary'!$C:$C,S$146
  )
)</f>
        <v>0</v>
      </c>
      <c r="T152" s="14" cm="1">
        <f t="array" ref="T152">0.000001 * SUM(
  SUMIFS(
    'Resource Summary'!$O:$O,
    'Resource Summary'!$B:$B,zones_to_group,
    'Resource Summary'!$A:$A,TRANSPOSE(_xlfn._xlws.FILTER('Results Grouping'!$G$9:$G$322,('Results Grouping'!$H$9:$H$322=$D$143) * ('Results Grouping'!$I$9:$I$322=$D152),0)),
    'Resource Summary'!$C:$C,T$146
  )
)</f>
        <v>0</v>
      </c>
      <c r="U152" s="14" cm="1">
        <f t="array" ref="U152">0.000001 * SUM(
  SUMIFS(
    'Resource Summary'!$O:$O,
    'Resource Summary'!$B:$B,zones_to_group,
    'Resource Summary'!$A:$A,TRANSPOSE(_xlfn._xlws.FILTER('Results Grouping'!$G$9:$G$322,('Results Grouping'!$H$9:$H$322=$D$143) * ('Results Grouping'!$I$9:$I$322=$D152),0)),
    'Resource Summary'!$C:$C,U$146
  )
)</f>
        <v>0</v>
      </c>
      <c r="V152" s="14" cm="1">
        <f t="array" ref="V152">0.000001 * SUM(
  SUMIFS(
    'Resource Summary'!$O:$O,
    'Resource Summary'!$B:$B,zones_to_group,
    'Resource Summary'!$A:$A,TRANSPOSE(_xlfn._xlws.FILTER('Results Grouping'!$G$9:$G$322,('Results Grouping'!$H$9:$H$322=$D$143) * ('Results Grouping'!$I$9:$I$322=$D152),0)),
    'Resource Summary'!$C:$C,V$146
  )
)</f>
        <v>0</v>
      </c>
      <c r="W152" s="14" cm="1">
        <f t="array" ref="W152">0.000001 * SUM(
  SUMIFS(
    'Resource Summary'!$O:$O,
    'Resource Summary'!$B:$B,zones_to_group,
    'Resource Summary'!$A:$A,TRANSPOSE(_xlfn._xlws.FILTER('Results Grouping'!$G$9:$G$322,('Results Grouping'!$H$9:$H$322=$D$143) * ('Results Grouping'!$I$9:$I$322=$D152),0)),
    'Resource Summary'!$C:$C,W$146
  )
)</f>
        <v>0</v>
      </c>
      <c r="X152" s="14" cm="1">
        <f t="array" ref="X152">0.000001 * SUM(
  SUMIFS(
    'Resource Summary'!$O:$O,
    'Resource Summary'!$B:$B,zones_to_group,
    'Resource Summary'!$A:$A,TRANSPOSE(_xlfn._xlws.FILTER('Results Grouping'!$G$9:$G$322,('Results Grouping'!$H$9:$H$322=$D$143) * ('Results Grouping'!$I$9:$I$322=$D152),0)),
    'Resource Summary'!$C:$C,X$146
  )
)</f>
        <v>0</v>
      </c>
      <c r="Y152" s="14" cm="1">
        <f t="array" ref="Y152">0.000001 * SUM(
  SUMIFS(
    'Resource Summary'!$O:$O,
    'Resource Summary'!$B:$B,zones_to_group,
    'Resource Summary'!$A:$A,TRANSPOSE(_xlfn._xlws.FILTER('Results Grouping'!$G$9:$G$322,('Results Grouping'!$H$9:$H$322=$D$143) * ('Results Grouping'!$I$9:$I$322=$D152),0)),
    'Resource Summary'!$C:$C,Y$146
  )
)</f>
        <v>0</v>
      </c>
      <c r="Z152" s="14" cm="1">
        <f t="array" ref="Z152">0.000001 * SUM(
  SUMIFS(
    'Resource Summary'!$O:$O,
    'Resource Summary'!$B:$B,zones_to_group,
    'Resource Summary'!$A:$A,TRANSPOSE(_xlfn._xlws.FILTER('Results Grouping'!$G$9:$G$322,('Results Grouping'!$H$9:$H$322=$D$143) * ('Results Grouping'!$I$9:$I$322=$D152),0)),
    'Resource Summary'!$C:$C,Z$146
  )
)</f>
        <v>0</v>
      </c>
      <c r="AA152" s="14" cm="1">
        <f t="array" ref="AA152">0.000001 * SUM(
  SUMIFS(
    'Resource Summary'!$O:$O,
    'Resource Summary'!$B:$B,zones_to_group,
    'Resource Summary'!$A:$A,TRANSPOSE(_xlfn._xlws.FILTER('Results Grouping'!$G$9:$G$322,('Results Grouping'!$H$9:$H$322=$D$143) * ('Results Grouping'!$I$9:$I$322=$D152),0)),
    'Resource Summary'!$C:$C,AA$146
  )
)</f>
        <v>0</v>
      </c>
      <c r="AB152" s="14" cm="1">
        <f t="array" ref="AB152">0.000001 * SUM(
  SUMIFS(
    'Resource Summary'!$O:$O,
    'Resource Summary'!$B:$B,zones_to_group,
    'Resource Summary'!$A:$A,TRANSPOSE(_xlfn._xlws.FILTER('Results Grouping'!$G$9:$G$322,('Results Grouping'!$H$9:$H$322=$D$143) * ('Results Grouping'!$I$9:$I$322=$D152),0)),
    'Resource Summary'!$C:$C,AB$146
  )
)</f>
        <v>0</v>
      </c>
      <c r="AC152" s="14" cm="1">
        <f t="array" ref="AC152">0.000001 * SUM(
  SUMIFS(
    'Resource Summary'!$O:$O,
    'Resource Summary'!$B:$B,zones_to_group,
    'Resource Summary'!$A:$A,TRANSPOSE(_xlfn._xlws.FILTER('Results Grouping'!$G$9:$G$322,('Results Grouping'!$H$9:$H$322=$D$143) * ('Results Grouping'!$I$9:$I$322=$D152),0)),
    'Resource Summary'!$C:$C,AC$146
  )
)</f>
        <v>0</v>
      </c>
      <c r="AD152" s="14" cm="1">
        <f t="array" ref="AD152">0.000001 * SUM(
  SUMIFS(
    'Resource Summary'!$O:$O,
    'Resource Summary'!$B:$B,zones_to_group,
    'Resource Summary'!$A:$A,TRANSPOSE(_xlfn._xlws.FILTER('Results Grouping'!$G$9:$G$322,('Results Grouping'!$H$9:$H$322=$D$143) * ('Results Grouping'!$I$9:$I$322=$D152),0)),
    'Resource Summary'!$C:$C,AD$146
  )
)</f>
        <v>4.1469154967999993</v>
      </c>
      <c r="AH152" s="34"/>
    </row>
    <row r="153" spans="4:34" outlineLevel="1" x14ac:dyDescent="0.2">
      <c r="D153" s="8" t="s">
        <v>122</v>
      </c>
      <c r="E153" s="14" cm="1">
        <f t="array" ref="E153">0.000001 * SUM(
  SUMIFS(
    'Resource Summary'!$O:$O,
    'Resource Summary'!$B:$B,zones_to_group,
    'Resource Summary'!$A:$A,TRANSPOSE(_xlfn._xlws.FILTER('Results Grouping'!$G$9:$G$322,('Results Grouping'!$H$9:$H$322=$D$143) * ('Results Grouping'!$I$9:$I$322=$D153),0)),
    'Resource Summary'!$C:$C,E$146
  )
)</f>
        <v>0</v>
      </c>
      <c r="F153" s="14" cm="1">
        <f t="array" ref="F153">0.000001 * SUM(
  SUMIFS(
    'Resource Summary'!$O:$O,
    'Resource Summary'!$B:$B,zones_to_group,
    'Resource Summary'!$A:$A,TRANSPOSE(_xlfn._xlws.FILTER('Results Grouping'!$G$9:$G$322,('Results Grouping'!$H$9:$H$322=$D$143) * ('Results Grouping'!$I$9:$I$322=$D153),0)),
    'Resource Summary'!$C:$C,F$146
  )
)</f>
        <v>0</v>
      </c>
      <c r="G153" s="14" cm="1">
        <f t="array" ref="G153">0.000001 * SUM(
  SUMIFS(
    'Resource Summary'!$O:$O,
    'Resource Summary'!$B:$B,zones_to_group,
    'Resource Summary'!$A:$A,TRANSPOSE(_xlfn._xlws.FILTER('Results Grouping'!$G$9:$G$322,('Results Grouping'!$H$9:$H$322=$D$143) * ('Results Grouping'!$I$9:$I$322=$D153),0)),
    'Resource Summary'!$C:$C,G$146
  )
)</f>
        <v>0</v>
      </c>
      <c r="H153" s="14" cm="1">
        <f t="array" ref="H153">0.000001 * SUM(
  SUMIFS(
    'Resource Summary'!$O:$O,
    'Resource Summary'!$B:$B,zones_to_group,
    'Resource Summary'!$A:$A,TRANSPOSE(_xlfn._xlws.FILTER('Results Grouping'!$G$9:$G$322,('Results Grouping'!$H$9:$H$322=$D$143) * ('Results Grouping'!$I$9:$I$322=$D153),0)),
    'Resource Summary'!$C:$C,H$146
  )
)</f>
        <v>0</v>
      </c>
      <c r="I153" s="14" cm="1">
        <f t="array" ref="I153">0.000001 * SUM(
  SUMIFS(
    'Resource Summary'!$O:$O,
    'Resource Summary'!$B:$B,zones_to_group,
    'Resource Summary'!$A:$A,TRANSPOSE(_xlfn._xlws.FILTER('Results Grouping'!$G$9:$G$322,('Results Grouping'!$H$9:$H$322=$D$143) * ('Results Grouping'!$I$9:$I$322=$D153),0)),
    'Resource Summary'!$C:$C,I$146
  )
)</f>
        <v>0</v>
      </c>
      <c r="J153" s="14" cm="1">
        <f t="array" ref="J153">0.000001 * SUM(
  SUMIFS(
    'Resource Summary'!$O:$O,
    'Resource Summary'!$B:$B,zones_to_group,
    'Resource Summary'!$A:$A,TRANSPOSE(_xlfn._xlws.FILTER('Results Grouping'!$G$9:$G$322,('Results Grouping'!$H$9:$H$322=$D$143) * ('Results Grouping'!$I$9:$I$322=$D153),0)),
    'Resource Summary'!$C:$C,J$146
  )
)</f>
        <v>0</v>
      </c>
      <c r="K153" s="14" cm="1">
        <f t="array" ref="K153">0.000001 * SUM(
  SUMIFS(
    'Resource Summary'!$O:$O,
    'Resource Summary'!$B:$B,zones_to_group,
    'Resource Summary'!$A:$A,TRANSPOSE(_xlfn._xlws.FILTER('Results Grouping'!$G$9:$G$322,('Results Grouping'!$H$9:$H$322=$D$143) * ('Results Grouping'!$I$9:$I$322=$D153),0)),
    'Resource Summary'!$C:$C,K$146
  )
)</f>
        <v>0</v>
      </c>
      <c r="L153" s="14" cm="1">
        <f t="array" ref="L153">0.000001 * SUM(
  SUMIFS(
    'Resource Summary'!$O:$O,
    'Resource Summary'!$B:$B,zones_to_group,
    'Resource Summary'!$A:$A,TRANSPOSE(_xlfn._xlws.FILTER('Results Grouping'!$G$9:$G$322,('Results Grouping'!$H$9:$H$322=$D$143) * ('Results Grouping'!$I$9:$I$322=$D153),0)),
    'Resource Summary'!$C:$C,L$146
  )
)</f>
        <v>0</v>
      </c>
      <c r="M153" s="14" cm="1">
        <f t="array" ref="M153">0.000001 * SUM(
  SUMIFS(
    'Resource Summary'!$O:$O,
    'Resource Summary'!$B:$B,zones_to_group,
    'Resource Summary'!$A:$A,TRANSPOSE(_xlfn._xlws.FILTER('Results Grouping'!$G$9:$G$322,('Results Grouping'!$H$9:$H$322=$D$143) * ('Results Grouping'!$I$9:$I$322=$D153),0)),
    'Resource Summary'!$C:$C,M$146
  )
)</f>
        <v>0</v>
      </c>
      <c r="N153" s="14" cm="1">
        <f t="array" ref="N153">0.000001 * SUM(
  SUMIFS(
    'Resource Summary'!$O:$O,
    'Resource Summary'!$B:$B,zones_to_group,
    'Resource Summary'!$A:$A,TRANSPOSE(_xlfn._xlws.FILTER('Results Grouping'!$G$9:$G$322,('Results Grouping'!$H$9:$H$322=$D$143) * ('Results Grouping'!$I$9:$I$322=$D153),0)),
    'Resource Summary'!$C:$C,N$146
  )
)</f>
        <v>0</v>
      </c>
      <c r="O153" s="14" cm="1">
        <f t="array" ref="O153">0.000001 * SUM(
  SUMIFS(
    'Resource Summary'!$O:$O,
    'Resource Summary'!$B:$B,zones_to_group,
    'Resource Summary'!$A:$A,TRANSPOSE(_xlfn._xlws.FILTER('Results Grouping'!$G$9:$G$322,('Results Grouping'!$H$9:$H$322=$D$143) * ('Results Grouping'!$I$9:$I$322=$D153),0)),
    'Resource Summary'!$C:$C,O$146
  )
)</f>
        <v>0</v>
      </c>
      <c r="P153" s="14" cm="1">
        <f t="array" ref="P153">0.000001 * SUM(
  SUMIFS(
    'Resource Summary'!$O:$O,
    'Resource Summary'!$B:$B,zones_to_group,
    'Resource Summary'!$A:$A,TRANSPOSE(_xlfn._xlws.FILTER('Results Grouping'!$G$9:$G$322,('Results Grouping'!$H$9:$H$322=$D$143) * ('Results Grouping'!$I$9:$I$322=$D153),0)),
    'Resource Summary'!$C:$C,P$146
  )
)</f>
        <v>0</v>
      </c>
      <c r="Q153" s="14" cm="1">
        <f t="array" ref="Q153">0.000001 * SUM(
  SUMIFS(
    'Resource Summary'!$O:$O,
    'Resource Summary'!$B:$B,zones_to_group,
    'Resource Summary'!$A:$A,TRANSPOSE(_xlfn._xlws.FILTER('Results Grouping'!$G$9:$G$322,('Results Grouping'!$H$9:$H$322=$D$143) * ('Results Grouping'!$I$9:$I$322=$D153),0)),
    'Resource Summary'!$C:$C,Q$146
  )
)</f>
        <v>0</v>
      </c>
      <c r="R153" s="14" cm="1">
        <f t="array" ref="R153">0.000001 * SUM(
  SUMIFS(
    'Resource Summary'!$O:$O,
    'Resource Summary'!$B:$B,zones_to_group,
    'Resource Summary'!$A:$A,TRANSPOSE(_xlfn._xlws.FILTER('Results Grouping'!$G$9:$G$322,('Results Grouping'!$H$9:$H$322=$D$143) * ('Results Grouping'!$I$9:$I$322=$D153),0)),
    'Resource Summary'!$C:$C,R$146
  )
)</f>
        <v>0</v>
      </c>
      <c r="S153" s="14" cm="1">
        <f t="array" ref="S153">0.000001 * SUM(
  SUMIFS(
    'Resource Summary'!$O:$O,
    'Resource Summary'!$B:$B,zones_to_group,
    'Resource Summary'!$A:$A,TRANSPOSE(_xlfn._xlws.FILTER('Results Grouping'!$G$9:$G$322,('Results Grouping'!$H$9:$H$322=$D$143) * ('Results Grouping'!$I$9:$I$322=$D153),0)),
    'Resource Summary'!$C:$C,S$146
  )
)</f>
        <v>0</v>
      </c>
      <c r="T153" s="14" cm="1">
        <f t="array" ref="T153">0.000001 * SUM(
  SUMIFS(
    'Resource Summary'!$O:$O,
    'Resource Summary'!$B:$B,zones_to_group,
    'Resource Summary'!$A:$A,TRANSPOSE(_xlfn._xlws.FILTER('Results Grouping'!$G$9:$G$322,('Results Grouping'!$H$9:$H$322=$D$143) * ('Results Grouping'!$I$9:$I$322=$D153),0)),
    'Resource Summary'!$C:$C,T$146
  )
)</f>
        <v>0</v>
      </c>
      <c r="U153" s="14" cm="1">
        <f t="array" ref="U153">0.000001 * SUM(
  SUMIFS(
    'Resource Summary'!$O:$O,
    'Resource Summary'!$B:$B,zones_to_group,
    'Resource Summary'!$A:$A,TRANSPOSE(_xlfn._xlws.FILTER('Results Grouping'!$G$9:$G$322,('Results Grouping'!$H$9:$H$322=$D$143) * ('Results Grouping'!$I$9:$I$322=$D153),0)),
    'Resource Summary'!$C:$C,U$146
  )
)</f>
        <v>0</v>
      </c>
      <c r="V153" s="14" cm="1">
        <f t="array" ref="V153">0.000001 * SUM(
  SUMIFS(
    'Resource Summary'!$O:$O,
    'Resource Summary'!$B:$B,zones_to_group,
    'Resource Summary'!$A:$A,TRANSPOSE(_xlfn._xlws.FILTER('Results Grouping'!$G$9:$G$322,('Results Grouping'!$H$9:$H$322=$D$143) * ('Results Grouping'!$I$9:$I$322=$D153),0)),
    'Resource Summary'!$C:$C,V$146
  )
)</f>
        <v>0</v>
      </c>
      <c r="W153" s="14" cm="1">
        <f t="array" ref="W153">0.000001 * SUM(
  SUMIFS(
    'Resource Summary'!$O:$O,
    'Resource Summary'!$B:$B,zones_to_group,
    'Resource Summary'!$A:$A,TRANSPOSE(_xlfn._xlws.FILTER('Results Grouping'!$G$9:$G$322,('Results Grouping'!$H$9:$H$322=$D$143) * ('Results Grouping'!$I$9:$I$322=$D153),0)),
    'Resource Summary'!$C:$C,W$146
  )
)</f>
        <v>0</v>
      </c>
      <c r="X153" s="14" cm="1">
        <f t="array" ref="X153">0.000001 * SUM(
  SUMIFS(
    'Resource Summary'!$O:$O,
    'Resource Summary'!$B:$B,zones_to_group,
    'Resource Summary'!$A:$A,TRANSPOSE(_xlfn._xlws.FILTER('Results Grouping'!$G$9:$G$322,('Results Grouping'!$H$9:$H$322=$D$143) * ('Results Grouping'!$I$9:$I$322=$D153),0)),
    'Resource Summary'!$C:$C,X$146
  )
)</f>
        <v>0</v>
      </c>
      <c r="Y153" s="14" cm="1">
        <f t="array" ref="Y153">0.000001 * SUM(
  SUMIFS(
    'Resource Summary'!$O:$O,
    'Resource Summary'!$B:$B,zones_to_group,
    'Resource Summary'!$A:$A,TRANSPOSE(_xlfn._xlws.FILTER('Results Grouping'!$G$9:$G$322,('Results Grouping'!$H$9:$H$322=$D$143) * ('Results Grouping'!$I$9:$I$322=$D153),0)),
    'Resource Summary'!$C:$C,Y$146
  )
)</f>
        <v>0</v>
      </c>
      <c r="Z153" s="14" cm="1">
        <f t="array" ref="Z153">0.000001 * SUM(
  SUMIFS(
    'Resource Summary'!$O:$O,
    'Resource Summary'!$B:$B,zones_to_group,
    'Resource Summary'!$A:$A,TRANSPOSE(_xlfn._xlws.FILTER('Results Grouping'!$G$9:$G$322,('Results Grouping'!$H$9:$H$322=$D$143) * ('Results Grouping'!$I$9:$I$322=$D153),0)),
    'Resource Summary'!$C:$C,Z$146
  )
)</f>
        <v>0</v>
      </c>
      <c r="AA153" s="14" cm="1">
        <f t="array" ref="AA153">0.000001 * SUM(
  SUMIFS(
    'Resource Summary'!$O:$O,
    'Resource Summary'!$B:$B,zones_to_group,
    'Resource Summary'!$A:$A,TRANSPOSE(_xlfn._xlws.FILTER('Results Grouping'!$G$9:$G$322,('Results Grouping'!$H$9:$H$322=$D$143) * ('Results Grouping'!$I$9:$I$322=$D153),0)),
    'Resource Summary'!$C:$C,AA$146
  )
)</f>
        <v>0</v>
      </c>
      <c r="AB153" s="14" cm="1">
        <f t="array" ref="AB153">0.000001 * SUM(
  SUMIFS(
    'Resource Summary'!$O:$O,
    'Resource Summary'!$B:$B,zones_to_group,
    'Resource Summary'!$A:$A,TRANSPOSE(_xlfn._xlws.FILTER('Results Grouping'!$G$9:$G$322,('Results Grouping'!$H$9:$H$322=$D$143) * ('Results Grouping'!$I$9:$I$322=$D153),0)),
    'Resource Summary'!$C:$C,AB$146
  )
)</f>
        <v>0</v>
      </c>
      <c r="AC153" s="14" cm="1">
        <f t="array" ref="AC153">0.000001 * SUM(
  SUMIFS(
    'Resource Summary'!$O:$O,
    'Resource Summary'!$B:$B,zones_to_group,
    'Resource Summary'!$A:$A,TRANSPOSE(_xlfn._xlws.FILTER('Results Grouping'!$G$9:$G$322,('Results Grouping'!$H$9:$H$322=$D$143) * ('Results Grouping'!$I$9:$I$322=$D153),0)),
    'Resource Summary'!$C:$C,AC$146
  )
)</f>
        <v>0</v>
      </c>
      <c r="AD153" s="14" cm="1">
        <f t="array" ref="AD153">0.000001 * SUM(
  SUMIFS(
    'Resource Summary'!$O:$O,
    'Resource Summary'!$B:$B,zones_to_group,
    'Resource Summary'!$A:$A,TRANSPOSE(_xlfn._xlws.FILTER('Results Grouping'!$G$9:$G$322,('Results Grouping'!$H$9:$H$322=$D$143) * ('Results Grouping'!$I$9:$I$322=$D153),0)),
    'Resource Summary'!$C:$C,AD$146
  )
)</f>
        <v>33.615571841102302</v>
      </c>
      <c r="AH153" s="34"/>
    </row>
    <row r="154" spans="4:34" outlineLevel="1" x14ac:dyDescent="0.2">
      <c r="D154" s="8" t="s">
        <v>119</v>
      </c>
      <c r="E154" s="14" cm="1">
        <f t="array" ref="E154">0.000001 * SUM(
  SUMIFS(
    'Resource Summary'!$O:$O,
    'Resource Summary'!$B:$B,zones_to_group,
    'Resource Summary'!$A:$A,TRANSPOSE(_xlfn._xlws.FILTER('Results Grouping'!$G$9:$G$322,('Results Grouping'!$H$9:$H$322=$D$143) * ('Results Grouping'!$I$9:$I$322=$D154),0)),
    'Resource Summary'!$C:$C,E$146
  )
)</f>
        <v>0</v>
      </c>
      <c r="F154" s="14" cm="1">
        <f t="array" ref="F154">0.000001 * SUM(
  SUMIFS(
    'Resource Summary'!$O:$O,
    'Resource Summary'!$B:$B,zones_to_group,
    'Resource Summary'!$A:$A,TRANSPOSE(_xlfn._xlws.FILTER('Results Grouping'!$G$9:$G$322,('Results Grouping'!$H$9:$H$322=$D$143) * ('Results Grouping'!$I$9:$I$322=$D154),0)),
    'Resource Summary'!$C:$C,F$146
  )
)</f>
        <v>0</v>
      </c>
      <c r="G154" s="14" cm="1">
        <f t="array" ref="G154">0.000001 * SUM(
  SUMIFS(
    'Resource Summary'!$O:$O,
    'Resource Summary'!$B:$B,zones_to_group,
    'Resource Summary'!$A:$A,TRANSPOSE(_xlfn._xlws.FILTER('Results Grouping'!$G$9:$G$322,('Results Grouping'!$H$9:$H$322=$D$143) * ('Results Grouping'!$I$9:$I$322=$D154),0)),
    'Resource Summary'!$C:$C,G$146
  )
)</f>
        <v>0</v>
      </c>
      <c r="H154" s="14" cm="1">
        <f t="array" ref="H154">0.000001 * SUM(
  SUMIFS(
    'Resource Summary'!$O:$O,
    'Resource Summary'!$B:$B,zones_to_group,
    'Resource Summary'!$A:$A,TRANSPOSE(_xlfn._xlws.FILTER('Results Grouping'!$G$9:$G$322,('Results Grouping'!$H$9:$H$322=$D$143) * ('Results Grouping'!$I$9:$I$322=$D154),0)),
    'Resource Summary'!$C:$C,H$146
  )
)</f>
        <v>0</v>
      </c>
      <c r="I154" s="14" cm="1">
        <f t="array" ref="I154">0.000001 * SUM(
  SUMIFS(
    'Resource Summary'!$O:$O,
    'Resource Summary'!$B:$B,zones_to_group,
    'Resource Summary'!$A:$A,TRANSPOSE(_xlfn._xlws.FILTER('Results Grouping'!$G$9:$G$322,('Results Grouping'!$H$9:$H$322=$D$143) * ('Results Grouping'!$I$9:$I$322=$D154),0)),
    'Resource Summary'!$C:$C,I$146
  )
)</f>
        <v>0</v>
      </c>
      <c r="J154" s="14" cm="1">
        <f t="array" ref="J154">0.000001 * SUM(
  SUMIFS(
    'Resource Summary'!$O:$O,
    'Resource Summary'!$B:$B,zones_to_group,
    'Resource Summary'!$A:$A,TRANSPOSE(_xlfn._xlws.FILTER('Results Grouping'!$G$9:$G$322,('Results Grouping'!$H$9:$H$322=$D$143) * ('Results Grouping'!$I$9:$I$322=$D154),0)),
    'Resource Summary'!$C:$C,J$146
  )
)</f>
        <v>0</v>
      </c>
      <c r="K154" s="14" cm="1">
        <f t="array" ref="K154">0.000001 * SUM(
  SUMIFS(
    'Resource Summary'!$O:$O,
    'Resource Summary'!$B:$B,zones_to_group,
    'Resource Summary'!$A:$A,TRANSPOSE(_xlfn._xlws.FILTER('Results Grouping'!$G$9:$G$322,('Results Grouping'!$H$9:$H$322=$D$143) * ('Results Grouping'!$I$9:$I$322=$D154),0)),
    'Resource Summary'!$C:$C,K$146
  )
)</f>
        <v>0</v>
      </c>
      <c r="L154" s="14" cm="1">
        <f t="array" ref="L154">0.000001 * SUM(
  SUMIFS(
    'Resource Summary'!$O:$O,
    'Resource Summary'!$B:$B,zones_to_group,
    'Resource Summary'!$A:$A,TRANSPOSE(_xlfn._xlws.FILTER('Results Grouping'!$G$9:$G$322,('Results Grouping'!$H$9:$H$322=$D$143) * ('Results Grouping'!$I$9:$I$322=$D154),0)),
    'Resource Summary'!$C:$C,L$146
  )
)</f>
        <v>0</v>
      </c>
      <c r="M154" s="14" cm="1">
        <f t="array" ref="M154">0.000001 * SUM(
  SUMIFS(
    'Resource Summary'!$O:$O,
    'Resource Summary'!$B:$B,zones_to_group,
    'Resource Summary'!$A:$A,TRANSPOSE(_xlfn._xlws.FILTER('Results Grouping'!$G$9:$G$322,('Results Grouping'!$H$9:$H$322=$D$143) * ('Results Grouping'!$I$9:$I$322=$D154),0)),
    'Resource Summary'!$C:$C,M$146
  )
)</f>
        <v>0</v>
      </c>
      <c r="N154" s="14" cm="1">
        <f t="array" ref="N154">0.000001 * SUM(
  SUMIFS(
    'Resource Summary'!$O:$O,
    'Resource Summary'!$B:$B,zones_to_group,
    'Resource Summary'!$A:$A,TRANSPOSE(_xlfn._xlws.FILTER('Results Grouping'!$G$9:$G$322,('Results Grouping'!$H$9:$H$322=$D$143) * ('Results Grouping'!$I$9:$I$322=$D154),0)),
    'Resource Summary'!$C:$C,N$146
  )
)</f>
        <v>0</v>
      </c>
      <c r="O154" s="14" cm="1">
        <f t="array" ref="O154">0.000001 * SUM(
  SUMIFS(
    'Resource Summary'!$O:$O,
    'Resource Summary'!$B:$B,zones_to_group,
    'Resource Summary'!$A:$A,TRANSPOSE(_xlfn._xlws.FILTER('Results Grouping'!$G$9:$G$322,('Results Grouping'!$H$9:$H$322=$D$143) * ('Results Grouping'!$I$9:$I$322=$D154),0)),
    'Resource Summary'!$C:$C,O$146
  )
)</f>
        <v>0</v>
      </c>
      <c r="P154" s="14" cm="1">
        <f t="array" ref="P154">0.000001 * SUM(
  SUMIFS(
    'Resource Summary'!$O:$O,
    'Resource Summary'!$B:$B,zones_to_group,
    'Resource Summary'!$A:$A,TRANSPOSE(_xlfn._xlws.FILTER('Results Grouping'!$G$9:$G$322,('Results Grouping'!$H$9:$H$322=$D$143) * ('Results Grouping'!$I$9:$I$322=$D154),0)),
    'Resource Summary'!$C:$C,P$146
  )
)</f>
        <v>0</v>
      </c>
      <c r="Q154" s="14" cm="1">
        <f t="array" ref="Q154">0.000001 * SUM(
  SUMIFS(
    'Resource Summary'!$O:$O,
    'Resource Summary'!$B:$B,zones_to_group,
    'Resource Summary'!$A:$A,TRANSPOSE(_xlfn._xlws.FILTER('Results Grouping'!$G$9:$G$322,('Results Grouping'!$H$9:$H$322=$D$143) * ('Results Grouping'!$I$9:$I$322=$D154),0)),
    'Resource Summary'!$C:$C,Q$146
  )
)</f>
        <v>0</v>
      </c>
      <c r="R154" s="14" cm="1">
        <f t="array" ref="R154">0.000001 * SUM(
  SUMIFS(
    'Resource Summary'!$O:$O,
    'Resource Summary'!$B:$B,zones_to_group,
    'Resource Summary'!$A:$A,TRANSPOSE(_xlfn._xlws.FILTER('Results Grouping'!$G$9:$G$322,('Results Grouping'!$H$9:$H$322=$D$143) * ('Results Grouping'!$I$9:$I$322=$D154),0)),
    'Resource Summary'!$C:$C,R$146
  )
)</f>
        <v>0</v>
      </c>
      <c r="S154" s="14" cm="1">
        <f t="array" ref="S154">0.000001 * SUM(
  SUMIFS(
    'Resource Summary'!$O:$O,
    'Resource Summary'!$B:$B,zones_to_group,
    'Resource Summary'!$A:$A,TRANSPOSE(_xlfn._xlws.FILTER('Results Grouping'!$G$9:$G$322,('Results Grouping'!$H$9:$H$322=$D$143) * ('Results Grouping'!$I$9:$I$322=$D154),0)),
    'Resource Summary'!$C:$C,S$146
  )
)</f>
        <v>0</v>
      </c>
      <c r="T154" s="14" cm="1">
        <f t="array" ref="T154">0.000001 * SUM(
  SUMIFS(
    'Resource Summary'!$O:$O,
    'Resource Summary'!$B:$B,zones_to_group,
    'Resource Summary'!$A:$A,TRANSPOSE(_xlfn._xlws.FILTER('Results Grouping'!$G$9:$G$322,('Results Grouping'!$H$9:$H$322=$D$143) * ('Results Grouping'!$I$9:$I$322=$D154),0)),
    'Resource Summary'!$C:$C,T$146
  )
)</f>
        <v>0</v>
      </c>
      <c r="U154" s="14" cm="1">
        <f t="array" ref="U154">0.000001 * SUM(
  SUMIFS(
    'Resource Summary'!$O:$O,
    'Resource Summary'!$B:$B,zones_to_group,
    'Resource Summary'!$A:$A,TRANSPOSE(_xlfn._xlws.FILTER('Results Grouping'!$G$9:$G$322,('Results Grouping'!$H$9:$H$322=$D$143) * ('Results Grouping'!$I$9:$I$322=$D154),0)),
    'Resource Summary'!$C:$C,U$146
  )
)</f>
        <v>0</v>
      </c>
      <c r="V154" s="14" cm="1">
        <f t="array" ref="V154">0.000001 * SUM(
  SUMIFS(
    'Resource Summary'!$O:$O,
    'Resource Summary'!$B:$B,zones_to_group,
    'Resource Summary'!$A:$A,TRANSPOSE(_xlfn._xlws.FILTER('Results Grouping'!$G$9:$G$322,('Results Grouping'!$H$9:$H$322=$D$143) * ('Results Grouping'!$I$9:$I$322=$D154),0)),
    'Resource Summary'!$C:$C,V$146
  )
)</f>
        <v>0</v>
      </c>
      <c r="W154" s="14" cm="1">
        <f t="array" ref="W154">0.000001 * SUM(
  SUMIFS(
    'Resource Summary'!$O:$O,
    'Resource Summary'!$B:$B,zones_to_group,
    'Resource Summary'!$A:$A,TRANSPOSE(_xlfn._xlws.FILTER('Results Grouping'!$G$9:$G$322,('Results Grouping'!$H$9:$H$322=$D$143) * ('Results Grouping'!$I$9:$I$322=$D154),0)),
    'Resource Summary'!$C:$C,W$146
  )
)</f>
        <v>0</v>
      </c>
      <c r="X154" s="14" cm="1">
        <f t="array" ref="X154">0.000001 * SUM(
  SUMIFS(
    'Resource Summary'!$O:$O,
    'Resource Summary'!$B:$B,zones_to_group,
    'Resource Summary'!$A:$A,TRANSPOSE(_xlfn._xlws.FILTER('Results Grouping'!$G$9:$G$322,('Results Grouping'!$H$9:$H$322=$D$143) * ('Results Grouping'!$I$9:$I$322=$D154),0)),
    'Resource Summary'!$C:$C,X$146
  )
)</f>
        <v>0</v>
      </c>
      <c r="Y154" s="14" cm="1">
        <f t="array" ref="Y154">0.000001 * SUM(
  SUMIFS(
    'Resource Summary'!$O:$O,
    'Resource Summary'!$B:$B,zones_to_group,
    'Resource Summary'!$A:$A,TRANSPOSE(_xlfn._xlws.FILTER('Results Grouping'!$G$9:$G$322,('Results Grouping'!$H$9:$H$322=$D$143) * ('Results Grouping'!$I$9:$I$322=$D154),0)),
    'Resource Summary'!$C:$C,Y$146
  )
)</f>
        <v>0</v>
      </c>
      <c r="Z154" s="14" cm="1">
        <f t="array" ref="Z154">0.000001 * SUM(
  SUMIFS(
    'Resource Summary'!$O:$O,
    'Resource Summary'!$B:$B,zones_to_group,
    'Resource Summary'!$A:$A,TRANSPOSE(_xlfn._xlws.FILTER('Results Grouping'!$G$9:$G$322,('Results Grouping'!$H$9:$H$322=$D$143) * ('Results Grouping'!$I$9:$I$322=$D154),0)),
    'Resource Summary'!$C:$C,Z$146
  )
)</f>
        <v>0</v>
      </c>
      <c r="AA154" s="14" cm="1">
        <f t="array" ref="AA154">0.000001 * SUM(
  SUMIFS(
    'Resource Summary'!$O:$O,
    'Resource Summary'!$B:$B,zones_to_group,
    'Resource Summary'!$A:$A,TRANSPOSE(_xlfn._xlws.FILTER('Results Grouping'!$G$9:$G$322,('Results Grouping'!$H$9:$H$322=$D$143) * ('Results Grouping'!$I$9:$I$322=$D154),0)),
    'Resource Summary'!$C:$C,AA$146
  )
)</f>
        <v>0</v>
      </c>
      <c r="AB154" s="14" cm="1">
        <f t="array" ref="AB154">0.000001 * SUM(
  SUMIFS(
    'Resource Summary'!$O:$O,
    'Resource Summary'!$B:$B,zones_to_group,
    'Resource Summary'!$A:$A,TRANSPOSE(_xlfn._xlws.FILTER('Results Grouping'!$G$9:$G$322,('Results Grouping'!$H$9:$H$322=$D$143) * ('Results Grouping'!$I$9:$I$322=$D154),0)),
    'Resource Summary'!$C:$C,AB$146
  )
)</f>
        <v>0</v>
      </c>
      <c r="AC154" s="14" cm="1">
        <f t="array" ref="AC154">0.000001 * SUM(
  SUMIFS(
    'Resource Summary'!$O:$O,
    'Resource Summary'!$B:$B,zones_to_group,
    'Resource Summary'!$A:$A,TRANSPOSE(_xlfn._xlws.FILTER('Results Grouping'!$G$9:$G$322,('Results Grouping'!$H$9:$H$322=$D$143) * ('Results Grouping'!$I$9:$I$322=$D154),0)),
    'Resource Summary'!$C:$C,AC$146
  )
)</f>
        <v>0</v>
      </c>
      <c r="AD154" s="14" cm="1">
        <f t="array" ref="AD154">0.000001 * SUM(
  SUMIFS(
    'Resource Summary'!$O:$O,
    'Resource Summary'!$B:$B,zones_to_group,
    'Resource Summary'!$A:$A,TRANSPOSE(_xlfn._xlws.FILTER('Results Grouping'!$G$9:$G$322,('Results Grouping'!$H$9:$H$322=$D$143) * ('Results Grouping'!$I$9:$I$322=$D154),0)),
    'Resource Summary'!$C:$C,AD$146
  )
)</f>
        <v>30.865230172582802</v>
      </c>
      <c r="AH154" s="34"/>
    </row>
    <row r="155" spans="4:34" outlineLevel="1" x14ac:dyDescent="0.2">
      <c r="D155" s="8" t="s">
        <v>127</v>
      </c>
      <c r="E155" s="14" cm="1">
        <f t="array" ref="E155">0.000001 * SUM(
  SUMIFS(
    'Resource Summary'!$O:$O,
    'Resource Summary'!$B:$B,zones_to_group,
    'Resource Summary'!$A:$A,TRANSPOSE(_xlfn._xlws.FILTER('Results Grouping'!$G$9:$G$322,('Results Grouping'!$H$9:$H$322=$D$143) * ('Results Grouping'!$I$9:$I$322=$D155),0)),
    'Resource Summary'!$C:$C,E$146
  )
)</f>
        <v>0</v>
      </c>
      <c r="F155" s="14" cm="1">
        <f t="array" ref="F155">0.000001 * SUM(
  SUMIFS(
    'Resource Summary'!$O:$O,
    'Resource Summary'!$B:$B,zones_to_group,
    'Resource Summary'!$A:$A,TRANSPOSE(_xlfn._xlws.FILTER('Results Grouping'!$G$9:$G$322,('Results Grouping'!$H$9:$H$322=$D$143) * ('Results Grouping'!$I$9:$I$322=$D155),0)),
    'Resource Summary'!$C:$C,F$146
  )
)</f>
        <v>0</v>
      </c>
      <c r="G155" s="14" cm="1">
        <f t="array" ref="G155">0.000001 * SUM(
  SUMIFS(
    'Resource Summary'!$O:$O,
    'Resource Summary'!$B:$B,zones_to_group,
    'Resource Summary'!$A:$A,TRANSPOSE(_xlfn._xlws.FILTER('Results Grouping'!$G$9:$G$322,('Results Grouping'!$H$9:$H$322=$D$143) * ('Results Grouping'!$I$9:$I$322=$D155),0)),
    'Resource Summary'!$C:$C,G$146
  )
)</f>
        <v>0</v>
      </c>
      <c r="H155" s="14" cm="1">
        <f t="array" ref="H155">0.000001 * SUM(
  SUMIFS(
    'Resource Summary'!$O:$O,
    'Resource Summary'!$B:$B,zones_to_group,
    'Resource Summary'!$A:$A,TRANSPOSE(_xlfn._xlws.FILTER('Results Grouping'!$G$9:$G$322,('Results Grouping'!$H$9:$H$322=$D$143) * ('Results Grouping'!$I$9:$I$322=$D155),0)),
    'Resource Summary'!$C:$C,H$146
  )
)</f>
        <v>0</v>
      </c>
      <c r="I155" s="14" cm="1">
        <f t="array" ref="I155">0.000001 * SUM(
  SUMIFS(
    'Resource Summary'!$O:$O,
    'Resource Summary'!$B:$B,zones_to_group,
    'Resource Summary'!$A:$A,TRANSPOSE(_xlfn._xlws.FILTER('Results Grouping'!$G$9:$G$322,('Results Grouping'!$H$9:$H$322=$D$143) * ('Results Grouping'!$I$9:$I$322=$D155),0)),
    'Resource Summary'!$C:$C,I$146
  )
)</f>
        <v>0</v>
      </c>
      <c r="J155" s="14" cm="1">
        <f t="array" ref="J155">0.000001 * SUM(
  SUMIFS(
    'Resource Summary'!$O:$O,
    'Resource Summary'!$B:$B,zones_to_group,
    'Resource Summary'!$A:$A,TRANSPOSE(_xlfn._xlws.FILTER('Results Grouping'!$G$9:$G$322,('Results Grouping'!$H$9:$H$322=$D$143) * ('Results Grouping'!$I$9:$I$322=$D155),0)),
    'Resource Summary'!$C:$C,J$146
  )
)</f>
        <v>0</v>
      </c>
      <c r="K155" s="14" cm="1">
        <f t="array" ref="K155">0.000001 * SUM(
  SUMIFS(
    'Resource Summary'!$O:$O,
    'Resource Summary'!$B:$B,zones_to_group,
    'Resource Summary'!$A:$A,TRANSPOSE(_xlfn._xlws.FILTER('Results Grouping'!$G$9:$G$322,('Results Grouping'!$H$9:$H$322=$D$143) * ('Results Grouping'!$I$9:$I$322=$D155),0)),
    'Resource Summary'!$C:$C,K$146
  )
)</f>
        <v>0</v>
      </c>
      <c r="L155" s="14" cm="1">
        <f t="array" ref="L155">0.000001 * SUM(
  SUMIFS(
    'Resource Summary'!$O:$O,
    'Resource Summary'!$B:$B,zones_to_group,
    'Resource Summary'!$A:$A,TRANSPOSE(_xlfn._xlws.FILTER('Results Grouping'!$G$9:$G$322,('Results Grouping'!$H$9:$H$322=$D$143) * ('Results Grouping'!$I$9:$I$322=$D155),0)),
    'Resource Summary'!$C:$C,L$146
  )
)</f>
        <v>0</v>
      </c>
      <c r="M155" s="14" cm="1">
        <f t="array" ref="M155">0.000001 * SUM(
  SUMIFS(
    'Resource Summary'!$O:$O,
    'Resource Summary'!$B:$B,zones_to_group,
    'Resource Summary'!$A:$A,TRANSPOSE(_xlfn._xlws.FILTER('Results Grouping'!$G$9:$G$322,('Results Grouping'!$H$9:$H$322=$D$143) * ('Results Grouping'!$I$9:$I$322=$D155),0)),
    'Resource Summary'!$C:$C,M$146
  )
)</f>
        <v>0</v>
      </c>
      <c r="N155" s="14" cm="1">
        <f t="array" ref="N155">0.000001 * SUM(
  SUMIFS(
    'Resource Summary'!$O:$O,
    'Resource Summary'!$B:$B,zones_to_group,
    'Resource Summary'!$A:$A,TRANSPOSE(_xlfn._xlws.FILTER('Results Grouping'!$G$9:$G$322,('Results Grouping'!$H$9:$H$322=$D$143) * ('Results Grouping'!$I$9:$I$322=$D155),0)),
    'Resource Summary'!$C:$C,N$146
  )
)</f>
        <v>0</v>
      </c>
      <c r="O155" s="14" cm="1">
        <f t="array" ref="O155">0.000001 * SUM(
  SUMIFS(
    'Resource Summary'!$O:$O,
    'Resource Summary'!$B:$B,zones_to_group,
    'Resource Summary'!$A:$A,TRANSPOSE(_xlfn._xlws.FILTER('Results Grouping'!$G$9:$G$322,('Results Grouping'!$H$9:$H$322=$D$143) * ('Results Grouping'!$I$9:$I$322=$D155),0)),
    'Resource Summary'!$C:$C,O$146
  )
)</f>
        <v>0</v>
      </c>
      <c r="P155" s="14" cm="1">
        <f t="array" ref="P155">0.000001 * SUM(
  SUMIFS(
    'Resource Summary'!$O:$O,
    'Resource Summary'!$B:$B,zones_to_group,
    'Resource Summary'!$A:$A,TRANSPOSE(_xlfn._xlws.FILTER('Results Grouping'!$G$9:$G$322,('Results Grouping'!$H$9:$H$322=$D$143) * ('Results Grouping'!$I$9:$I$322=$D155),0)),
    'Resource Summary'!$C:$C,P$146
  )
)</f>
        <v>0</v>
      </c>
      <c r="Q155" s="14" cm="1">
        <f t="array" ref="Q155">0.000001 * SUM(
  SUMIFS(
    'Resource Summary'!$O:$O,
    'Resource Summary'!$B:$B,zones_to_group,
    'Resource Summary'!$A:$A,TRANSPOSE(_xlfn._xlws.FILTER('Results Grouping'!$G$9:$G$322,('Results Grouping'!$H$9:$H$322=$D$143) * ('Results Grouping'!$I$9:$I$322=$D155),0)),
    'Resource Summary'!$C:$C,Q$146
  )
)</f>
        <v>0</v>
      </c>
      <c r="R155" s="14" cm="1">
        <f t="array" ref="R155">0.000001 * SUM(
  SUMIFS(
    'Resource Summary'!$O:$O,
    'Resource Summary'!$B:$B,zones_to_group,
    'Resource Summary'!$A:$A,TRANSPOSE(_xlfn._xlws.FILTER('Results Grouping'!$G$9:$G$322,('Results Grouping'!$H$9:$H$322=$D$143) * ('Results Grouping'!$I$9:$I$322=$D155),0)),
    'Resource Summary'!$C:$C,R$146
  )
)</f>
        <v>0</v>
      </c>
      <c r="S155" s="14" cm="1">
        <f t="array" ref="S155">0.000001 * SUM(
  SUMIFS(
    'Resource Summary'!$O:$O,
    'Resource Summary'!$B:$B,zones_to_group,
    'Resource Summary'!$A:$A,TRANSPOSE(_xlfn._xlws.FILTER('Results Grouping'!$G$9:$G$322,('Results Grouping'!$H$9:$H$322=$D$143) * ('Results Grouping'!$I$9:$I$322=$D155),0)),
    'Resource Summary'!$C:$C,S$146
  )
)</f>
        <v>0</v>
      </c>
      <c r="T155" s="14" cm="1">
        <f t="array" ref="T155">0.000001 * SUM(
  SUMIFS(
    'Resource Summary'!$O:$O,
    'Resource Summary'!$B:$B,zones_to_group,
    'Resource Summary'!$A:$A,TRANSPOSE(_xlfn._xlws.FILTER('Results Grouping'!$G$9:$G$322,('Results Grouping'!$H$9:$H$322=$D$143) * ('Results Grouping'!$I$9:$I$322=$D155),0)),
    'Resource Summary'!$C:$C,T$146
  )
)</f>
        <v>0</v>
      </c>
      <c r="U155" s="14" cm="1">
        <f t="array" ref="U155">0.000001 * SUM(
  SUMIFS(
    'Resource Summary'!$O:$O,
    'Resource Summary'!$B:$B,zones_to_group,
    'Resource Summary'!$A:$A,TRANSPOSE(_xlfn._xlws.FILTER('Results Grouping'!$G$9:$G$322,('Results Grouping'!$H$9:$H$322=$D$143) * ('Results Grouping'!$I$9:$I$322=$D155),0)),
    'Resource Summary'!$C:$C,U$146
  )
)</f>
        <v>0</v>
      </c>
      <c r="V155" s="14" cm="1">
        <f t="array" ref="V155">0.000001 * SUM(
  SUMIFS(
    'Resource Summary'!$O:$O,
    'Resource Summary'!$B:$B,zones_to_group,
    'Resource Summary'!$A:$A,TRANSPOSE(_xlfn._xlws.FILTER('Results Grouping'!$G$9:$G$322,('Results Grouping'!$H$9:$H$322=$D$143) * ('Results Grouping'!$I$9:$I$322=$D155),0)),
    'Resource Summary'!$C:$C,V$146
  )
)</f>
        <v>0</v>
      </c>
      <c r="W155" s="14" cm="1">
        <f t="array" ref="W155">0.000001 * SUM(
  SUMIFS(
    'Resource Summary'!$O:$O,
    'Resource Summary'!$B:$B,zones_to_group,
    'Resource Summary'!$A:$A,TRANSPOSE(_xlfn._xlws.FILTER('Results Grouping'!$G$9:$G$322,('Results Grouping'!$H$9:$H$322=$D$143) * ('Results Grouping'!$I$9:$I$322=$D155),0)),
    'Resource Summary'!$C:$C,W$146
  )
)</f>
        <v>0</v>
      </c>
      <c r="X155" s="14" cm="1">
        <f t="array" ref="X155">0.000001 * SUM(
  SUMIFS(
    'Resource Summary'!$O:$O,
    'Resource Summary'!$B:$B,zones_to_group,
    'Resource Summary'!$A:$A,TRANSPOSE(_xlfn._xlws.FILTER('Results Grouping'!$G$9:$G$322,('Results Grouping'!$H$9:$H$322=$D$143) * ('Results Grouping'!$I$9:$I$322=$D155),0)),
    'Resource Summary'!$C:$C,X$146
  )
)</f>
        <v>0</v>
      </c>
      <c r="Y155" s="14" cm="1">
        <f t="array" ref="Y155">0.000001 * SUM(
  SUMIFS(
    'Resource Summary'!$O:$O,
    'Resource Summary'!$B:$B,zones_to_group,
    'Resource Summary'!$A:$A,TRANSPOSE(_xlfn._xlws.FILTER('Results Grouping'!$G$9:$G$322,('Results Grouping'!$H$9:$H$322=$D$143) * ('Results Grouping'!$I$9:$I$322=$D155),0)),
    'Resource Summary'!$C:$C,Y$146
  )
)</f>
        <v>0</v>
      </c>
      <c r="Z155" s="14" cm="1">
        <f t="array" ref="Z155">0.000001 * SUM(
  SUMIFS(
    'Resource Summary'!$O:$O,
    'Resource Summary'!$B:$B,zones_to_group,
    'Resource Summary'!$A:$A,TRANSPOSE(_xlfn._xlws.FILTER('Results Grouping'!$G$9:$G$322,('Results Grouping'!$H$9:$H$322=$D$143) * ('Results Grouping'!$I$9:$I$322=$D155),0)),
    'Resource Summary'!$C:$C,Z$146
  )
)</f>
        <v>0</v>
      </c>
      <c r="AA155" s="14" cm="1">
        <f t="array" ref="AA155">0.000001 * SUM(
  SUMIFS(
    'Resource Summary'!$O:$O,
    'Resource Summary'!$B:$B,zones_to_group,
    'Resource Summary'!$A:$A,TRANSPOSE(_xlfn._xlws.FILTER('Results Grouping'!$G$9:$G$322,('Results Grouping'!$H$9:$H$322=$D$143) * ('Results Grouping'!$I$9:$I$322=$D155),0)),
    'Resource Summary'!$C:$C,AA$146
  )
)</f>
        <v>0</v>
      </c>
      <c r="AB155" s="14" cm="1">
        <f t="array" ref="AB155">0.000001 * SUM(
  SUMIFS(
    'Resource Summary'!$O:$O,
    'Resource Summary'!$B:$B,zones_to_group,
    'Resource Summary'!$A:$A,TRANSPOSE(_xlfn._xlws.FILTER('Results Grouping'!$G$9:$G$322,('Results Grouping'!$H$9:$H$322=$D$143) * ('Results Grouping'!$I$9:$I$322=$D155),0)),
    'Resource Summary'!$C:$C,AB$146
  )
)</f>
        <v>0</v>
      </c>
      <c r="AC155" s="14" cm="1">
        <f t="array" ref="AC155">0.000001 * SUM(
  SUMIFS(
    'Resource Summary'!$O:$O,
    'Resource Summary'!$B:$B,zones_to_group,
    'Resource Summary'!$A:$A,TRANSPOSE(_xlfn._xlws.FILTER('Results Grouping'!$G$9:$G$322,('Results Grouping'!$H$9:$H$322=$D$143) * ('Results Grouping'!$I$9:$I$322=$D155),0)),
    'Resource Summary'!$C:$C,AC$146
  )
)</f>
        <v>0</v>
      </c>
      <c r="AD155" s="14" cm="1">
        <f t="array" ref="AD155">0.000001 * SUM(
  SUMIFS(
    'Resource Summary'!$O:$O,
    'Resource Summary'!$B:$B,zones_to_group,
    'Resource Summary'!$A:$A,TRANSPOSE(_xlfn._xlws.FILTER('Results Grouping'!$G$9:$G$322,('Results Grouping'!$H$9:$H$322=$D$143) * ('Results Grouping'!$I$9:$I$322=$D155),0)),
    'Resource Summary'!$C:$C,AD$146
  )
)</f>
        <v>0.32290526043095313</v>
      </c>
      <c r="AH155" s="34"/>
    </row>
    <row r="156" spans="4:34" outlineLevel="1" x14ac:dyDescent="0.2">
      <c r="D156" s="8" t="s">
        <v>118</v>
      </c>
      <c r="E156" s="14" cm="1">
        <f t="array" ref="E156">0.000001 * SUM(
  SUMIFS(
    'Resource Summary'!$O:$O,
    'Resource Summary'!$B:$B,zones_to_group,
    'Resource Summary'!$A:$A,TRANSPOSE(_xlfn._xlws.FILTER('Results Grouping'!$G$9:$G$322,('Results Grouping'!$H$9:$H$322=$D$143) * ('Results Grouping'!$I$9:$I$322=$D156),0)),
    'Resource Summary'!$C:$C,E$146
  )
)</f>
        <v>0</v>
      </c>
      <c r="F156" s="14" cm="1">
        <f t="array" ref="F156">0.000001 * SUM(
  SUMIFS(
    'Resource Summary'!$O:$O,
    'Resource Summary'!$B:$B,zones_to_group,
    'Resource Summary'!$A:$A,TRANSPOSE(_xlfn._xlws.FILTER('Results Grouping'!$G$9:$G$322,('Results Grouping'!$H$9:$H$322=$D$143) * ('Results Grouping'!$I$9:$I$322=$D156),0)),
    'Resource Summary'!$C:$C,F$146
  )
)</f>
        <v>0</v>
      </c>
      <c r="G156" s="14" cm="1">
        <f t="array" ref="G156">0.000001 * SUM(
  SUMIFS(
    'Resource Summary'!$O:$O,
    'Resource Summary'!$B:$B,zones_to_group,
    'Resource Summary'!$A:$A,TRANSPOSE(_xlfn._xlws.FILTER('Results Grouping'!$G$9:$G$322,('Results Grouping'!$H$9:$H$322=$D$143) * ('Results Grouping'!$I$9:$I$322=$D156),0)),
    'Resource Summary'!$C:$C,G$146
  )
)</f>
        <v>0</v>
      </c>
      <c r="H156" s="14" cm="1">
        <f t="array" ref="H156">0.000001 * SUM(
  SUMIFS(
    'Resource Summary'!$O:$O,
    'Resource Summary'!$B:$B,zones_to_group,
    'Resource Summary'!$A:$A,TRANSPOSE(_xlfn._xlws.FILTER('Results Grouping'!$G$9:$G$322,('Results Grouping'!$H$9:$H$322=$D$143) * ('Results Grouping'!$I$9:$I$322=$D156),0)),
    'Resource Summary'!$C:$C,H$146
  )
)</f>
        <v>0</v>
      </c>
      <c r="I156" s="14" cm="1">
        <f t="array" ref="I156">0.000001 * SUM(
  SUMIFS(
    'Resource Summary'!$O:$O,
    'Resource Summary'!$B:$B,zones_to_group,
    'Resource Summary'!$A:$A,TRANSPOSE(_xlfn._xlws.FILTER('Results Grouping'!$G$9:$G$322,('Results Grouping'!$H$9:$H$322=$D$143) * ('Results Grouping'!$I$9:$I$322=$D156),0)),
    'Resource Summary'!$C:$C,I$146
  )
)</f>
        <v>0</v>
      </c>
      <c r="J156" s="14" cm="1">
        <f t="array" ref="J156">0.000001 * SUM(
  SUMIFS(
    'Resource Summary'!$O:$O,
    'Resource Summary'!$B:$B,zones_to_group,
    'Resource Summary'!$A:$A,TRANSPOSE(_xlfn._xlws.FILTER('Results Grouping'!$G$9:$G$322,('Results Grouping'!$H$9:$H$322=$D$143) * ('Results Grouping'!$I$9:$I$322=$D156),0)),
    'Resource Summary'!$C:$C,J$146
  )
)</f>
        <v>0</v>
      </c>
      <c r="K156" s="14" cm="1">
        <f t="array" ref="K156">0.000001 * SUM(
  SUMIFS(
    'Resource Summary'!$O:$O,
    'Resource Summary'!$B:$B,zones_to_group,
    'Resource Summary'!$A:$A,TRANSPOSE(_xlfn._xlws.FILTER('Results Grouping'!$G$9:$G$322,('Results Grouping'!$H$9:$H$322=$D$143) * ('Results Grouping'!$I$9:$I$322=$D156),0)),
    'Resource Summary'!$C:$C,K$146
  )
)</f>
        <v>0</v>
      </c>
      <c r="L156" s="14" cm="1">
        <f t="array" ref="L156">0.000001 * SUM(
  SUMIFS(
    'Resource Summary'!$O:$O,
    'Resource Summary'!$B:$B,zones_to_group,
    'Resource Summary'!$A:$A,TRANSPOSE(_xlfn._xlws.FILTER('Results Grouping'!$G$9:$G$322,('Results Grouping'!$H$9:$H$322=$D$143) * ('Results Grouping'!$I$9:$I$322=$D156),0)),
    'Resource Summary'!$C:$C,L$146
  )
)</f>
        <v>0</v>
      </c>
      <c r="M156" s="14" cm="1">
        <f t="array" ref="M156">0.000001 * SUM(
  SUMIFS(
    'Resource Summary'!$O:$O,
    'Resource Summary'!$B:$B,zones_to_group,
    'Resource Summary'!$A:$A,TRANSPOSE(_xlfn._xlws.FILTER('Results Grouping'!$G$9:$G$322,('Results Grouping'!$H$9:$H$322=$D$143) * ('Results Grouping'!$I$9:$I$322=$D156),0)),
    'Resource Summary'!$C:$C,M$146
  )
)</f>
        <v>0</v>
      </c>
      <c r="N156" s="14" cm="1">
        <f t="array" ref="N156">0.000001 * SUM(
  SUMIFS(
    'Resource Summary'!$O:$O,
    'Resource Summary'!$B:$B,zones_to_group,
    'Resource Summary'!$A:$A,TRANSPOSE(_xlfn._xlws.FILTER('Results Grouping'!$G$9:$G$322,('Results Grouping'!$H$9:$H$322=$D$143) * ('Results Grouping'!$I$9:$I$322=$D156),0)),
    'Resource Summary'!$C:$C,N$146
  )
)</f>
        <v>0</v>
      </c>
      <c r="O156" s="14" cm="1">
        <f t="array" ref="O156">0.000001 * SUM(
  SUMIFS(
    'Resource Summary'!$O:$O,
    'Resource Summary'!$B:$B,zones_to_group,
    'Resource Summary'!$A:$A,TRANSPOSE(_xlfn._xlws.FILTER('Results Grouping'!$G$9:$G$322,('Results Grouping'!$H$9:$H$322=$D$143) * ('Results Grouping'!$I$9:$I$322=$D156),0)),
    'Resource Summary'!$C:$C,O$146
  )
)</f>
        <v>0</v>
      </c>
      <c r="P156" s="14" cm="1">
        <f t="array" ref="P156">0.000001 * SUM(
  SUMIFS(
    'Resource Summary'!$O:$O,
    'Resource Summary'!$B:$B,zones_to_group,
    'Resource Summary'!$A:$A,TRANSPOSE(_xlfn._xlws.FILTER('Results Grouping'!$G$9:$G$322,('Results Grouping'!$H$9:$H$322=$D$143) * ('Results Grouping'!$I$9:$I$322=$D156),0)),
    'Resource Summary'!$C:$C,P$146
  )
)</f>
        <v>0</v>
      </c>
      <c r="Q156" s="14" cm="1">
        <f t="array" ref="Q156">0.000001 * SUM(
  SUMIFS(
    'Resource Summary'!$O:$O,
    'Resource Summary'!$B:$B,zones_to_group,
    'Resource Summary'!$A:$A,TRANSPOSE(_xlfn._xlws.FILTER('Results Grouping'!$G$9:$G$322,('Results Grouping'!$H$9:$H$322=$D$143) * ('Results Grouping'!$I$9:$I$322=$D156),0)),
    'Resource Summary'!$C:$C,Q$146
  )
)</f>
        <v>0</v>
      </c>
      <c r="R156" s="14" cm="1">
        <f t="array" ref="R156">0.000001 * SUM(
  SUMIFS(
    'Resource Summary'!$O:$O,
    'Resource Summary'!$B:$B,zones_to_group,
    'Resource Summary'!$A:$A,TRANSPOSE(_xlfn._xlws.FILTER('Results Grouping'!$G$9:$G$322,('Results Grouping'!$H$9:$H$322=$D$143) * ('Results Grouping'!$I$9:$I$322=$D156),0)),
    'Resource Summary'!$C:$C,R$146
  )
)</f>
        <v>0</v>
      </c>
      <c r="S156" s="14" cm="1">
        <f t="array" ref="S156">0.000001 * SUM(
  SUMIFS(
    'Resource Summary'!$O:$O,
    'Resource Summary'!$B:$B,zones_to_group,
    'Resource Summary'!$A:$A,TRANSPOSE(_xlfn._xlws.FILTER('Results Grouping'!$G$9:$G$322,('Results Grouping'!$H$9:$H$322=$D$143) * ('Results Grouping'!$I$9:$I$322=$D156),0)),
    'Resource Summary'!$C:$C,S$146
  )
)</f>
        <v>0</v>
      </c>
      <c r="T156" s="14" cm="1">
        <f t="array" ref="T156">0.000001 * SUM(
  SUMIFS(
    'Resource Summary'!$O:$O,
    'Resource Summary'!$B:$B,zones_to_group,
    'Resource Summary'!$A:$A,TRANSPOSE(_xlfn._xlws.FILTER('Results Grouping'!$G$9:$G$322,('Results Grouping'!$H$9:$H$322=$D$143) * ('Results Grouping'!$I$9:$I$322=$D156),0)),
    'Resource Summary'!$C:$C,T$146
  )
)</f>
        <v>0</v>
      </c>
      <c r="U156" s="14" cm="1">
        <f t="array" ref="U156">0.000001 * SUM(
  SUMIFS(
    'Resource Summary'!$O:$O,
    'Resource Summary'!$B:$B,zones_to_group,
    'Resource Summary'!$A:$A,TRANSPOSE(_xlfn._xlws.FILTER('Results Grouping'!$G$9:$G$322,('Results Grouping'!$H$9:$H$322=$D$143) * ('Results Grouping'!$I$9:$I$322=$D156),0)),
    'Resource Summary'!$C:$C,U$146
  )
)</f>
        <v>0</v>
      </c>
      <c r="V156" s="14" cm="1">
        <f t="array" ref="V156">0.000001 * SUM(
  SUMIFS(
    'Resource Summary'!$O:$O,
    'Resource Summary'!$B:$B,zones_to_group,
    'Resource Summary'!$A:$A,TRANSPOSE(_xlfn._xlws.FILTER('Results Grouping'!$G$9:$G$322,('Results Grouping'!$H$9:$H$322=$D$143) * ('Results Grouping'!$I$9:$I$322=$D156),0)),
    'Resource Summary'!$C:$C,V$146
  )
)</f>
        <v>0</v>
      </c>
      <c r="W156" s="14" cm="1">
        <f t="array" ref="W156">0.000001 * SUM(
  SUMIFS(
    'Resource Summary'!$O:$O,
    'Resource Summary'!$B:$B,zones_to_group,
    'Resource Summary'!$A:$A,TRANSPOSE(_xlfn._xlws.FILTER('Results Grouping'!$G$9:$G$322,('Results Grouping'!$H$9:$H$322=$D$143) * ('Results Grouping'!$I$9:$I$322=$D156),0)),
    'Resource Summary'!$C:$C,W$146
  )
)</f>
        <v>0</v>
      </c>
      <c r="X156" s="14" cm="1">
        <f t="array" ref="X156">0.000001 * SUM(
  SUMIFS(
    'Resource Summary'!$O:$O,
    'Resource Summary'!$B:$B,zones_to_group,
    'Resource Summary'!$A:$A,TRANSPOSE(_xlfn._xlws.FILTER('Results Grouping'!$G$9:$G$322,('Results Grouping'!$H$9:$H$322=$D$143) * ('Results Grouping'!$I$9:$I$322=$D156),0)),
    'Resource Summary'!$C:$C,X$146
  )
)</f>
        <v>0</v>
      </c>
      <c r="Y156" s="14" cm="1">
        <f t="array" ref="Y156">0.000001 * SUM(
  SUMIFS(
    'Resource Summary'!$O:$O,
    'Resource Summary'!$B:$B,zones_to_group,
    'Resource Summary'!$A:$A,TRANSPOSE(_xlfn._xlws.FILTER('Results Grouping'!$G$9:$G$322,('Results Grouping'!$H$9:$H$322=$D$143) * ('Results Grouping'!$I$9:$I$322=$D156),0)),
    'Resource Summary'!$C:$C,Y$146
  )
)</f>
        <v>0</v>
      </c>
      <c r="Z156" s="14" cm="1">
        <f t="array" ref="Z156">0.000001 * SUM(
  SUMIFS(
    'Resource Summary'!$O:$O,
    'Resource Summary'!$B:$B,zones_to_group,
    'Resource Summary'!$A:$A,TRANSPOSE(_xlfn._xlws.FILTER('Results Grouping'!$G$9:$G$322,('Results Grouping'!$H$9:$H$322=$D$143) * ('Results Grouping'!$I$9:$I$322=$D156),0)),
    'Resource Summary'!$C:$C,Z$146
  )
)</f>
        <v>0</v>
      </c>
      <c r="AA156" s="14" cm="1">
        <f t="array" ref="AA156">0.000001 * SUM(
  SUMIFS(
    'Resource Summary'!$O:$O,
    'Resource Summary'!$B:$B,zones_to_group,
    'Resource Summary'!$A:$A,TRANSPOSE(_xlfn._xlws.FILTER('Results Grouping'!$G$9:$G$322,('Results Grouping'!$H$9:$H$322=$D$143) * ('Results Grouping'!$I$9:$I$322=$D156),0)),
    'Resource Summary'!$C:$C,AA$146
  )
)</f>
        <v>0</v>
      </c>
      <c r="AB156" s="14" cm="1">
        <f t="array" ref="AB156">0.000001 * SUM(
  SUMIFS(
    'Resource Summary'!$O:$O,
    'Resource Summary'!$B:$B,zones_to_group,
    'Resource Summary'!$A:$A,TRANSPOSE(_xlfn._xlws.FILTER('Results Grouping'!$G$9:$G$322,('Results Grouping'!$H$9:$H$322=$D$143) * ('Results Grouping'!$I$9:$I$322=$D156),0)),
    'Resource Summary'!$C:$C,AB$146
  )
)</f>
        <v>0</v>
      </c>
      <c r="AC156" s="14" cm="1">
        <f t="array" ref="AC156">0.000001 * SUM(
  SUMIFS(
    'Resource Summary'!$O:$O,
    'Resource Summary'!$B:$B,zones_to_group,
    'Resource Summary'!$A:$A,TRANSPOSE(_xlfn._xlws.FILTER('Results Grouping'!$G$9:$G$322,('Results Grouping'!$H$9:$H$322=$D$143) * ('Results Grouping'!$I$9:$I$322=$D156),0)),
    'Resource Summary'!$C:$C,AC$146
  )
)</f>
        <v>0</v>
      </c>
      <c r="AD156" s="14" cm="1">
        <f t="array" ref="AD156">0.000001 * SUM(
  SUMIFS(
    'Resource Summary'!$O:$O,
    'Resource Summary'!$B:$B,zones_to_group,
    'Resource Summary'!$A:$A,TRANSPOSE(_xlfn._xlws.FILTER('Results Grouping'!$G$9:$G$322,('Results Grouping'!$H$9:$H$322=$D$143) * ('Results Grouping'!$I$9:$I$322=$D156),0)),
    'Resource Summary'!$C:$C,AD$146
  )
)</f>
        <v>215.74761742837202</v>
      </c>
      <c r="AH156" s="34"/>
    </row>
    <row r="157" spans="4:34" outlineLevel="1" x14ac:dyDescent="0.2">
      <c r="D157" s="8" t="s">
        <v>126</v>
      </c>
      <c r="E157" s="14" cm="1">
        <f t="array" ref="E157">0.000001 * SUM(
  SUMIFS(
    'Resource Summary'!$O:$O,
    'Resource Summary'!$B:$B,zones_to_group,
    'Resource Summary'!$A:$A,TRANSPOSE(_xlfn._xlws.FILTER('Results Grouping'!$G$9:$G$322,('Results Grouping'!$H$9:$H$322=$D$143) * ('Results Grouping'!$I$9:$I$322=$D157),0)),
    'Resource Summary'!$C:$C,E$146
  )
)</f>
        <v>0</v>
      </c>
      <c r="F157" s="14" cm="1">
        <f t="array" ref="F157">0.000001 * SUM(
  SUMIFS(
    'Resource Summary'!$O:$O,
    'Resource Summary'!$B:$B,zones_to_group,
    'Resource Summary'!$A:$A,TRANSPOSE(_xlfn._xlws.FILTER('Results Grouping'!$G$9:$G$322,('Results Grouping'!$H$9:$H$322=$D$143) * ('Results Grouping'!$I$9:$I$322=$D157),0)),
    'Resource Summary'!$C:$C,F$146
  )
)</f>
        <v>0</v>
      </c>
      <c r="G157" s="14" cm="1">
        <f t="array" ref="G157">0.000001 * SUM(
  SUMIFS(
    'Resource Summary'!$O:$O,
    'Resource Summary'!$B:$B,zones_to_group,
    'Resource Summary'!$A:$A,TRANSPOSE(_xlfn._xlws.FILTER('Results Grouping'!$G$9:$G$322,('Results Grouping'!$H$9:$H$322=$D$143) * ('Results Grouping'!$I$9:$I$322=$D157),0)),
    'Resource Summary'!$C:$C,G$146
  )
)</f>
        <v>0</v>
      </c>
      <c r="H157" s="14" cm="1">
        <f t="array" ref="H157">0.000001 * SUM(
  SUMIFS(
    'Resource Summary'!$O:$O,
    'Resource Summary'!$B:$B,zones_to_group,
    'Resource Summary'!$A:$A,TRANSPOSE(_xlfn._xlws.FILTER('Results Grouping'!$G$9:$G$322,('Results Grouping'!$H$9:$H$322=$D$143) * ('Results Grouping'!$I$9:$I$322=$D157),0)),
    'Resource Summary'!$C:$C,H$146
  )
)</f>
        <v>0</v>
      </c>
      <c r="I157" s="14" cm="1">
        <f t="array" ref="I157">0.000001 * SUM(
  SUMIFS(
    'Resource Summary'!$O:$O,
    'Resource Summary'!$B:$B,zones_to_group,
    'Resource Summary'!$A:$A,TRANSPOSE(_xlfn._xlws.FILTER('Results Grouping'!$G$9:$G$322,('Results Grouping'!$H$9:$H$322=$D$143) * ('Results Grouping'!$I$9:$I$322=$D157),0)),
    'Resource Summary'!$C:$C,I$146
  )
)</f>
        <v>0</v>
      </c>
      <c r="J157" s="14" cm="1">
        <f t="array" ref="J157">0.000001 * SUM(
  SUMIFS(
    'Resource Summary'!$O:$O,
    'Resource Summary'!$B:$B,zones_to_group,
    'Resource Summary'!$A:$A,TRANSPOSE(_xlfn._xlws.FILTER('Results Grouping'!$G$9:$G$322,('Results Grouping'!$H$9:$H$322=$D$143) * ('Results Grouping'!$I$9:$I$322=$D157),0)),
    'Resource Summary'!$C:$C,J$146
  )
)</f>
        <v>0</v>
      </c>
      <c r="K157" s="14" cm="1">
        <f t="array" ref="K157">0.000001 * SUM(
  SUMIFS(
    'Resource Summary'!$O:$O,
    'Resource Summary'!$B:$B,zones_to_group,
    'Resource Summary'!$A:$A,TRANSPOSE(_xlfn._xlws.FILTER('Results Grouping'!$G$9:$G$322,('Results Grouping'!$H$9:$H$322=$D$143) * ('Results Grouping'!$I$9:$I$322=$D157),0)),
    'Resource Summary'!$C:$C,K$146
  )
)</f>
        <v>0</v>
      </c>
      <c r="L157" s="14" cm="1">
        <f t="array" ref="L157">0.000001 * SUM(
  SUMIFS(
    'Resource Summary'!$O:$O,
    'Resource Summary'!$B:$B,zones_to_group,
    'Resource Summary'!$A:$A,TRANSPOSE(_xlfn._xlws.FILTER('Results Grouping'!$G$9:$G$322,('Results Grouping'!$H$9:$H$322=$D$143) * ('Results Grouping'!$I$9:$I$322=$D157),0)),
    'Resource Summary'!$C:$C,L$146
  )
)</f>
        <v>0</v>
      </c>
      <c r="M157" s="14" cm="1">
        <f t="array" ref="M157">0.000001 * SUM(
  SUMIFS(
    'Resource Summary'!$O:$O,
    'Resource Summary'!$B:$B,zones_to_group,
    'Resource Summary'!$A:$A,TRANSPOSE(_xlfn._xlws.FILTER('Results Grouping'!$G$9:$G$322,('Results Grouping'!$H$9:$H$322=$D$143) * ('Results Grouping'!$I$9:$I$322=$D157),0)),
    'Resource Summary'!$C:$C,M$146
  )
)</f>
        <v>0</v>
      </c>
      <c r="N157" s="14" cm="1">
        <f t="array" ref="N157">0.000001 * SUM(
  SUMIFS(
    'Resource Summary'!$O:$O,
    'Resource Summary'!$B:$B,zones_to_group,
    'Resource Summary'!$A:$A,TRANSPOSE(_xlfn._xlws.FILTER('Results Grouping'!$G$9:$G$322,('Results Grouping'!$H$9:$H$322=$D$143) * ('Results Grouping'!$I$9:$I$322=$D157),0)),
    'Resource Summary'!$C:$C,N$146
  )
)</f>
        <v>0</v>
      </c>
      <c r="O157" s="14" cm="1">
        <f t="array" ref="O157">0.000001 * SUM(
  SUMIFS(
    'Resource Summary'!$O:$O,
    'Resource Summary'!$B:$B,zones_to_group,
    'Resource Summary'!$A:$A,TRANSPOSE(_xlfn._xlws.FILTER('Results Grouping'!$G$9:$G$322,('Results Grouping'!$H$9:$H$322=$D$143) * ('Results Grouping'!$I$9:$I$322=$D157),0)),
    'Resource Summary'!$C:$C,O$146
  )
)</f>
        <v>0</v>
      </c>
      <c r="P157" s="14" cm="1">
        <f t="array" ref="P157">0.000001 * SUM(
  SUMIFS(
    'Resource Summary'!$O:$O,
    'Resource Summary'!$B:$B,zones_to_group,
    'Resource Summary'!$A:$A,TRANSPOSE(_xlfn._xlws.FILTER('Results Grouping'!$G$9:$G$322,('Results Grouping'!$H$9:$H$322=$D$143) * ('Results Grouping'!$I$9:$I$322=$D157),0)),
    'Resource Summary'!$C:$C,P$146
  )
)</f>
        <v>0</v>
      </c>
      <c r="Q157" s="14" cm="1">
        <f t="array" ref="Q157">0.000001 * SUM(
  SUMIFS(
    'Resource Summary'!$O:$O,
    'Resource Summary'!$B:$B,zones_to_group,
    'Resource Summary'!$A:$A,TRANSPOSE(_xlfn._xlws.FILTER('Results Grouping'!$G$9:$G$322,('Results Grouping'!$H$9:$H$322=$D$143) * ('Results Grouping'!$I$9:$I$322=$D157),0)),
    'Resource Summary'!$C:$C,Q$146
  )
)</f>
        <v>0</v>
      </c>
      <c r="R157" s="14" cm="1">
        <f t="array" ref="R157">0.000001 * SUM(
  SUMIFS(
    'Resource Summary'!$O:$O,
    'Resource Summary'!$B:$B,zones_to_group,
    'Resource Summary'!$A:$A,TRANSPOSE(_xlfn._xlws.FILTER('Results Grouping'!$G$9:$G$322,('Results Grouping'!$H$9:$H$322=$D$143) * ('Results Grouping'!$I$9:$I$322=$D157),0)),
    'Resource Summary'!$C:$C,R$146
  )
)</f>
        <v>0</v>
      </c>
      <c r="S157" s="14" cm="1">
        <f t="array" ref="S157">0.000001 * SUM(
  SUMIFS(
    'Resource Summary'!$O:$O,
    'Resource Summary'!$B:$B,zones_to_group,
    'Resource Summary'!$A:$A,TRANSPOSE(_xlfn._xlws.FILTER('Results Grouping'!$G$9:$G$322,('Results Grouping'!$H$9:$H$322=$D$143) * ('Results Grouping'!$I$9:$I$322=$D157),0)),
    'Resource Summary'!$C:$C,S$146
  )
)</f>
        <v>0</v>
      </c>
      <c r="T157" s="14" cm="1">
        <f t="array" ref="T157">0.000001 * SUM(
  SUMIFS(
    'Resource Summary'!$O:$O,
    'Resource Summary'!$B:$B,zones_to_group,
    'Resource Summary'!$A:$A,TRANSPOSE(_xlfn._xlws.FILTER('Results Grouping'!$G$9:$G$322,('Results Grouping'!$H$9:$H$322=$D$143) * ('Results Grouping'!$I$9:$I$322=$D157),0)),
    'Resource Summary'!$C:$C,T$146
  )
)</f>
        <v>0</v>
      </c>
      <c r="U157" s="14" cm="1">
        <f t="array" ref="U157">0.000001 * SUM(
  SUMIFS(
    'Resource Summary'!$O:$O,
    'Resource Summary'!$B:$B,zones_to_group,
    'Resource Summary'!$A:$A,TRANSPOSE(_xlfn._xlws.FILTER('Results Grouping'!$G$9:$G$322,('Results Grouping'!$H$9:$H$322=$D$143) * ('Results Grouping'!$I$9:$I$322=$D157),0)),
    'Resource Summary'!$C:$C,U$146
  )
)</f>
        <v>0</v>
      </c>
      <c r="V157" s="14" cm="1">
        <f t="array" ref="V157">0.000001 * SUM(
  SUMIFS(
    'Resource Summary'!$O:$O,
    'Resource Summary'!$B:$B,zones_to_group,
    'Resource Summary'!$A:$A,TRANSPOSE(_xlfn._xlws.FILTER('Results Grouping'!$G$9:$G$322,('Results Grouping'!$H$9:$H$322=$D$143) * ('Results Grouping'!$I$9:$I$322=$D157),0)),
    'Resource Summary'!$C:$C,V$146
  )
)</f>
        <v>0</v>
      </c>
      <c r="W157" s="14" cm="1">
        <f t="array" ref="W157">0.000001 * SUM(
  SUMIFS(
    'Resource Summary'!$O:$O,
    'Resource Summary'!$B:$B,zones_to_group,
    'Resource Summary'!$A:$A,TRANSPOSE(_xlfn._xlws.FILTER('Results Grouping'!$G$9:$G$322,('Results Grouping'!$H$9:$H$322=$D$143) * ('Results Grouping'!$I$9:$I$322=$D157),0)),
    'Resource Summary'!$C:$C,W$146
  )
)</f>
        <v>0</v>
      </c>
      <c r="X157" s="14" cm="1">
        <f t="array" ref="X157">0.000001 * SUM(
  SUMIFS(
    'Resource Summary'!$O:$O,
    'Resource Summary'!$B:$B,zones_to_group,
    'Resource Summary'!$A:$A,TRANSPOSE(_xlfn._xlws.FILTER('Results Grouping'!$G$9:$G$322,('Results Grouping'!$H$9:$H$322=$D$143) * ('Results Grouping'!$I$9:$I$322=$D157),0)),
    'Resource Summary'!$C:$C,X$146
  )
)</f>
        <v>0</v>
      </c>
      <c r="Y157" s="14" cm="1">
        <f t="array" ref="Y157">0.000001 * SUM(
  SUMIFS(
    'Resource Summary'!$O:$O,
    'Resource Summary'!$B:$B,zones_to_group,
    'Resource Summary'!$A:$A,TRANSPOSE(_xlfn._xlws.FILTER('Results Grouping'!$G$9:$G$322,('Results Grouping'!$H$9:$H$322=$D$143) * ('Results Grouping'!$I$9:$I$322=$D157),0)),
    'Resource Summary'!$C:$C,Y$146
  )
)</f>
        <v>0</v>
      </c>
      <c r="Z157" s="14" cm="1">
        <f t="array" ref="Z157">0.000001 * SUM(
  SUMIFS(
    'Resource Summary'!$O:$O,
    'Resource Summary'!$B:$B,zones_to_group,
    'Resource Summary'!$A:$A,TRANSPOSE(_xlfn._xlws.FILTER('Results Grouping'!$G$9:$G$322,('Results Grouping'!$H$9:$H$322=$D$143) * ('Results Grouping'!$I$9:$I$322=$D157),0)),
    'Resource Summary'!$C:$C,Z$146
  )
)</f>
        <v>0</v>
      </c>
      <c r="AA157" s="14" cm="1">
        <f t="array" ref="AA157">0.000001 * SUM(
  SUMIFS(
    'Resource Summary'!$O:$O,
    'Resource Summary'!$B:$B,zones_to_group,
    'Resource Summary'!$A:$A,TRANSPOSE(_xlfn._xlws.FILTER('Results Grouping'!$G$9:$G$322,('Results Grouping'!$H$9:$H$322=$D$143) * ('Results Grouping'!$I$9:$I$322=$D157),0)),
    'Resource Summary'!$C:$C,AA$146
  )
)</f>
        <v>0</v>
      </c>
      <c r="AB157" s="14" cm="1">
        <f t="array" ref="AB157">0.000001 * SUM(
  SUMIFS(
    'Resource Summary'!$O:$O,
    'Resource Summary'!$B:$B,zones_to_group,
    'Resource Summary'!$A:$A,TRANSPOSE(_xlfn._xlws.FILTER('Results Grouping'!$G$9:$G$322,('Results Grouping'!$H$9:$H$322=$D$143) * ('Results Grouping'!$I$9:$I$322=$D157),0)),
    'Resource Summary'!$C:$C,AB$146
  )
)</f>
        <v>0</v>
      </c>
      <c r="AC157" s="14" cm="1">
        <f t="array" ref="AC157">0.000001 * SUM(
  SUMIFS(
    'Resource Summary'!$O:$O,
    'Resource Summary'!$B:$B,zones_to_group,
    'Resource Summary'!$A:$A,TRANSPOSE(_xlfn._xlws.FILTER('Results Grouping'!$G$9:$G$322,('Results Grouping'!$H$9:$H$322=$D$143) * ('Results Grouping'!$I$9:$I$322=$D157),0)),
    'Resource Summary'!$C:$C,AC$146
  )
)</f>
        <v>0</v>
      </c>
      <c r="AD157" s="14" cm="1">
        <f t="array" ref="AD157">0.000001 * SUM(
  SUMIFS(
    'Resource Summary'!$O:$O,
    'Resource Summary'!$B:$B,zones_to_group,
    'Resource Summary'!$A:$A,TRANSPOSE(_xlfn._xlws.FILTER('Results Grouping'!$G$9:$G$322,('Results Grouping'!$H$9:$H$322=$D$143) * ('Results Grouping'!$I$9:$I$322=$D157),0)),
    'Resource Summary'!$C:$C,AD$146
  )
)</f>
        <v>72.304982776073274</v>
      </c>
      <c r="AH157" s="34"/>
    </row>
    <row r="158" spans="4:34" outlineLevel="1" x14ac:dyDescent="0.2">
      <c r="D158" s="8" t="s">
        <v>151</v>
      </c>
      <c r="E158" s="14" cm="1">
        <f t="array" ref="E158">0.000001 * SUM(
  SUMIFS(
    'Resource Summary'!$O:$O,
    'Resource Summary'!$B:$B,zones_to_group,
    'Resource Summary'!$A:$A,TRANSPOSE(_xlfn._xlws.FILTER('Results Grouping'!$G$9:$G$322,('Results Grouping'!$H$9:$H$322=$D$143) * ('Results Grouping'!$I$9:$I$322=$D158),0)),
    'Resource Summary'!$C:$C,E$146
  )
)</f>
        <v>0</v>
      </c>
      <c r="F158" s="14" cm="1">
        <f t="array" ref="F158">0.000001 * SUM(
  SUMIFS(
    'Resource Summary'!$O:$O,
    'Resource Summary'!$B:$B,zones_to_group,
    'Resource Summary'!$A:$A,TRANSPOSE(_xlfn._xlws.FILTER('Results Grouping'!$G$9:$G$322,('Results Grouping'!$H$9:$H$322=$D$143) * ('Results Grouping'!$I$9:$I$322=$D158),0)),
    'Resource Summary'!$C:$C,F$146
  )
)</f>
        <v>0</v>
      </c>
      <c r="G158" s="14" cm="1">
        <f t="array" ref="G158">0.000001 * SUM(
  SUMIFS(
    'Resource Summary'!$O:$O,
    'Resource Summary'!$B:$B,zones_to_group,
    'Resource Summary'!$A:$A,TRANSPOSE(_xlfn._xlws.FILTER('Results Grouping'!$G$9:$G$322,('Results Grouping'!$H$9:$H$322=$D$143) * ('Results Grouping'!$I$9:$I$322=$D158),0)),
    'Resource Summary'!$C:$C,G$146
  )
)</f>
        <v>0</v>
      </c>
      <c r="H158" s="14" cm="1">
        <f t="array" ref="H158">0.000001 * SUM(
  SUMIFS(
    'Resource Summary'!$O:$O,
    'Resource Summary'!$B:$B,zones_to_group,
    'Resource Summary'!$A:$A,TRANSPOSE(_xlfn._xlws.FILTER('Results Grouping'!$G$9:$G$322,('Results Grouping'!$H$9:$H$322=$D$143) * ('Results Grouping'!$I$9:$I$322=$D158),0)),
    'Resource Summary'!$C:$C,H$146
  )
)</f>
        <v>0</v>
      </c>
      <c r="I158" s="14" cm="1">
        <f t="array" ref="I158">0.000001 * SUM(
  SUMIFS(
    'Resource Summary'!$O:$O,
    'Resource Summary'!$B:$B,zones_to_group,
    'Resource Summary'!$A:$A,TRANSPOSE(_xlfn._xlws.FILTER('Results Grouping'!$G$9:$G$322,('Results Grouping'!$H$9:$H$322=$D$143) * ('Results Grouping'!$I$9:$I$322=$D158),0)),
    'Resource Summary'!$C:$C,I$146
  )
)</f>
        <v>0</v>
      </c>
      <c r="J158" s="14" cm="1">
        <f t="array" ref="J158">0.000001 * SUM(
  SUMIFS(
    'Resource Summary'!$O:$O,
    'Resource Summary'!$B:$B,zones_to_group,
    'Resource Summary'!$A:$A,TRANSPOSE(_xlfn._xlws.FILTER('Results Grouping'!$G$9:$G$322,('Results Grouping'!$H$9:$H$322=$D$143) * ('Results Grouping'!$I$9:$I$322=$D158),0)),
    'Resource Summary'!$C:$C,J$146
  )
)</f>
        <v>0</v>
      </c>
      <c r="K158" s="14" cm="1">
        <f t="array" ref="K158">0.000001 * SUM(
  SUMIFS(
    'Resource Summary'!$O:$O,
    'Resource Summary'!$B:$B,zones_to_group,
    'Resource Summary'!$A:$A,TRANSPOSE(_xlfn._xlws.FILTER('Results Grouping'!$G$9:$G$322,('Results Grouping'!$H$9:$H$322=$D$143) * ('Results Grouping'!$I$9:$I$322=$D158),0)),
    'Resource Summary'!$C:$C,K$146
  )
)</f>
        <v>0</v>
      </c>
      <c r="L158" s="14" cm="1">
        <f t="array" ref="L158">0.000001 * SUM(
  SUMIFS(
    'Resource Summary'!$O:$O,
    'Resource Summary'!$B:$B,zones_to_group,
    'Resource Summary'!$A:$A,TRANSPOSE(_xlfn._xlws.FILTER('Results Grouping'!$G$9:$G$322,('Results Grouping'!$H$9:$H$322=$D$143) * ('Results Grouping'!$I$9:$I$322=$D158),0)),
    'Resource Summary'!$C:$C,L$146
  )
)</f>
        <v>0</v>
      </c>
      <c r="M158" s="14" cm="1">
        <f t="array" ref="M158">0.000001 * SUM(
  SUMIFS(
    'Resource Summary'!$O:$O,
    'Resource Summary'!$B:$B,zones_to_group,
    'Resource Summary'!$A:$A,TRANSPOSE(_xlfn._xlws.FILTER('Results Grouping'!$G$9:$G$322,('Results Grouping'!$H$9:$H$322=$D$143) * ('Results Grouping'!$I$9:$I$322=$D158),0)),
    'Resource Summary'!$C:$C,M$146
  )
)</f>
        <v>0</v>
      </c>
      <c r="N158" s="14" cm="1">
        <f t="array" ref="N158">0.000001 * SUM(
  SUMIFS(
    'Resource Summary'!$O:$O,
    'Resource Summary'!$B:$B,zones_to_group,
    'Resource Summary'!$A:$A,TRANSPOSE(_xlfn._xlws.FILTER('Results Grouping'!$G$9:$G$322,('Results Grouping'!$H$9:$H$322=$D$143) * ('Results Grouping'!$I$9:$I$322=$D158),0)),
    'Resource Summary'!$C:$C,N$146
  )
)</f>
        <v>0</v>
      </c>
      <c r="O158" s="14" cm="1">
        <f t="array" ref="O158">0.000001 * SUM(
  SUMIFS(
    'Resource Summary'!$O:$O,
    'Resource Summary'!$B:$B,zones_to_group,
    'Resource Summary'!$A:$A,TRANSPOSE(_xlfn._xlws.FILTER('Results Grouping'!$G$9:$G$322,('Results Grouping'!$H$9:$H$322=$D$143) * ('Results Grouping'!$I$9:$I$322=$D158),0)),
    'Resource Summary'!$C:$C,O$146
  )
)</f>
        <v>0</v>
      </c>
      <c r="P158" s="14" cm="1">
        <f t="array" ref="P158">0.000001 * SUM(
  SUMIFS(
    'Resource Summary'!$O:$O,
    'Resource Summary'!$B:$B,zones_to_group,
    'Resource Summary'!$A:$A,TRANSPOSE(_xlfn._xlws.FILTER('Results Grouping'!$G$9:$G$322,('Results Grouping'!$H$9:$H$322=$D$143) * ('Results Grouping'!$I$9:$I$322=$D158),0)),
    'Resource Summary'!$C:$C,P$146
  )
)</f>
        <v>0</v>
      </c>
      <c r="Q158" s="14" cm="1">
        <f t="array" ref="Q158">0.000001 * SUM(
  SUMIFS(
    'Resource Summary'!$O:$O,
    'Resource Summary'!$B:$B,zones_to_group,
    'Resource Summary'!$A:$A,TRANSPOSE(_xlfn._xlws.FILTER('Results Grouping'!$G$9:$G$322,('Results Grouping'!$H$9:$H$322=$D$143) * ('Results Grouping'!$I$9:$I$322=$D158),0)),
    'Resource Summary'!$C:$C,Q$146
  )
)</f>
        <v>0</v>
      </c>
      <c r="R158" s="14" cm="1">
        <f t="array" ref="R158">0.000001 * SUM(
  SUMIFS(
    'Resource Summary'!$O:$O,
    'Resource Summary'!$B:$B,zones_to_group,
    'Resource Summary'!$A:$A,TRANSPOSE(_xlfn._xlws.FILTER('Results Grouping'!$G$9:$G$322,('Results Grouping'!$H$9:$H$322=$D$143) * ('Results Grouping'!$I$9:$I$322=$D158),0)),
    'Resource Summary'!$C:$C,R$146
  )
)</f>
        <v>0</v>
      </c>
      <c r="S158" s="14" cm="1">
        <f t="array" ref="S158">0.000001 * SUM(
  SUMIFS(
    'Resource Summary'!$O:$O,
    'Resource Summary'!$B:$B,zones_to_group,
    'Resource Summary'!$A:$A,TRANSPOSE(_xlfn._xlws.FILTER('Results Grouping'!$G$9:$G$322,('Results Grouping'!$H$9:$H$322=$D$143) * ('Results Grouping'!$I$9:$I$322=$D158),0)),
    'Resource Summary'!$C:$C,S$146
  )
)</f>
        <v>0</v>
      </c>
      <c r="T158" s="14" cm="1">
        <f t="array" ref="T158">0.000001 * SUM(
  SUMIFS(
    'Resource Summary'!$O:$O,
    'Resource Summary'!$B:$B,zones_to_group,
    'Resource Summary'!$A:$A,TRANSPOSE(_xlfn._xlws.FILTER('Results Grouping'!$G$9:$G$322,('Results Grouping'!$H$9:$H$322=$D$143) * ('Results Grouping'!$I$9:$I$322=$D158),0)),
    'Resource Summary'!$C:$C,T$146
  )
)</f>
        <v>0</v>
      </c>
      <c r="U158" s="14" cm="1">
        <f t="array" ref="U158">0.000001 * SUM(
  SUMIFS(
    'Resource Summary'!$O:$O,
    'Resource Summary'!$B:$B,zones_to_group,
    'Resource Summary'!$A:$A,TRANSPOSE(_xlfn._xlws.FILTER('Results Grouping'!$G$9:$G$322,('Results Grouping'!$H$9:$H$322=$D$143) * ('Results Grouping'!$I$9:$I$322=$D158),0)),
    'Resource Summary'!$C:$C,U$146
  )
)</f>
        <v>0</v>
      </c>
      <c r="V158" s="14" cm="1">
        <f t="array" ref="V158">0.000001 * SUM(
  SUMIFS(
    'Resource Summary'!$O:$O,
    'Resource Summary'!$B:$B,zones_to_group,
    'Resource Summary'!$A:$A,TRANSPOSE(_xlfn._xlws.FILTER('Results Grouping'!$G$9:$G$322,('Results Grouping'!$H$9:$H$322=$D$143) * ('Results Grouping'!$I$9:$I$322=$D158),0)),
    'Resource Summary'!$C:$C,V$146
  )
)</f>
        <v>0</v>
      </c>
      <c r="W158" s="14" cm="1">
        <f t="array" ref="W158">0.000001 * SUM(
  SUMIFS(
    'Resource Summary'!$O:$O,
    'Resource Summary'!$B:$B,zones_to_group,
    'Resource Summary'!$A:$A,TRANSPOSE(_xlfn._xlws.FILTER('Results Grouping'!$G$9:$G$322,('Results Grouping'!$H$9:$H$322=$D$143) * ('Results Grouping'!$I$9:$I$322=$D158),0)),
    'Resource Summary'!$C:$C,W$146
  )
)</f>
        <v>0</v>
      </c>
      <c r="X158" s="14" cm="1">
        <f t="array" ref="X158">0.000001 * SUM(
  SUMIFS(
    'Resource Summary'!$O:$O,
    'Resource Summary'!$B:$B,zones_to_group,
    'Resource Summary'!$A:$A,TRANSPOSE(_xlfn._xlws.FILTER('Results Grouping'!$G$9:$G$322,('Results Grouping'!$H$9:$H$322=$D$143) * ('Results Grouping'!$I$9:$I$322=$D158),0)),
    'Resource Summary'!$C:$C,X$146
  )
)</f>
        <v>0</v>
      </c>
      <c r="Y158" s="14" cm="1">
        <f t="array" ref="Y158">0.000001 * SUM(
  SUMIFS(
    'Resource Summary'!$O:$O,
    'Resource Summary'!$B:$B,zones_to_group,
    'Resource Summary'!$A:$A,TRANSPOSE(_xlfn._xlws.FILTER('Results Grouping'!$G$9:$G$322,('Results Grouping'!$H$9:$H$322=$D$143) * ('Results Grouping'!$I$9:$I$322=$D158),0)),
    'Resource Summary'!$C:$C,Y$146
  )
)</f>
        <v>0</v>
      </c>
      <c r="Z158" s="14" cm="1">
        <f t="array" ref="Z158">0.000001 * SUM(
  SUMIFS(
    'Resource Summary'!$O:$O,
    'Resource Summary'!$B:$B,zones_to_group,
    'Resource Summary'!$A:$A,TRANSPOSE(_xlfn._xlws.FILTER('Results Grouping'!$G$9:$G$322,('Results Grouping'!$H$9:$H$322=$D$143) * ('Results Grouping'!$I$9:$I$322=$D158),0)),
    'Resource Summary'!$C:$C,Z$146
  )
)</f>
        <v>0</v>
      </c>
      <c r="AA158" s="14" cm="1">
        <f t="array" ref="AA158">0.000001 * SUM(
  SUMIFS(
    'Resource Summary'!$O:$O,
    'Resource Summary'!$B:$B,zones_to_group,
    'Resource Summary'!$A:$A,TRANSPOSE(_xlfn._xlws.FILTER('Results Grouping'!$G$9:$G$322,('Results Grouping'!$H$9:$H$322=$D$143) * ('Results Grouping'!$I$9:$I$322=$D158),0)),
    'Resource Summary'!$C:$C,AA$146
  )
)</f>
        <v>0</v>
      </c>
      <c r="AB158" s="14" cm="1">
        <f t="array" ref="AB158">0.000001 * SUM(
  SUMIFS(
    'Resource Summary'!$O:$O,
    'Resource Summary'!$B:$B,zones_to_group,
    'Resource Summary'!$A:$A,TRANSPOSE(_xlfn._xlws.FILTER('Results Grouping'!$G$9:$G$322,('Results Grouping'!$H$9:$H$322=$D$143) * ('Results Grouping'!$I$9:$I$322=$D158),0)),
    'Resource Summary'!$C:$C,AB$146
  )
)</f>
        <v>0</v>
      </c>
      <c r="AC158" s="14" cm="1">
        <f t="array" ref="AC158">0.000001 * SUM(
  SUMIFS(
    'Resource Summary'!$O:$O,
    'Resource Summary'!$B:$B,zones_to_group,
    'Resource Summary'!$A:$A,TRANSPOSE(_xlfn._xlws.FILTER('Results Grouping'!$G$9:$G$322,('Results Grouping'!$H$9:$H$322=$D$143) * ('Results Grouping'!$I$9:$I$322=$D158),0)),
    'Resource Summary'!$C:$C,AC$146
  )
)</f>
        <v>0</v>
      </c>
      <c r="AD158" s="14" cm="1">
        <f t="array" ref="AD158">0.000001 * SUM(
  SUMIFS(
    'Resource Summary'!$O:$O,
    'Resource Summary'!$B:$B,zones_to_group,
    'Resource Summary'!$A:$A,TRANSPOSE(_xlfn._xlws.FILTER('Results Grouping'!$G$9:$G$322,('Results Grouping'!$H$9:$H$322=$D$143) * ('Results Grouping'!$I$9:$I$322=$D158),0)),
    'Resource Summary'!$C:$C,AD$146
  )
)</f>
        <v>-18.046686760208576</v>
      </c>
      <c r="AH158" s="34"/>
    </row>
    <row r="159" spans="4:34" outlineLevel="1" x14ac:dyDescent="0.2">
      <c r="D159" s="8" t="s">
        <v>152</v>
      </c>
      <c r="E159" s="14" cm="1">
        <f t="array" ref="E159">0.000001 * SUM(
  SUMIFS(
    'Resource Summary'!$O:$O,
    'Resource Summary'!$B:$B,zones_to_group,
    'Resource Summary'!$A:$A,TRANSPOSE(_xlfn._xlws.FILTER('Results Grouping'!$G$9:$G$322,('Results Grouping'!$H$9:$H$322=$D$143) * ('Results Grouping'!$I$9:$I$322=$D159),0)),
    'Resource Summary'!$C:$C,E$146
  )
)</f>
        <v>0</v>
      </c>
      <c r="F159" s="14" cm="1">
        <f t="array" ref="F159">0.000001 * SUM(
  SUMIFS(
    'Resource Summary'!$O:$O,
    'Resource Summary'!$B:$B,zones_to_group,
    'Resource Summary'!$A:$A,TRANSPOSE(_xlfn._xlws.FILTER('Results Grouping'!$G$9:$G$322,('Results Grouping'!$H$9:$H$322=$D$143) * ('Results Grouping'!$I$9:$I$322=$D159),0)),
    'Resource Summary'!$C:$C,F$146
  )
)</f>
        <v>0</v>
      </c>
      <c r="G159" s="14" cm="1">
        <f t="array" ref="G159">0.000001 * SUM(
  SUMIFS(
    'Resource Summary'!$O:$O,
    'Resource Summary'!$B:$B,zones_to_group,
    'Resource Summary'!$A:$A,TRANSPOSE(_xlfn._xlws.FILTER('Results Grouping'!$G$9:$G$322,('Results Grouping'!$H$9:$H$322=$D$143) * ('Results Grouping'!$I$9:$I$322=$D159),0)),
    'Resource Summary'!$C:$C,G$146
  )
)</f>
        <v>0</v>
      </c>
      <c r="H159" s="14" cm="1">
        <f t="array" ref="H159">0.000001 * SUM(
  SUMIFS(
    'Resource Summary'!$O:$O,
    'Resource Summary'!$B:$B,zones_to_group,
    'Resource Summary'!$A:$A,TRANSPOSE(_xlfn._xlws.FILTER('Results Grouping'!$G$9:$G$322,('Results Grouping'!$H$9:$H$322=$D$143) * ('Results Grouping'!$I$9:$I$322=$D159),0)),
    'Resource Summary'!$C:$C,H$146
  )
)</f>
        <v>0</v>
      </c>
      <c r="I159" s="14" cm="1">
        <f t="array" ref="I159">0.000001 * SUM(
  SUMIFS(
    'Resource Summary'!$O:$O,
    'Resource Summary'!$B:$B,zones_to_group,
    'Resource Summary'!$A:$A,TRANSPOSE(_xlfn._xlws.FILTER('Results Grouping'!$G$9:$G$322,('Results Grouping'!$H$9:$H$322=$D$143) * ('Results Grouping'!$I$9:$I$322=$D159),0)),
    'Resource Summary'!$C:$C,I$146
  )
)</f>
        <v>0</v>
      </c>
      <c r="J159" s="14" cm="1">
        <f t="array" ref="J159">0.000001 * SUM(
  SUMIFS(
    'Resource Summary'!$O:$O,
    'Resource Summary'!$B:$B,zones_to_group,
    'Resource Summary'!$A:$A,TRANSPOSE(_xlfn._xlws.FILTER('Results Grouping'!$G$9:$G$322,('Results Grouping'!$H$9:$H$322=$D$143) * ('Results Grouping'!$I$9:$I$322=$D159),0)),
    'Resource Summary'!$C:$C,J$146
  )
)</f>
        <v>0</v>
      </c>
      <c r="K159" s="14" cm="1">
        <f t="array" ref="K159">0.000001 * SUM(
  SUMIFS(
    'Resource Summary'!$O:$O,
    'Resource Summary'!$B:$B,zones_to_group,
    'Resource Summary'!$A:$A,TRANSPOSE(_xlfn._xlws.FILTER('Results Grouping'!$G$9:$G$322,('Results Grouping'!$H$9:$H$322=$D$143) * ('Results Grouping'!$I$9:$I$322=$D159),0)),
    'Resource Summary'!$C:$C,K$146
  )
)</f>
        <v>0</v>
      </c>
      <c r="L159" s="14" cm="1">
        <f t="array" ref="L159">0.000001 * SUM(
  SUMIFS(
    'Resource Summary'!$O:$O,
    'Resource Summary'!$B:$B,zones_to_group,
    'Resource Summary'!$A:$A,TRANSPOSE(_xlfn._xlws.FILTER('Results Grouping'!$G$9:$G$322,('Results Grouping'!$H$9:$H$322=$D$143) * ('Results Grouping'!$I$9:$I$322=$D159),0)),
    'Resource Summary'!$C:$C,L$146
  )
)</f>
        <v>0</v>
      </c>
      <c r="M159" s="14" cm="1">
        <f t="array" ref="M159">0.000001 * SUM(
  SUMIFS(
    'Resource Summary'!$O:$O,
    'Resource Summary'!$B:$B,zones_to_group,
    'Resource Summary'!$A:$A,TRANSPOSE(_xlfn._xlws.FILTER('Results Grouping'!$G$9:$G$322,('Results Grouping'!$H$9:$H$322=$D$143) * ('Results Grouping'!$I$9:$I$322=$D159),0)),
    'Resource Summary'!$C:$C,M$146
  )
)</f>
        <v>0</v>
      </c>
      <c r="N159" s="14" cm="1">
        <f t="array" ref="N159">0.000001 * SUM(
  SUMIFS(
    'Resource Summary'!$O:$O,
    'Resource Summary'!$B:$B,zones_to_group,
    'Resource Summary'!$A:$A,TRANSPOSE(_xlfn._xlws.FILTER('Results Grouping'!$G$9:$G$322,('Results Grouping'!$H$9:$H$322=$D$143) * ('Results Grouping'!$I$9:$I$322=$D159),0)),
    'Resource Summary'!$C:$C,N$146
  )
)</f>
        <v>0</v>
      </c>
      <c r="O159" s="14" cm="1">
        <f t="array" ref="O159">0.000001 * SUM(
  SUMIFS(
    'Resource Summary'!$O:$O,
    'Resource Summary'!$B:$B,zones_to_group,
    'Resource Summary'!$A:$A,TRANSPOSE(_xlfn._xlws.FILTER('Results Grouping'!$G$9:$G$322,('Results Grouping'!$H$9:$H$322=$D$143) * ('Results Grouping'!$I$9:$I$322=$D159),0)),
    'Resource Summary'!$C:$C,O$146
  )
)</f>
        <v>0</v>
      </c>
      <c r="P159" s="14" cm="1">
        <f t="array" ref="P159">0.000001 * SUM(
  SUMIFS(
    'Resource Summary'!$O:$O,
    'Resource Summary'!$B:$B,zones_to_group,
    'Resource Summary'!$A:$A,TRANSPOSE(_xlfn._xlws.FILTER('Results Grouping'!$G$9:$G$322,('Results Grouping'!$H$9:$H$322=$D$143) * ('Results Grouping'!$I$9:$I$322=$D159),0)),
    'Resource Summary'!$C:$C,P$146
  )
)</f>
        <v>0</v>
      </c>
      <c r="Q159" s="14" cm="1">
        <f t="array" ref="Q159">0.000001 * SUM(
  SUMIFS(
    'Resource Summary'!$O:$O,
    'Resource Summary'!$B:$B,zones_to_group,
    'Resource Summary'!$A:$A,TRANSPOSE(_xlfn._xlws.FILTER('Results Grouping'!$G$9:$G$322,('Results Grouping'!$H$9:$H$322=$D$143) * ('Results Grouping'!$I$9:$I$322=$D159),0)),
    'Resource Summary'!$C:$C,Q$146
  )
)</f>
        <v>0</v>
      </c>
      <c r="R159" s="14" cm="1">
        <f t="array" ref="R159">0.000001 * SUM(
  SUMIFS(
    'Resource Summary'!$O:$O,
    'Resource Summary'!$B:$B,zones_to_group,
    'Resource Summary'!$A:$A,TRANSPOSE(_xlfn._xlws.FILTER('Results Grouping'!$G$9:$G$322,('Results Grouping'!$H$9:$H$322=$D$143) * ('Results Grouping'!$I$9:$I$322=$D159),0)),
    'Resource Summary'!$C:$C,R$146
  )
)</f>
        <v>0</v>
      </c>
      <c r="S159" s="14" cm="1">
        <f t="array" ref="S159">0.000001 * SUM(
  SUMIFS(
    'Resource Summary'!$O:$O,
    'Resource Summary'!$B:$B,zones_to_group,
    'Resource Summary'!$A:$A,TRANSPOSE(_xlfn._xlws.FILTER('Results Grouping'!$G$9:$G$322,('Results Grouping'!$H$9:$H$322=$D$143) * ('Results Grouping'!$I$9:$I$322=$D159),0)),
    'Resource Summary'!$C:$C,S$146
  )
)</f>
        <v>0</v>
      </c>
      <c r="T159" s="14" cm="1">
        <f t="array" ref="T159">0.000001 * SUM(
  SUMIFS(
    'Resource Summary'!$O:$O,
    'Resource Summary'!$B:$B,zones_to_group,
    'Resource Summary'!$A:$A,TRANSPOSE(_xlfn._xlws.FILTER('Results Grouping'!$G$9:$G$322,('Results Grouping'!$H$9:$H$322=$D$143) * ('Results Grouping'!$I$9:$I$322=$D159),0)),
    'Resource Summary'!$C:$C,T$146
  )
)</f>
        <v>0</v>
      </c>
      <c r="U159" s="14" cm="1">
        <f t="array" ref="U159">0.000001 * SUM(
  SUMIFS(
    'Resource Summary'!$O:$O,
    'Resource Summary'!$B:$B,zones_to_group,
    'Resource Summary'!$A:$A,TRANSPOSE(_xlfn._xlws.FILTER('Results Grouping'!$G$9:$G$322,('Results Grouping'!$H$9:$H$322=$D$143) * ('Results Grouping'!$I$9:$I$322=$D159),0)),
    'Resource Summary'!$C:$C,U$146
  )
)</f>
        <v>0</v>
      </c>
      <c r="V159" s="14" cm="1">
        <f t="array" ref="V159">0.000001 * SUM(
  SUMIFS(
    'Resource Summary'!$O:$O,
    'Resource Summary'!$B:$B,zones_to_group,
    'Resource Summary'!$A:$A,TRANSPOSE(_xlfn._xlws.FILTER('Results Grouping'!$G$9:$G$322,('Results Grouping'!$H$9:$H$322=$D$143) * ('Results Grouping'!$I$9:$I$322=$D159),0)),
    'Resource Summary'!$C:$C,V$146
  )
)</f>
        <v>0</v>
      </c>
      <c r="W159" s="14" cm="1">
        <f t="array" ref="W159">0.000001 * SUM(
  SUMIFS(
    'Resource Summary'!$O:$O,
    'Resource Summary'!$B:$B,zones_to_group,
    'Resource Summary'!$A:$A,TRANSPOSE(_xlfn._xlws.FILTER('Results Grouping'!$G$9:$G$322,('Results Grouping'!$H$9:$H$322=$D$143) * ('Results Grouping'!$I$9:$I$322=$D159),0)),
    'Resource Summary'!$C:$C,W$146
  )
)</f>
        <v>0</v>
      </c>
      <c r="X159" s="14" cm="1">
        <f t="array" ref="X159">0.000001 * SUM(
  SUMIFS(
    'Resource Summary'!$O:$O,
    'Resource Summary'!$B:$B,zones_to_group,
    'Resource Summary'!$A:$A,TRANSPOSE(_xlfn._xlws.FILTER('Results Grouping'!$G$9:$G$322,('Results Grouping'!$H$9:$H$322=$D$143) * ('Results Grouping'!$I$9:$I$322=$D159),0)),
    'Resource Summary'!$C:$C,X$146
  )
)</f>
        <v>0</v>
      </c>
      <c r="Y159" s="14" cm="1">
        <f t="array" ref="Y159">0.000001 * SUM(
  SUMIFS(
    'Resource Summary'!$O:$O,
    'Resource Summary'!$B:$B,zones_to_group,
    'Resource Summary'!$A:$A,TRANSPOSE(_xlfn._xlws.FILTER('Results Grouping'!$G$9:$G$322,('Results Grouping'!$H$9:$H$322=$D$143) * ('Results Grouping'!$I$9:$I$322=$D159),0)),
    'Resource Summary'!$C:$C,Y$146
  )
)</f>
        <v>0</v>
      </c>
      <c r="Z159" s="14" cm="1">
        <f t="array" ref="Z159">0.000001 * SUM(
  SUMIFS(
    'Resource Summary'!$O:$O,
    'Resource Summary'!$B:$B,zones_to_group,
    'Resource Summary'!$A:$A,TRANSPOSE(_xlfn._xlws.FILTER('Results Grouping'!$G$9:$G$322,('Results Grouping'!$H$9:$H$322=$D$143) * ('Results Grouping'!$I$9:$I$322=$D159),0)),
    'Resource Summary'!$C:$C,Z$146
  )
)</f>
        <v>0</v>
      </c>
      <c r="AA159" s="14" cm="1">
        <f t="array" ref="AA159">0.000001 * SUM(
  SUMIFS(
    'Resource Summary'!$O:$O,
    'Resource Summary'!$B:$B,zones_to_group,
    'Resource Summary'!$A:$A,TRANSPOSE(_xlfn._xlws.FILTER('Results Grouping'!$G$9:$G$322,('Results Grouping'!$H$9:$H$322=$D$143) * ('Results Grouping'!$I$9:$I$322=$D159),0)),
    'Resource Summary'!$C:$C,AA$146
  )
)</f>
        <v>0</v>
      </c>
      <c r="AB159" s="14" cm="1">
        <f t="array" ref="AB159">0.000001 * SUM(
  SUMIFS(
    'Resource Summary'!$O:$O,
    'Resource Summary'!$B:$B,zones_to_group,
    'Resource Summary'!$A:$A,TRANSPOSE(_xlfn._xlws.FILTER('Results Grouping'!$G$9:$G$322,('Results Grouping'!$H$9:$H$322=$D$143) * ('Results Grouping'!$I$9:$I$322=$D159),0)),
    'Resource Summary'!$C:$C,AB$146
  )
)</f>
        <v>0</v>
      </c>
      <c r="AC159" s="14" cm="1">
        <f t="array" ref="AC159">0.000001 * SUM(
  SUMIFS(
    'Resource Summary'!$O:$O,
    'Resource Summary'!$B:$B,zones_to_group,
    'Resource Summary'!$A:$A,TRANSPOSE(_xlfn._xlws.FILTER('Results Grouping'!$G$9:$G$322,('Results Grouping'!$H$9:$H$322=$D$143) * ('Results Grouping'!$I$9:$I$322=$D159),0)),
    'Resource Summary'!$C:$C,AC$146
  )
)</f>
        <v>0</v>
      </c>
      <c r="AD159" s="14" cm="1">
        <f t="array" ref="AD159">0.000001 * SUM(
  SUMIFS(
    'Resource Summary'!$O:$O,
    'Resource Summary'!$B:$B,zones_to_group,
    'Resource Summary'!$A:$A,TRANSPOSE(_xlfn._xlws.FILTER('Results Grouping'!$G$9:$G$322,('Results Grouping'!$H$9:$H$322=$D$143) * ('Results Grouping'!$I$9:$I$322=$D159),0)),
    'Resource Summary'!$C:$C,AD$146
  )
)</f>
        <v>-1.1360082375371781</v>
      </c>
      <c r="AH159" s="34"/>
    </row>
    <row r="160" spans="4:34" outlineLevel="1" x14ac:dyDescent="0.2">
      <c r="D160" s="8" t="s">
        <v>123</v>
      </c>
      <c r="E160" s="14" cm="1">
        <f t="array" ref="E160">0.000001 * SUM(
  SUMIFS(
    'Resource Summary'!$O:$O,
    'Resource Summary'!$B:$B,zones_to_group,
    'Resource Summary'!$A:$A,TRANSPOSE(_xlfn._xlws.FILTER('Results Grouping'!$G$9:$G$322,('Results Grouping'!$H$9:$H$322=$D$143) * ('Results Grouping'!$I$9:$I$322=$D160),0)),
    'Resource Summary'!$C:$C,E$146
  )
)</f>
        <v>0</v>
      </c>
      <c r="F160" s="14" cm="1">
        <f t="array" ref="F160">0.000001 * SUM(
  SUMIFS(
    'Resource Summary'!$O:$O,
    'Resource Summary'!$B:$B,zones_to_group,
    'Resource Summary'!$A:$A,TRANSPOSE(_xlfn._xlws.FILTER('Results Grouping'!$G$9:$G$322,('Results Grouping'!$H$9:$H$322=$D$143) * ('Results Grouping'!$I$9:$I$322=$D160),0)),
    'Resource Summary'!$C:$C,F$146
  )
)</f>
        <v>0</v>
      </c>
      <c r="G160" s="14" cm="1">
        <f t="array" ref="G160">0.000001 * SUM(
  SUMIFS(
    'Resource Summary'!$O:$O,
    'Resource Summary'!$B:$B,zones_to_group,
    'Resource Summary'!$A:$A,TRANSPOSE(_xlfn._xlws.FILTER('Results Grouping'!$G$9:$G$322,('Results Grouping'!$H$9:$H$322=$D$143) * ('Results Grouping'!$I$9:$I$322=$D160),0)),
    'Resource Summary'!$C:$C,G$146
  )
)</f>
        <v>0</v>
      </c>
      <c r="H160" s="14" cm="1">
        <f t="array" ref="H160">0.000001 * SUM(
  SUMIFS(
    'Resource Summary'!$O:$O,
    'Resource Summary'!$B:$B,zones_to_group,
    'Resource Summary'!$A:$A,TRANSPOSE(_xlfn._xlws.FILTER('Results Grouping'!$G$9:$G$322,('Results Grouping'!$H$9:$H$322=$D$143) * ('Results Grouping'!$I$9:$I$322=$D160),0)),
    'Resource Summary'!$C:$C,H$146
  )
)</f>
        <v>0</v>
      </c>
      <c r="I160" s="14" cm="1">
        <f t="array" ref="I160">0.000001 * SUM(
  SUMIFS(
    'Resource Summary'!$O:$O,
    'Resource Summary'!$B:$B,zones_to_group,
    'Resource Summary'!$A:$A,TRANSPOSE(_xlfn._xlws.FILTER('Results Grouping'!$G$9:$G$322,('Results Grouping'!$H$9:$H$322=$D$143) * ('Results Grouping'!$I$9:$I$322=$D160),0)),
    'Resource Summary'!$C:$C,I$146
  )
)</f>
        <v>0</v>
      </c>
      <c r="J160" s="14" cm="1">
        <f t="array" ref="J160">0.000001 * SUM(
  SUMIFS(
    'Resource Summary'!$O:$O,
    'Resource Summary'!$B:$B,zones_to_group,
    'Resource Summary'!$A:$A,TRANSPOSE(_xlfn._xlws.FILTER('Results Grouping'!$G$9:$G$322,('Results Grouping'!$H$9:$H$322=$D$143) * ('Results Grouping'!$I$9:$I$322=$D160),0)),
    'Resource Summary'!$C:$C,J$146
  )
)</f>
        <v>0</v>
      </c>
      <c r="K160" s="14" cm="1">
        <f t="array" ref="K160">0.000001 * SUM(
  SUMIFS(
    'Resource Summary'!$O:$O,
    'Resource Summary'!$B:$B,zones_to_group,
    'Resource Summary'!$A:$A,TRANSPOSE(_xlfn._xlws.FILTER('Results Grouping'!$G$9:$G$322,('Results Grouping'!$H$9:$H$322=$D$143) * ('Results Grouping'!$I$9:$I$322=$D160),0)),
    'Resource Summary'!$C:$C,K$146
  )
)</f>
        <v>0</v>
      </c>
      <c r="L160" s="14" cm="1">
        <f t="array" ref="L160">0.000001 * SUM(
  SUMIFS(
    'Resource Summary'!$O:$O,
    'Resource Summary'!$B:$B,zones_to_group,
    'Resource Summary'!$A:$A,TRANSPOSE(_xlfn._xlws.FILTER('Results Grouping'!$G$9:$G$322,('Results Grouping'!$H$9:$H$322=$D$143) * ('Results Grouping'!$I$9:$I$322=$D160),0)),
    'Resource Summary'!$C:$C,L$146
  )
)</f>
        <v>0</v>
      </c>
      <c r="M160" s="14" cm="1">
        <f t="array" ref="M160">0.000001 * SUM(
  SUMIFS(
    'Resource Summary'!$O:$O,
    'Resource Summary'!$B:$B,zones_to_group,
    'Resource Summary'!$A:$A,TRANSPOSE(_xlfn._xlws.FILTER('Results Grouping'!$G$9:$G$322,('Results Grouping'!$H$9:$H$322=$D$143) * ('Results Grouping'!$I$9:$I$322=$D160),0)),
    'Resource Summary'!$C:$C,M$146
  )
)</f>
        <v>0</v>
      </c>
      <c r="N160" s="14" cm="1">
        <f t="array" ref="N160">0.000001 * SUM(
  SUMIFS(
    'Resource Summary'!$O:$O,
    'Resource Summary'!$B:$B,zones_to_group,
    'Resource Summary'!$A:$A,TRANSPOSE(_xlfn._xlws.FILTER('Results Grouping'!$G$9:$G$322,('Results Grouping'!$H$9:$H$322=$D$143) * ('Results Grouping'!$I$9:$I$322=$D160),0)),
    'Resource Summary'!$C:$C,N$146
  )
)</f>
        <v>0</v>
      </c>
      <c r="O160" s="14" cm="1">
        <f t="array" ref="O160">0.000001 * SUM(
  SUMIFS(
    'Resource Summary'!$O:$O,
    'Resource Summary'!$B:$B,zones_to_group,
    'Resource Summary'!$A:$A,TRANSPOSE(_xlfn._xlws.FILTER('Results Grouping'!$G$9:$G$322,('Results Grouping'!$H$9:$H$322=$D$143) * ('Results Grouping'!$I$9:$I$322=$D160),0)),
    'Resource Summary'!$C:$C,O$146
  )
)</f>
        <v>0</v>
      </c>
      <c r="P160" s="14" cm="1">
        <f t="array" ref="P160">0.000001 * SUM(
  SUMIFS(
    'Resource Summary'!$O:$O,
    'Resource Summary'!$B:$B,zones_to_group,
    'Resource Summary'!$A:$A,TRANSPOSE(_xlfn._xlws.FILTER('Results Grouping'!$G$9:$G$322,('Results Grouping'!$H$9:$H$322=$D$143) * ('Results Grouping'!$I$9:$I$322=$D160),0)),
    'Resource Summary'!$C:$C,P$146
  )
)</f>
        <v>0</v>
      </c>
      <c r="Q160" s="14" cm="1">
        <f t="array" ref="Q160">0.000001 * SUM(
  SUMIFS(
    'Resource Summary'!$O:$O,
    'Resource Summary'!$B:$B,zones_to_group,
    'Resource Summary'!$A:$A,TRANSPOSE(_xlfn._xlws.FILTER('Results Grouping'!$G$9:$G$322,('Results Grouping'!$H$9:$H$322=$D$143) * ('Results Grouping'!$I$9:$I$322=$D160),0)),
    'Resource Summary'!$C:$C,Q$146
  )
)</f>
        <v>0</v>
      </c>
      <c r="R160" s="14" cm="1">
        <f t="array" ref="R160">0.000001 * SUM(
  SUMIFS(
    'Resource Summary'!$O:$O,
    'Resource Summary'!$B:$B,zones_to_group,
    'Resource Summary'!$A:$A,TRANSPOSE(_xlfn._xlws.FILTER('Results Grouping'!$G$9:$G$322,('Results Grouping'!$H$9:$H$322=$D$143) * ('Results Grouping'!$I$9:$I$322=$D160),0)),
    'Resource Summary'!$C:$C,R$146
  )
)</f>
        <v>0</v>
      </c>
      <c r="S160" s="14" cm="1">
        <f t="array" ref="S160">0.000001 * SUM(
  SUMIFS(
    'Resource Summary'!$O:$O,
    'Resource Summary'!$B:$B,zones_to_group,
    'Resource Summary'!$A:$A,TRANSPOSE(_xlfn._xlws.FILTER('Results Grouping'!$G$9:$G$322,('Results Grouping'!$H$9:$H$322=$D$143) * ('Results Grouping'!$I$9:$I$322=$D160),0)),
    'Resource Summary'!$C:$C,S$146
  )
)</f>
        <v>0</v>
      </c>
      <c r="T160" s="14" cm="1">
        <f t="array" ref="T160">0.000001 * SUM(
  SUMIFS(
    'Resource Summary'!$O:$O,
    'Resource Summary'!$B:$B,zones_to_group,
    'Resource Summary'!$A:$A,TRANSPOSE(_xlfn._xlws.FILTER('Results Grouping'!$G$9:$G$322,('Results Grouping'!$H$9:$H$322=$D$143) * ('Results Grouping'!$I$9:$I$322=$D160),0)),
    'Resource Summary'!$C:$C,T$146
  )
)</f>
        <v>0</v>
      </c>
      <c r="U160" s="14" cm="1">
        <f t="array" ref="U160">0.000001 * SUM(
  SUMIFS(
    'Resource Summary'!$O:$O,
    'Resource Summary'!$B:$B,zones_to_group,
    'Resource Summary'!$A:$A,TRANSPOSE(_xlfn._xlws.FILTER('Results Grouping'!$G$9:$G$322,('Results Grouping'!$H$9:$H$322=$D$143) * ('Results Grouping'!$I$9:$I$322=$D160),0)),
    'Resource Summary'!$C:$C,U$146
  )
)</f>
        <v>0</v>
      </c>
      <c r="V160" s="14" cm="1">
        <f t="array" ref="V160">0.000001 * SUM(
  SUMIFS(
    'Resource Summary'!$O:$O,
    'Resource Summary'!$B:$B,zones_to_group,
    'Resource Summary'!$A:$A,TRANSPOSE(_xlfn._xlws.FILTER('Results Grouping'!$G$9:$G$322,('Results Grouping'!$H$9:$H$322=$D$143) * ('Results Grouping'!$I$9:$I$322=$D160),0)),
    'Resource Summary'!$C:$C,V$146
  )
)</f>
        <v>0</v>
      </c>
      <c r="W160" s="14" cm="1">
        <f t="array" ref="W160">0.000001 * SUM(
  SUMIFS(
    'Resource Summary'!$O:$O,
    'Resource Summary'!$B:$B,zones_to_group,
    'Resource Summary'!$A:$A,TRANSPOSE(_xlfn._xlws.FILTER('Results Grouping'!$G$9:$G$322,('Results Grouping'!$H$9:$H$322=$D$143) * ('Results Grouping'!$I$9:$I$322=$D160),0)),
    'Resource Summary'!$C:$C,W$146
  )
)</f>
        <v>0</v>
      </c>
      <c r="X160" s="14" cm="1">
        <f t="array" ref="X160">0.000001 * SUM(
  SUMIFS(
    'Resource Summary'!$O:$O,
    'Resource Summary'!$B:$B,zones_to_group,
    'Resource Summary'!$A:$A,TRANSPOSE(_xlfn._xlws.FILTER('Results Grouping'!$G$9:$G$322,('Results Grouping'!$H$9:$H$322=$D$143) * ('Results Grouping'!$I$9:$I$322=$D160),0)),
    'Resource Summary'!$C:$C,X$146
  )
)</f>
        <v>0</v>
      </c>
      <c r="Y160" s="14" cm="1">
        <f t="array" ref="Y160">0.000001 * SUM(
  SUMIFS(
    'Resource Summary'!$O:$O,
    'Resource Summary'!$B:$B,zones_to_group,
    'Resource Summary'!$A:$A,TRANSPOSE(_xlfn._xlws.FILTER('Results Grouping'!$G$9:$G$322,('Results Grouping'!$H$9:$H$322=$D$143) * ('Results Grouping'!$I$9:$I$322=$D160),0)),
    'Resource Summary'!$C:$C,Y$146
  )
)</f>
        <v>0</v>
      </c>
      <c r="Z160" s="14" cm="1">
        <f t="array" ref="Z160">0.000001 * SUM(
  SUMIFS(
    'Resource Summary'!$O:$O,
    'Resource Summary'!$B:$B,zones_to_group,
    'Resource Summary'!$A:$A,TRANSPOSE(_xlfn._xlws.FILTER('Results Grouping'!$G$9:$G$322,('Results Grouping'!$H$9:$H$322=$D$143) * ('Results Grouping'!$I$9:$I$322=$D160),0)),
    'Resource Summary'!$C:$C,Z$146
  )
)</f>
        <v>0</v>
      </c>
      <c r="AA160" s="14" cm="1">
        <f t="array" ref="AA160">0.000001 * SUM(
  SUMIFS(
    'Resource Summary'!$O:$O,
    'Resource Summary'!$B:$B,zones_to_group,
    'Resource Summary'!$A:$A,TRANSPOSE(_xlfn._xlws.FILTER('Results Grouping'!$G$9:$G$322,('Results Grouping'!$H$9:$H$322=$D$143) * ('Results Grouping'!$I$9:$I$322=$D160),0)),
    'Resource Summary'!$C:$C,AA$146
  )
)</f>
        <v>0</v>
      </c>
      <c r="AB160" s="14" cm="1">
        <f t="array" ref="AB160">0.000001 * SUM(
  SUMIFS(
    'Resource Summary'!$O:$O,
    'Resource Summary'!$B:$B,zones_to_group,
    'Resource Summary'!$A:$A,TRANSPOSE(_xlfn._xlws.FILTER('Results Grouping'!$G$9:$G$322,('Results Grouping'!$H$9:$H$322=$D$143) * ('Results Grouping'!$I$9:$I$322=$D160),0)),
    'Resource Summary'!$C:$C,AB$146
  )
)</f>
        <v>0</v>
      </c>
      <c r="AC160" s="14" cm="1">
        <f t="array" ref="AC160">0.000001 * SUM(
  SUMIFS(
    'Resource Summary'!$O:$O,
    'Resource Summary'!$B:$B,zones_to_group,
    'Resource Summary'!$A:$A,TRANSPOSE(_xlfn._xlws.FILTER('Results Grouping'!$G$9:$G$322,('Results Grouping'!$H$9:$H$322=$D$143) * ('Results Grouping'!$I$9:$I$322=$D160),0)),
    'Resource Summary'!$C:$C,AC$146
  )
)</f>
        <v>0</v>
      </c>
      <c r="AD160" s="14" cm="1">
        <f t="array" ref="AD160">0.000001 * SUM(
  SUMIFS(
    'Resource Summary'!$O:$O,
    'Resource Summary'!$B:$B,zones_to_group,
    'Resource Summary'!$A:$A,TRANSPOSE(_xlfn._xlws.FILTER('Results Grouping'!$G$9:$G$322,('Results Grouping'!$H$9:$H$322=$D$143) * ('Results Grouping'!$I$9:$I$322=$D160),0)),
    'Resource Summary'!$C:$C,AD$146
  )
)</f>
        <v>0</v>
      </c>
      <c r="AH160" s="34"/>
    </row>
    <row r="161" spans="4:34" outlineLevel="1" x14ac:dyDescent="0.2">
      <c r="D161" s="8" t="s">
        <v>153</v>
      </c>
      <c r="E161" s="35" cm="1">
        <f t="array" ref="E161">-0.000001 * SUM(
  SUMIFS(
    'Resource Summary'!$P:$P,
    'Resource Summary'!$B:$B,zones_to_group,
    'Resource Summary'!$C:$C,E$146
  )
)</f>
        <v>0</v>
      </c>
      <c r="F161" s="35" cm="1">
        <f t="array" ref="F161">-0.000001 * SUM(
  SUMIFS(
    'Resource Summary'!$P:$P,
    'Resource Summary'!$B:$B,zones_to_group,
    'Resource Summary'!$C:$C,F$146
  )
)</f>
        <v>0</v>
      </c>
      <c r="G161" s="35" cm="1">
        <f t="array" ref="G161">-0.000001 * SUM(
  SUMIFS(
    'Resource Summary'!$P:$P,
    'Resource Summary'!$B:$B,zones_to_group,
    'Resource Summary'!$C:$C,G$146
  )
)</f>
        <v>0</v>
      </c>
      <c r="H161" s="35" cm="1">
        <f t="array" ref="H161">-0.000001 * SUM(
  SUMIFS(
    'Resource Summary'!$P:$P,
    'Resource Summary'!$B:$B,zones_to_group,
    'Resource Summary'!$C:$C,H$146
  )
)</f>
        <v>0</v>
      </c>
      <c r="I161" s="35" cm="1">
        <f t="array" ref="I161">-0.000001 * SUM(
  SUMIFS(
    'Resource Summary'!$P:$P,
    'Resource Summary'!$B:$B,zones_to_group,
    'Resource Summary'!$C:$C,I$146
  )
)</f>
        <v>0</v>
      </c>
      <c r="J161" s="35" cm="1">
        <f t="array" ref="J161">-0.000001 * SUM(
  SUMIFS(
    'Resource Summary'!$P:$P,
    'Resource Summary'!$B:$B,zones_to_group,
    'Resource Summary'!$C:$C,J$146
  )
)</f>
        <v>0</v>
      </c>
      <c r="K161" s="35" cm="1">
        <f t="array" ref="K161">-0.000001 * SUM(
  SUMIFS(
    'Resource Summary'!$P:$P,
    'Resource Summary'!$B:$B,zones_to_group,
    'Resource Summary'!$C:$C,K$146
  )
)</f>
        <v>0</v>
      </c>
      <c r="L161" s="35" cm="1">
        <f t="array" ref="L161">-0.000001 * SUM(
  SUMIFS(
    'Resource Summary'!$P:$P,
    'Resource Summary'!$B:$B,zones_to_group,
    'Resource Summary'!$C:$C,L$146
  )
)</f>
        <v>0</v>
      </c>
      <c r="M161" s="35" cm="1">
        <f t="array" ref="M161">-0.000001 * SUM(
  SUMIFS(
    'Resource Summary'!$P:$P,
    'Resource Summary'!$B:$B,zones_to_group,
    'Resource Summary'!$C:$C,M$146
  )
)</f>
        <v>0</v>
      </c>
      <c r="N161" s="35" cm="1">
        <f t="array" ref="N161">-0.000001 * SUM(
  SUMIFS(
    'Resource Summary'!$P:$P,
    'Resource Summary'!$B:$B,zones_to_group,
    'Resource Summary'!$C:$C,N$146
  )
)</f>
        <v>0</v>
      </c>
      <c r="O161" s="35" cm="1">
        <f t="array" ref="O161">-0.000001 * SUM(
  SUMIFS(
    'Resource Summary'!$P:$P,
    'Resource Summary'!$B:$B,zones_to_group,
    'Resource Summary'!$C:$C,O$146
  )
)</f>
        <v>0</v>
      </c>
      <c r="P161" s="35" cm="1">
        <f t="array" ref="P161">-0.000001 * SUM(
  SUMIFS(
    'Resource Summary'!$P:$P,
    'Resource Summary'!$B:$B,zones_to_group,
    'Resource Summary'!$C:$C,P$146
  )
)</f>
        <v>0</v>
      </c>
      <c r="Q161" s="35" cm="1">
        <f t="array" ref="Q161">-0.000001 * SUM(
  SUMIFS(
    'Resource Summary'!$P:$P,
    'Resource Summary'!$B:$B,zones_to_group,
    'Resource Summary'!$C:$C,Q$146
  )
)</f>
        <v>0</v>
      </c>
      <c r="R161" s="35" cm="1">
        <f t="array" ref="R161">-0.000001 * SUM(
  SUMIFS(
    'Resource Summary'!$P:$P,
    'Resource Summary'!$B:$B,zones_to_group,
    'Resource Summary'!$C:$C,R$146
  )
)</f>
        <v>0</v>
      </c>
      <c r="S161" s="35" cm="1">
        <f t="array" ref="S161">-0.000001 * SUM(
  SUMIFS(
    'Resource Summary'!$P:$P,
    'Resource Summary'!$B:$B,zones_to_group,
    'Resource Summary'!$C:$C,S$146
  )
)</f>
        <v>0</v>
      </c>
      <c r="T161" s="35" cm="1">
        <f t="array" ref="T161">-0.000001 * SUM(
  SUMIFS(
    'Resource Summary'!$P:$P,
    'Resource Summary'!$B:$B,zones_to_group,
    'Resource Summary'!$C:$C,T$146
  )
)</f>
        <v>0</v>
      </c>
      <c r="U161" s="35" cm="1">
        <f t="array" ref="U161">-0.000001 * SUM(
  SUMIFS(
    'Resource Summary'!$P:$P,
    'Resource Summary'!$B:$B,zones_to_group,
    'Resource Summary'!$C:$C,U$146
  )
)</f>
        <v>0</v>
      </c>
      <c r="V161" s="35" cm="1">
        <f t="array" ref="V161">-0.000001 * SUM(
  SUMIFS(
    'Resource Summary'!$P:$P,
    'Resource Summary'!$B:$B,zones_to_group,
    'Resource Summary'!$C:$C,V$146
  )
)</f>
        <v>0</v>
      </c>
      <c r="W161" s="35" cm="1">
        <f t="array" ref="W161">-0.000001 * SUM(
  SUMIFS(
    'Resource Summary'!$P:$P,
    'Resource Summary'!$B:$B,zones_to_group,
    'Resource Summary'!$C:$C,W$146
  )
)</f>
        <v>0</v>
      </c>
      <c r="X161" s="35" cm="1">
        <f t="array" ref="X161">-0.000001 * SUM(
  SUMIFS(
    'Resource Summary'!$P:$P,
    'Resource Summary'!$B:$B,zones_to_group,
    'Resource Summary'!$C:$C,X$146
  )
)</f>
        <v>0</v>
      </c>
      <c r="Y161" s="35" cm="1">
        <f t="array" ref="Y161">-0.000001 * SUM(
  SUMIFS(
    'Resource Summary'!$P:$P,
    'Resource Summary'!$B:$B,zones_to_group,
    'Resource Summary'!$C:$C,Y$146
  )
)</f>
        <v>0</v>
      </c>
      <c r="Z161" s="35" cm="1">
        <f t="array" ref="Z161">-0.000001 * SUM(
  SUMIFS(
    'Resource Summary'!$P:$P,
    'Resource Summary'!$B:$B,zones_to_group,
    'Resource Summary'!$C:$C,Z$146
  )
)</f>
        <v>0</v>
      </c>
      <c r="AA161" s="35" cm="1">
        <f t="array" ref="AA161">-0.000001 * SUM(
  SUMIFS(
    'Resource Summary'!$P:$P,
    'Resource Summary'!$B:$B,zones_to_group,
    'Resource Summary'!$C:$C,AA$146
  )
)</f>
        <v>0</v>
      </c>
      <c r="AB161" s="35" cm="1">
        <f t="array" ref="AB161">-0.000001 * SUM(
  SUMIFS(
    'Resource Summary'!$P:$P,
    'Resource Summary'!$B:$B,zones_to_group,
    'Resource Summary'!$C:$C,AB$146
  )
)</f>
        <v>0</v>
      </c>
      <c r="AC161" s="35" cm="1">
        <f t="array" ref="AC161">-0.000001 * SUM(
  SUMIFS(
    'Resource Summary'!$P:$P,
    'Resource Summary'!$B:$B,zones_to_group,
    'Resource Summary'!$C:$C,AC$146
  )
)</f>
        <v>0</v>
      </c>
      <c r="AD161" s="35" cm="1">
        <f t="array" ref="AD161">-0.000001 * SUM(
  SUMIFS(
    'Resource Summary'!$P:$P,
    'Resource Summary'!$B:$B,zones_to_group,
    'Resource Summary'!$C:$C,AD$146
  )
)</f>
        <v>-13.224021373090448</v>
      </c>
      <c r="AH161" s="34"/>
    </row>
    <row r="162" spans="4:34" outlineLevel="1" x14ac:dyDescent="0.2">
      <c r="D162" s="8" t="s">
        <v>161</v>
      </c>
      <c r="E162" s="35" cm="1">
        <f t="array" ref="E162">0.000001 * SUM(
  SUMIFS('Transmission Summary'!$M:$M,'Transmission Summary'!$C:$C,zones_to_group,'Transmission Summary'!$D:$D,E$146),
  -SUMIFS('Transmission Summary'!$M:$M,'Transmission Summary'!$C:$C,zones_to_group,'Transmission Summary'!$B:$B,TRANSPOSE(zones_to_group),'Transmission Summary'!$D:$D,E$146),
  SUMIFS('Transmission Summary'!$L:$L,'Transmission Summary'!$B:$B,zones_to_group,'Transmission Summary'!$D:$D,E$146),
  -SUMIFS('Transmission Summary'!$L:$L,'Transmission Summary'!$B:$B,zones_to_group,'Transmission Summary'!$C:$C,TRANSPOSE(zones_to_group),'Transmission Summary'!$D:$D,E$146),
)</f>
        <v>0</v>
      </c>
      <c r="F162" s="35" cm="1">
        <f t="array" ref="F162">0.000001 * SUM(
  SUMIFS('Transmission Summary'!$M:$M,'Transmission Summary'!$C:$C,zones_to_group,'Transmission Summary'!$D:$D,F$146),
  -SUMIFS('Transmission Summary'!$M:$M,'Transmission Summary'!$C:$C,zones_to_group,'Transmission Summary'!$B:$B,TRANSPOSE(zones_to_group),'Transmission Summary'!$D:$D,F$146),
  SUMIFS('Transmission Summary'!$L:$L,'Transmission Summary'!$B:$B,zones_to_group,'Transmission Summary'!$D:$D,F$146),
  -SUMIFS('Transmission Summary'!$L:$L,'Transmission Summary'!$B:$B,zones_to_group,'Transmission Summary'!$C:$C,TRANSPOSE(zones_to_group),'Transmission Summary'!$D:$D,F$146),
)</f>
        <v>0</v>
      </c>
      <c r="G162" s="35" cm="1">
        <f t="array" ref="G162">0.000001 * SUM(
  SUMIFS('Transmission Summary'!$M:$M,'Transmission Summary'!$C:$C,zones_to_group,'Transmission Summary'!$D:$D,G$146),
  -SUMIFS('Transmission Summary'!$M:$M,'Transmission Summary'!$C:$C,zones_to_group,'Transmission Summary'!$B:$B,TRANSPOSE(zones_to_group),'Transmission Summary'!$D:$D,G$146),
  SUMIFS('Transmission Summary'!$L:$L,'Transmission Summary'!$B:$B,zones_to_group,'Transmission Summary'!$D:$D,G$146),
  -SUMIFS('Transmission Summary'!$L:$L,'Transmission Summary'!$B:$B,zones_to_group,'Transmission Summary'!$C:$C,TRANSPOSE(zones_to_group),'Transmission Summary'!$D:$D,G$146),
)</f>
        <v>0</v>
      </c>
      <c r="H162" s="35" cm="1">
        <f t="array" ref="H162">0.000001 * SUM(
  SUMIFS('Transmission Summary'!$M:$M,'Transmission Summary'!$C:$C,zones_to_group,'Transmission Summary'!$D:$D,H$146),
  -SUMIFS('Transmission Summary'!$M:$M,'Transmission Summary'!$C:$C,zones_to_group,'Transmission Summary'!$B:$B,TRANSPOSE(zones_to_group),'Transmission Summary'!$D:$D,H$146),
  SUMIFS('Transmission Summary'!$L:$L,'Transmission Summary'!$B:$B,zones_to_group,'Transmission Summary'!$D:$D,H$146),
  -SUMIFS('Transmission Summary'!$L:$L,'Transmission Summary'!$B:$B,zones_to_group,'Transmission Summary'!$C:$C,TRANSPOSE(zones_to_group),'Transmission Summary'!$D:$D,H$146),
)</f>
        <v>0</v>
      </c>
      <c r="I162" s="35" cm="1">
        <f t="array" ref="I162">0.000001 * SUM(
  SUMIFS('Transmission Summary'!$M:$M,'Transmission Summary'!$C:$C,zones_to_group,'Transmission Summary'!$D:$D,I$146),
  -SUMIFS('Transmission Summary'!$M:$M,'Transmission Summary'!$C:$C,zones_to_group,'Transmission Summary'!$B:$B,TRANSPOSE(zones_to_group),'Transmission Summary'!$D:$D,I$146),
  SUMIFS('Transmission Summary'!$L:$L,'Transmission Summary'!$B:$B,zones_to_group,'Transmission Summary'!$D:$D,I$146),
  -SUMIFS('Transmission Summary'!$L:$L,'Transmission Summary'!$B:$B,zones_to_group,'Transmission Summary'!$C:$C,TRANSPOSE(zones_to_group),'Transmission Summary'!$D:$D,I$146),
)</f>
        <v>0</v>
      </c>
      <c r="J162" s="35" cm="1">
        <f t="array" ref="J162">0.000001 * SUM(
  SUMIFS('Transmission Summary'!$M:$M,'Transmission Summary'!$C:$C,zones_to_group,'Transmission Summary'!$D:$D,J$146),
  -SUMIFS('Transmission Summary'!$M:$M,'Transmission Summary'!$C:$C,zones_to_group,'Transmission Summary'!$B:$B,TRANSPOSE(zones_to_group),'Transmission Summary'!$D:$D,J$146),
  SUMIFS('Transmission Summary'!$L:$L,'Transmission Summary'!$B:$B,zones_to_group,'Transmission Summary'!$D:$D,J$146),
  -SUMIFS('Transmission Summary'!$L:$L,'Transmission Summary'!$B:$B,zones_to_group,'Transmission Summary'!$C:$C,TRANSPOSE(zones_to_group),'Transmission Summary'!$D:$D,J$146),
)</f>
        <v>0</v>
      </c>
      <c r="K162" s="35" cm="1">
        <f t="array" ref="K162">0.000001 * SUM(
  SUMIFS('Transmission Summary'!$M:$M,'Transmission Summary'!$C:$C,zones_to_group,'Transmission Summary'!$D:$D,K$146),
  -SUMIFS('Transmission Summary'!$M:$M,'Transmission Summary'!$C:$C,zones_to_group,'Transmission Summary'!$B:$B,TRANSPOSE(zones_to_group),'Transmission Summary'!$D:$D,K$146),
  SUMIFS('Transmission Summary'!$L:$L,'Transmission Summary'!$B:$B,zones_to_group,'Transmission Summary'!$D:$D,K$146),
  -SUMIFS('Transmission Summary'!$L:$L,'Transmission Summary'!$B:$B,zones_to_group,'Transmission Summary'!$C:$C,TRANSPOSE(zones_to_group),'Transmission Summary'!$D:$D,K$146),
)</f>
        <v>0</v>
      </c>
      <c r="L162" s="35" cm="1">
        <f t="array" ref="L162">0.000001 * SUM(
  SUMIFS('Transmission Summary'!$M:$M,'Transmission Summary'!$C:$C,zones_to_group,'Transmission Summary'!$D:$D,L$146),
  -SUMIFS('Transmission Summary'!$M:$M,'Transmission Summary'!$C:$C,zones_to_group,'Transmission Summary'!$B:$B,TRANSPOSE(zones_to_group),'Transmission Summary'!$D:$D,L$146),
  SUMIFS('Transmission Summary'!$L:$L,'Transmission Summary'!$B:$B,zones_to_group,'Transmission Summary'!$D:$D,L$146),
  -SUMIFS('Transmission Summary'!$L:$L,'Transmission Summary'!$B:$B,zones_to_group,'Transmission Summary'!$C:$C,TRANSPOSE(zones_to_group),'Transmission Summary'!$D:$D,L$146),
)</f>
        <v>0</v>
      </c>
      <c r="M162" s="35" cm="1">
        <f t="array" ref="M162">0.000001 * SUM(
  SUMIFS('Transmission Summary'!$M:$M,'Transmission Summary'!$C:$C,zones_to_group,'Transmission Summary'!$D:$D,M$146),
  -SUMIFS('Transmission Summary'!$M:$M,'Transmission Summary'!$C:$C,zones_to_group,'Transmission Summary'!$B:$B,TRANSPOSE(zones_to_group),'Transmission Summary'!$D:$D,M$146),
  SUMIFS('Transmission Summary'!$L:$L,'Transmission Summary'!$B:$B,zones_to_group,'Transmission Summary'!$D:$D,M$146),
  -SUMIFS('Transmission Summary'!$L:$L,'Transmission Summary'!$B:$B,zones_to_group,'Transmission Summary'!$C:$C,TRANSPOSE(zones_to_group),'Transmission Summary'!$D:$D,M$146),
)</f>
        <v>0</v>
      </c>
      <c r="N162" s="35" cm="1">
        <f t="array" ref="N162">0.000001 * SUM(
  SUMIFS('Transmission Summary'!$M:$M,'Transmission Summary'!$C:$C,zones_to_group,'Transmission Summary'!$D:$D,N$146),
  -SUMIFS('Transmission Summary'!$M:$M,'Transmission Summary'!$C:$C,zones_to_group,'Transmission Summary'!$B:$B,TRANSPOSE(zones_to_group),'Transmission Summary'!$D:$D,N$146),
  SUMIFS('Transmission Summary'!$L:$L,'Transmission Summary'!$B:$B,zones_to_group,'Transmission Summary'!$D:$D,N$146),
  -SUMIFS('Transmission Summary'!$L:$L,'Transmission Summary'!$B:$B,zones_to_group,'Transmission Summary'!$C:$C,TRANSPOSE(zones_to_group),'Transmission Summary'!$D:$D,N$146),
)</f>
        <v>0</v>
      </c>
      <c r="O162" s="35" cm="1">
        <f t="array" ref="O162">0.000001 * SUM(
  SUMIFS('Transmission Summary'!$M:$M,'Transmission Summary'!$C:$C,zones_to_group,'Transmission Summary'!$D:$D,O$146),
  -SUMIFS('Transmission Summary'!$M:$M,'Transmission Summary'!$C:$C,zones_to_group,'Transmission Summary'!$B:$B,TRANSPOSE(zones_to_group),'Transmission Summary'!$D:$D,O$146),
  SUMIFS('Transmission Summary'!$L:$L,'Transmission Summary'!$B:$B,zones_to_group,'Transmission Summary'!$D:$D,O$146),
  -SUMIFS('Transmission Summary'!$L:$L,'Transmission Summary'!$B:$B,zones_to_group,'Transmission Summary'!$C:$C,TRANSPOSE(zones_to_group),'Transmission Summary'!$D:$D,O$146),
)</f>
        <v>0</v>
      </c>
      <c r="P162" s="35" cm="1">
        <f t="array" ref="P162">0.000001 * SUM(
  SUMIFS('Transmission Summary'!$M:$M,'Transmission Summary'!$C:$C,zones_to_group,'Transmission Summary'!$D:$D,P$146),
  -SUMIFS('Transmission Summary'!$M:$M,'Transmission Summary'!$C:$C,zones_to_group,'Transmission Summary'!$B:$B,TRANSPOSE(zones_to_group),'Transmission Summary'!$D:$D,P$146),
  SUMIFS('Transmission Summary'!$L:$L,'Transmission Summary'!$B:$B,zones_to_group,'Transmission Summary'!$D:$D,P$146),
  -SUMIFS('Transmission Summary'!$L:$L,'Transmission Summary'!$B:$B,zones_to_group,'Transmission Summary'!$C:$C,TRANSPOSE(zones_to_group),'Transmission Summary'!$D:$D,P$146),
)</f>
        <v>0</v>
      </c>
      <c r="Q162" s="35" cm="1">
        <f t="array" ref="Q162">0.000001 * SUM(
  SUMIFS('Transmission Summary'!$M:$M,'Transmission Summary'!$C:$C,zones_to_group,'Transmission Summary'!$D:$D,Q$146),
  -SUMIFS('Transmission Summary'!$M:$M,'Transmission Summary'!$C:$C,zones_to_group,'Transmission Summary'!$B:$B,TRANSPOSE(zones_to_group),'Transmission Summary'!$D:$D,Q$146),
  SUMIFS('Transmission Summary'!$L:$L,'Transmission Summary'!$B:$B,zones_to_group,'Transmission Summary'!$D:$D,Q$146),
  -SUMIFS('Transmission Summary'!$L:$L,'Transmission Summary'!$B:$B,zones_to_group,'Transmission Summary'!$C:$C,TRANSPOSE(zones_to_group),'Transmission Summary'!$D:$D,Q$146),
)</f>
        <v>0</v>
      </c>
      <c r="R162" s="35" cm="1">
        <f t="array" ref="R162">0.000001 * SUM(
  SUMIFS('Transmission Summary'!$M:$M,'Transmission Summary'!$C:$C,zones_to_group,'Transmission Summary'!$D:$D,R$146),
  -SUMIFS('Transmission Summary'!$M:$M,'Transmission Summary'!$C:$C,zones_to_group,'Transmission Summary'!$B:$B,TRANSPOSE(zones_to_group),'Transmission Summary'!$D:$D,R$146),
  SUMIFS('Transmission Summary'!$L:$L,'Transmission Summary'!$B:$B,zones_to_group,'Transmission Summary'!$D:$D,R$146),
  -SUMIFS('Transmission Summary'!$L:$L,'Transmission Summary'!$B:$B,zones_to_group,'Transmission Summary'!$C:$C,TRANSPOSE(zones_to_group),'Transmission Summary'!$D:$D,R$146),
)</f>
        <v>0</v>
      </c>
      <c r="S162" s="35" cm="1">
        <f t="array" ref="S162">0.000001 * SUM(
  SUMIFS('Transmission Summary'!$M:$M,'Transmission Summary'!$C:$C,zones_to_group,'Transmission Summary'!$D:$D,S$146),
  -SUMIFS('Transmission Summary'!$M:$M,'Transmission Summary'!$C:$C,zones_to_group,'Transmission Summary'!$B:$B,TRANSPOSE(zones_to_group),'Transmission Summary'!$D:$D,S$146),
  SUMIFS('Transmission Summary'!$L:$L,'Transmission Summary'!$B:$B,zones_to_group,'Transmission Summary'!$D:$D,S$146),
  -SUMIFS('Transmission Summary'!$L:$L,'Transmission Summary'!$B:$B,zones_to_group,'Transmission Summary'!$C:$C,TRANSPOSE(zones_to_group),'Transmission Summary'!$D:$D,S$146),
)</f>
        <v>0</v>
      </c>
      <c r="T162" s="35" cm="1">
        <f t="array" ref="T162">0.000001 * SUM(
  SUMIFS('Transmission Summary'!$M:$M,'Transmission Summary'!$C:$C,zones_to_group,'Transmission Summary'!$D:$D,T$146),
  -SUMIFS('Transmission Summary'!$M:$M,'Transmission Summary'!$C:$C,zones_to_group,'Transmission Summary'!$B:$B,TRANSPOSE(zones_to_group),'Transmission Summary'!$D:$D,T$146),
  SUMIFS('Transmission Summary'!$L:$L,'Transmission Summary'!$B:$B,zones_to_group,'Transmission Summary'!$D:$D,T$146),
  -SUMIFS('Transmission Summary'!$L:$L,'Transmission Summary'!$B:$B,zones_to_group,'Transmission Summary'!$C:$C,TRANSPOSE(zones_to_group),'Transmission Summary'!$D:$D,T$146),
)</f>
        <v>0</v>
      </c>
      <c r="U162" s="35" cm="1">
        <f t="array" ref="U162">0.000001 * SUM(
  SUMIFS('Transmission Summary'!$M:$M,'Transmission Summary'!$C:$C,zones_to_group,'Transmission Summary'!$D:$D,U$146),
  -SUMIFS('Transmission Summary'!$M:$M,'Transmission Summary'!$C:$C,zones_to_group,'Transmission Summary'!$B:$B,TRANSPOSE(zones_to_group),'Transmission Summary'!$D:$D,U$146),
  SUMIFS('Transmission Summary'!$L:$L,'Transmission Summary'!$B:$B,zones_to_group,'Transmission Summary'!$D:$D,U$146),
  -SUMIFS('Transmission Summary'!$L:$L,'Transmission Summary'!$B:$B,zones_to_group,'Transmission Summary'!$C:$C,TRANSPOSE(zones_to_group),'Transmission Summary'!$D:$D,U$146),
)</f>
        <v>0</v>
      </c>
      <c r="V162" s="35" cm="1">
        <f t="array" ref="V162">0.000001 * SUM(
  SUMIFS('Transmission Summary'!$M:$M,'Transmission Summary'!$C:$C,zones_to_group,'Transmission Summary'!$D:$D,V$146),
  -SUMIFS('Transmission Summary'!$M:$M,'Transmission Summary'!$C:$C,zones_to_group,'Transmission Summary'!$B:$B,TRANSPOSE(zones_to_group),'Transmission Summary'!$D:$D,V$146),
  SUMIFS('Transmission Summary'!$L:$L,'Transmission Summary'!$B:$B,zones_to_group,'Transmission Summary'!$D:$D,V$146),
  -SUMIFS('Transmission Summary'!$L:$L,'Transmission Summary'!$B:$B,zones_to_group,'Transmission Summary'!$C:$C,TRANSPOSE(zones_to_group),'Transmission Summary'!$D:$D,V$146),
)</f>
        <v>0</v>
      </c>
      <c r="W162" s="35" cm="1">
        <f t="array" ref="W162">0.000001 * SUM(
  SUMIFS('Transmission Summary'!$M:$M,'Transmission Summary'!$C:$C,zones_to_group,'Transmission Summary'!$D:$D,W$146),
  -SUMIFS('Transmission Summary'!$M:$M,'Transmission Summary'!$C:$C,zones_to_group,'Transmission Summary'!$B:$B,TRANSPOSE(zones_to_group),'Transmission Summary'!$D:$D,W$146),
  SUMIFS('Transmission Summary'!$L:$L,'Transmission Summary'!$B:$B,zones_to_group,'Transmission Summary'!$D:$D,W$146),
  -SUMIFS('Transmission Summary'!$L:$L,'Transmission Summary'!$B:$B,zones_to_group,'Transmission Summary'!$C:$C,TRANSPOSE(zones_to_group),'Transmission Summary'!$D:$D,W$146),
)</f>
        <v>0</v>
      </c>
      <c r="X162" s="35" cm="1">
        <f t="array" ref="X162">0.000001 * SUM(
  SUMIFS('Transmission Summary'!$M:$M,'Transmission Summary'!$C:$C,zones_to_group,'Transmission Summary'!$D:$D,X$146),
  -SUMIFS('Transmission Summary'!$M:$M,'Transmission Summary'!$C:$C,zones_to_group,'Transmission Summary'!$B:$B,TRANSPOSE(zones_to_group),'Transmission Summary'!$D:$D,X$146),
  SUMIFS('Transmission Summary'!$L:$L,'Transmission Summary'!$B:$B,zones_to_group,'Transmission Summary'!$D:$D,X$146),
  -SUMIFS('Transmission Summary'!$L:$L,'Transmission Summary'!$B:$B,zones_to_group,'Transmission Summary'!$C:$C,TRANSPOSE(zones_to_group),'Transmission Summary'!$D:$D,X$146),
)</f>
        <v>0</v>
      </c>
      <c r="Y162" s="35" cm="1">
        <f t="array" ref="Y162">0.000001 * SUM(
  SUMIFS('Transmission Summary'!$M:$M,'Transmission Summary'!$C:$C,zones_to_group,'Transmission Summary'!$D:$D,Y$146),
  -SUMIFS('Transmission Summary'!$M:$M,'Transmission Summary'!$C:$C,zones_to_group,'Transmission Summary'!$B:$B,TRANSPOSE(zones_to_group),'Transmission Summary'!$D:$D,Y$146),
  SUMIFS('Transmission Summary'!$L:$L,'Transmission Summary'!$B:$B,zones_to_group,'Transmission Summary'!$D:$D,Y$146),
  -SUMIFS('Transmission Summary'!$L:$L,'Transmission Summary'!$B:$B,zones_to_group,'Transmission Summary'!$C:$C,TRANSPOSE(zones_to_group),'Transmission Summary'!$D:$D,Y$146),
)</f>
        <v>0</v>
      </c>
      <c r="Z162" s="35" cm="1">
        <f t="array" ref="Z162">0.000001 * SUM(
  SUMIFS('Transmission Summary'!$M:$M,'Transmission Summary'!$C:$C,zones_to_group,'Transmission Summary'!$D:$D,Z$146),
  -SUMIFS('Transmission Summary'!$M:$M,'Transmission Summary'!$C:$C,zones_to_group,'Transmission Summary'!$B:$B,TRANSPOSE(zones_to_group),'Transmission Summary'!$D:$D,Z$146),
  SUMIFS('Transmission Summary'!$L:$L,'Transmission Summary'!$B:$B,zones_to_group,'Transmission Summary'!$D:$D,Z$146),
  -SUMIFS('Transmission Summary'!$L:$L,'Transmission Summary'!$B:$B,zones_to_group,'Transmission Summary'!$C:$C,TRANSPOSE(zones_to_group),'Transmission Summary'!$D:$D,Z$146),
)</f>
        <v>0</v>
      </c>
      <c r="AA162" s="35" cm="1">
        <f t="array" ref="AA162">0.000001 * SUM(
  SUMIFS('Transmission Summary'!$M:$M,'Transmission Summary'!$C:$C,zones_to_group,'Transmission Summary'!$D:$D,AA$146),
  -SUMIFS('Transmission Summary'!$M:$M,'Transmission Summary'!$C:$C,zones_to_group,'Transmission Summary'!$B:$B,TRANSPOSE(zones_to_group),'Transmission Summary'!$D:$D,AA$146),
  SUMIFS('Transmission Summary'!$L:$L,'Transmission Summary'!$B:$B,zones_to_group,'Transmission Summary'!$D:$D,AA$146),
  -SUMIFS('Transmission Summary'!$L:$L,'Transmission Summary'!$B:$B,zones_to_group,'Transmission Summary'!$C:$C,TRANSPOSE(zones_to_group),'Transmission Summary'!$D:$D,AA$146),
)</f>
        <v>0</v>
      </c>
      <c r="AB162" s="35" cm="1">
        <f t="array" ref="AB162">0.000001 * SUM(
  SUMIFS('Transmission Summary'!$M:$M,'Transmission Summary'!$C:$C,zones_to_group,'Transmission Summary'!$D:$D,AB$146),
  -SUMIFS('Transmission Summary'!$M:$M,'Transmission Summary'!$C:$C,zones_to_group,'Transmission Summary'!$B:$B,TRANSPOSE(zones_to_group),'Transmission Summary'!$D:$D,AB$146),
  SUMIFS('Transmission Summary'!$L:$L,'Transmission Summary'!$B:$B,zones_to_group,'Transmission Summary'!$D:$D,AB$146),
  -SUMIFS('Transmission Summary'!$L:$L,'Transmission Summary'!$B:$B,zones_to_group,'Transmission Summary'!$C:$C,TRANSPOSE(zones_to_group),'Transmission Summary'!$D:$D,AB$146),
)</f>
        <v>0</v>
      </c>
      <c r="AC162" s="35" cm="1">
        <f t="array" ref="AC162">0.000001 * SUM(
  SUMIFS('Transmission Summary'!$M:$M,'Transmission Summary'!$C:$C,zones_to_group,'Transmission Summary'!$D:$D,AC$146),
  -SUMIFS('Transmission Summary'!$M:$M,'Transmission Summary'!$C:$C,zones_to_group,'Transmission Summary'!$B:$B,TRANSPOSE(zones_to_group),'Transmission Summary'!$D:$D,AC$146),
  SUMIFS('Transmission Summary'!$L:$L,'Transmission Summary'!$B:$B,zones_to_group,'Transmission Summary'!$D:$D,AC$146),
  -SUMIFS('Transmission Summary'!$L:$L,'Transmission Summary'!$B:$B,zones_to_group,'Transmission Summary'!$C:$C,TRANSPOSE(zones_to_group),'Transmission Summary'!$D:$D,AC$146),
)</f>
        <v>0</v>
      </c>
      <c r="AD162" s="35" cm="1">
        <f t="array" ref="AD162">0.000001 * SUM(
  SUMIFS('Transmission Summary'!$M:$M,'Transmission Summary'!$C:$C,zones_to_group,'Transmission Summary'!$D:$D,AD$146),
  -SUMIFS('Transmission Summary'!$M:$M,'Transmission Summary'!$C:$C,zones_to_group,'Transmission Summary'!$B:$B,TRANSPOSE(zones_to_group),'Transmission Summary'!$D:$D,AD$146),
  SUMIFS('Transmission Summary'!$L:$L,'Transmission Summary'!$B:$B,zones_to_group,'Transmission Summary'!$D:$D,AD$146),
  -SUMIFS('Transmission Summary'!$L:$L,'Transmission Summary'!$B:$B,zones_to_group,'Transmission Summary'!$C:$C,TRANSPOSE(zones_to_group),'Transmission Summary'!$D:$D,AD$146),
)</f>
        <v>15.098503666020891</v>
      </c>
      <c r="AH162" s="34"/>
    </row>
    <row r="163" spans="4:34" outlineLevel="1" x14ac:dyDescent="0.2">
      <c r="D163" s="8" t="s">
        <v>162</v>
      </c>
      <c r="E163" s="35" cm="1">
        <f t="array" ref="E163">-0.000001 * SUM(
  SUMIFS('Transmission Summary'!$L:$L,'Transmission Summary'!$C:$C,zones_to_group,'Transmission Summary'!$D:$D,E$146),
  -SUMIFS('Transmission Summary'!$L:$L,'Transmission Summary'!$C:$C,zones_to_group,'Transmission Summary'!$B:$B,TRANSPOSE(zones_to_group),'Transmission Summary'!$D:$D,E$146),
  SUMIFS('Transmission Summary'!$M:$M,'Transmission Summary'!$B:$B,zones_to_group,'Transmission Summary'!$D:$D,E$146),
  -SUMIFS('Transmission Summary'!$M:$M,'Transmission Summary'!$B:$B,zones_to_group,'Transmission Summary'!$C:$C,TRANSPOSE(zones_to_group),'Transmission Summary'!$D:$D,E$146),
)</f>
        <v>0</v>
      </c>
      <c r="F163" s="35" cm="1">
        <f t="array" ref="F163">-0.000001 * SUM(
  SUMIFS('Transmission Summary'!$L:$L,'Transmission Summary'!$C:$C,zones_to_group,'Transmission Summary'!$D:$D,F$146),
  -SUMIFS('Transmission Summary'!$L:$L,'Transmission Summary'!$C:$C,zones_to_group,'Transmission Summary'!$B:$B,TRANSPOSE(zones_to_group),'Transmission Summary'!$D:$D,F$146),
  SUMIFS('Transmission Summary'!$M:$M,'Transmission Summary'!$B:$B,zones_to_group,'Transmission Summary'!$D:$D,F$146),
  -SUMIFS('Transmission Summary'!$M:$M,'Transmission Summary'!$B:$B,zones_to_group,'Transmission Summary'!$C:$C,TRANSPOSE(zones_to_group),'Transmission Summary'!$D:$D,F$146),
)</f>
        <v>0</v>
      </c>
      <c r="G163" s="35" cm="1">
        <f t="array" ref="G163">-0.000001 * SUM(
  SUMIFS('Transmission Summary'!$L:$L,'Transmission Summary'!$C:$C,zones_to_group,'Transmission Summary'!$D:$D,G$146),
  -SUMIFS('Transmission Summary'!$L:$L,'Transmission Summary'!$C:$C,zones_to_group,'Transmission Summary'!$B:$B,TRANSPOSE(zones_to_group),'Transmission Summary'!$D:$D,G$146),
  SUMIFS('Transmission Summary'!$M:$M,'Transmission Summary'!$B:$B,zones_to_group,'Transmission Summary'!$D:$D,G$146),
  -SUMIFS('Transmission Summary'!$M:$M,'Transmission Summary'!$B:$B,zones_to_group,'Transmission Summary'!$C:$C,TRANSPOSE(zones_to_group),'Transmission Summary'!$D:$D,G$146),
)</f>
        <v>0</v>
      </c>
      <c r="H163" s="35" cm="1">
        <f t="array" ref="H163">-0.000001 * SUM(
  SUMIFS('Transmission Summary'!$L:$L,'Transmission Summary'!$C:$C,zones_to_group,'Transmission Summary'!$D:$D,H$146),
  -SUMIFS('Transmission Summary'!$L:$L,'Transmission Summary'!$C:$C,zones_to_group,'Transmission Summary'!$B:$B,TRANSPOSE(zones_to_group),'Transmission Summary'!$D:$D,H$146),
  SUMIFS('Transmission Summary'!$M:$M,'Transmission Summary'!$B:$B,zones_to_group,'Transmission Summary'!$D:$D,H$146),
  -SUMIFS('Transmission Summary'!$M:$M,'Transmission Summary'!$B:$B,zones_to_group,'Transmission Summary'!$C:$C,TRANSPOSE(zones_to_group),'Transmission Summary'!$D:$D,H$146),
)</f>
        <v>0</v>
      </c>
      <c r="I163" s="35" cm="1">
        <f t="array" ref="I163">-0.000001 * SUM(
  SUMIFS('Transmission Summary'!$L:$L,'Transmission Summary'!$C:$C,zones_to_group,'Transmission Summary'!$D:$D,I$146),
  -SUMIFS('Transmission Summary'!$L:$L,'Transmission Summary'!$C:$C,zones_to_group,'Transmission Summary'!$B:$B,TRANSPOSE(zones_to_group),'Transmission Summary'!$D:$D,I$146),
  SUMIFS('Transmission Summary'!$M:$M,'Transmission Summary'!$B:$B,zones_to_group,'Transmission Summary'!$D:$D,I$146),
  -SUMIFS('Transmission Summary'!$M:$M,'Transmission Summary'!$B:$B,zones_to_group,'Transmission Summary'!$C:$C,TRANSPOSE(zones_to_group),'Transmission Summary'!$D:$D,I$146),
)</f>
        <v>0</v>
      </c>
      <c r="J163" s="35" cm="1">
        <f t="array" ref="J163">-0.000001 * SUM(
  SUMIFS('Transmission Summary'!$L:$L,'Transmission Summary'!$C:$C,zones_to_group,'Transmission Summary'!$D:$D,J$146),
  -SUMIFS('Transmission Summary'!$L:$L,'Transmission Summary'!$C:$C,zones_to_group,'Transmission Summary'!$B:$B,TRANSPOSE(zones_to_group),'Transmission Summary'!$D:$D,J$146),
  SUMIFS('Transmission Summary'!$M:$M,'Transmission Summary'!$B:$B,zones_to_group,'Transmission Summary'!$D:$D,J$146),
  -SUMIFS('Transmission Summary'!$M:$M,'Transmission Summary'!$B:$B,zones_to_group,'Transmission Summary'!$C:$C,TRANSPOSE(zones_to_group),'Transmission Summary'!$D:$D,J$146),
)</f>
        <v>0</v>
      </c>
      <c r="K163" s="35" cm="1">
        <f t="array" ref="K163">-0.000001 * SUM(
  SUMIFS('Transmission Summary'!$L:$L,'Transmission Summary'!$C:$C,zones_to_group,'Transmission Summary'!$D:$D,K$146),
  -SUMIFS('Transmission Summary'!$L:$L,'Transmission Summary'!$C:$C,zones_to_group,'Transmission Summary'!$B:$B,TRANSPOSE(zones_to_group),'Transmission Summary'!$D:$D,K$146),
  SUMIFS('Transmission Summary'!$M:$M,'Transmission Summary'!$B:$B,zones_to_group,'Transmission Summary'!$D:$D,K$146),
  -SUMIFS('Transmission Summary'!$M:$M,'Transmission Summary'!$B:$B,zones_to_group,'Transmission Summary'!$C:$C,TRANSPOSE(zones_to_group),'Transmission Summary'!$D:$D,K$146),
)</f>
        <v>0</v>
      </c>
      <c r="L163" s="35" cm="1">
        <f t="array" ref="L163">-0.000001 * SUM(
  SUMIFS('Transmission Summary'!$L:$L,'Transmission Summary'!$C:$C,zones_to_group,'Transmission Summary'!$D:$D,L$146),
  -SUMIFS('Transmission Summary'!$L:$L,'Transmission Summary'!$C:$C,zones_to_group,'Transmission Summary'!$B:$B,TRANSPOSE(zones_to_group),'Transmission Summary'!$D:$D,L$146),
  SUMIFS('Transmission Summary'!$M:$M,'Transmission Summary'!$B:$B,zones_to_group,'Transmission Summary'!$D:$D,L$146),
  -SUMIFS('Transmission Summary'!$M:$M,'Transmission Summary'!$B:$B,zones_to_group,'Transmission Summary'!$C:$C,TRANSPOSE(zones_to_group),'Transmission Summary'!$D:$D,L$146),
)</f>
        <v>0</v>
      </c>
      <c r="M163" s="35" cm="1">
        <f t="array" ref="M163">-0.000001 * SUM(
  SUMIFS('Transmission Summary'!$L:$L,'Transmission Summary'!$C:$C,zones_to_group,'Transmission Summary'!$D:$D,M$146),
  -SUMIFS('Transmission Summary'!$L:$L,'Transmission Summary'!$C:$C,zones_to_group,'Transmission Summary'!$B:$B,TRANSPOSE(zones_to_group),'Transmission Summary'!$D:$D,M$146),
  SUMIFS('Transmission Summary'!$M:$M,'Transmission Summary'!$B:$B,zones_to_group,'Transmission Summary'!$D:$D,M$146),
  -SUMIFS('Transmission Summary'!$M:$M,'Transmission Summary'!$B:$B,zones_to_group,'Transmission Summary'!$C:$C,TRANSPOSE(zones_to_group),'Transmission Summary'!$D:$D,M$146),
)</f>
        <v>0</v>
      </c>
      <c r="N163" s="35" cm="1">
        <f t="array" ref="N163">-0.000001 * SUM(
  SUMIFS('Transmission Summary'!$L:$L,'Transmission Summary'!$C:$C,zones_to_group,'Transmission Summary'!$D:$D,N$146),
  -SUMIFS('Transmission Summary'!$L:$L,'Transmission Summary'!$C:$C,zones_to_group,'Transmission Summary'!$B:$B,TRANSPOSE(zones_to_group),'Transmission Summary'!$D:$D,N$146),
  SUMIFS('Transmission Summary'!$M:$M,'Transmission Summary'!$B:$B,zones_to_group,'Transmission Summary'!$D:$D,N$146),
  -SUMIFS('Transmission Summary'!$M:$M,'Transmission Summary'!$B:$B,zones_to_group,'Transmission Summary'!$C:$C,TRANSPOSE(zones_to_group),'Transmission Summary'!$D:$D,N$146),
)</f>
        <v>0</v>
      </c>
      <c r="O163" s="35" cm="1">
        <f t="array" ref="O163">-0.000001 * SUM(
  SUMIFS('Transmission Summary'!$L:$L,'Transmission Summary'!$C:$C,zones_to_group,'Transmission Summary'!$D:$D,O$146),
  -SUMIFS('Transmission Summary'!$L:$L,'Transmission Summary'!$C:$C,zones_to_group,'Transmission Summary'!$B:$B,TRANSPOSE(zones_to_group),'Transmission Summary'!$D:$D,O$146),
  SUMIFS('Transmission Summary'!$M:$M,'Transmission Summary'!$B:$B,zones_to_group,'Transmission Summary'!$D:$D,O$146),
  -SUMIFS('Transmission Summary'!$M:$M,'Transmission Summary'!$B:$B,zones_to_group,'Transmission Summary'!$C:$C,TRANSPOSE(zones_to_group),'Transmission Summary'!$D:$D,O$146),
)</f>
        <v>0</v>
      </c>
      <c r="P163" s="35" cm="1">
        <f t="array" ref="P163">-0.000001 * SUM(
  SUMIFS('Transmission Summary'!$L:$L,'Transmission Summary'!$C:$C,zones_to_group,'Transmission Summary'!$D:$D,P$146),
  -SUMIFS('Transmission Summary'!$L:$L,'Transmission Summary'!$C:$C,zones_to_group,'Transmission Summary'!$B:$B,TRANSPOSE(zones_to_group),'Transmission Summary'!$D:$D,P$146),
  SUMIFS('Transmission Summary'!$M:$M,'Transmission Summary'!$B:$B,zones_to_group,'Transmission Summary'!$D:$D,P$146),
  -SUMIFS('Transmission Summary'!$M:$M,'Transmission Summary'!$B:$B,zones_to_group,'Transmission Summary'!$C:$C,TRANSPOSE(zones_to_group),'Transmission Summary'!$D:$D,P$146),
)</f>
        <v>0</v>
      </c>
      <c r="Q163" s="35" cm="1">
        <f t="array" ref="Q163">-0.000001 * SUM(
  SUMIFS('Transmission Summary'!$L:$L,'Transmission Summary'!$C:$C,zones_to_group,'Transmission Summary'!$D:$D,Q$146),
  -SUMIFS('Transmission Summary'!$L:$L,'Transmission Summary'!$C:$C,zones_to_group,'Transmission Summary'!$B:$B,TRANSPOSE(zones_to_group),'Transmission Summary'!$D:$D,Q$146),
  SUMIFS('Transmission Summary'!$M:$M,'Transmission Summary'!$B:$B,zones_to_group,'Transmission Summary'!$D:$D,Q$146),
  -SUMIFS('Transmission Summary'!$M:$M,'Transmission Summary'!$B:$B,zones_to_group,'Transmission Summary'!$C:$C,TRANSPOSE(zones_to_group),'Transmission Summary'!$D:$D,Q$146),
)</f>
        <v>0</v>
      </c>
      <c r="R163" s="35" cm="1">
        <f t="array" ref="R163">-0.000001 * SUM(
  SUMIFS('Transmission Summary'!$L:$L,'Transmission Summary'!$C:$C,zones_to_group,'Transmission Summary'!$D:$D,R$146),
  -SUMIFS('Transmission Summary'!$L:$L,'Transmission Summary'!$C:$C,zones_to_group,'Transmission Summary'!$B:$B,TRANSPOSE(zones_to_group),'Transmission Summary'!$D:$D,R$146),
  SUMIFS('Transmission Summary'!$M:$M,'Transmission Summary'!$B:$B,zones_to_group,'Transmission Summary'!$D:$D,R$146),
  -SUMIFS('Transmission Summary'!$M:$M,'Transmission Summary'!$B:$B,zones_to_group,'Transmission Summary'!$C:$C,TRANSPOSE(zones_to_group),'Transmission Summary'!$D:$D,R$146),
)</f>
        <v>0</v>
      </c>
      <c r="S163" s="35" cm="1">
        <f t="array" ref="S163">-0.000001 * SUM(
  SUMIFS('Transmission Summary'!$L:$L,'Transmission Summary'!$C:$C,zones_to_group,'Transmission Summary'!$D:$D,S$146),
  -SUMIFS('Transmission Summary'!$L:$L,'Transmission Summary'!$C:$C,zones_to_group,'Transmission Summary'!$B:$B,TRANSPOSE(zones_to_group),'Transmission Summary'!$D:$D,S$146),
  SUMIFS('Transmission Summary'!$M:$M,'Transmission Summary'!$B:$B,zones_to_group,'Transmission Summary'!$D:$D,S$146),
  -SUMIFS('Transmission Summary'!$M:$M,'Transmission Summary'!$B:$B,zones_to_group,'Transmission Summary'!$C:$C,TRANSPOSE(zones_to_group),'Transmission Summary'!$D:$D,S$146),
)</f>
        <v>0</v>
      </c>
      <c r="T163" s="35" cm="1">
        <f t="array" ref="T163">-0.000001 * SUM(
  SUMIFS('Transmission Summary'!$L:$L,'Transmission Summary'!$C:$C,zones_to_group,'Transmission Summary'!$D:$D,T$146),
  -SUMIFS('Transmission Summary'!$L:$L,'Transmission Summary'!$C:$C,zones_to_group,'Transmission Summary'!$B:$B,TRANSPOSE(zones_to_group),'Transmission Summary'!$D:$D,T$146),
  SUMIFS('Transmission Summary'!$M:$M,'Transmission Summary'!$B:$B,zones_to_group,'Transmission Summary'!$D:$D,T$146),
  -SUMIFS('Transmission Summary'!$M:$M,'Transmission Summary'!$B:$B,zones_to_group,'Transmission Summary'!$C:$C,TRANSPOSE(zones_to_group),'Transmission Summary'!$D:$D,T$146),
)</f>
        <v>0</v>
      </c>
      <c r="U163" s="35" cm="1">
        <f t="array" ref="U163">-0.000001 * SUM(
  SUMIFS('Transmission Summary'!$L:$L,'Transmission Summary'!$C:$C,zones_to_group,'Transmission Summary'!$D:$D,U$146),
  -SUMIFS('Transmission Summary'!$L:$L,'Transmission Summary'!$C:$C,zones_to_group,'Transmission Summary'!$B:$B,TRANSPOSE(zones_to_group),'Transmission Summary'!$D:$D,U$146),
  SUMIFS('Transmission Summary'!$M:$M,'Transmission Summary'!$B:$B,zones_to_group,'Transmission Summary'!$D:$D,U$146),
  -SUMIFS('Transmission Summary'!$M:$M,'Transmission Summary'!$B:$B,zones_to_group,'Transmission Summary'!$C:$C,TRANSPOSE(zones_to_group),'Transmission Summary'!$D:$D,U$146),
)</f>
        <v>0</v>
      </c>
      <c r="V163" s="35" cm="1">
        <f t="array" ref="V163">-0.000001 * SUM(
  SUMIFS('Transmission Summary'!$L:$L,'Transmission Summary'!$C:$C,zones_to_group,'Transmission Summary'!$D:$D,V$146),
  -SUMIFS('Transmission Summary'!$L:$L,'Transmission Summary'!$C:$C,zones_to_group,'Transmission Summary'!$B:$B,TRANSPOSE(zones_to_group),'Transmission Summary'!$D:$D,V$146),
  SUMIFS('Transmission Summary'!$M:$M,'Transmission Summary'!$B:$B,zones_to_group,'Transmission Summary'!$D:$D,V$146),
  -SUMIFS('Transmission Summary'!$M:$M,'Transmission Summary'!$B:$B,zones_to_group,'Transmission Summary'!$C:$C,TRANSPOSE(zones_to_group),'Transmission Summary'!$D:$D,V$146),
)</f>
        <v>0</v>
      </c>
      <c r="W163" s="35" cm="1">
        <f t="array" ref="W163">-0.000001 * SUM(
  SUMIFS('Transmission Summary'!$L:$L,'Transmission Summary'!$C:$C,zones_to_group,'Transmission Summary'!$D:$D,W$146),
  -SUMIFS('Transmission Summary'!$L:$L,'Transmission Summary'!$C:$C,zones_to_group,'Transmission Summary'!$B:$B,TRANSPOSE(zones_to_group),'Transmission Summary'!$D:$D,W$146),
  SUMIFS('Transmission Summary'!$M:$M,'Transmission Summary'!$B:$B,zones_to_group,'Transmission Summary'!$D:$D,W$146),
  -SUMIFS('Transmission Summary'!$M:$M,'Transmission Summary'!$B:$B,zones_to_group,'Transmission Summary'!$C:$C,TRANSPOSE(zones_to_group),'Transmission Summary'!$D:$D,W$146),
)</f>
        <v>0</v>
      </c>
      <c r="X163" s="35" cm="1">
        <f t="array" ref="X163">-0.000001 * SUM(
  SUMIFS('Transmission Summary'!$L:$L,'Transmission Summary'!$C:$C,zones_to_group,'Transmission Summary'!$D:$D,X$146),
  -SUMIFS('Transmission Summary'!$L:$L,'Transmission Summary'!$C:$C,zones_to_group,'Transmission Summary'!$B:$B,TRANSPOSE(zones_to_group),'Transmission Summary'!$D:$D,X$146),
  SUMIFS('Transmission Summary'!$M:$M,'Transmission Summary'!$B:$B,zones_to_group,'Transmission Summary'!$D:$D,X$146),
  -SUMIFS('Transmission Summary'!$M:$M,'Transmission Summary'!$B:$B,zones_to_group,'Transmission Summary'!$C:$C,TRANSPOSE(zones_to_group),'Transmission Summary'!$D:$D,X$146),
)</f>
        <v>0</v>
      </c>
      <c r="Y163" s="35" cm="1">
        <f t="array" ref="Y163">-0.000001 * SUM(
  SUMIFS('Transmission Summary'!$L:$L,'Transmission Summary'!$C:$C,zones_to_group,'Transmission Summary'!$D:$D,Y$146),
  -SUMIFS('Transmission Summary'!$L:$L,'Transmission Summary'!$C:$C,zones_to_group,'Transmission Summary'!$B:$B,TRANSPOSE(zones_to_group),'Transmission Summary'!$D:$D,Y$146),
  SUMIFS('Transmission Summary'!$M:$M,'Transmission Summary'!$B:$B,zones_to_group,'Transmission Summary'!$D:$D,Y$146),
  -SUMIFS('Transmission Summary'!$M:$M,'Transmission Summary'!$B:$B,zones_to_group,'Transmission Summary'!$C:$C,TRANSPOSE(zones_to_group),'Transmission Summary'!$D:$D,Y$146),
)</f>
        <v>0</v>
      </c>
      <c r="Z163" s="35" cm="1">
        <f t="array" ref="Z163">-0.000001 * SUM(
  SUMIFS('Transmission Summary'!$L:$L,'Transmission Summary'!$C:$C,zones_to_group,'Transmission Summary'!$D:$D,Z$146),
  -SUMIFS('Transmission Summary'!$L:$L,'Transmission Summary'!$C:$C,zones_to_group,'Transmission Summary'!$B:$B,TRANSPOSE(zones_to_group),'Transmission Summary'!$D:$D,Z$146),
  SUMIFS('Transmission Summary'!$M:$M,'Transmission Summary'!$B:$B,zones_to_group,'Transmission Summary'!$D:$D,Z$146),
  -SUMIFS('Transmission Summary'!$M:$M,'Transmission Summary'!$B:$B,zones_to_group,'Transmission Summary'!$C:$C,TRANSPOSE(zones_to_group),'Transmission Summary'!$D:$D,Z$146),
)</f>
        <v>0</v>
      </c>
      <c r="AA163" s="35" cm="1">
        <f t="array" ref="AA163">-0.000001 * SUM(
  SUMIFS('Transmission Summary'!$L:$L,'Transmission Summary'!$C:$C,zones_to_group,'Transmission Summary'!$D:$D,AA$146),
  -SUMIFS('Transmission Summary'!$L:$L,'Transmission Summary'!$C:$C,zones_to_group,'Transmission Summary'!$B:$B,TRANSPOSE(zones_to_group),'Transmission Summary'!$D:$D,AA$146),
  SUMIFS('Transmission Summary'!$M:$M,'Transmission Summary'!$B:$B,zones_to_group,'Transmission Summary'!$D:$D,AA$146),
  -SUMIFS('Transmission Summary'!$M:$M,'Transmission Summary'!$B:$B,zones_to_group,'Transmission Summary'!$C:$C,TRANSPOSE(zones_to_group),'Transmission Summary'!$D:$D,AA$146),
)</f>
        <v>0</v>
      </c>
      <c r="AB163" s="35" cm="1">
        <f t="array" ref="AB163">-0.000001 * SUM(
  SUMIFS('Transmission Summary'!$L:$L,'Transmission Summary'!$C:$C,zones_to_group,'Transmission Summary'!$D:$D,AB$146),
  -SUMIFS('Transmission Summary'!$L:$L,'Transmission Summary'!$C:$C,zones_to_group,'Transmission Summary'!$B:$B,TRANSPOSE(zones_to_group),'Transmission Summary'!$D:$D,AB$146),
  SUMIFS('Transmission Summary'!$M:$M,'Transmission Summary'!$B:$B,zones_to_group,'Transmission Summary'!$D:$D,AB$146),
  -SUMIFS('Transmission Summary'!$M:$M,'Transmission Summary'!$B:$B,zones_to_group,'Transmission Summary'!$C:$C,TRANSPOSE(zones_to_group),'Transmission Summary'!$D:$D,AB$146),
)</f>
        <v>0</v>
      </c>
      <c r="AC163" s="35" cm="1">
        <f t="array" ref="AC163">-0.000001 * SUM(
  SUMIFS('Transmission Summary'!$L:$L,'Transmission Summary'!$C:$C,zones_to_group,'Transmission Summary'!$D:$D,AC$146),
  -SUMIFS('Transmission Summary'!$L:$L,'Transmission Summary'!$C:$C,zones_to_group,'Transmission Summary'!$B:$B,TRANSPOSE(zones_to_group),'Transmission Summary'!$D:$D,AC$146),
  SUMIFS('Transmission Summary'!$M:$M,'Transmission Summary'!$B:$B,zones_to_group,'Transmission Summary'!$D:$D,AC$146),
  -SUMIFS('Transmission Summary'!$M:$M,'Transmission Summary'!$B:$B,zones_to_group,'Transmission Summary'!$C:$C,TRANSPOSE(zones_to_group),'Transmission Summary'!$D:$D,AC$146),
)</f>
        <v>0</v>
      </c>
      <c r="AD163" s="35" cm="1">
        <f t="array" ref="AD163">-0.000001 * SUM(
  SUMIFS('Transmission Summary'!$L:$L,'Transmission Summary'!$C:$C,zones_to_group,'Transmission Summary'!$D:$D,AD$146),
  -SUMIFS('Transmission Summary'!$L:$L,'Transmission Summary'!$C:$C,zones_to_group,'Transmission Summary'!$B:$B,TRANSPOSE(zones_to_group),'Transmission Summary'!$D:$D,AD$146),
  SUMIFS('Transmission Summary'!$M:$M,'Transmission Summary'!$B:$B,zones_to_group,'Transmission Summary'!$D:$D,AD$146),
  -SUMIFS('Transmission Summary'!$M:$M,'Transmission Summary'!$B:$B,zones_to_group,'Transmission Summary'!$C:$C,TRANSPOSE(zones_to_group),'Transmission Summary'!$D:$D,AD$146),
)</f>
        <v>-19.117684976810782</v>
      </c>
      <c r="AH163" s="34"/>
    </row>
    <row r="164" spans="4:34" ht="12.6" outlineLevel="1" thickBot="1" x14ac:dyDescent="0.25">
      <c r="D164" s="9" t="s">
        <v>163</v>
      </c>
      <c r="E164" s="13">
        <f t="shared" ref="E164:AD164" si="166">SUM(E147:E160,E162:E163)</f>
        <v>0</v>
      </c>
      <c r="F164" s="13">
        <f t="shared" si="166"/>
        <v>0</v>
      </c>
      <c r="G164" s="13">
        <f t="shared" si="166"/>
        <v>0</v>
      </c>
      <c r="H164" s="13">
        <f t="shared" si="166"/>
        <v>0</v>
      </c>
      <c r="I164" s="13">
        <f t="shared" si="166"/>
        <v>0</v>
      </c>
      <c r="J164" s="13">
        <f t="shared" si="166"/>
        <v>0</v>
      </c>
      <c r="K164" s="13">
        <f t="shared" si="166"/>
        <v>0</v>
      </c>
      <c r="L164" s="13">
        <f t="shared" si="166"/>
        <v>0</v>
      </c>
      <c r="M164" s="13">
        <f t="shared" si="166"/>
        <v>0</v>
      </c>
      <c r="N164" s="13">
        <f t="shared" si="166"/>
        <v>0</v>
      </c>
      <c r="O164" s="13">
        <f t="shared" si="166"/>
        <v>0</v>
      </c>
      <c r="P164" s="13">
        <f t="shared" si="166"/>
        <v>0</v>
      </c>
      <c r="Q164" s="13">
        <f t="shared" si="166"/>
        <v>0</v>
      </c>
      <c r="R164" s="13">
        <f t="shared" si="166"/>
        <v>0</v>
      </c>
      <c r="S164" s="13">
        <f t="shared" si="166"/>
        <v>0</v>
      </c>
      <c r="T164" s="13">
        <f t="shared" si="166"/>
        <v>0</v>
      </c>
      <c r="U164" s="13">
        <f t="shared" si="166"/>
        <v>0</v>
      </c>
      <c r="V164" s="13">
        <f t="shared" si="166"/>
        <v>0</v>
      </c>
      <c r="W164" s="13">
        <f t="shared" si="166"/>
        <v>0</v>
      </c>
      <c r="X164" s="13">
        <f t="shared" si="166"/>
        <v>0</v>
      </c>
      <c r="Y164" s="13">
        <f t="shared" si="166"/>
        <v>0</v>
      </c>
      <c r="Z164" s="13">
        <f t="shared" si="166"/>
        <v>0</v>
      </c>
      <c r="AA164" s="13">
        <f t="shared" si="166"/>
        <v>0</v>
      </c>
      <c r="AB164" s="13">
        <f t="shared" si="166"/>
        <v>0</v>
      </c>
      <c r="AC164" s="13">
        <f t="shared" si="166"/>
        <v>0</v>
      </c>
      <c r="AD164" s="13">
        <f t="shared" si="166"/>
        <v>363.30980423871915</v>
      </c>
      <c r="AH164" s="34"/>
    </row>
    <row r="165" spans="4:34" ht="13.2" outlineLevel="1" thickTop="1" thickBot="1" x14ac:dyDescent="0.25">
      <c r="D165" s="9" t="s">
        <v>147</v>
      </c>
      <c r="E165" s="13" cm="1">
        <f t="array" ref="E165">0.000001 * SUM(SUMIFS('Zonal Summary'!$I:$I,'Zonal Summary'!$A:$A,zones_to_group,'Zonal Summary'!$B:$B,E$146))</f>
        <v>0</v>
      </c>
      <c r="F165" s="13" cm="1">
        <f t="array" ref="F165">0.000001 * SUM(SUMIFS('Zonal Summary'!$I:$I,'Zonal Summary'!$A:$A,zones_to_group,'Zonal Summary'!$B:$B,F$146))</f>
        <v>0</v>
      </c>
      <c r="G165" s="13" cm="1">
        <f t="array" ref="G165">0.000001 * SUM(SUMIFS('Zonal Summary'!$I:$I,'Zonal Summary'!$A:$A,zones_to_group,'Zonal Summary'!$B:$B,G$146))</f>
        <v>0</v>
      </c>
      <c r="H165" s="13" cm="1">
        <f t="array" ref="H165">0.000001 * SUM(SUMIFS('Zonal Summary'!$I:$I,'Zonal Summary'!$A:$A,zones_to_group,'Zonal Summary'!$B:$B,H$146))</f>
        <v>0</v>
      </c>
      <c r="I165" s="13" cm="1">
        <f t="array" ref="I165">0.000001 * SUM(SUMIFS('Zonal Summary'!$I:$I,'Zonal Summary'!$A:$A,zones_to_group,'Zonal Summary'!$B:$B,I$146))</f>
        <v>0</v>
      </c>
      <c r="J165" s="13" cm="1">
        <f t="array" ref="J165">0.000001 * SUM(SUMIFS('Zonal Summary'!$I:$I,'Zonal Summary'!$A:$A,zones_to_group,'Zonal Summary'!$B:$B,J$146))</f>
        <v>0</v>
      </c>
      <c r="K165" s="13" cm="1">
        <f t="array" ref="K165">0.000001 * SUM(SUMIFS('Zonal Summary'!$I:$I,'Zonal Summary'!$A:$A,zones_to_group,'Zonal Summary'!$B:$B,K$146))</f>
        <v>0</v>
      </c>
      <c r="L165" s="13" cm="1">
        <f t="array" ref="L165">0.000001 * SUM(SUMIFS('Zonal Summary'!$I:$I,'Zonal Summary'!$A:$A,zones_to_group,'Zonal Summary'!$B:$B,L$146))</f>
        <v>0</v>
      </c>
      <c r="M165" s="13" cm="1">
        <f t="array" ref="M165">0.000001 * SUM(SUMIFS('Zonal Summary'!$I:$I,'Zonal Summary'!$A:$A,zones_to_group,'Zonal Summary'!$B:$B,M$146))</f>
        <v>0</v>
      </c>
      <c r="N165" s="13" cm="1">
        <f t="array" ref="N165">0.000001 * SUM(SUMIFS('Zonal Summary'!$I:$I,'Zonal Summary'!$A:$A,zones_to_group,'Zonal Summary'!$B:$B,N$146))</f>
        <v>0</v>
      </c>
      <c r="O165" s="13" cm="1">
        <f t="array" ref="O165">0.000001 * SUM(SUMIFS('Zonal Summary'!$I:$I,'Zonal Summary'!$A:$A,zones_to_group,'Zonal Summary'!$B:$B,O$146))</f>
        <v>0</v>
      </c>
      <c r="P165" s="13" cm="1">
        <f t="array" ref="P165">0.000001 * SUM(SUMIFS('Zonal Summary'!$I:$I,'Zonal Summary'!$A:$A,zones_to_group,'Zonal Summary'!$B:$B,P$146))</f>
        <v>0</v>
      </c>
      <c r="Q165" s="13" cm="1">
        <f t="array" ref="Q165">0.000001 * SUM(SUMIFS('Zonal Summary'!$I:$I,'Zonal Summary'!$A:$A,zones_to_group,'Zonal Summary'!$B:$B,Q$146))</f>
        <v>0</v>
      </c>
      <c r="R165" s="13" cm="1">
        <f t="array" ref="R165">0.000001 * SUM(SUMIFS('Zonal Summary'!$I:$I,'Zonal Summary'!$A:$A,zones_to_group,'Zonal Summary'!$B:$B,R$146))</f>
        <v>0</v>
      </c>
      <c r="S165" s="13" cm="1">
        <f t="array" ref="S165">0.000001 * SUM(SUMIFS('Zonal Summary'!$I:$I,'Zonal Summary'!$A:$A,zones_to_group,'Zonal Summary'!$B:$B,S$146))</f>
        <v>0</v>
      </c>
      <c r="T165" s="13" cm="1">
        <f t="array" ref="T165">0.000001 * SUM(SUMIFS('Zonal Summary'!$I:$I,'Zonal Summary'!$A:$A,zones_to_group,'Zonal Summary'!$B:$B,T$146))</f>
        <v>0</v>
      </c>
      <c r="U165" s="13" cm="1">
        <f t="array" ref="U165">0.000001 * SUM(SUMIFS('Zonal Summary'!$I:$I,'Zonal Summary'!$A:$A,zones_to_group,'Zonal Summary'!$B:$B,U$146))</f>
        <v>0</v>
      </c>
      <c r="V165" s="13" cm="1">
        <f t="array" ref="V165">0.000001 * SUM(SUMIFS('Zonal Summary'!$I:$I,'Zonal Summary'!$A:$A,zones_to_group,'Zonal Summary'!$B:$B,V$146))</f>
        <v>0</v>
      </c>
      <c r="W165" s="13" cm="1">
        <f t="array" ref="W165">0.000001 * SUM(SUMIFS('Zonal Summary'!$I:$I,'Zonal Summary'!$A:$A,zones_to_group,'Zonal Summary'!$B:$B,W$146))</f>
        <v>0</v>
      </c>
      <c r="X165" s="13" cm="1">
        <f t="array" ref="X165">0.000001 * SUM(SUMIFS('Zonal Summary'!$I:$I,'Zonal Summary'!$A:$A,zones_to_group,'Zonal Summary'!$B:$B,X$146))</f>
        <v>0</v>
      </c>
      <c r="Y165" s="13" cm="1">
        <f t="array" ref="Y165">0.000001 * SUM(SUMIFS('Zonal Summary'!$I:$I,'Zonal Summary'!$A:$A,zones_to_group,'Zonal Summary'!$B:$B,Y$146))</f>
        <v>0</v>
      </c>
      <c r="Z165" s="13" cm="1">
        <f t="array" ref="Z165">0.000001 * SUM(SUMIFS('Zonal Summary'!$I:$I,'Zonal Summary'!$A:$A,zones_to_group,'Zonal Summary'!$B:$B,Z$146))</f>
        <v>0</v>
      </c>
      <c r="AA165" s="13" cm="1">
        <f t="array" ref="AA165">0.000001 * SUM(SUMIFS('Zonal Summary'!$I:$I,'Zonal Summary'!$A:$A,zones_to_group,'Zonal Summary'!$B:$B,AA$146))</f>
        <v>0</v>
      </c>
      <c r="AB165" s="13" cm="1">
        <f t="array" ref="AB165">0.000001 * SUM(SUMIFS('Zonal Summary'!$I:$I,'Zonal Summary'!$A:$A,zones_to_group,'Zonal Summary'!$B:$B,AB$146))</f>
        <v>0</v>
      </c>
      <c r="AC165" s="13" cm="1">
        <f t="array" ref="AC165">0.000001 * SUM(SUMIFS('Zonal Summary'!$I:$I,'Zonal Summary'!$A:$A,zones_to_group,'Zonal Summary'!$B:$B,AC$146))</f>
        <v>0</v>
      </c>
      <c r="AD165" s="13" cm="1">
        <f t="array" ref="AD165">0.000001 * SUM(SUMIFS('Zonal Summary'!$I:$I,'Zonal Summary'!$A:$A,zones_to_group,'Zonal Summary'!$B:$B,AD$146))</f>
        <v>363.3098042387191</v>
      </c>
      <c r="AH165" s="34"/>
    </row>
    <row r="166" spans="4:34" ht="12" outlineLevel="1" thickTop="1" x14ac:dyDescent="0.2">
      <c r="AH166" s="34"/>
    </row>
    <row r="167" spans="4:34" ht="13.2" outlineLevel="1" x14ac:dyDescent="0.2">
      <c r="E167" s="2" t="s">
        <v>289</v>
      </c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H167" s="34"/>
    </row>
    <row r="168" spans="4:34" outlineLevel="1" x14ac:dyDescent="0.2">
      <c r="E168" s="7">
        <v>43831</v>
      </c>
      <c r="F168" s="7">
        <f>EDATE(E168,12)</f>
        <v>44197</v>
      </c>
      <c r="G168" s="7">
        <f t="shared" ref="G168" si="167">EDATE(F168,12)</f>
        <v>44562</v>
      </c>
      <c r="H168" s="7">
        <f t="shared" ref="H168" si="168">EDATE(G168,12)</f>
        <v>44927</v>
      </c>
      <c r="I168" s="7">
        <f t="shared" ref="I168" si="169">EDATE(H168,12)</f>
        <v>45292</v>
      </c>
      <c r="J168" s="7">
        <f t="shared" ref="J168" si="170">EDATE(I168,12)</f>
        <v>45658</v>
      </c>
      <c r="K168" s="7">
        <f t="shared" ref="K168" si="171">EDATE(J168,12)</f>
        <v>46023</v>
      </c>
      <c r="L168" s="7">
        <f t="shared" ref="L168" si="172">EDATE(K168,12)</f>
        <v>46388</v>
      </c>
      <c r="M168" s="7">
        <f t="shared" ref="M168" si="173">EDATE(L168,12)</f>
        <v>46753</v>
      </c>
      <c r="N168" s="7">
        <f t="shared" ref="N168" si="174">EDATE(M168,12)</f>
        <v>47119</v>
      </c>
      <c r="O168" s="7">
        <f t="shared" ref="O168" si="175">EDATE(N168,12)</f>
        <v>47484</v>
      </c>
      <c r="P168" s="7">
        <f t="shared" ref="P168" si="176">EDATE(O168,12)</f>
        <v>47849</v>
      </c>
      <c r="Q168" s="7">
        <f t="shared" ref="Q168" si="177">EDATE(P168,12)</f>
        <v>48214</v>
      </c>
      <c r="R168" s="7">
        <f t="shared" ref="R168" si="178">EDATE(Q168,12)</f>
        <v>48580</v>
      </c>
      <c r="S168" s="7">
        <f t="shared" ref="S168" si="179">EDATE(R168,12)</f>
        <v>48945</v>
      </c>
      <c r="T168" s="7">
        <f t="shared" ref="T168" si="180">EDATE(S168,12)</f>
        <v>49310</v>
      </c>
      <c r="U168" s="7">
        <f t="shared" ref="U168" si="181">EDATE(T168,12)</f>
        <v>49675</v>
      </c>
      <c r="V168" s="7">
        <f t="shared" ref="V168" si="182">EDATE(U168,12)</f>
        <v>50041</v>
      </c>
      <c r="W168" s="7">
        <f t="shared" ref="W168" si="183">EDATE(V168,12)</f>
        <v>50406</v>
      </c>
      <c r="X168" s="7">
        <f t="shared" ref="X168" si="184">EDATE(W168,12)</f>
        <v>50771</v>
      </c>
      <c r="Y168" s="7">
        <f t="shared" ref="Y168" si="185">EDATE(X168,12)</f>
        <v>51136</v>
      </c>
      <c r="Z168" s="7">
        <f t="shared" ref="Z168" si="186">EDATE(Y168,12)</f>
        <v>51502</v>
      </c>
      <c r="AA168" s="7">
        <f t="shared" ref="AA168" si="187">EDATE(Z168,12)</f>
        <v>51867</v>
      </c>
      <c r="AB168" s="7">
        <f t="shared" ref="AB168" si="188">EDATE(AA168,12)</f>
        <v>52232</v>
      </c>
      <c r="AC168" s="7">
        <f t="shared" ref="AC168" si="189">EDATE(AB168,12)</f>
        <v>52597</v>
      </c>
      <c r="AD168" s="7">
        <f>EDATE(AC168,12)</f>
        <v>52963</v>
      </c>
      <c r="AH168" s="34"/>
    </row>
    <row r="169" spans="4:34" outlineLevel="1" x14ac:dyDescent="0.2">
      <c r="D169" s="8" t="s">
        <v>214</v>
      </c>
      <c r="E169" s="10" cm="1">
        <f t="array" ref="E169">0.000001 * SUM(
  SUMIFS(
    'Zonal Summary'!$F:$F,
    'Zonal Summary'!$B:$B,zones_to_group,
    'Zonal Summary'!$A:$A,TRANSPOSE(_xlfn._xlws.FILTER('Results Grouping'!$G$9:$G$322,('Results Grouping'!$H$9:$H$322=$D$143) * ('Results Grouping'!$I$9:$I$322=$D169),0)),
    'Zonal Summary'!$C:$C,E$146
  )
)</f>
        <v>0</v>
      </c>
      <c r="F169" s="10" cm="1">
        <f t="array" ref="F169">0.000001 * SUM(
  SUMIFS(
    'Zonal Summary'!$F:$F,
    'Zonal Summary'!$B:$B,zones_to_group,
    'Zonal Summary'!$A:$A,TRANSPOSE(_xlfn._xlws.FILTER('Results Grouping'!$G$9:$G$322,('Results Grouping'!$H$9:$H$322=$D$143) * ('Results Grouping'!$I$9:$I$322=$D169),0)),
    'Zonal Summary'!$C:$C,F$146
  )
)</f>
        <v>0</v>
      </c>
      <c r="G169" s="10" cm="1">
        <f t="array" ref="G169">0.000001 * SUM(
  SUMIFS(
    'Zonal Summary'!$F:$F,
    'Zonal Summary'!$B:$B,zones_to_group,
    'Zonal Summary'!$A:$A,TRANSPOSE(_xlfn._xlws.FILTER('Results Grouping'!$G$9:$G$322,('Results Grouping'!$H$9:$H$322=$D$143) * ('Results Grouping'!$I$9:$I$322=$D169),0)),
    'Zonal Summary'!$C:$C,G$146
  )
)</f>
        <v>0</v>
      </c>
      <c r="H169" s="10" cm="1">
        <f t="array" ref="H169">0.000001 * SUM(
  SUMIFS(
    'Zonal Summary'!$F:$F,
    'Zonal Summary'!$B:$B,zones_to_group,
    'Zonal Summary'!$A:$A,TRANSPOSE(_xlfn._xlws.FILTER('Results Grouping'!$G$9:$G$322,('Results Grouping'!$H$9:$H$322=$D$143) * ('Results Grouping'!$I$9:$I$322=$D169),0)),
    'Zonal Summary'!$C:$C,H$146
  )
)</f>
        <v>0</v>
      </c>
      <c r="I169" s="10" cm="1">
        <f t="array" ref="I169">0.000001 * SUM(
  SUMIFS(
    'Zonal Summary'!$F:$F,
    'Zonal Summary'!$B:$B,zones_to_group,
    'Zonal Summary'!$A:$A,TRANSPOSE(_xlfn._xlws.FILTER('Results Grouping'!$G$9:$G$322,('Results Grouping'!$H$9:$H$322=$D$143) * ('Results Grouping'!$I$9:$I$322=$D169),0)),
    'Zonal Summary'!$C:$C,I$146
  )
)</f>
        <v>0</v>
      </c>
      <c r="J169" s="10" cm="1">
        <f t="array" ref="J169">0.000001 * SUM(
  SUMIFS(
    'Zonal Summary'!$F:$F,
    'Zonal Summary'!$B:$B,zones_to_group,
    'Zonal Summary'!$A:$A,TRANSPOSE(_xlfn._xlws.FILTER('Results Grouping'!$G$9:$G$322,('Results Grouping'!$H$9:$H$322=$D$143) * ('Results Grouping'!$I$9:$I$322=$D169),0)),
    'Zonal Summary'!$C:$C,J$146
  )
)</f>
        <v>0</v>
      </c>
      <c r="K169" s="10" cm="1">
        <f t="array" ref="K169">0.000001 * SUM(
  SUMIFS(
    'Zonal Summary'!$F:$F,
    'Zonal Summary'!$B:$B,zones_to_group,
    'Zonal Summary'!$A:$A,TRANSPOSE(_xlfn._xlws.FILTER('Results Grouping'!$G$9:$G$322,('Results Grouping'!$H$9:$H$322=$D$143) * ('Results Grouping'!$I$9:$I$322=$D169),0)),
    'Zonal Summary'!$C:$C,K$146
  )
)</f>
        <v>0</v>
      </c>
      <c r="L169" s="10" cm="1">
        <f t="array" ref="L169">0.000001 * SUM(
  SUMIFS(
    'Zonal Summary'!$F:$F,
    'Zonal Summary'!$B:$B,zones_to_group,
    'Zonal Summary'!$A:$A,TRANSPOSE(_xlfn._xlws.FILTER('Results Grouping'!$G$9:$G$322,('Results Grouping'!$H$9:$H$322=$D$143) * ('Results Grouping'!$I$9:$I$322=$D169),0)),
    'Zonal Summary'!$C:$C,L$146
  )
)</f>
        <v>0</v>
      </c>
      <c r="M169" s="10" cm="1">
        <f t="array" ref="M169">0.000001 * SUM(
  SUMIFS(
    'Zonal Summary'!$F:$F,
    'Zonal Summary'!$B:$B,zones_to_group,
    'Zonal Summary'!$A:$A,TRANSPOSE(_xlfn._xlws.FILTER('Results Grouping'!$G$9:$G$322,('Results Grouping'!$H$9:$H$322=$D$143) * ('Results Grouping'!$I$9:$I$322=$D169),0)),
    'Zonal Summary'!$C:$C,M$146
  )
)</f>
        <v>0</v>
      </c>
      <c r="N169" s="10" cm="1">
        <f t="array" ref="N169">0.000001 * SUM(
  SUMIFS(
    'Zonal Summary'!$F:$F,
    'Zonal Summary'!$B:$B,zones_to_group,
    'Zonal Summary'!$A:$A,TRANSPOSE(_xlfn._xlws.FILTER('Results Grouping'!$G$9:$G$322,('Results Grouping'!$H$9:$H$322=$D$143) * ('Results Grouping'!$I$9:$I$322=$D169),0)),
    'Zonal Summary'!$C:$C,N$146
  )
)</f>
        <v>0</v>
      </c>
      <c r="O169" s="10" cm="1">
        <f t="array" ref="O169">0.000001 * SUM(
  SUMIFS(
    'Zonal Summary'!$F:$F,
    'Zonal Summary'!$B:$B,zones_to_group,
    'Zonal Summary'!$A:$A,TRANSPOSE(_xlfn._xlws.FILTER('Results Grouping'!$G$9:$G$322,('Results Grouping'!$H$9:$H$322=$D$143) * ('Results Grouping'!$I$9:$I$322=$D169),0)),
    'Zonal Summary'!$C:$C,O$146
  )
)</f>
        <v>0</v>
      </c>
      <c r="P169" s="10" cm="1">
        <f t="array" ref="P169">0.000001 * SUM(
  SUMIFS(
    'Zonal Summary'!$F:$F,
    'Zonal Summary'!$B:$B,zones_to_group,
    'Zonal Summary'!$A:$A,TRANSPOSE(_xlfn._xlws.FILTER('Results Grouping'!$G$9:$G$322,('Results Grouping'!$H$9:$H$322=$D$143) * ('Results Grouping'!$I$9:$I$322=$D169),0)),
    'Zonal Summary'!$C:$C,P$146
  )
)</f>
        <v>0</v>
      </c>
      <c r="Q169" s="10" cm="1">
        <f t="array" ref="Q169">0.000001 * SUM(
  SUMIFS(
    'Zonal Summary'!$F:$F,
    'Zonal Summary'!$B:$B,zones_to_group,
    'Zonal Summary'!$A:$A,TRANSPOSE(_xlfn._xlws.FILTER('Results Grouping'!$G$9:$G$322,('Results Grouping'!$H$9:$H$322=$D$143) * ('Results Grouping'!$I$9:$I$322=$D169),0)),
    'Zonal Summary'!$C:$C,Q$146
  )
)</f>
        <v>0</v>
      </c>
      <c r="R169" s="10" cm="1">
        <f t="array" ref="R169">0.000001 * SUM(
  SUMIFS(
    'Zonal Summary'!$F:$F,
    'Zonal Summary'!$B:$B,zones_to_group,
    'Zonal Summary'!$A:$A,TRANSPOSE(_xlfn._xlws.FILTER('Results Grouping'!$G$9:$G$322,('Results Grouping'!$H$9:$H$322=$D$143) * ('Results Grouping'!$I$9:$I$322=$D169),0)),
    'Zonal Summary'!$C:$C,R$146
  )
)</f>
        <v>0</v>
      </c>
      <c r="S169" s="10" cm="1">
        <f t="array" ref="S169">0.000001 * SUM(
  SUMIFS(
    'Zonal Summary'!$F:$F,
    'Zonal Summary'!$B:$B,zones_to_group,
    'Zonal Summary'!$A:$A,TRANSPOSE(_xlfn._xlws.FILTER('Results Grouping'!$G$9:$G$322,('Results Grouping'!$H$9:$H$322=$D$143) * ('Results Grouping'!$I$9:$I$322=$D169),0)),
    'Zonal Summary'!$C:$C,S$146
  )
)</f>
        <v>0</v>
      </c>
      <c r="T169" s="10" cm="1">
        <f t="array" ref="T169">0.000001 * SUM(
  SUMIFS(
    'Zonal Summary'!$F:$F,
    'Zonal Summary'!$B:$B,zones_to_group,
    'Zonal Summary'!$A:$A,TRANSPOSE(_xlfn._xlws.FILTER('Results Grouping'!$G$9:$G$322,('Results Grouping'!$H$9:$H$322=$D$143) * ('Results Grouping'!$I$9:$I$322=$D169),0)),
    'Zonal Summary'!$C:$C,T$146
  )
)</f>
        <v>0</v>
      </c>
      <c r="U169" s="10" cm="1">
        <f t="array" ref="U169">0.000001 * SUM(
  SUMIFS(
    'Zonal Summary'!$F:$F,
    'Zonal Summary'!$B:$B,zones_to_group,
    'Zonal Summary'!$A:$A,TRANSPOSE(_xlfn._xlws.FILTER('Results Grouping'!$G$9:$G$322,('Results Grouping'!$H$9:$H$322=$D$143) * ('Results Grouping'!$I$9:$I$322=$D169),0)),
    'Zonal Summary'!$C:$C,U$146
  )
)</f>
        <v>0</v>
      </c>
      <c r="V169" s="10" cm="1">
        <f t="array" ref="V169">0.000001 * SUM(
  SUMIFS(
    'Zonal Summary'!$F:$F,
    'Zonal Summary'!$B:$B,zones_to_group,
    'Zonal Summary'!$A:$A,TRANSPOSE(_xlfn._xlws.FILTER('Results Grouping'!$G$9:$G$322,('Results Grouping'!$H$9:$H$322=$D$143) * ('Results Grouping'!$I$9:$I$322=$D169),0)),
    'Zonal Summary'!$C:$C,V$146
  )
)</f>
        <v>0</v>
      </c>
      <c r="W169" s="10" cm="1">
        <f t="array" ref="W169">0.000001 * SUM(
  SUMIFS(
    'Zonal Summary'!$F:$F,
    'Zonal Summary'!$B:$B,zones_to_group,
    'Zonal Summary'!$A:$A,TRANSPOSE(_xlfn._xlws.FILTER('Results Grouping'!$G$9:$G$322,('Results Grouping'!$H$9:$H$322=$D$143) * ('Results Grouping'!$I$9:$I$322=$D169),0)),
    'Zonal Summary'!$C:$C,W$146
  )
)</f>
        <v>0</v>
      </c>
      <c r="X169" s="10" cm="1">
        <f t="array" ref="X169">0.000001 * SUM(
  SUMIFS(
    'Zonal Summary'!$F:$F,
    'Zonal Summary'!$B:$B,zones_to_group,
    'Zonal Summary'!$A:$A,TRANSPOSE(_xlfn._xlws.FILTER('Results Grouping'!$G$9:$G$322,('Results Grouping'!$H$9:$H$322=$D$143) * ('Results Grouping'!$I$9:$I$322=$D169),0)),
    'Zonal Summary'!$C:$C,X$146
  )
)</f>
        <v>0</v>
      </c>
      <c r="Y169" s="10" cm="1">
        <f t="array" ref="Y169">0.000001 * SUM(
  SUMIFS(
    'Zonal Summary'!$F:$F,
    'Zonal Summary'!$B:$B,zones_to_group,
    'Zonal Summary'!$A:$A,TRANSPOSE(_xlfn._xlws.FILTER('Results Grouping'!$G$9:$G$322,('Results Grouping'!$H$9:$H$322=$D$143) * ('Results Grouping'!$I$9:$I$322=$D169),0)),
    'Zonal Summary'!$C:$C,Y$146
  )
)</f>
        <v>0</v>
      </c>
      <c r="Z169" s="10" cm="1">
        <f t="array" ref="Z169">0.000001 * SUM(
  SUMIFS(
    'Zonal Summary'!$F:$F,
    'Zonal Summary'!$B:$B,zones_to_group,
    'Zonal Summary'!$A:$A,TRANSPOSE(_xlfn._xlws.FILTER('Results Grouping'!$G$9:$G$322,('Results Grouping'!$H$9:$H$322=$D$143) * ('Results Grouping'!$I$9:$I$322=$D169),0)),
    'Zonal Summary'!$C:$C,Z$146
  )
)</f>
        <v>0</v>
      </c>
      <c r="AA169" s="10" cm="1">
        <f t="array" ref="AA169">0.000001 * SUM(
  SUMIFS(
    'Zonal Summary'!$F:$F,
    'Zonal Summary'!$B:$B,zones_to_group,
    'Zonal Summary'!$A:$A,TRANSPOSE(_xlfn._xlws.FILTER('Results Grouping'!$G$9:$G$322,('Results Grouping'!$H$9:$H$322=$D$143) * ('Results Grouping'!$I$9:$I$322=$D169),0)),
    'Zonal Summary'!$C:$C,AA$146
  )
)</f>
        <v>0</v>
      </c>
      <c r="AB169" s="10" cm="1">
        <f t="array" ref="AB169">0.000001 * SUM(
  SUMIFS(
    'Zonal Summary'!$F:$F,
    'Zonal Summary'!$B:$B,zones_to_group,
    'Zonal Summary'!$A:$A,TRANSPOSE(_xlfn._xlws.FILTER('Results Grouping'!$G$9:$G$322,('Results Grouping'!$H$9:$H$322=$D$143) * ('Results Grouping'!$I$9:$I$322=$D169),0)),
    'Zonal Summary'!$C:$C,AB$146
  )
)</f>
        <v>0</v>
      </c>
      <c r="AC169" s="10" cm="1">
        <f t="array" ref="AC169">0.000001 * SUM(
  SUMIFS(
    'Zonal Summary'!$F:$F,
    'Zonal Summary'!$B:$B,zones_to_group,
    'Zonal Summary'!$A:$A,TRANSPOSE(_xlfn._xlws.FILTER('Results Grouping'!$G$9:$G$322,('Results Grouping'!$H$9:$H$322=$D$143) * ('Results Grouping'!$I$9:$I$322=$D169),0)),
    'Zonal Summary'!$C:$C,AC$146
  )
)</f>
        <v>0</v>
      </c>
      <c r="AD169" s="10" cm="1">
        <f t="array" ref="AD169">0.000001 * SUM(
  SUMIFS(
    'Zonal Summary'!$F:$F,
    'Zonal Summary'!$B:$B,zones_to_group,
    'Zonal Summary'!$A:$A,TRANSPOSE(_xlfn._xlws.FILTER('Results Grouping'!$G$9:$G$322,('Results Grouping'!$H$9:$H$322=$D$143) * ('Results Grouping'!$I$9:$I$322=$D169),0)),
    'Zonal Summary'!$C:$C,AD$146
  )
)</f>
        <v>0</v>
      </c>
      <c r="AH169" s="34"/>
    </row>
    <row r="170" spans="4:34" outlineLevel="1" x14ac:dyDescent="0.2">
      <c r="D170" s="8" t="s">
        <v>215</v>
      </c>
      <c r="E170" s="10" cm="1">
        <f t="array" ref="E170">0.000001 * SUM(
  SUMIFS(
    'Zonal Summary'!$F:$F,
    'Zonal Summary'!$B:$B,zones_to_group,
    'Zonal Summary'!$A:$A,TRANSPOSE(_xlfn._xlws.FILTER('Results Grouping'!$G$9:$G$322,('Results Grouping'!$H$9:$H$322=$D$143) * ('Results Grouping'!$I$9:$I$322=$D170),0)),
    'Zonal Summary'!$C:$C,E$146
  )
)</f>
        <v>0</v>
      </c>
      <c r="F170" s="10" cm="1">
        <f t="array" ref="F170">0.000001 * SUM(
  SUMIFS(
    'Zonal Summary'!$F:$F,
    'Zonal Summary'!$B:$B,zones_to_group,
    'Zonal Summary'!$A:$A,TRANSPOSE(_xlfn._xlws.FILTER('Results Grouping'!$G$9:$G$322,('Results Grouping'!$H$9:$H$322=$D$143) * ('Results Grouping'!$I$9:$I$322=$D170),0)),
    'Zonal Summary'!$C:$C,F$146
  )
)</f>
        <v>0</v>
      </c>
      <c r="G170" s="10" cm="1">
        <f t="array" ref="G170">0.000001 * SUM(
  SUMIFS(
    'Zonal Summary'!$F:$F,
    'Zonal Summary'!$B:$B,zones_to_group,
    'Zonal Summary'!$A:$A,TRANSPOSE(_xlfn._xlws.FILTER('Results Grouping'!$G$9:$G$322,('Results Grouping'!$H$9:$H$322=$D$143) * ('Results Grouping'!$I$9:$I$322=$D170),0)),
    'Zonal Summary'!$C:$C,G$146
  )
)</f>
        <v>0</v>
      </c>
      <c r="H170" s="10" cm="1">
        <f t="array" ref="H170">0.000001 * SUM(
  SUMIFS(
    'Zonal Summary'!$F:$F,
    'Zonal Summary'!$B:$B,zones_to_group,
    'Zonal Summary'!$A:$A,TRANSPOSE(_xlfn._xlws.FILTER('Results Grouping'!$G$9:$G$322,('Results Grouping'!$H$9:$H$322=$D$143) * ('Results Grouping'!$I$9:$I$322=$D170),0)),
    'Zonal Summary'!$C:$C,H$146
  )
)</f>
        <v>0</v>
      </c>
      <c r="I170" s="10" cm="1">
        <f t="array" ref="I170">0.000001 * SUM(
  SUMIFS(
    'Zonal Summary'!$F:$F,
    'Zonal Summary'!$B:$B,zones_to_group,
    'Zonal Summary'!$A:$A,TRANSPOSE(_xlfn._xlws.FILTER('Results Grouping'!$G$9:$G$322,('Results Grouping'!$H$9:$H$322=$D$143) * ('Results Grouping'!$I$9:$I$322=$D170),0)),
    'Zonal Summary'!$C:$C,I$146
  )
)</f>
        <v>0</v>
      </c>
      <c r="J170" s="10" cm="1">
        <f t="array" ref="J170">0.000001 * SUM(
  SUMIFS(
    'Zonal Summary'!$F:$F,
    'Zonal Summary'!$B:$B,zones_to_group,
    'Zonal Summary'!$A:$A,TRANSPOSE(_xlfn._xlws.FILTER('Results Grouping'!$G$9:$G$322,('Results Grouping'!$H$9:$H$322=$D$143) * ('Results Grouping'!$I$9:$I$322=$D170),0)),
    'Zonal Summary'!$C:$C,J$146
  )
)</f>
        <v>0</v>
      </c>
      <c r="K170" s="10" cm="1">
        <f t="array" ref="K170">0.000001 * SUM(
  SUMIFS(
    'Zonal Summary'!$F:$F,
    'Zonal Summary'!$B:$B,zones_to_group,
    'Zonal Summary'!$A:$A,TRANSPOSE(_xlfn._xlws.FILTER('Results Grouping'!$G$9:$G$322,('Results Grouping'!$H$9:$H$322=$D$143) * ('Results Grouping'!$I$9:$I$322=$D170),0)),
    'Zonal Summary'!$C:$C,K$146
  )
)</f>
        <v>0</v>
      </c>
      <c r="L170" s="10" cm="1">
        <f t="array" ref="L170">0.000001 * SUM(
  SUMIFS(
    'Zonal Summary'!$F:$F,
    'Zonal Summary'!$B:$B,zones_to_group,
    'Zonal Summary'!$A:$A,TRANSPOSE(_xlfn._xlws.FILTER('Results Grouping'!$G$9:$G$322,('Results Grouping'!$H$9:$H$322=$D$143) * ('Results Grouping'!$I$9:$I$322=$D170),0)),
    'Zonal Summary'!$C:$C,L$146
  )
)</f>
        <v>0</v>
      </c>
      <c r="M170" s="10" cm="1">
        <f t="array" ref="M170">0.000001 * SUM(
  SUMIFS(
    'Zonal Summary'!$F:$F,
    'Zonal Summary'!$B:$B,zones_to_group,
    'Zonal Summary'!$A:$A,TRANSPOSE(_xlfn._xlws.FILTER('Results Grouping'!$G$9:$G$322,('Results Grouping'!$H$9:$H$322=$D$143) * ('Results Grouping'!$I$9:$I$322=$D170),0)),
    'Zonal Summary'!$C:$C,M$146
  )
)</f>
        <v>0</v>
      </c>
      <c r="N170" s="10" cm="1">
        <f t="array" ref="N170">0.000001 * SUM(
  SUMIFS(
    'Zonal Summary'!$F:$F,
    'Zonal Summary'!$B:$B,zones_to_group,
    'Zonal Summary'!$A:$A,TRANSPOSE(_xlfn._xlws.FILTER('Results Grouping'!$G$9:$G$322,('Results Grouping'!$H$9:$H$322=$D$143) * ('Results Grouping'!$I$9:$I$322=$D170),0)),
    'Zonal Summary'!$C:$C,N$146
  )
)</f>
        <v>0</v>
      </c>
      <c r="O170" s="10" cm="1">
        <f t="array" ref="O170">0.000001 * SUM(
  SUMIFS(
    'Zonal Summary'!$F:$F,
    'Zonal Summary'!$B:$B,zones_to_group,
    'Zonal Summary'!$A:$A,TRANSPOSE(_xlfn._xlws.FILTER('Results Grouping'!$G$9:$G$322,('Results Grouping'!$H$9:$H$322=$D$143) * ('Results Grouping'!$I$9:$I$322=$D170),0)),
    'Zonal Summary'!$C:$C,O$146
  )
)</f>
        <v>0</v>
      </c>
      <c r="P170" s="10" cm="1">
        <f t="array" ref="P170">0.000001 * SUM(
  SUMIFS(
    'Zonal Summary'!$F:$F,
    'Zonal Summary'!$B:$B,zones_to_group,
    'Zonal Summary'!$A:$A,TRANSPOSE(_xlfn._xlws.FILTER('Results Grouping'!$G$9:$G$322,('Results Grouping'!$H$9:$H$322=$D$143) * ('Results Grouping'!$I$9:$I$322=$D170),0)),
    'Zonal Summary'!$C:$C,P$146
  )
)</f>
        <v>0</v>
      </c>
      <c r="Q170" s="10" cm="1">
        <f t="array" ref="Q170">0.000001 * SUM(
  SUMIFS(
    'Zonal Summary'!$F:$F,
    'Zonal Summary'!$B:$B,zones_to_group,
    'Zonal Summary'!$A:$A,TRANSPOSE(_xlfn._xlws.FILTER('Results Grouping'!$G$9:$G$322,('Results Grouping'!$H$9:$H$322=$D$143) * ('Results Grouping'!$I$9:$I$322=$D170),0)),
    'Zonal Summary'!$C:$C,Q$146
  )
)</f>
        <v>0</v>
      </c>
      <c r="R170" s="10" cm="1">
        <f t="array" ref="R170">0.000001 * SUM(
  SUMIFS(
    'Zonal Summary'!$F:$F,
    'Zonal Summary'!$B:$B,zones_to_group,
    'Zonal Summary'!$A:$A,TRANSPOSE(_xlfn._xlws.FILTER('Results Grouping'!$G$9:$G$322,('Results Grouping'!$H$9:$H$322=$D$143) * ('Results Grouping'!$I$9:$I$322=$D170),0)),
    'Zonal Summary'!$C:$C,R$146
  )
)</f>
        <v>0</v>
      </c>
      <c r="S170" s="10" cm="1">
        <f t="array" ref="S170">0.000001 * SUM(
  SUMIFS(
    'Zonal Summary'!$F:$F,
    'Zonal Summary'!$B:$B,zones_to_group,
    'Zonal Summary'!$A:$A,TRANSPOSE(_xlfn._xlws.FILTER('Results Grouping'!$G$9:$G$322,('Results Grouping'!$H$9:$H$322=$D$143) * ('Results Grouping'!$I$9:$I$322=$D170),0)),
    'Zonal Summary'!$C:$C,S$146
  )
)</f>
        <v>0</v>
      </c>
      <c r="T170" s="10" cm="1">
        <f t="array" ref="T170">0.000001 * SUM(
  SUMIFS(
    'Zonal Summary'!$F:$F,
    'Zonal Summary'!$B:$B,zones_to_group,
    'Zonal Summary'!$A:$A,TRANSPOSE(_xlfn._xlws.FILTER('Results Grouping'!$G$9:$G$322,('Results Grouping'!$H$9:$H$322=$D$143) * ('Results Grouping'!$I$9:$I$322=$D170),0)),
    'Zonal Summary'!$C:$C,T$146
  )
)</f>
        <v>0</v>
      </c>
      <c r="U170" s="10" cm="1">
        <f t="array" ref="U170">0.000001 * SUM(
  SUMIFS(
    'Zonal Summary'!$F:$F,
    'Zonal Summary'!$B:$B,zones_to_group,
    'Zonal Summary'!$A:$A,TRANSPOSE(_xlfn._xlws.FILTER('Results Grouping'!$G$9:$G$322,('Results Grouping'!$H$9:$H$322=$D$143) * ('Results Grouping'!$I$9:$I$322=$D170),0)),
    'Zonal Summary'!$C:$C,U$146
  )
)</f>
        <v>0</v>
      </c>
      <c r="V170" s="10" cm="1">
        <f t="array" ref="V170">0.000001 * SUM(
  SUMIFS(
    'Zonal Summary'!$F:$F,
    'Zonal Summary'!$B:$B,zones_to_group,
    'Zonal Summary'!$A:$A,TRANSPOSE(_xlfn._xlws.FILTER('Results Grouping'!$G$9:$G$322,('Results Grouping'!$H$9:$H$322=$D$143) * ('Results Grouping'!$I$9:$I$322=$D170),0)),
    'Zonal Summary'!$C:$C,V$146
  )
)</f>
        <v>0</v>
      </c>
      <c r="W170" s="10" cm="1">
        <f t="array" ref="W170">0.000001 * SUM(
  SUMIFS(
    'Zonal Summary'!$F:$F,
    'Zonal Summary'!$B:$B,zones_to_group,
    'Zonal Summary'!$A:$A,TRANSPOSE(_xlfn._xlws.FILTER('Results Grouping'!$G$9:$G$322,('Results Grouping'!$H$9:$H$322=$D$143) * ('Results Grouping'!$I$9:$I$322=$D170),0)),
    'Zonal Summary'!$C:$C,W$146
  )
)</f>
        <v>0</v>
      </c>
      <c r="X170" s="10" cm="1">
        <f t="array" ref="X170">0.000001 * SUM(
  SUMIFS(
    'Zonal Summary'!$F:$F,
    'Zonal Summary'!$B:$B,zones_to_group,
    'Zonal Summary'!$A:$A,TRANSPOSE(_xlfn._xlws.FILTER('Results Grouping'!$G$9:$G$322,('Results Grouping'!$H$9:$H$322=$D$143) * ('Results Grouping'!$I$9:$I$322=$D170),0)),
    'Zonal Summary'!$C:$C,X$146
  )
)</f>
        <v>0</v>
      </c>
      <c r="Y170" s="10" cm="1">
        <f t="array" ref="Y170">0.000001 * SUM(
  SUMIFS(
    'Zonal Summary'!$F:$F,
    'Zonal Summary'!$B:$B,zones_to_group,
    'Zonal Summary'!$A:$A,TRANSPOSE(_xlfn._xlws.FILTER('Results Grouping'!$G$9:$G$322,('Results Grouping'!$H$9:$H$322=$D$143) * ('Results Grouping'!$I$9:$I$322=$D170),0)),
    'Zonal Summary'!$C:$C,Y$146
  )
)</f>
        <v>0</v>
      </c>
      <c r="Z170" s="10" cm="1">
        <f t="array" ref="Z170">0.000001 * SUM(
  SUMIFS(
    'Zonal Summary'!$F:$F,
    'Zonal Summary'!$B:$B,zones_to_group,
    'Zonal Summary'!$A:$A,TRANSPOSE(_xlfn._xlws.FILTER('Results Grouping'!$G$9:$G$322,('Results Grouping'!$H$9:$H$322=$D$143) * ('Results Grouping'!$I$9:$I$322=$D170),0)),
    'Zonal Summary'!$C:$C,Z$146
  )
)</f>
        <v>0</v>
      </c>
      <c r="AA170" s="10" cm="1">
        <f t="array" ref="AA170">0.000001 * SUM(
  SUMIFS(
    'Zonal Summary'!$F:$F,
    'Zonal Summary'!$B:$B,zones_to_group,
    'Zonal Summary'!$A:$A,TRANSPOSE(_xlfn._xlws.FILTER('Results Grouping'!$G$9:$G$322,('Results Grouping'!$H$9:$H$322=$D$143) * ('Results Grouping'!$I$9:$I$322=$D170),0)),
    'Zonal Summary'!$C:$C,AA$146
  )
)</f>
        <v>0</v>
      </c>
      <c r="AB170" s="10" cm="1">
        <f t="array" ref="AB170">0.000001 * SUM(
  SUMIFS(
    'Zonal Summary'!$F:$F,
    'Zonal Summary'!$B:$B,zones_to_group,
    'Zonal Summary'!$A:$A,TRANSPOSE(_xlfn._xlws.FILTER('Results Grouping'!$G$9:$G$322,('Results Grouping'!$H$9:$H$322=$D$143) * ('Results Grouping'!$I$9:$I$322=$D170),0)),
    'Zonal Summary'!$C:$C,AB$146
  )
)</f>
        <v>0</v>
      </c>
      <c r="AC170" s="10" cm="1">
        <f t="array" ref="AC170">0.000001 * SUM(
  SUMIFS(
    'Zonal Summary'!$F:$F,
    'Zonal Summary'!$B:$B,zones_to_group,
    'Zonal Summary'!$A:$A,TRANSPOSE(_xlfn._xlws.FILTER('Results Grouping'!$G$9:$G$322,('Results Grouping'!$H$9:$H$322=$D$143) * ('Results Grouping'!$I$9:$I$322=$D170),0)),
    'Zonal Summary'!$C:$C,AC$146
  )
)</f>
        <v>0</v>
      </c>
      <c r="AD170" s="10" cm="1">
        <f t="array" ref="AD170">0.000001 * SUM(
  SUMIFS(
    'Zonal Summary'!$F:$F,
    'Zonal Summary'!$B:$B,zones_to_group,
    'Zonal Summary'!$A:$A,TRANSPOSE(_xlfn._xlws.FILTER('Results Grouping'!$G$9:$G$322,('Results Grouping'!$H$9:$H$322=$D$143) * ('Results Grouping'!$I$9:$I$322=$D170),0)),
    'Zonal Summary'!$C:$C,AD$146
  )
)</f>
        <v>0</v>
      </c>
      <c r="AH170" s="34"/>
    </row>
    <row r="171" spans="4:34" outlineLevel="1" x14ac:dyDescent="0.2">
      <c r="AH171" s="34"/>
    </row>
    <row r="172" spans="4:34" ht="17.399999999999999" outlineLevel="1" thickBot="1" x14ac:dyDescent="0.25">
      <c r="D172" s="12" t="s">
        <v>310</v>
      </c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H172" s="34" t="s">
        <v>422</v>
      </c>
    </row>
    <row r="173" spans="4:34" outlineLevel="2" x14ac:dyDescent="0.2">
      <c r="AH173" s="34" t="s">
        <v>422</v>
      </c>
    </row>
    <row r="174" spans="4:34" ht="13.2" outlineLevel="2" x14ac:dyDescent="0.2">
      <c r="E174" s="2" t="s">
        <v>419</v>
      </c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H174" s="34" t="s">
        <v>422</v>
      </c>
    </row>
    <row r="175" spans="4:34" outlineLevel="2" x14ac:dyDescent="0.2">
      <c r="E175" s="7">
        <v>43831</v>
      </c>
      <c r="F175" s="7">
        <f t="shared" ref="F175:AC175" si="190">EDATE(E175,12)</f>
        <v>44197</v>
      </c>
      <c r="G175" s="7">
        <f t="shared" si="190"/>
        <v>44562</v>
      </c>
      <c r="H175" s="7">
        <f t="shared" si="190"/>
        <v>44927</v>
      </c>
      <c r="I175" s="7">
        <f t="shared" si="190"/>
        <v>45292</v>
      </c>
      <c r="J175" s="7">
        <f t="shared" si="190"/>
        <v>45658</v>
      </c>
      <c r="K175" s="7">
        <f t="shared" si="190"/>
        <v>46023</v>
      </c>
      <c r="L175" s="7">
        <f t="shared" si="190"/>
        <v>46388</v>
      </c>
      <c r="M175" s="7">
        <f t="shared" si="190"/>
        <v>46753</v>
      </c>
      <c r="N175" s="7">
        <f t="shared" si="190"/>
        <v>47119</v>
      </c>
      <c r="O175" s="7">
        <f t="shared" si="190"/>
        <v>47484</v>
      </c>
      <c r="P175" s="7">
        <f t="shared" si="190"/>
        <v>47849</v>
      </c>
      <c r="Q175" s="7">
        <f t="shared" si="190"/>
        <v>48214</v>
      </c>
      <c r="R175" s="7">
        <f t="shared" si="190"/>
        <v>48580</v>
      </c>
      <c r="S175" s="7">
        <f t="shared" si="190"/>
        <v>48945</v>
      </c>
      <c r="T175" s="7">
        <f t="shared" si="190"/>
        <v>49310</v>
      </c>
      <c r="U175" s="7">
        <f t="shared" si="190"/>
        <v>49675</v>
      </c>
      <c r="V175" s="7">
        <f t="shared" si="190"/>
        <v>50041</v>
      </c>
      <c r="W175" s="7">
        <f t="shared" si="190"/>
        <v>50406</v>
      </c>
      <c r="X175" s="7">
        <f t="shared" si="190"/>
        <v>50771</v>
      </c>
      <c r="Y175" s="7">
        <f t="shared" si="190"/>
        <v>51136</v>
      </c>
      <c r="Z175" s="7">
        <f t="shared" si="190"/>
        <v>51502</v>
      </c>
      <c r="AA175" s="7">
        <f t="shared" si="190"/>
        <v>51867</v>
      </c>
      <c r="AB175" s="7">
        <f t="shared" si="190"/>
        <v>52232</v>
      </c>
      <c r="AC175" s="7">
        <f t="shared" si="190"/>
        <v>52597</v>
      </c>
      <c r="AD175" s="7">
        <f>EDATE(AC175,12)</f>
        <v>52963</v>
      </c>
      <c r="AH175" s="34" t="s">
        <v>422</v>
      </c>
    </row>
    <row r="176" spans="4:34" outlineLevel="2" x14ac:dyDescent="0.2">
      <c r="D176" s="8" t="s">
        <v>22</v>
      </c>
      <c r="E176" s="14">
        <f>0.000001 * SUM(
  SUMIFS(
    'Resource Summary'!$O:$O,
    'Resource Summary'!$A:$A,$D176,
    'Resource Summary'!$C:$C,E$146
  )
)</f>
        <v>0</v>
      </c>
      <c r="F176" s="14">
        <f>0.000001 * SUM(
  SUMIFS(
    'Resource Summary'!$O:$O,
    'Resource Summary'!$A:$A,$D176,
    'Resource Summary'!$C:$C,F$146
  )
)</f>
        <v>0</v>
      </c>
      <c r="G176" s="14">
        <f>0.000001 * SUM(
  SUMIFS(
    'Resource Summary'!$O:$O,
    'Resource Summary'!$A:$A,$D176,
    'Resource Summary'!$C:$C,G$146
  )
)</f>
        <v>0</v>
      </c>
      <c r="H176" s="14">
        <f>0.000001 * SUM(
  SUMIFS(
    'Resource Summary'!$O:$O,
    'Resource Summary'!$A:$A,$D176,
    'Resource Summary'!$C:$C,H$146
  )
)</f>
        <v>0</v>
      </c>
      <c r="I176" s="14">
        <f>0.000001 * SUM(
  SUMIFS(
    'Resource Summary'!$O:$O,
    'Resource Summary'!$A:$A,$D176,
    'Resource Summary'!$C:$C,I$146
  )
)</f>
        <v>0</v>
      </c>
      <c r="J176" s="14">
        <f>0.000001 * SUM(
  SUMIFS(
    'Resource Summary'!$O:$O,
    'Resource Summary'!$A:$A,$D176,
    'Resource Summary'!$C:$C,J$146
  )
)</f>
        <v>0</v>
      </c>
      <c r="K176" s="14">
        <f>0.000001 * SUM(
  SUMIFS(
    'Resource Summary'!$O:$O,
    'Resource Summary'!$A:$A,$D176,
    'Resource Summary'!$C:$C,K$146
  )
)</f>
        <v>0</v>
      </c>
      <c r="L176" s="14">
        <f>0.000001 * SUM(
  SUMIFS(
    'Resource Summary'!$O:$O,
    'Resource Summary'!$A:$A,$D176,
    'Resource Summary'!$C:$C,L$146
  )
)</f>
        <v>0</v>
      </c>
      <c r="M176" s="14">
        <f>0.000001 * SUM(
  SUMIFS(
    'Resource Summary'!$O:$O,
    'Resource Summary'!$A:$A,$D176,
    'Resource Summary'!$C:$C,M$146
  )
)</f>
        <v>0</v>
      </c>
      <c r="N176" s="14">
        <f>0.000001 * SUM(
  SUMIFS(
    'Resource Summary'!$O:$O,
    'Resource Summary'!$A:$A,$D176,
    'Resource Summary'!$C:$C,N$146
  )
)</f>
        <v>0</v>
      </c>
      <c r="O176" s="14">
        <f>0.000001 * SUM(
  SUMIFS(
    'Resource Summary'!$O:$O,
    'Resource Summary'!$A:$A,$D176,
    'Resource Summary'!$C:$C,O$146
  )
)</f>
        <v>0</v>
      </c>
      <c r="P176" s="14">
        <f>0.000001 * SUM(
  SUMIFS(
    'Resource Summary'!$O:$O,
    'Resource Summary'!$A:$A,$D176,
    'Resource Summary'!$C:$C,P$146
  )
)</f>
        <v>0</v>
      </c>
      <c r="Q176" s="14">
        <f>0.000001 * SUM(
  SUMIFS(
    'Resource Summary'!$O:$O,
    'Resource Summary'!$A:$A,$D176,
    'Resource Summary'!$C:$C,Q$146
  )
)</f>
        <v>0</v>
      </c>
      <c r="R176" s="14">
        <f>0.000001 * SUM(
  SUMIFS(
    'Resource Summary'!$O:$O,
    'Resource Summary'!$A:$A,$D176,
    'Resource Summary'!$C:$C,R$146
  )
)</f>
        <v>0</v>
      </c>
      <c r="S176" s="14">
        <f>0.000001 * SUM(
  SUMIFS(
    'Resource Summary'!$O:$O,
    'Resource Summary'!$A:$A,$D176,
    'Resource Summary'!$C:$C,S$146
  )
)</f>
        <v>0</v>
      </c>
      <c r="T176" s="14">
        <f>0.000001 * SUM(
  SUMIFS(
    'Resource Summary'!$O:$O,
    'Resource Summary'!$A:$A,$D176,
    'Resource Summary'!$C:$C,T$146
  )
)</f>
        <v>0</v>
      </c>
      <c r="U176" s="14">
        <f>0.000001 * SUM(
  SUMIFS(
    'Resource Summary'!$O:$O,
    'Resource Summary'!$A:$A,$D176,
    'Resource Summary'!$C:$C,U$146
  )
)</f>
        <v>0</v>
      </c>
      <c r="V176" s="14">
        <f>0.000001 * SUM(
  SUMIFS(
    'Resource Summary'!$O:$O,
    'Resource Summary'!$A:$A,$D176,
    'Resource Summary'!$C:$C,V$146
  )
)</f>
        <v>0</v>
      </c>
      <c r="W176" s="14">
        <f>0.000001 * SUM(
  SUMIFS(
    'Resource Summary'!$O:$O,
    'Resource Summary'!$A:$A,$D176,
    'Resource Summary'!$C:$C,W$146
  )
)</f>
        <v>0</v>
      </c>
      <c r="X176" s="14">
        <f>0.000001 * SUM(
  SUMIFS(
    'Resource Summary'!$O:$O,
    'Resource Summary'!$A:$A,$D176,
    'Resource Summary'!$C:$C,X$146
  )
)</f>
        <v>0</v>
      </c>
      <c r="Y176" s="14">
        <f>0.000001 * SUM(
  SUMIFS(
    'Resource Summary'!$O:$O,
    'Resource Summary'!$A:$A,$D176,
    'Resource Summary'!$C:$C,Y$146
  )
)</f>
        <v>0</v>
      </c>
      <c r="Z176" s="14">
        <f>0.000001 * SUM(
  SUMIFS(
    'Resource Summary'!$O:$O,
    'Resource Summary'!$A:$A,$D176,
    'Resource Summary'!$C:$C,Z$146
  )
)</f>
        <v>0</v>
      </c>
      <c r="AA176" s="14">
        <f>0.000001 * SUM(
  SUMIFS(
    'Resource Summary'!$O:$O,
    'Resource Summary'!$A:$A,$D176,
    'Resource Summary'!$C:$C,AA$146
  )
)</f>
        <v>0</v>
      </c>
      <c r="AB176" s="14">
        <f>0.000001 * SUM(
  SUMIFS(
    'Resource Summary'!$O:$O,
    'Resource Summary'!$A:$A,$D176,
    'Resource Summary'!$C:$C,AB$146
  )
)</f>
        <v>0</v>
      </c>
      <c r="AC176" s="14">
        <f>0.000001 * SUM(
  SUMIFS(
    'Resource Summary'!$O:$O,
    'Resource Summary'!$A:$A,$D176,
    'Resource Summary'!$C:$C,AC$146
  )
)</f>
        <v>0</v>
      </c>
      <c r="AD176" s="14">
        <f>0.000001 * SUM(
  SUMIFS(
    'Resource Summary'!$O:$O,
    'Resource Summary'!$A:$A,$D176,
    'Resource Summary'!$C:$C,AD$146
  )
)</f>
        <v>9.1283266470671194</v>
      </c>
      <c r="AH176" s="34" t="s">
        <v>422</v>
      </c>
    </row>
    <row r="177" spans="4:34" outlineLevel="2" x14ac:dyDescent="0.2">
      <c r="D177" s="8" t="s">
        <v>23</v>
      </c>
      <c r="E177" s="14">
        <f>0.000001 * SUM(
  SUMIFS(
    'Resource Summary'!$O:$O,
    'Resource Summary'!$A:$A,$D177,
    'Resource Summary'!$C:$C,E$146
  )
)</f>
        <v>0</v>
      </c>
      <c r="F177" s="14">
        <f>0.000001 * SUM(
  SUMIFS(
    'Resource Summary'!$O:$O,
    'Resource Summary'!$A:$A,$D177,
    'Resource Summary'!$C:$C,F$146
  )
)</f>
        <v>0</v>
      </c>
      <c r="G177" s="14">
        <f>0.000001 * SUM(
  SUMIFS(
    'Resource Summary'!$O:$O,
    'Resource Summary'!$A:$A,$D177,
    'Resource Summary'!$C:$C,G$146
  )
)</f>
        <v>0</v>
      </c>
      <c r="H177" s="14">
        <f>0.000001 * SUM(
  SUMIFS(
    'Resource Summary'!$O:$O,
    'Resource Summary'!$A:$A,$D177,
    'Resource Summary'!$C:$C,H$146
  )
)</f>
        <v>0</v>
      </c>
      <c r="I177" s="14">
        <f>0.000001 * SUM(
  SUMIFS(
    'Resource Summary'!$O:$O,
    'Resource Summary'!$A:$A,$D177,
    'Resource Summary'!$C:$C,I$146
  )
)</f>
        <v>0</v>
      </c>
      <c r="J177" s="14">
        <f>0.000001 * SUM(
  SUMIFS(
    'Resource Summary'!$O:$O,
    'Resource Summary'!$A:$A,$D177,
    'Resource Summary'!$C:$C,J$146
  )
)</f>
        <v>0</v>
      </c>
      <c r="K177" s="14">
        <f>0.000001 * SUM(
  SUMIFS(
    'Resource Summary'!$O:$O,
    'Resource Summary'!$A:$A,$D177,
    'Resource Summary'!$C:$C,K$146
  )
)</f>
        <v>0</v>
      </c>
      <c r="L177" s="14">
        <f>0.000001 * SUM(
  SUMIFS(
    'Resource Summary'!$O:$O,
    'Resource Summary'!$A:$A,$D177,
    'Resource Summary'!$C:$C,L$146
  )
)</f>
        <v>0</v>
      </c>
      <c r="M177" s="14">
        <f>0.000001 * SUM(
  SUMIFS(
    'Resource Summary'!$O:$O,
    'Resource Summary'!$A:$A,$D177,
    'Resource Summary'!$C:$C,M$146
  )
)</f>
        <v>0</v>
      </c>
      <c r="N177" s="14">
        <f>0.000001 * SUM(
  SUMIFS(
    'Resource Summary'!$O:$O,
    'Resource Summary'!$A:$A,$D177,
    'Resource Summary'!$C:$C,N$146
  )
)</f>
        <v>0</v>
      </c>
      <c r="O177" s="14">
        <f>0.000001 * SUM(
  SUMIFS(
    'Resource Summary'!$O:$O,
    'Resource Summary'!$A:$A,$D177,
    'Resource Summary'!$C:$C,O$146
  )
)</f>
        <v>0</v>
      </c>
      <c r="P177" s="14">
        <f>0.000001 * SUM(
  SUMIFS(
    'Resource Summary'!$O:$O,
    'Resource Summary'!$A:$A,$D177,
    'Resource Summary'!$C:$C,P$146
  )
)</f>
        <v>0</v>
      </c>
      <c r="Q177" s="14">
        <f>0.000001 * SUM(
  SUMIFS(
    'Resource Summary'!$O:$O,
    'Resource Summary'!$A:$A,$D177,
    'Resource Summary'!$C:$C,Q$146
  )
)</f>
        <v>0</v>
      </c>
      <c r="R177" s="14">
        <f>0.000001 * SUM(
  SUMIFS(
    'Resource Summary'!$O:$O,
    'Resource Summary'!$A:$A,$D177,
    'Resource Summary'!$C:$C,R$146
  )
)</f>
        <v>0</v>
      </c>
      <c r="S177" s="14">
        <f>0.000001 * SUM(
  SUMIFS(
    'Resource Summary'!$O:$O,
    'Resource Summary'!$A:$A,$D177,
    'Resource Summary'!$C:$C,S$146
  )
)</f>
        <v>0</v>
      </c>
      <c r="T177" s="14">
        <f>0.000001 * SUM(
  SUMIFS(
    'Resource Summary'!$O:$O,
    'Resource Summary'!$A:$A,$D177,
    'Resource Summary'!$C:$C,T$146
  )
)</f>
        <v>0</v>
      </c>
      <c r="U177" s="14">
        <f>0.000001 * SUM(
  SUMIFS(
    'Resource Summary'!$O:$O,
    'Resource Summary'!$A:$A,$D177,
    'Resource Summary'!$C:$C,U$146
  )
)</f>
        <v>0</v>
      </c>
      <c r="V177" s="14">
        <f>0.000001 * SUM(
  SUMIFS(
    'Resource Summary'!$O:$O,
    'Resource Summary'!$A:$A,$D177,
    'Resource Summary'!$C:$C,V$146
  )
)</f>
        <v>0</v>
      </c>
      <c r="W177" s="14">
        <f>0.000001 * SUM(
  SUMIFS(
    'Resource Summary'!$O:$O,
    'Resource Summary'!$A:$A,$D177,
    'Resource Summary'!$C:$C,W$146
  )
)</f>
        <v>0</v>
      </c>
      <c r="X177" s="14">
        <f>0.000001 * SUM(
  SUMIFS(
    'Resource Summary'!$O:$O,
    'Resource Summary'!$A:$A,$D177,
    'Resource Summary'!$C:$C,X$146
  )
)</f>
        <v>0</v>
      </c>
      <c r="Y177" s="14">
        <f>0.000001 * SUM(
  SUMIFS(
    'Resource Summary'!$O:$O,
    'Resource Summary'!$A:$A,$D177,
    'Resource Summary'!$C:$C,Y$146
  )
)</f>
        <v>0</v>
      </c>
      <c r="Z177" s="14">
        <f>0.000001 * SUM(
  SUMIFS(
    'Resource Summary'!$O:$O,
    'Resource Summary'!$A:$A,$D177,
    'Resource Summary'!$C:$C,Z$146
  )
)</f>
        <v>0</v>
      </c>
      <c r="AA177" s="14">
        <f>0.000001 * SUM(
  SUMIFS(
    'Resource Summary'!$O:$O,
    'Resource Summary'!$A:$A,$D177,
    'Resource Summary'!$C:$C,AA$146
  )
)</f>
        <v>0</v>
      </c>
      <c r="AB177" s="14">
        <f>0.000001 * SUM(
  SUMIFS(
    'Resource Summary'!$O:$O,
    'Resource Summary'!$A:$A,$D177,
    'Resource Summary'!$C:$C,AB$146
  )
)</f>
        <v>0</v>
      </c>
      <c r="AC177" s="14">
        <f>0.000001 * SUM(
  SUMIFS(
    'Resource Summary'!$O:$O,
    'Resource Summary'!$A:$A,$D177,
    'Resource Summary'!$C:$C,AC$146
  )
)</f>
        <v>0</v>
      </c>
      <c r="AD177" s="14">
        <f>0.000001 * SUM(
  SUMIFS(
    'Resource Summary'!$O:$O,
    'Resource Summary'!$A:$A,$D177,
    'Resource Summary'!$C:$C,AD$146
  )
)</f>
        <v>1.4060241014392855E-14</v>
      </c>
      <c r="AH177" s="34" t="s">
        <v>422</v>
      </c>
    </row>
    <row r="178" spans="4:34" outlineLevel="2" x14ac:dyDescent="0.2">
      <c r="D178" s="8" t="s">
        <v>33</v>
      </c>
      <c r="E178" s="14">
        <f>0.000001 * SUM(
  SUMIFS(
    'Resource Summary'!$O:$O,
    'Resource Summary'!$A:$A,$D178,
    'Resource Summary'!$C:$C,E$146
  )
)</f>
        <v>0</v>
      </c>
      <c r="F178" s="14">
        <f>0.000001 * SUM(
  SUMIFS(
    'Resource Summary'!$O:$O,
    'Resource Summary'!$A:$A,$D178,
    'Resource Summary'!$C:$C,F$146
  )
)</f>
        <v>0</v>
      </c>
      <c r="G178" s="14">
        <f>0.000001 * SUM(
  SUMIFS(
    'Resource Summary'!$O:$O,
    'Resource Summary'!$A:$A,$D178,
    'Resource Summary'!$C:$C,G$146
  )
)</f>
        <v>0</v>
      </c>
      <c r="H178" s="14">
        <f>0.000001 * SUM(
  SUMIFS(
    'Resource Summary'!$O:$O,
    'Resource Summary'!$A:$A,$D178,
    'Resource Summary'!$C:$C,H$146
  )
)</f>
        <v>0</v>
      </c>
      <c r="I178" s="14">
        <f>0.000001 * SUM(
  SUMIFS(
    'Resource Summary'!$O:$O,
    'Resource Summary'!$A:$A,$D178,
    'Resource Summary'!$C:$C,I$146
  )
)</f>
        <v>0</v>
      </c>
      <c r="J178" s="14">
        <f>0.000001 * SUM(
  SUMIFS(
    'Resource Summary'!$O:$O,
    'Resource Summary'!$A:$A,$D178,
    'Resource Summary'!$C:$C,J$146
  )
)</f>
        <v>0</v>
      </c>
      <c r="K178" s="14">
        <f>0.000001 * SUM(
  SUMIFS(
    'Resource Summary'!$O:$O,
    'Resource Summary'!$A:$A,$D178,
    'Resource Summary'!$C:$C,K$146
  )
)</f>
        <v>0</v>
      </c>
      <c r="L178" s="14">
        <f>0.000001 * SUM(
  SUMIFS(
    'Resource Summary'!$O:$O,
    'Resource Summary'!$A:$A,$D178,
    'Resource Summary'!$C:$C,L$146
  )
)</f>
        <v>0</v>
      </c>
      <c r="M178" s="14">
        <f>0.000001 * SUM(
  SUMIFS(
    'Resource Summary'!$O:$O,
    'Resource Summary'!$A:$A,$D178,
    'Resource Summary'!$C:$C,M$146
  )
)</f>
        <v>0</v>
      </c>
      <c r="N178" s="14">
        <f>0.000001 * SUM(
  SUMIFS(
    'Resource Summary'!$O:$O,
    'Resource Summary'!$A:$A,$D178,
    'Resource Summary'!$C:$C,N$146
  )
)</f>
        <v>0</v>
      </c>
      <c r="O178" s="14">
        <f>0.000001 * SUM(
  SUMIFS(
    'Resource Summary'!$O:$O,
    'Resource Summary'!$A:$A,$D178,
    'Resource Summary'!$C:$C,O$146
  )
)</f>
        <v>0</v>
      </c>
      <c r="P178" s="14">
        <f>0.000001 * SUM(
  SUMIFS(
    'Resource Summary'!$O:$O,
    'Resource Summary'!$A:$A,$D178,
    'Resource Summary'!$C:$C,P$146
  )
)</f>
        <v>0</v>
      </c>
      <c r="Q178" s="14">
        <f>0.000001 * SUM(
  SUMIFS(
    'Resource Summary'!$O:$O,
    'Resource Summary'!$A:$A,$D178,
    'Resource Summary'!$C:$C,Q$146
  )
)</f>
        <v>0</v>
      </c>
      <c r="R178" s="14">
        <f>0.000001 * SUM(
  SUMIFS(
    'Resource Summary'!$O:$O,
    'Resource Summary'!$A:$A,$D178,
    'Resource Summary'!$C:$C,R$146
  )
)</f>
        <v>0</v>
      </c>
      <c r="S178" s="14">
        <f>0.000001 * SUM(
  SUMIFS(
    'Resource Summary'!$O:$O,
    'Resource Summary'!$A:$A,$D178,
    'Resource Summary'!$C:$C,S$146
  )
)</f>
        <v>0</v>
      </c>
      <c r="T178" s="14">
        <f>0.000001 * SUM(
  SUMIFS(
    'Resource Summary'!$O:$O,
    'Resource Summary'!$A:$A,$D178,
    'Resource Summary'!$C:$C,T$146
  )
)</f>
        <v>0</v>
      </c>
      <c r="U178" s="14">
        <f>0.000001 * SUM(
  SUMIFS(
    'Resource Summary'!$O:$O,
    'Resource Summary'!$A:$A,$D178,
    'Resource Summary'!$C:$C,U$146
  )
)</f>
        <v>0</v>
      </c>
      <c r="V178" s="14">
        <f>0.000001 * SUM(
  SUMIFS(
    'Resource Summary'!$O:$O,
    'Resource Summary'!$A:$A,$D178,
    'Resource Summary'!$C:$C,V$146
  )
)</f>
        <v>0</v>
      </c>
      <c r="W178" s="14">
        <f>0.000001 * SUM(
  SUMIFS(
    'Resource Summary'!$O:$O,
    'Resource Summary'!$A:$A,$D178,
    'Resource Summary'!$C:$C,W$146
  )
)</f>
        <v>0</v>
      </c>
      <c r="X178" s="14">
        <f>0.000001 * SUM(
  SUMIFS(
    'Resource Summary'!$O:$O,
    'Resource Summary'!$A:$A,$D178,
    'Resource Summary'!$C:$C,X$146
  )
)</f>
        <v>0</v>
      </c>
      <c r="Y178" s="14">
        <f>0.000001 * SUM(
  SUMIFS(
    'Resource Summary'!$O:$O,
    'Resource Summary'!$A:$A,$D178,
    'Resource Summary'!$C:$C,Y$146
  )
)</f>
        <v>0</v>
      </c>
      <c r="Z178" s="14">
        <f>0.000001 * SUM(
  SUMIFS(
    'Resource Summary'!$O:$O,
    'Resource Summary'!$A:$A,$D178,
    'Resource Summary'!$C:$C,Z$146
  )
)</f>
        <v>0</v>
      </c>
      <c r="AA178" s="14">
        <f>0.000001 * SUM(
  SUMIFS(
    'Resource Summary'!$O:$O,
    'Resource Summary'!$A:$A,$D178,
    'Resource Summary'!$C:$C,AA$146
  )
)</f>
        <v>0</v>
      </c>
      <c r="AB178" s="14">
        <f>0.000001 * SUM(
  SUMIFS(
    'Resource Summary'!$O:$O,
    'Resource Summary'!$A:$A,$D178,
    'Resource Summary'!$C:$C,AB$146
  )
)</f>
        <v>0</v>
      </c>
      <c r="AC178" s="14">
        <f>0.000001 * SUM(
  SUMIFS(
    'Resource Summary'!$O:$O,
    'Resource Summary'!$A:$A,$D178,
    'Resource Summary'!$C:$C,AC$146
  )
)</f>
        <v>0</v>
      </c>
      <c r="AD178" s="14">
        <f>0.000001 * SUM(
  SUMIFS(
    'Resource Summary'!$O:$O,
    'Resource Summary'!$A:$A,$D178,
    'Resource Summary'!$C:$C,AD$146
  )
)</f>
        <v>0</v>
      </c>
      <c r="AH178" s="34" t="s">
        <v>422</v>
      </c>
    </row>
    <row r="179" spans="4:34" outlineLevel="2" x14ac:dyDescent="0.2">
      <c r="D179" s="8" t="s">
        <v>34</v>
      </c>
      <c r="E179" s="14">
        <f>0.000001 * SUM(
  SUMIFS(
    'Resource Summary'!$O:$O,
    'Resource Summary'!$A:$A,$D179,
    'Resource Summary'!$C:$C,E$146
  )
)</f>
        <v>0</v>
      </c>
      <c r="F179" s="14">
        <f>0.000001 * SUM(
  SUMIFS(
    'Resource Summary'!$O:$O,
    'Resource Summary'!$A:$A,$D179,
    'Resource Summary'!$C:$C,F$146
  )
)</f>
        <v>0</v>
      </c>
      <c r="G179" s="14">
        <f>0.000001 * SUM(
  SUMIFS(
    'Resource Summary'!$O:$O,
    'Resource Summary'!$A:$A,$D179,
    'Resource Summary'!$C:$C,G$146
  )
)</f>
        <v>0</v>
      </c>
      <c r="H179" s="14">
        <f>0.000001 * SUM(
  SUMIFS(
    'Resource Summary'!$O:$O,
    'Resource Summary'!$A:$A,$D179,
    'Resource Summary'!$C:$C,H$146
  )
)</f>
        <v>0</v>
      </c>
      <c r="I179" s="14">
        <f>0.000001 * SUM(
  SUMIFS(
    'Resource Summary'!$O:$O,
    'Resource Summary'!$A:$A,$D179,
    'Resource Summary'!$C:$C,I$146
  )
)</f>
        <v>0</v>
      </c>
      <c r="J179" s="14">
        <f>0.000001 * SUM(
  SUMIFS(
    'Resource Summary'!$O:$O,
    'Resource Summary'!$A:$A,$D179,
    'Resource Summary'!$C:$C,J$146
  )
)</f>
        <v>0</v>
      </c>
      <c r="K179" s="14">
        <f>0.000001 * SUM(
  SUMIFS(
    'Resource Summary'!$O:$O,
    'Resource Summary'!$A:$A,$D179,
    'Resource Summary'!$C:$C,K$146
  )
)</f>
        <v>0</v>
      </c>
      <c r="L179" s="14">
        <f>0.000001 * SUM(
  SUMIFS(
    'Resource Summary'!$O:$O,
    'Resource Summary'!$A:$A,$D179,
    'Resource Summary'!$C:$C,L$146
  )
)</f>
        <v>0</v>
      </c>
      <c r="M179" s="14">
        <f>0.000001 * SUM(
  SUMIFS(
    'Resource Summary'!$O:$O,
    'Resource Summary'!$A:$A,$D179,
    'Resource Summary'!$C:$C,M$146
  )
)</f>
        <v>0</v>
      </c>
      <c r="N179" s="14">
        <f>0.000001 * SUM(
  SUMIFS(
    'Resource Summary'!$O:$O,
    'Resource Summary'!$A:$A,$D179,
    'Resource Summary'!$C:$C,N$146
  )
)</f>
        <v>0</v>
      </c>
      <c r="O179" s="14">
        <f>0.000001 * SUM(
  SUMIFS(
    'Resource Summary'!$O:$O,
    'Resource Summary'!$A:$A,$D179,
    'Resource Summary'!$C:$C,O$146
  )
)</f>
        <v>0</v>
      </c>
      <c r="P179" s="14">
        <f>0.000001 * SUM(
  SUMIFS(
    'Resource Summary'!$O:$O,
    'Resource Summary'!$A:$A,$D179,
    'Resource Summary'!$C:$C,P$146
  )
)</f>
        <v>0</v>
      </c>
      <c r="Q179" s="14">
        <f>0.000001 * SUM(
  SUMIFS(
    'Resource Summary'!$O:$O,
    'Resource Summary'!$A:$A,$D179,
    'Resource Summary'!$C:$C,Q$146
  )
)</f>
        <v>0</v>
      </c>
      <c r="R179" s="14">
        <f>0.000001 * SUM(
  SUMIFS(
    'Resource Summary'!$O:$O,
    'Resource Summary'!$A:$A,$D179,
    'Resource Summary'!$C:$C,R$146
  )
)</f>
        <v>0</v>
      </c>
      <c r="S179" s="14">
        <f>0.000001 * SUM(
  SUMIFS(
    'Resource Summary'!$O:$O,
    'Resource Summary'!$A:$A,$D179,
    'Resource Summary'!$C:$C,S$146
  )
)</f>
        <v>0</v>
      </c>
      <c r="T179" s="14">
        <f>0.000001 * SUM(
  SUMIFS(
    'Resource Summary'!$O:$O,
    'Resource Summary'!$A:$A,$D179,
    'Resource Summary'!$C:$C,T$146
  )
)</f>
        <v>0</v>
      </c>
      <c r="U179" s="14">
        <f>0.000001 * SUM(
  SUMIFS(
    'Resource Summary'!$O:$O,
    'Resource Summary'!$A:$A,$D179,
    'Resource Summary'!$C:$C,U$146
  )
)</f>
        <v>0</v>
      </c>
      <c r="V179" s="14">
        <f>0.000001 * SUM(
  SUMIFS(
    'Resource Summary'!$O:$O,
    'Resource Summary'!$A:$A,$D179,
    'Resource Summary'!$C:$C,V$146
  )
)</f>
        <v>0</v>
      </c>
      <c r="W179" s="14">
        <f>0.000001 * SUM(
  SUMIFS(
    'Resource Summary'!$O:$O,
    'Resource Summary'!$A:$A,$D179,
    'Resource Summary'!$C:$C,W$146
  )
)</f>
        <v>0</v>
      </c>
      <c r="X179" s="14">
        <f>0.000001 * SUM(
  SUMIFS(
    'Resource Summary'!$O:$O,
    'Resource Summary'!$A:$A,$D179,
    'Resource Summary'!$C:$C,X$146
  )
)</f>
        <v>0</v>
      </c>
      <c r="Y179" s="14">
        <f>0.000001 * SUM(
  SUMIFS(
    'Resource Summary'!$O:$O,
    'Resource Summary'!$A:$A,$D179,
    'Resource Summary'!$C:$C,Y$146
  )
)</f>
        <v>0</v>
      </c>
      <c r="Z179" s="14">
        <f>0.000001 * SUM(
  SUMIFS(
    'Resource Summary'!$O:$O,
    'Resource Summary'!$A:$A,$D179,
    'Resource Summary'!$C:$C,Z$146
  )
)</f>
        <v>0</v>
      </c>
      <c r="AA179" s="14">
        <f>0.000001 * SUM(
  SUMIFS(
    'Resource Summary'!$O:$O,
    'Resource Summary'!$A:$A,$D179,
    'Resource Summary'!$C:$C,AA$146
  )
)</f>
        <v>0</v>
      </c>
      <c r="AB179" s="14">
        <f>0.000001 * SUM(
  SUMIFS(
    'Resource Summary'!$O:$O,
    'Resource Summary'!$A:$A,$D179,
    'Resource Summary'!$C:$C,AB$146
  )
)</f>
        <v>0</v>
      </c>
      <c r="AC179" s="14">
        <f>0.000001 * SUM(
  SUMIFS(
    'Resource Summary'!$O:$O,
    'Resource Summary'!$A:$A,$D179,
    'Resource Summary'!$C:$C,AC$146
  )
)</f>
        <v>0</v>
      </c>
      <c r="AD179" s="14">
        <f>0.000001 * SUM(
  SUMIFS(
    'Resource Summary'!$O:$O,
    'Resource Summary'!$A:$A,$D179,
    'Resource Summary'!$C:$C,AD$146
  )
)</f>
        <v>0</v>
      </c>
      <c r="AH179" s="34" t="s">
        <v>422</v>
      </c>
    </row>
    <row r="180" spans="4:34" outlineLevel="2" x14ac:dyDescent="0.2">
      <c r="D180" s="8" t="s">
        <v>16</v>
      </c>
      <c r="E180" s="14">
        <f>0.000001 * SUM(
  SUMIFS(
    'Resource Summary'!$O:$O,
    'Resource Summary'!$A:$A,$D180,
    'Resource Summary'!$C:$C,E$146
  )
)</f>
        <v>0</v>
      </c>
      <c r="F180" s="14">
        <f>0.000001 * SUM(
  SUMIFS(
    'Resource Summary'!$O:$O,
    'Resource Summary'!$A:$A,$D180,
    'Resource Summary'!$C:$C,F$146
  )
)</f>
        <v>0</v>
      </c>
      <c r="G180" s="14">
        <f>0.000001 * SUM(
  SUMIFS(
    'Resource Summary'!$O:$O,
    'Resource Summary'!$A:$A,$D180,
    'Resource Summary'!$C:$C,G$146
  )
)</f>
        <v>0</v>
      </c>
      <c r="H180" s="14">
        <f>0.000001 * SUM(
  SUMIFS(
    'Resource Summary'!$O:$O,
    'Resource Summary'!$A:$A,$D180,
    'Resource Summary'!$C:$C,H$146
  )
)</f>
        <v>0</v>
      </c>
      <c r="I180" s="14">
        <f>0.000001 * SUM(
  SUMIFS(
    'Resource Summary'!$O:$O,
    'Resource Summary'!$A:$A,$D180,
    'Resource Summary'!$C:$C,I$146
  )
)</f>
        <v>0</v>
      </c>
      <c r="J180" s="14">
        <f>0.000001 * SUM(
  SUMIFS(
    'Resource Summary'!$O:$O,
    'Resource Summary'!$A:$A,$D180,
    'Resource Summary'!$C:$C,J$146
  )
)</f>
        <v>0</v>
      </c>
      <c r="K180" s="14">
        <f>0.000001 * SUM(
  SUMIFS(
    'Resource Summary'!$O:$O,
    'Resource Summary'!$A:$A,$D180,
    'Resource Summary'!$C:$C,K$146
  )
)</f>
        <v>0</v>
      </c>
      <c r="L180" s="14">
        <f>0.000001 * SUM(
  SUMIFS(
    'Resource Summary'!$O:$O,
    'Resource Summary'!$A:$A,$D180,
    'Resource Summary'!$C:$C,L$146
  )
)</f>
        <v>0</v>
      </c>
      <c r="M180" s="14">
        <f>0.000001 * SUM(
  SUMIFS(
    'Resource Summary'!$O:$O,
    'Resource Summary'!$A:$A,$D180,
    'Resource Summary'!$C:$C,M$146
  )
)</f>
        <v>0</v>
      </c>
      <c r="N180" s="14">
        <f>0.000001 * SUM(
  SUMIFS(
    'Resource Summary'!$O:$O,
    'Resource Summary'!$A:$A,$D180,
    'Resource Summary'!$C:$C,N$146
  )
)</f>
        <v>0</v>
      </c>
      <c r="O180" s="14">
        <f>0.000001 * SUM(
  SUMIFS(
    'Resource Summary'!$O:$O,
    'Resource Summary'!$A:$A,$D180,
    'Resource Summary'!$C:$C,O$146
  )
)</f>
        <v>0</v>
      </c>
      <c r="P180" s="14">
        <f>0.000001 * SUM(
  SUMIFS(
    'Resource Summary'!$O:$O,
    'Resource Summary'!$A:$A,$D180,
    'Resource Summary'!$C:$C,P$146
  )
)</f>
        <v>0</v>
      </c>
      <c r="Q180" s="14">
        <f>0.000001 * SUM(
  SUMIFS(
    'Resource Summary'!$O:$O,
    'Resource Summary'!$A:$A,$D180,
    'Resource Summary'!$C:$C,Q$146
  )
)</f>
        <v>0</v>
      </c>
      <c r="R180" s="14">
        <f>0.000001 * SUM(
  SUMIFS(
    'Resource Summary'!$O:$O,
    'Resource Summary'!$A:$A,$D180,
    'Resource Summary'!$C:$C,R$146
  )
)</f>
        <v>0</v>
      </c>
      <c r="S180" s="14">
        <f>0.000001 * SUM(
  SUMIFS(
    'Resource Summary'!$O:$O,
    'Resource Summary'!$A:$A,$D180,
    'Resource Summary'!$C:$C,S$146
  )
)</f>
        <v>0</v>
      </c>
      <c r="T180" s="14">
        <f>0.000001 * SUM(
  SUMIFS(
    'Resource Summary'!$O:$O,
    'Resource Summary'!$A:$A,$D180,
    'Resource Summary'!$C:$C,T$146
  )
)</f>
        <v>0</v>
      </c>
      <c r="U180" s="14">
        <f>0.000001 * SUM(
  SUMIFS(
    'Resource Summary'!$O:$O,
    'Resource Summary'!$A:$A,$D180,
    'Resource Summary'!$C:$C,U$146
  )
)</f>
        <v>0</v>
      </c>
      <c r="V180" s="14">
        <f>0.000001 * SUM(
  SUMIFS(
    'Resource Summary'!$O:$O,
    'Resource Summary'!$A:$A,$D180,
    'Resource Summary'!$C:$C,V$146
  )
)</f>
        <v>0</v>
      </c>
      <c r="W180" s="14">
        <f>0.000001 * SUM(
  SUMIFS(
    'Resource Summary'!$O:$O,
    'Resource Summary'!$A:$A,$D180,
    'Resource Summary'!$C:$C,W$146
  )
)</f>
        <v>0</v>
      </c>
      <c r="X180" s="14">
        <f>0.000001 * SUM(
  SUMIFS(
    'Resource Summary'!$O:$O,
    'Resource Summary'!$A:$A,$D180,
    'Resource Summary'!$C:$C,X$146
  )
)</f>
        <v>0</v>
      </c>
      <c r="Y180" s="14">
        <f>0.000001 * SUM(
  SUMIFS(
    'Resource Summary'!$O:$O,
    'Resource Summary'!$A:$A,$D180,
    'Resource Summary'!$C:$C,Y$146
  )
)</f>
        <v>0</v>
      </c>
      <c r="Z180" s="14">
        <f>0.000001 * SUM(
  SUMIFS(
    'Resource Summary'!$O:$O,
    'Resource Summary'!$A:$A,$D180,
    'Resource Summary'!$C:$C,Z$146
  )
)</f>
        <v>0</v>
      </c>
      <c r="AA180" s="14">
        <f>0.000001 * SUM(
  SUMIFS(
    'Resource Summary'!$O:$O,
    'Resource Summary'!$A:$A,$D180,
    'Resource Summary'!$C:$C,AA$146
  )
)</f>
        <v>0</v>
      </c>
      <c r="AB180" s="14">
        <f>0.000001 * SUM(
  SUMIFS(
    'Resource Summary'!$O:$O,
    'Resource Summary'!$A:$A,$D180,
    'Resource Summary'!$C:$C,AB$146
  )
)</f>
        <v>0</v>
      </c>
      <c r="AC180" s="14">
        <f>0.000001 * SUM(
  SUMIFS(
    'Resource Summary'!$O:$O,
    'Resource Summary'!$A:$A,$D180,
    'Resource Summary'!$C:$C,AC$146
  )
)</f>
        <v>0</v>
      </c>
      <c r="AD180" s="14">
        <f>0.000001 * SUM(
  SUMIFS(
    'Resource Summary'!$O:$O,
    'Resource Summary'!$A:$A,$D180,
    'Resource Summary'!$C:$C,AD$146
  )
)</f>
        <v>5.7277291192789805</v>
      </c>
      <c r="AH180" s="34" t="s">
        <v>422</v>
      </c>
    </row>
    <row r="181" spans="4:34" outlineLevel="2" x14ac:dyDescent="0.2">
      <c r="D181" s="8" t="s">
        <v>17</v>
      </c>
      <c r="E181" s="14">
        <f>0.000001 * SUM(
  SUMIFS(
    'Resource Summary'!$O:$O,
    'Resource Summary'!$A:$A,$D181,
    'Resource Summary'!$C:$C,E$146
  )
)</f>
        <v>0</v>
      </c>
      <c r="F181" s="14">
        <f>0.000001 * SUM(
  SUMIFS(
    'Resource Summary'!$O:$O,
    'Resource Summary'!$A:$A,$D181,
    'Resource Summary'!$C:$C,F$146
  )
)</f>
        <v>0</v>
      </c>
      <c r="G181" s="14">
        <f>0.000001 * SUM(
  SUMIFS(
    'Resource Summary'!$O:$O,
    'Resource Summary'!$A:$A,$D181,
    'Resource Summary'!$C:$C,G$146
  )
)</f>
        <v>0</v>
      </c>
      <c r="H181" s="14">
        <f>0.000001 * SUM(
  SUMIFS(
    'Resource Summary'!$O:$O,
    'Resource Summary'!$A:$A,$D181,
    'Resource Summary'!$C:$C,H$146
  )
)</f>
        <v>0</v>
      </c>
      <c r="I181" s="14">
        <f>0.000001 * SUM(
  SUMIFS(
    'Resource Summary'!$O:$O,
    'Resource Summary'!$A:$A,$D181,
    'Resource Summary'!$C:$C,I$146
  )
)</f>
        <v>0</v>
      </c>
      <c r="J181" s="14">
        <f>0.000001 * SUM(
  SUMIFS(
    'Resource Summary'!$O:$O,
    'Resource Summary'!$A:$A,$D181,
    'Resource Summary'!$C:$C,J$146
  )
)</f>
        <v>0</v>
      </c>
      <c r="K181" s="14">
        <f>0.000001 * SUM(
  SUMIFS(
    'Resource Summary'!$O:$O,
    'Resource Summary'!$A:$A,$D181,
    'Resource Summary'!$C:$C,K$146
  )
)</f>
        <v>0</v>
      </c>
      <c r="L181" s="14">
        <f>0.000001 * SUM(
  SUMIFS(
    'Resource Summary'!$O:$O,
    'Resource Summary'!$A:$A,$D181,
    'Resource Summary'!$C:$C,L$146
  )
)</f>
        <v>0</v>
      </c>
      <c r="M181" s="14">
        <f>0.000001 * SUM(
  SUMIFS(
    'Resource Summary'!$O:$O,
    'Resource Summary'!$A:$A,$D181,
    'Resource Summary'!$C:$C,M$146
  )
)</f>
        <v>0</v>
      </c>
      <c r="N181" s="14">
        <f>0.000001 * SUM(
  SUMIFS(
    'Resource Summary'!$O:$O,
    'Resource Summary'!$A:$A,$D181,
    'Resource Summary'!$C:$C,N$146
  )
)</f>
        <v>0</v>
      </c>
      <c r="O181" s="14">
        <f>0.000001 * SUM(
  SUMIFS(
    'Resource Summary'!$O:$O,
    'Resource Summary'!$A:$A,$D181,
    'Resource Summary'!$C:$C,O$146
  )
)</f>
        <v>0</v>
      </c>
      <c r="P181" s="14">
        <f>0.000001 * SUM(
  SUMIFS(
    'Resource Summary'!$O:$O,
    'Resource Summary'!$A:$A,$D181,
    'Resource Summary'!$C:$C,P$146
  )
)</f>
        <v>0</v>
      </c>
      <c r="Q181" s="14">
        <f>0.000001 * SUM(
  SUMIFS(
    'Resource Summary'!$O:$O,
    'Resource Summary'!$A:$A,$D181,
    'Resource Summary'!$C:$C,Q$146
  )
)</f>
        <v>0</v>
      </c>
      <c r="R181" s="14">
        <f>0.000001 * SUM(
  SUMIFS(
    'Resource Summary'!$O:$O,
    'Resource Summary'!$A:$A,$D181,
    'Resource Summary'!$C:$C,R$146
  )
)</f>
        <v>0</v>
      </c>
      <c r="S181" s="14">
        <f>0.000001 * SUM(
  SUMIFS(
    'Resource Summary'!$O:$O,
    'Resource Summary'!$A:$A,$D181,
    'Resource Summary'!$C:$C,S$146
  )
)</f>
        <v>0</v>
      </c>
      <c r="T181" s="14">
        <f>0.000001 * SUM(
  SUMIFS(
    'Resource Summary'!$O:$O,
    'Resource Summary'!$A:$A,$D181,
    'Resource Summary'!$C:$C,T$146
  )
)</f>
        <v>0</v>
      </c>
      <c r="U181" s="14">
        <f>0.000001 * SUM(
  SUMIFS(
    'Resource Summary'!$O:$O,
    'Resource Summary'!$A:$A,$D181,
    'Resource Summary'!$C:$C,U$146
  )
)</f>
        <v>0</v>
      </c>
      <c r="V181" s="14">
        <f>0.000001 * SUM(
  SUMIFS(
    'Resource Summary'!$O:$O,
    'Resource Summary'!$A:$A,$D181,
    'Resource Summary'!$C:$C,V$146
  )
)</f>
        <v>0</v>
      </c>
      <c r="W181" s="14">
        <f>0.000001 * SUM(
  SUMIFS(
    'Resource Summary'!$O:$O,
    'Resource Summary'!$A:$A,$D181,
    'Resource Summary'!$C:$C,W$146
  )
)</f>
        <v>0</v>
      </c>
      <c r="X181" s="14">
        <f>0.000001 * SUM(
  SUMIFS(
    'Resource Summary'!$O:$O,
    'Resource Summary'!$A:$A,$D181,
    'Resource Summary'!$C:$C,X$146
  )
)</f>
        <v>0</v>
      </c>
      <c r="Y181" s="14">
        <f>0.000001 * SUM(
  SUMIFS(
    'Resource Summary'!$O:$O,
    'Resource Summary'!$A:$A,$D181,
    'Resource Summary'!$C:$C,Y$146
  )
)</f>
        <v>0</v>
      </c>
      <c r="Z181" s="14">
        <f>0.000001 * SUM(
  SUMIFS(
    'Resource Summary'!$O:$O,
    'Resource Summary'!$A:$A,$D181,
    'Resource Summary'!$C:$C,Z$146
  )
)</f>
        <v>0</v>
      </c>
      <c r="AA181" s="14">
        <f>0.000001 * SUM(
  SUMIFS(
    'Resource Summary'!$O:$O,
    'Resource Summary'!$A:$A,$D181,
    'Resource Summary'!$C:$C,AA$146
  )
)</f>
        <v>0</v>
      </c>
      <c r="AB181" s="14">
        <f>0.000001 * SUM(
  SUMIFS(
    'Resource Summary'!$O:$O,
    'Resource Summary'!$A:$A,$D181,
    'Resource Summary'!$C:$C,AB$146
  )
)</f>
        <v>0</v>
      </c>
      <c r="AC181" s="14">
        <f>0.000001 * SUM(
  SUMIFS(
    'Resource Summary'!$O:$O,
    'Resource Summary'!$A:$A,$D181,
    'Resource Summary'!$C:$C,AC$146
  )
)</f>
        <v>0</v>
      </c>
      <c r="AD181" s="14">
        <f>0.000001 * SUM(
  SUMIFS(
    'Resource Summary'!$O:$O,
    'Resource Summary'!$A:$A,$D181,
    'Resource Summary'!$C:$C,AD$146
  )
)</f>
        <v>0</v>
      </c>
      <c r="AH181" s="34" t="s">
        <v>422</v>
      </c>
    </row>
    <row r="182" spans="4:34" outlineLevel="2" x14ac:dyDescent="0.2">
      <c r="D182" s="8" t="s">
        <v>35</v>
      </c>
      <c r="E182" s="14">
        <f>0.000001 * SUM(
  SUMIFS(
    'Resource Summary'!$O:$O,
    'Resource Summary'!$A:$A,$D182,
    'Resource Summary'!$C:$C,E$146
  )
)</f>
        <v>0</v>
      </c>
      <c r="F182" s="14">
        <f>0.000001 * SUM(
  SUMIFS(
    'Resource Summary'!$O:$O,
    'Resource Summary'!$A:$A,$D182,
    'Resource Summary'!$C:$C,F$146
  )
)</f>
        <v>0</v>
      </c>
      <c r="G182" s="14">
        <f>0.000001 * SUM(
  SUMIFS(
    'Resource Summary'!$O:$O,
    'Resource Summary'!$A:$A,$D182,
    'Resource Summary'!$C:$C,G$146
  )
)</f>
        <v>0</v>
      </c>
      <c r="H182" s="14">
        <f>0.000001 * SUM(
  SUMIFS(
    'Resource Summary'!$O:$O,
    'Resource Summary'!$A:$A,$D182,
    'Resource Summary'!$C:$C,H$146
  )
)</f>
        <v>0</v>
      </c>
      <c r="I182" s="14">
        <f>0.000001 * SUM(
  SUMIFS(
    'Resource Summary'!$O:$O,
    'Resource Summary'!$A:$A,$D182,
    'Resource Summary'!$C:$C,I$146
  )
)</f>
        <v>0</v>
      </c>
      <c r="J182" s="14">
        <f>0.000001 * SUM(
  SUMIFS(
    'Resource Summary'!$O:$O,
    'Resource Summary'!$A:$A,$D182,
    'Resource Summary'!$C:$C,J$146
  )
)</f>
        <v>0</v>
      </c>
      <c r="K182" s="14">
        <f>0.000001 * SUM(
  SUMIFS(
    'Resource Summary'!$O:$O,
    'Resource Summary'!$A:$A,$D182,
    'Resource Summary'!$C:$C,K$146
  )
)</f>
        <v>0</v>
      </c>
      <c r="L182" s="14">
        <f>0.000001 * SUM(
  SUMIFS(
    'Resource Summary'!$O:$O,
    'Resource Summary'!$A:$A,$D182,
    'Resource Summary'!$C:$C,L$146
  )
)</f>
        <v>0</v>
      </c>
      <c r="M182" s="14">
        <f>0.000001 * SUM(
  SUMIFS(
    'Resource Summary'!$O:$O,
    'Resource Summary'!$A:$A,$D182,
    'Resource Summary'!$C:$C,M$146
  )
)</f>
        <v>0</v>
      </c>
      <c r="N182" s="14">
        <f>0.000001 * SUM(
  SUMIFS(
    'Resource Summary'!$O:$O,
    'Resource Summary'!$A:$A,$D182,
    'Resource Summary'!$C:$C,N$146
  )
)</f>
        <v>0</v>
      </c>
      <c r="O182" s="14">
        <f>0.000001 * SUM(
  SUMIFS(
    'Resource Summary'!$O:$O,
    'Resource Summary'!$A:$A,$D182,
    'Resource Summary'!$C:$C,O$146
  )
)</f>
        <v>0</v>
      </c>
      <c r="P182" s="14">
        <f>0.000001 * SUM(
  SUMIFS(
    'Resource Summary'!$O:$O,
    'Resource Summary'!$A:$A,$D182,
    'Resource Summary'!$C:$C,P$146
  )
)</f>
        <v>0</v>
      </c>
      <c r="Q182" s="14">
        <f>0.000001 * SUM(
  SUMIFS(
    'Resource Summary'!$O:$O,
    'Resource Summary'!$A:$A,$D182,
    'Resource Summary'!$C:$C,Q$146
  )
)</f>
        <v>0</v>
      </c>
      <c r="R182" s="14">
        <f>0.000001 * SUM(
  SUMIFS(
    'Resource Summary'!$O:$O,
    'Resource Summary'!$A:$A,$D182,
    'Resource Summary'!$C:$C,R$146
  )
)</f>
        <v>0</v>
      </c>
      <c r="S182" s="14">
        <f>0.000001 * SUM(
  SUMIFS(
    'Resource Summary'!$O:$O,
    'Resource Summary'!$A:$A,$D182,
    'Resource Summary'!$C:$C,S$146
  )
)</f>
        <v>0</v>
      </c>
      <c r="T182" s="14">
        <f>0.000001 * SUM(
  SUMIFS(
    'Resource Summary'!$O:$O,
    'Resource Summary'!$A:$A,$D182,
    'Resource Summary'!$C:$C,T$146
  )
)</f>
        <v>0</v>
      </c>
      <c r="U182" s="14">
        <f>0.000001 * SUM(
  SUMIFS(
    'Resource Summary'!$O:$O,
    'Resource Summary'!$A:$A,$D182,
    'Resource Summary'!$C:$C,U$146
  )
)</f>
        <v>0</v>
      </c>
      <c r="V182" s="14">
        <f>0.000001 * SUM(
  SUMIFS(
    'Resource Summary'!$O:$O,
    'Resource Summary'!$A:$A,$D182,
    'Resource Summary'!$C:$C,V$146
  )
)</f>
        <v>0</v>
      </c>
      <c r="W182" s="14">
        <f>0.000001 * SUM(
  SUMIFS(
    'Resource Summary'!$O:$O,
    'Resource Summary'!$A:$A,$D182,
    'Resource Summary'!$C:$C,W$146
  )
)</f>
        <v>0</v>
      </c>
      <c r="X182" s="14">
        <f>0.000001 * SUM(
  SUMIFS(
    'Resource Summary'!$O:$O,
    'Resource Summary'!$A:$A,$D182,
    'Resource Summary'!$C:$C,X$146
  )
)</f>
        <v>0</v>
      </c>
      <c r="Y182" s="14">
        <f>0.000001 * SUM(
  SUMIFS(
    'Resource Summary'!$O:$O,
    'Resource Summary'!$A:$A,$D182,
    'Resource Summary'!$C:$C,Y$146
  )
)</f>
        <v>0</v>
      </c>
      <c r="Z182" s="14">
        <f>0.000001 * SUM(
  SUMIFS(
    'Resource Summary'!$O:$O,
    'Resource Summary'!$A:$A,$D182,
    'Resource Summary'!$C:$C,Z$146
  )
)</f>
        <v>0</v>
      </c>
      <c r="AA182" s="14">
        <f>0.000001 * SUM(
  SUMIFS(
    'Resource Summary'!$O:$O,
    'Resource Summary'!$A:$A,$D182,
    'Resource Summary'!$C:$C,AA$146
  )
)</f>
        <v>0</v>
      </c>
      <c r="AB182" s="14">
        <f>0.000001 * SUM(
  SUMIFS(
    'Resource Summary'!$O:$O,
    'Resource Summary'!$A:$A,$D182,
    'Resource Summary'!$C:$C,AB$146
  )
)</f>
        <v>0</v>
      </c>
      <c r="AC182" s="14">
        <f>0.000001 * SUM(
  SUMIFS(
    'Resource Summary'!$O:$O,
    'Resource Summary'!$A:$A,$D182,
    'Resource Summary'!$C:$C,AC$146
  )
)</f>
        <v>0</v>
      </c>
      <c r="AD182" s="14">
        <f>0.000001 * SUM(
  SUMIFS(
    'Resource Summary'!$O:$O,
    'Resource Summary'!$A:$A,$D182,
    'Resource Summary'!$C:$C,AD$146
  )
)</f>
        <v>0</v>
      </c>
      <c r="AH182" s="34" t="s">
        <v>422</v>
      </c>
    </row>
    <row r="183" spans="4:34" outlineLevel="2" x14ac:dyDescent="0.2">
      <c r="D183" s="8" t="s">
        <v>25</v>
      </c>
      <c r="E183" s="14">
        <f>0.000001 * SUM(
  SUMIFS(
    'Resource Summary'!$O:$O,
    'Resource Summary'!$A:$A,$D183,
    'Resource Summary'!$C:$C,E$146
  )
)</f>
        <v>0</v>
      </c>
      <c r="F183" s="14">
        <f>0.000001 * SUM(
  SUMIFS(
    'Resource Summary'!$O:$O,
    'Resource Summary'!$A:$A,$D183,
    'Resource Summary'!$C:$C,F$146
  )
)</f>
        <v>0</v>
      </c>
      <c r="G183" s="14">
        <f>0.000001 * SUM(
  SUMIFS(
    'Resource Summary'!$O:$O,
    'Resource Summary'!$A:$A,$D183,
    'Resource Summary'!$C:$C,G$146
  )
)</f>
        <v>0</v>
      </c>
      <c r="H183" s="14">
        <f>0.000001 * SUM(
  SUMIFS(
    'Resource Summary'!$O:$O,
    'Resource Summary'!$A:$A,$D183,
    'Resource Summary'!$C:$C,H$146
  )
)</f>
        <v>0</v>
      </c>
      <c r="I183" s="14">
        <f>0.000001 * SUM(
  SUMIFS(
    'Resource Summary'!$O:$O,
    'Resource Summary'!$A:$A,$D183,
    'Resource Summary'!$C:$C,I$146
  )
)</f>
        <v>0</v>
      </c>
      <c r="J183" s="14">
        <f>0.000001 * SUM(
  SUMIFS(
    'Resource Summary'!$O:$O,
    'Resource Summary'!$A:$A,$D183,
    'Resource Summary'!$C:$C,J$146
  )
)</f>
        <v>0</v>
      </c>
      <c r="K183" s="14">
        <f>0.000001 * SUM(
  SUMIFS(
    'Resource Summary'!$O:$O,
    'Resource Summary'!$A:$A,$D183,
    'Resource Summary'!$C:$C,K$146
  )
)</f>
        <v>0</v>
      </c>
      <c r="L183" s="14">
        <f>0.000001 * SUM(
  SUMIFS(
    'Resource Summary'!$O:$O,
    'Resource Summary'!$A:$A,$D183,
    'Resource Summary'!$C:$C,L$146
  )
)</f>
        <v>0</v>
      </c>
      <c r="M183" s="14">
        <f>0.000001 * SUM(
  SUMIFS(
    'Resource Summary'!$O:$O,
    'Resource Summary'!$A:$A,$D183,
    'Resource Summary'!$C:$C,M$146
  )
)</f>
        <v>0</v>
      </c>
      <c r="N183" s="14">
        <f>0.000001 * SUM(
  SUMIFS(
    'Resource Summary'!$O:$O,
    'Resource Summary'!$A:$A,$D183,
    'Resource Summary'!$C:$C,N$146
  )
)</f>
        <v>0</v>
      </c>
      <c r="O183" s="14">
        <f>0.000001 * SUM(
  SUMIFS(
    'Resource Summary'!$O:$O,
    'Resource Summary'!$A:$A,$D183,
    'Resource Summary'!$C:$C,O$146
  )
)</f>
        <v>0</v>
      </c>
      <c r="P183" s="14">
        <f>0.000001 * SUM(
  SUMIFS(
    'Resource Summary'!$O:$O,
    'Resource Summary'!$A:$A,$D183,
    'Resource Summary'!$C:$C,P$146
  )
)</f>
        <v>0</v>
      </c>
      <c r="Q183" s="14">
        <f>0.000001 * SUM(
  SUMIFS(
    'Resource Summary'!$O:$O,
    'Resource Summary'!$A:$A,$D183,
    'Resource Summary'!$C:$C,Q$146
  )
)</f>
        <v>0</v>
      </c>
      <c r="R183" s="14">
        <f>0.000001 * SUM(
  SUMIFS(
    'Resource Summary'!$O:$O,
    'Resource Summary'!$A:$A,$D183,
    'Resource Summary'!$C:$C,R$146
  )
)</f>
        <v>0</v>
      </c>
      <c r="S183" s="14">
        <f>0.000001 * SUM(
  SUMIFS(
    'Resource Summary'!$O:$O,
    'Resource Summary'!$A:$A,$D183,
    'Resource Summary'!$C:$C,S$146
  )
)</f>
        <v>0</v>
      </c>
      <c r="T183" s="14">
        <f>0.000001 * SUM(
  SUMIFS(
    'Resource Summary'!$O:$O,
    'Resource Summary'!$A:$A,$D183,
    'Resource Summary'!$C:$C,T$146
  )
)</f>
        <v>0</v>
      </c>
      <c r="U183" s="14">
        <f>0.000001 * SUM(
  SUMIFS(
    'Resource Summary'!$O:$O,
    'Resource Summary'!$A:$A,$D183,
    'Resource Summary'!$C:$C,U$146
  )
)</f>
        <v>0</v>
      </c>
      <c r="V183" s="14">
        <f>0.000001 * SUM(
  SUMIFS(
    'Resource Summary'!$O:$O,
    'Resource Summary'!$A:$A,$D183,
    'Resource Summary'!$C:$C,V$146
  )
)</f>
        <v>0</v>
      </c>
      <c r="W183" s="14">
        <f>0.000001 * SUM(
  SUMIFS(
    'Resource Summary'!$O:$O,
    'Resource Summary'!$A:$A,$D183,
    'Resource Summary'!$C:$C,W$146
  )
)</f>
        <v>0</v>
      </c>
      <c r="X183" s="14">
        <f>0.000001 * SUM(
  SUMIFS(
    'Resource Summary'!$O:$O,
    'Resource Summary'!$A:$A,$D183,
    'Resource Summary'!$C:$C,X$146
  )
)</f>
        <v>0</v>
      </c>
      <c r="Y183" s="14">
        <f>0.000001 * SUM(
  SUMIFS(
    'Resource Summary'!$O:$O,
    'Resource Summary'!$A:$A,$D183,
    'Resource Summary'!$C:$C,Y$146
  )
)</f>
        <v>0</v>
      </c>
      <c r="Z183" s="14">
        <f>0.000001 * SUM(
  SUMIFS(
    'Resource Summary'!$O:$O,
    'Resource Summary'!$A:$A,$D183,
    'Resource Summary'!$C:$C,Z$146
  )
)</f>
        <v>0</v>
      </c>
      <c r="AA183" s="14">
        <f>0.000001 * SUM(
  SUMIFS(
    'Resource Summary'!$O:$O,
    'Resource Summary'!$A:$A,$D183,
    'Resource Summary'!$C:$C,AA$146
  )
)</f>
        <v>0</v>
      </c>
      <c r="AB183" s="14">
        <f>0.000001 * SUM(
  SUMIFS(
    'Resource Summary'!$O:$O,
    'Resource Summary'!$A:$A,$D183,
    'Resource Summary'!$C:$C,AB$146
  )
)</f>
        <v>0</v>
      </c>
      <c r="AC183" s="14">
        <f>0.000001 * SUM(
  SUMIFS(
    'Resource Summary'!$O:$O,
    'Resource Summary'!$A:$A,$D183,
    'Resource Summary'!$C:$C,AC$146
  )
)</f>
        <v>0</v>
      </c>
      <c r="AD183" s="14">
        <f>0.000001 * SUM(
  SUMIFS(
    'Resource Summary'!$O:$O,
    'Resource Summary'!$A:$A,$D183,
    'Resource Summary'!$C:$C,AD$146
  )
)</f>
        <v>0</v>
      </c>
      <c r="AH183" s="34" t="s">
        <v>422</v>
      </c>
    </row>
    <row r="184" spans="4:34" outlineLevel="2" x14ac:dyDescent="0.2">
      <c r="D184" s="8" t="s">
        <v>49</v>
      </c>
      <c r="E184" s="14">
        <f>0.000001 * SUM(
  SUMIFS(
    'Resource Summary'!$O:$O,
    'Resource Summary'!$A:$A,$D184,
    'Resource Summary'!$C:$C,E$146
  )
)</f>
        <v>0</v>
      </c>
      <c r="F184" s="14">
        <f>0.000001 * SUM(
  SUMIFS(
    'Resource Summary'!$O:$O,
    'Resource Summary'!$A:$A,$D184,
    'Resource Summary'!$C:$C,F$146
  )
)</f>
        <v>0</v>
      </c>
      <c r="G184" s="14">
        <f>0.000001 * SUM(
  SUMIFS(
    'Resource Summary'!$O:$O,
    'Resource Summary'!$A:$A,$D184,
    'Resource Summary'!$C:$C,G$146
  )
)</f>
        <v>0</v>
      </c>
      <c r="H184" s="14">
        <f>0.000001 * SUM(
  SUMIFS(
    'Resource Summary'!$O:$O,
    'Resource Summary'!$A:$A,$D184,
    'Resource Summary'!$C:$C,H$146
  )
)</f>
        <v>0</v>
      </c>
      <c r="I184" s="14">
        <f>0.000001 * SUM(
  SUMIFS(
    'Resource Summary'!$O:$O,
    'Resource Summary'!$A:$A,$D184,
    'Resource Summary'!$C:$C,I$146
  )
)</f>
        <v>0</v>
      </c>
      <c r="J184" s="14">
        <f>0.000001 * SUM(
  SUMIFS(
    'Resource Summary'!$O:$O,
    'Resource Summary'!$A:$A,$D184,
    'Resource Summary'!$C:$C,J$146
  )
)</f>
        <v>0</v>
      </c>
      <c r="K184" s="14">
        <f>0.000001 * SUM(
  SUMIFS(
    'Resource Summary'!$O:$O,
    'Resource Summary'!$A:$A,$D184,
    'Resource Summary'!$C:$C,K$146
  )
)</f>
        <v>0</v>
      </c>
      <c r="L184" s="14">
        <f>0.000001 * SUM(
  SUMIFS(
    'Resource Summary'!$O:$O,
    'Resource Summary'!$A:$A,$D184,
    'Resource Summary'!$C:$C,L$146
  )
)</f>
        <v>0</v>
      </c>
      <c r="M184" s="14">
        <f>0.000001 * SUM(
  SUMIFS(
    'Resource Summary'!$O:$O,
    'Resource Summary'!$A:$A,$D184,
    'Resource Summary'!$C:$C,M$146
  )
)</f>
        <v>0</v>
      </c>
      <c r="N184" s="14">
        <f>0.000001 * SUM(
  SUMIFS(
    'Resource Summary'!$O:$O,
    'Resource Summary'!$A:$A,$D184,
    'Resource Summary'!$C:$C,N$146
  )
)</f>
        <v>0</v>
      </c>
      <c r="O184" s="14">
        <f>0.000001 * SUM(
  SUMIFS(
    'Resource Summary'!$O:$O,
    'Resource Summary'!$A:$A,$D184,
    'Resource Summary'!$C:$C,O$146
  )
)</f>
        <v>0</v>
      </c>
      <c r="P184" s="14">
        <f>0.000001 * SUM(
  SUMIFS(
    'Resource Summary'!$O:$O,
    'Resource Summary'!$A:$A,$D184,
    'Resource Summary'!$C:$C,P$146
  )
)</f>
        <v>0</v>
      </c>
      <c r="Q184" s="14">
        <f>0.000001 * SUM(
  SUMIFS(
    'Resource Summary'!$O:$O,
    'Resource Summary'!$A:$A,$D184,
    'Resource Summary'!$C:$C,Q$146
  )
)</f>
        <v>0</v>
      </c>
      <c r="R184" s="14">
        <f>0.000001 * SUM(
  SUMIFS(
    'Resource Summary'!$O:$O,
    'Resource Summary'!$A:$A,$D184,
    'Resource Summary'!$C:$C,R$146
  )
)</f>
        <v>0</v>
      </c>
      <c r="S184" s="14">
        <f>0.000001 * SUM(
  SUMIFS(
    'Resource Summary'!$O:$O,
    'Resource Summary'!$A:$A,$D184,
    'Resource Summary'!$C:$C,S$146
  )
)</f>
        <v>0</v>
      </c>
      <c r="T184" s="14">
        <f>0.000001 * SUM(
  SUMIFS(
    'Resource Summary'!$O:$O,
    'Resource Summary'!$A:$A,$D184,
    'Resource Summary'!$C:$C,T$146
  )
)</f>
        <v>0</v>
      </c>
      <c r="U184" s="14">
        <f>0.000001 * SUM(
  SUMIFS(
    'Resource Summary'!$O:$O,
    'Resource Summary'!$A:$A,$D184,
    'Resource Summary'!$C:$C,U$146
  )
)</f>
        <v>0</v>
      </c>
      <c r="V184" s="14">
        <f>0.000001 * SUM(
  SUMIFS(
    'Resource Summary'!$O:$O,
    'Resource Summary'!$A:$A,$D184,
    'Resource Summary'!$C:$C,V$146
  )
)</f>
        <v>0</v>
      </c>
      <c r="W184" s="14">
        <f>0.000001 * SUM(
  SUMIFS(
    'Resource Summary'!$O:$O,
    'Resource Summary'!$A:$A,$D184,
    'Resource Summary'!$C:$C,W$146
  )
)</f>
        <v>0</v>
      </c>
      <c r="X184" s="14">
        <f>0.000001 * SUM(
  SUMIFS(
    'Resource Summary'!$O:$O,
    'Resource Summary'!$A:$A,$D184,
    'Resource Summary'!$C:$C,X$146
  )
)</f>
        <v>0</v>
      </c>
      <c r="Y184" s="14">
        <f>0.000001 * SUM(
  SUMIFS(
    'Resource Summary'!$O:$O,
    'Resource Summary'!$A:$A,$D184,
    'Resource Summary'!$C:$C,Y$146
  )
)</f>
        <v>0</v>
      </c>
      <c r="Z184" s="14">
        <f>0.000001 * SUM(
  SUMIFS(
    'Resource Summary'!$O:$O,
    'Resource Summary'!$A:$A,$D184,
    'Resource Summary'!$C:$C,Z$146
  )
)</f>
        <v>0</v>
      </c>
      <c r="AA184" s="14">
        <f>0.000001 * SUM(
  SUMIFS(
    'Resource Summary'!$O:$O,
    'Resource Summary'!$A:$A,$D184,
    'Resource Summary'!$C:$C,AA$146
  )
)</f>
        <v>0</v>
      </c>
      <c r="AB184" s="14">
        <f>0.000001 * SUM(
  SUMIFS(
    'Resource Summary'!$O:$O,
    'Resource Summary'!$A:$A,$D184,
    'Resource Summary'!$C:$C,AB$146
  )
)</f>
        <v>0</v>
      </c>
      <c r="AC184" s="14">
        <f>0.000001 * SUM(
  SUMIFS(
    'Resource Summary'!$O:$O,
    'Resource Summary'!$A:$A,$D184,
    'Resource Summary'!$C:$C,AC$146
  )
)</f>
        <v>0</v>
      </c>
      <c r="AD184" s="14">
        <f>0.000001 * SUM(
  SUMIFS(
    'Resource Summary'!$O:$O,
    'Resource Summary'!$A:$A,$D184,
    'Resource Summary'!$C:$C,AD$146
  )
)</f>
        <v>0</v>
      </c>
      <c r="AH184" s="34" t="s">
        <v>422</v>
      </c>
    </row>
    <row r="185" spans="4:34" outlineLevel="2" x14ac:dyDescent="0.2">
      <c r="D185" s="8" t="s">
        <v>24</v>
      </c>
      <c r="E185" s="14">
        <f>0.000001 * SUM(
  SUMIFS(
    'Resource Summary'!$O:$O,
    'Resource Summary'!$A:$A,$D185,
    'Resource Summary'!$C:$C,E$146
  )
)</f>
        <v>0</v>
      </c>
      <c r="F185" s="14">
        <f>0.000001 * SUM(
  SUMIFS(
    'Resource Summary'!$O:$O,
    'Resource Summary'!$A:$A,$D185,
    'Resource Summary'!$C:$C,F$146
  )
)</f>
        <v>0</v>
      </c>
      <c r="G185" s="14">
        <f>0.000001 * SUM(
  SUMIFS(
    'Resource Summary'!$O:$O,
    'Resource Summary'!$A:$A,$D185,
    'Resource Summary'!$C:$C,G$146
  )
)</f>
        <v>0</v>
      </c>
      <c r="H185" s="14">
        <f>0.000001 * SUM(
  SUMIFS(
    'Resource Summary'!$O:$O,
    'Resource Summary'!$A:$A,$D185,
    'Resource Summary'!$C:$C,H$146
  )
)</f>
        <v>0</v>
      </c>
      <c r="I185" s="14">
        <f>0.000001 * SUM(
  SUMIFS(
    'Resource Summary'!$O:$O,
    'Resource Summary'!$A:$A,$D185,
    'Resource Summary'!$C:$C,I$146
  )
)</f>
        <v>0</v>
      </c>
      <c r="J185" s="14">
        <f>0.000001 * SUM(
  SUMIFS(
    'Resource Summary'!$O:$O,
    'Resource Summary'!$A:$A,$D185,
    'Resource Summary'!$C:$C,J$146
  )
)</f>
        <v>0</v>
      </c>
      <c r="K185" s="14">
        <f>0.000001 * SUM(
  SUMIFS(
    'Resource Summary'!$O:$O,
    'Resource Summary'!$A:$A,$D185,
    'Resource Summary'!$C:$C,K$146
  )
)</f>
        <v>0</v>
      </c>
      <c r="L185" s="14">
        <f>0.000001 * SUM(
  SUMIFS(
    'Resource Summary'!$O:$O,
    'Resource Summary'!$A:$A,$D185,
    'Resource Summary'!$C:$C,L$146
  )
)</f>
        <v>0</v>
      </c>
      <c r="M185" s="14">
        <f>0.000001 * SUM(
  SUMIFS(
    'Resource Summary'!$O:$O,
    'Resource Summary'!$A:$A,$D185,
    'Resource Summary'!$C:$C,M$146
  )
)</f>
        <v>0</v>
      </c>
      <c r="N185" s="14">
        <f>0.000001 * SUM(
  SUMIFS(
    'Resource Summary'!$O:$O,
    'Resource Summary'!$A:$A,$D185,
    'Resource Summary'!$C:$C,N$146
  )
)</f>
        <v>0</v>
      </c>
      <c r="O185" s="14">
        <f>0.000001 * SUM(
  SUMIFS(
    'Resource Summary'!$O:$O,
    'Resource Summary'!$A:$A,$D185,
    'Resource Summary'!$C:$C,O$146
  )
)</f>
        <v>0</v>
      </c>
      <c r="P185" s="14">
        <f>0.000001 * SUM(
  SUMIFS(
    'Resource Summary'!$O:$O,
    'Resource Summary'!$A:$A,$D185,
    'Resource Summary'!$C:$C,P$146
  )
)</f>
        <v>0</v>
      </c>
      <c r="Q185" s="14">
        <f>0.000001 * SUM(
  SUMIFS(
    'Resource Summary'!$O:$O,
    'Resource Summary'!$A:$A,$D185,
    'Resource Summary'!$C:$C,Q$146
  )
)</f>
        <v>0</v>
      </c>
      <c r="R185" s="14">
        <f>0.000001 * SUM(
  SUMIFS(
    'Resource Summary'!$O:$O,
    'Resource Summary'!$A:$A,$D185,
    'Resource Summary'!$C:$C,R$146
  )
)</f>
        <v>0</v>
      </c>
      <c r="S185" s="14">
        <f>0.000001 * SUM(
  SUMIFS(
    'Resource Summary'!$O:$O,
    'Resource Summary'!$A:$A,$D185,
    'Resource Summary'!$C:$C,S$146
  )
)</f>
        <v>0</v>
      </c>
      <c r="T185" s="14">
        <f>0.000001 * SUM(
  SUMIFS(
    'Resource Summary'!$O:$O,
    'Resource Summary'!$A:$A,$D185,
    'Resource Summary'!$C:$C,T$146
  )
)</f>
        <v>0</v>
      </c>
      <c r="U185" s="14">
        <f>0.000001 * SUM(
  SUMIFS(
    'Resource Summary'!$O:$O,
    'Resource Summary'!$A:$A,$D185,
    'Resource Summary'!$C:$C,U$146
  )
)</f>
        <v>0</v>
      </c>
      <c r="V185" s="14">
        <f>0.000001 * SUM(
  SUMIFS(
    'Resource Summary'!$O:$O,
    'Resource Summary'!$A:$A,$D185,
    'Resource Summary'!$C:$C,V$146
  )
)</f>
        <v>0</v>
      </c>
      <c r="W185" s="14">
        <f>0.000001 * SUM(
  SUMIFS(
    'Resource Summary'!$O:$O,
    'Resource Summary'!$A:$A,$D185,
    'Resource Summary'!$C:$C,W$146
  )
)</f>
        <v>0</v>
      </c>
      <c r="X185" s="14">
        <f>0.000001 * SUM(
  SUMIFS(
    'Resource Summary'!$O:$O,
    'Resource Summary'!$A:$A,$D185,
    'Resource Summary'!$C:$C,X$146
  )
)</f>
        <v>0</v>
      </c>
      <c r="Y185" s="14">
        <f>0.000001 * SUM(
  SUMIFS(
    'Resource Summary'!$O:$O,
    'Resource Summary'!$A:$A,$D185,
    'Resource Summary'!$C:$C,Y$146
  )
)</f>
        <v>0</v>
      </c>
      <c r="Z185" s="14">
        <f>0.000001 * SUM(
  SUMIFS(
    'Resource Summary'!$O:$O,
    'Resource Summary'!$A:$A,$D185,
    'Resource Summary'!$C:$C,Z$146
  )
)</f>
        <v>0</v>
      </c>
      <c r="AA185" s="14">
        <f>0.000001 * SUM(
  SUMIFS(
    'Resource Summary'!$O:$O,
    'Resource Summary'!$A:$A,$D185,
    'Resource Summary'!$C:$C,AA$146
  )
)</f>
        <v>0</v>
      </c>
      <c r="AB185" s="14">
        <f>0.000001 * SUM(
  SUMIFS(
    'Resource Summary'!$O:$O,
    'Resource Summary'!$A:$A,$D185,
    'Resource Summary'!$C:$C,AB$146
  )
)</f>
        <v>0</v>
      </c>
      <c r="AC185" s="14">
        <f>0.000001 * SUM(
  SUMIFS(
    'Resource Summary'!$O:$O,
    'Resource Summary'!$A:$A,$D185,
    'Resource Summary'!$C:$C,AC$146
  )
)</f>
        <v>0</v>
      </c>
      <c r="AD185" s="14">
        <f>0.000001 * SUM(
  SUMIFS(
    'Resource Summary'!$O:$O,
    'Resource Summary'!$A:$A,$D185,
    'Resource Summary'!$C:$C,AD$146
  )
)</f>
        <v>0</v>
      </c>
      <c r="AH185" s="34" t="s">
        <v>422</v>
      </c>
    </row>
    <row r="186" spans="4:34" ht="12.6" outlineLevel="2" thickBot="1" x14ac:dyDescent="0.25">
      <c r="D186" s="9" t="s">
        <v>163</v>
      </c>
      <c r="E186" s="13">
        <f t="shared" ref="E186:AD186" si="191">SUM(E176:E185)</f>
        <v>0</v>
      </c>
      <c r="F186" s="13">
        <f t="shared" si="191"/>
        <v>0</v>
      </c>
      <c r="G186" s="13">
        <f t="shared" si="191"/>
        <v>0</v>
      </c>
      <c r="H186" s="13">
        <f t="shared" si="191"/>
        <v>0</v>
      </c>
      <c r="I186" s="13">
        <f t="shared" si="191"/>
        <v>0</v>
      </c>
      <c r="J186" s="13">
        <f t="shared" si="191"/>
        <v>0</v>
      </c>
      <c r="K186" s="13">
        <f t="shared" si="191"/>
        <v>0</v>
      </c>
      <c r="L186" s="13">
        <f t="shared" si="191"/>
        <v>0</v>
      </c>
      <c r="M186" s="13">
        <f t="shared" si="191"/>
        <v>0</v>
      </c>
      <c r="N186" s="13">
        <f t="shared" si="191"/>
        <v>0</v>
      </c>
      <c r="O186" s="13">
        <f t="shared" si="191"/>
        <v>0</v>
      </c>
      <c r="P186" s="13">
        <f t="shared" si="191"/>
        <v>0</v>
      </c>
      <c r="Q186" s="13">
        <f t="shared" si="191"/>
        <v>0</v>
      </c>
      <c r="R186" s="13">
        <f t="shared" si="191"/>
        <v>0</v>
      </c>
      <c r="S186" s="13">
        <f t="shared" si="191"/>
        <v>0</v>
      </c>
      <c r="T186" s="13">
        <f t="shared" si="191"/>
        <v>0</v>
      </c>
      <c r="U186" s="13">
        <f t="shared" si="191"/>
        <v>0</v>
      </c>
      <c r="V186" s="13">
        <f t="shared" si="191"/>
        <v>0</v>
      </c>
      <c r="W186" s="13">
        <f t="shared" si="191"/>
        <v>0</v>
      </c>
      <c r="X186" s="13">
        <f t="shared" si="191"/>
        <v>0</v>
      </c>
      <c r="Y186" s="13">
        <f t="shared" si="191"/>
        <v>0</v>
      </c>
      <c r="Z186" s="13">
        <f t="shared" si="191"/>
        <v>0</v>
      </c>
      <c r="AA186" s="13">
        <f t="shared" si="191"/>
        <v>0</v>
      </c>
      <c r="AB186" s="13">
        <f t="shared" si="191"/>
        <v>0</v>
      </c>
      <c r="AC186" s="13">
        <f t="shared" si="191"/>
        <v>0</v>
      </c>
      <c r="AD186" s="13">
        <f t="shared" si="191"/>
        <v>14.856055766346113</v>
      </c>
      <c r="AH186" s="34" t="s">
        <v>422</v>
      </c>
    </row>
    <row r="187" spans="4:34" ht="12" outlineLevel="2" thickTop="1" x14ac:dyDescent="0.2">
      <c r="AH187" s="34" t="s">
        <v>422</v>
      </c>
    </row>
    <row r="188" spans="4:34" ht="13.2" outlineLevel="2" x14ac:dyDescent="0.2">
      <c r="E188" s="2" t="s">
        <v>299</v>
      </c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H188" s="34" t="s">
        <v>422</v>
      </c>
    </row>
    <row r="189" spans="4:34" outlineLevel="2" x14ac:dyDescent="0.2">
      <c r="E189" s="7">
        <v>43831</v>
      </c>
      <c r="F189" s="7">
        <f t="shared" ref="F189:AD189" si="192">EDATE(E189,12)</f>
        <v>44197</v>
      </c>
      <c r="G189" s="7">
        <f t="shared" si="192"/>
        <v>44562</v>
      </c>
      <c r="H189" s="7">
        <f t="shared" si="192"/>
        <v>44927</v>
      </c>
      <c r="I189" s="7">
        <f t="shared" si="192"/>
        <v>45292</v>
      </c>
      <c r="J189" s="7">
        <f t="shared" si="192"/>
        <v>45658</v>
      </c>
      <c r="K189" s="7">
        <f t="shared" si="192"/>
        <v>46023</v>
      </c>
      <c r="L189" s="7">
        <f t="shared" si="192"/>
        <v>46388</v>
      </c>
      <c r="M189" s="7">
        <f t="shared" si="192"/>
        <v>46753</v>
      </c>
      <c r="N189" s="7">
        <f t="shared" si="192"/>
        <v>47119</v>
      </c>
      <c r="O189" s="7">
        <f t="shared" si="192"/>
        <v>47484</v>
      </c>
      <c r="P189" s="7">
        <f t="shared" si="192"/>
        <v>47849</v>
      </c>
      <c r="Q189" s="7">
        <f t="shared" si="192"/>
        <v>48214</v>
      </c>
      <c r="R189" s="7">
        <f t="shared" si="192"/>
        <v>48580</v>
      </c>
      <c r="S189" s="7">
        <f t="shared" si="192"/>
        <v>48945</v>
      </c>
      <c r="T189" s="7">
        <f t="shared" si="192"/>
        <v>49310</v>
      </c>
      <c r="U189" s="7">
        <f t="shared" si="192"/>
        <v>49675</v>
      </c>
      <c r="V189" s="7">
        <f t="shared" si="192"/>
        <v>50041</v>
      </c>
      <c r="W189" s="7">
        <f t="shared" si="192"/>
        <v>50406</v>
      </c>
      <c r="X189" s="7">
        <f t="shared" si="192"/>
        <v>50771</v>
      </c>
      <c r="Y189" s="7">
        <f t="shared" si="192"/>
        <v>51136</v>
      </c>
      <c r="Z189" s="7">
        <f t="shared" si="192"/>
        <v>51502</v>
      </c>
      <c r="AA189" s="7">
        <f t="shared" si="192"/>
        <v>51867</v>
      </c>
      <c r="AB189" s="7">
        <f t="shared" si="192"/>
        <v>52232</v>
      </c>
      <c r="AC189" s="7">
        <f t="shared" si="192"/>
        <v>52597</v>
      </c>
      <c r="AD189" s="7">
        <f t="shared" si="192"/>
        <v>52963</v>
      </c>
      <c r="AH189" s="34" t="s">
        <v>422</v>
      </c>
    </row>
    <row r="190" spans="4:34" outlineLevel="2" x14ac:dyDescent="0.2">
      <c r="D190" s="8" t="s">
        <v>22</v>
      </c>
      <c r="E190" s="14">
        <f>0.000001 * SUM(
  SUMIFS(
    'Resource Fuel Burn'!$E:$E,
    'Resource Fuel Burn'!$A:$A,$D190,
    'Resource Fuel Burn'!$D:$D,E$175
  )
)</f>
        <v>0</v>
      </c>
      <c r="F190" s="14">
        <f>0.000001 * SUM(
  SUMIFS(
    'Resource Fuel Burn'!$E:$E,
    'Resource Fuel Burn'!$A:$A,$D190,
    'Resource Fuel Burn'!$D:$D,F$175
  )
)</f>
        <v>0</v>
      </c>
      <c r="G190" s="14">
        <f>0.000001 * SUM(
  SUMIFS(
    'Resource Fuel Burn'!$E:$E,
    'Resource Fuel Burn'!$A:$A,$D190,
    'Resource Fuel Burn'!$D:$D,G$175
  )
)</f>
        <v>0</v>
      </c>
      <c r="H190" s="14">
        <f>0.000001 * SUM(
  SUMIFS(
    'Resource Fuel Burn'!$E:$E,
    'Resource Fuel Burn'!$A:$A,$D190,
    'Resource Fuel Burn'!$D:$D,H$175
  )
)</f>
        <v>0</v>
      </c>
      <c r="I190" s="14">
        <f>0.000001 * SUM(
  SUMIFS(
    'Resource Fuel Burn'!$E:$E,
    'Resource Fuel Burn'!$A:$A,$D190,
    'Resource Fuel Burn'!$D:$D,I$175
  )
)</f>
        <v>0</v>
      </c>
      <c r="J190" s="14">
        <f>0.000001 * SUM(
  SUMIFS(
    'Resource Fuel Burn'!$E:$E,
    'Resource Fuel Burn'!$A:$A,$D190,
    'Resource Fuel Burn'!$D:$D,J$175
  )
)</f>
        <v>0</v>
      </c>
      <c r="K190" s="14">
        <f>0.000001 * SUM(
  SUMIFS(
    'Resource Fuel Burn'!$E:$E,
    'Resource Fuel Burn'!$A:$A,$D190,
    'Resource Fuel Burn'!$D:$D,K$175
  )
)</f>
        <v>0</v>
      </c>
      <c r="L190" s="14">
        <f>0.000001 * SUM(
  SUMIFS(
    'Resource Fuel Burn'!$E:$E,
    'Resource Fuel Burn'!$A:$A,$D190,
    'Resource Fuel Burn'!$D:$D,L$175
  )
)</f>
        <v>0</v>
      </c>
      <c r="M190" s="14">
        <f>0.000001 * SUM(
  SUMIFS(
    'Resource Fuel Burn'!$E:$E,
    'Resource Fuel Burn'!$A:$A,$D190,
    'Resource Fuel Burn'!$D:$D,M$175
  )
)</f>
        <v>0</v>
      </c>
      <c r="N190" s="14">
        <f>0.000001 * SUM(
  SUMIFS(
    'Resource Fuel Burn'!$E:$E,
    'Resource Fuel Burn'!$A:$A,$D190,
    'Resource Fuel Burn'!$D:$D,N$175
  )
)</f>
        <v>0</v>
      </c>
      <c r="O190" s="14">
        <f>0.000001 * SUM(
  SUMIFS(
    'Resource Fuel Burn'!$E:$E,
    'Resource Fuel Burn'!$A:$A,$D190,
    'Resource Fuel Burn'!$D:$D,O$175
  )
)</f>
        <v>0</v>
      </c>
      <c r="P190" s="14">
        <f>0.000001 * SUM(
  SUMIFS(
    'Resource Fuel Burn'!$E:$E,
    'Resource Fuel Burn'!$A:$A,$D190,
    'Resource Fuel Burn'!$D:$D,P$175
  )
)</f>
        <v>0</v>
      </c>
      <c r="Q190" s="14">
        <f>0.000001 * SUM(
  SUMIFS(
    'Resource Fuel Burn'!$E:$E,
    'Resource Fuel Burn'!$A:$A,$D190,
    'Resource Fuel Burn'!$D:$D,Q$175
  )
)</f>
        <v>0</v>
      </c>
      <c r="R190" s="14">
        <f>0.000001 * SUM(
  SUMIFS(
    'Resource Fuel Burn'!$E:$E,
    'Resource Fuel Burn'!$A:$A,$D190,
    'Resource Fuel Burn'!$D:$D,R$175
  )
)</f>
        <v>0</v>
      </c>
      <c r="S190" s="14">
        <f>0.000001 * SUM(
  SUMIFS(
    'Resource Fuel Burn'!$E:$E,
    'Resource Fuel Burn'!$A:$A,$D190,
    'Resource Fuel Burn'!$D:$D,S$175
  )
)</f>
        <v>0</v>
      </c>
      <c r="T190" s="14">
        <f>0.000001 * SUM(
  SUMIFS(
    'Resource Fuel Burn'!$E:$E,
    'Resource Fuel Burn'!$A:$A,$D190,
    'Resource Fuel Burn'!$D:$D,T$175
  )
)</f>
        <v>0</v>
      </c>
      <c r="U190" s="14">
        <f>0.000001 * SUM(
  SUMIFS(
    'Resource Fuel Burn'!$E:$E,
    'Resource Fuel Burn'!$A:$A,$D190,
    'Resource Fuel Burn'!$D:$D,U$175
  )
)</f>
        <v>0</v>
      </c>
      <c r="V190" s="14">
        <f>0.000001 * SUM(
  SUMIFS(
    'Resource Fuel Burn'!$E:$E,
    'Resource Fuel Burn'!$A:$A,$D190,
    'Resource Fuel Burn'!$D:$D,V$175
  )
)</f>
        <v>0</v>
      </c>
      <c r="W190" s="14">
        <f>0.000001 * SUM(
  SUMIFS(
    'Resource Fuel Burn'!$E:$E,
    'Resource Fuel Burn'!$A:$A,$D190,
    'Resource Fuel Burn'!$D:$D,W$175
  )
)</f>
        <v>0</v>
      </c>
      <c r="X190" s="14">
        <f>0.000001 * SUM(
  SUMIFS(
    'Resource Fuel Burn'!$E:$E,
    'Resource Fuel Burn'!$A:$A,$D190,
    'Resource Fuel Burn'!$D:$D,X$175
  )
)</f>
        <v>0</v>
      </c>
      <c r="Y190" s="14">
        <f>0.000001 * SUM(
  SUMIFS(
    'Resource Fuel Burn'!$E:$E,
    'Resource Fuel Burn'!$A:$A,$D190,
    'Resource Fuel Burn'!$D:$D,Y$175
  )
)</f>
        <v>0</v>
      </c>
      <c r="Z190" s="14">
        <f>0.000001 * SUM(
  SUMIFS(
    'Resource Fuel Burn'!$E:$E,
    'Resource Fuel Burn'!$A:$A,$D190,
    'Resource Fuel Burn'!$D:$D,Z$175
  )
)</f>
        <v>0</v>
      </c>
      <c r="AA190" s="14">
        <f>0.000001 * SUM(
  SUMIFS(
    'Resource Fuel Burn'!$E:$E,
    'Resource Fuel Burn'!$A:$A,$D190,
    'Resource Fuel Burn'!$D:$D,AA$175
  )
)</f>
        <v>0</v>
      </c>
      <c r="AB190" s="14">
        <f>0.000001 * SUM(
  SUMIFS(
    'Resource Fuel Burn'!$E:$E,
    'Resource Fuel Burn'!$A:$A,$D190,
    'Resource Fuel Burn'!$D:$D,AB$175
  )
)</f>
        <v>0</v>
      </c>
      <c r="AC190" s="14">
        <f>0.000001 * SUM(
  SUMIFS(
    'Resource Fuel Burn'!$E:$E,
    'Resource Fuel Burn'!$A:$A,$D190,
    'Resource Fuel Burn'!$D:$D,AC$175
  )
)</f>
        <v>0</v>
      </c>
      <c r="AD190" s="14">
        <f>0.000001 * SUM(
  SUMIFS(
    'Resource Fuel Burn'!$E:$E,
    'Resource Fuel Burn'!$A:$A,$D190,
    'Resource Fuel Burn'!$D:$D,AD$175
  )
)</f>
        <v>67.959897506550703</v>
      </c>
      <c r="AH190" s="34" t="s">
        <v>422</v>
      </c>
    </row>
    <row r="191" spans="4:34" outlineLevel="2" x14ac:dyDescent="0.2">
      <c r="D191" s="8" t="s">
        <v>23</v>
      </c>
      <c r="E191" s="14">
        <f>0.000001 * SUM(
  SUMIFS(
    'Resource Fuel Burn'!$E:$E,
    'Resource Fuel Burn'!$A:$A,$D191,
    'Resource Fuel Burn'!$D:$D,E$175
  )
)</f>
        <v>0</v>
      </c>
      <c r="F191" s="14">
        <f>0.000001 * SUM(
  SUMIFS(
    'Resource Fuel Burn'!$E:$E,
    'Resource Fuel Burn'!$A:$A,$D191,
    'Resource Fuel Burn'!$D:$D,F$175
  )
)</f>
        <v>0</v>
      </c>
      <c r="G191" s="14">
        <f>0.000001 * SUM(
  SUMIFS(
    'Resource Fuel Burn'!$E:$E,
    'Resource Fuel Burn'!$A:$A,$D191,
    'Resource Fuel Burn'!$D:$D,G$175
  )
)</f>
        <v>0</v>
      </c>
      <c r="H191" s="14">
        <f>0.000001 * SUM(
  SUMIFS(
    'Resource Fuel Burn'!$E:$E,
    'Resource Fuel Burn'!$A:$A,$D191,
    'Resource Fuel Burn'!$D:$D,H$175
  )
)</f>
        <v>0</v>
      </c>
      <c r="I191" s="14">
        <f>0.000001 * SUM(
  SUMIFS(
    'Resource Fuel Burn'!$E:$E,
    'Resource Fuel Burn'!$A:$A,$D191,
    'Resource Fuel Burn'!$D:$D,I$175
  )
)</f>
        <v>0</v>
      </c>
      <c r="J191" s="14">
        <f>0.000001 * SUM(
  SUMIFS(
    'Resource Fuel Burn'!$E:$E,
    'Resource Fuel Burn'!$A:$A,$D191,
    'Resource Fuel Burn'!$D:$D,J$175
  )
)</f>
        <v>0</v>
      </c>
      <c r="K191" s="14">
        <f>0.000001 * SUM(
  SUMIFS(
    'Resource Fuel Burn'!$E:$E,
    'Resource Fuel Burn'!$A:$A,$D191,
    'Resource Fuel Burn'!$D:$D,K$175
  )
)</f>
        <v>0</v>
      </c>
      <c r="L191" s="14">
        <f>0.000001 * SUM(
  SUMIFS(
    'Resource Fuel Burn'!$E:$E,
    'Resource Fuel Burn'!$A:$A,$D191,
    'Resource Fuel Burn'!$D:$D,L$175
  )
)</f>
        <v>0</v>
      </c>
      <c r="M191" s="14">
        <f>0.000001 * SUM(
  SUMIFS(
    'Resource Fuel Burn'!$E:$E,
    'Resource Fuel Burn'!$A:$A,$D191,
    'Resource Fuel Burn'!$D:$D,M$175
  )
)</f>
        <v>0</v>
      </c>
      <c r="N191" s="14">
        <f>0.000001 * SUM(
  SUMIFS(
    'Resource Fuel Burn'!$E:$E,
    'Resource Fuel Burn'!$A:$A,$D191,
    'Resource Fuel Burn'!$D:$D,N$175
  )
)</f>
        <v>0</v>
      </c>
      <c r="O191" s="14">
        <f>0.000001 * SUM(
  SUMIFS(
    'Resource Fuel Burn'!$E:$E,
    'Resource Fuel Burn'!$A:$A,$D191,
    'Resource Fuel Burn'!$D:$D,O$175
  )
)</f>
        <v>0</v>
      </c>
      <c r="P191" s="14">
        <f>0.000001 * SUM(
  SUMIFS(
    'Resource Fuel Burn'!$E:$E,
    'Resource Fuel Burn'!$A:$A,$D191,
    'Resource Fuel Burn'!$D:$D,P$175
  )
)</f>
        <v>0</v>
      </c>
      <c r="Q191" s="14">
        <f>0.000001 * SUM(
  SUMIFS(
    'Resource Fuel Burn'!$E:$E,
    'Resource Fuel Burn'!$A:$A,$D191,
    'Resource Fuel Burn'!$D:$D,Q$175
  )
)</f>
        <v>0</v>
      </c>
      <c r="R191" s="14">
        <f>0.000001 * SUM(
  SUMIFS(
    'Resource Fuel Burn'!$E:$E,
    'Resource Fuel Burn'!$A:$A,$D191,
    'Resource Fuel Burn'!$D:$D,R$175
  )
)</f>
        <v>0</v>
      </c>
      <c r="S191" s="14">
        <f>0.000001 * SUM(
  SUMIFS(
    'Resource Fuel Burn'!$E:$E,
    'Resource Fuel Burn'!$A:$A,$D191,
    'Resource Fuel Burn'!$D:$D,S$175
  )
)</f>
        <v>0</v>
      </c>
      <c r="T191" s="14">
        <f>0.000001 * SUM(
  SUMIFS(
    'Resource Fuel Burn'!$E:$E,
    'Resource Fuel Burn'!$A:$A,$D191,
    'Resource Fuel Burn'!$D:$D,T$175
  )
)</f>
        <v>0</v>
      </c>
      <c r="U191" s="14">
        <f>0.000001 * SUM(
  SUMIFS(
    'Resource Fuel Burn'!$E:$E,
    'Resource Fuel Burn'!$A:$A,$D191,
    'Resource Fuel Burn'!$D:$D,U$175
  )
)</f>
        <v>0</v>
      </c>
      <c r="V191" s="14">
        <f>0.000001 * SUM(
  SUMIFS(
    'Resource Fuel Burn'!$E:$E,
    'Resource Fuel Burn'!$A:$A,$D191,
    'Resource Fuel Burn'!$D:$D,V$175
  )
)</f>
        <v>0</v>
      </c>
      <c r="W191" s="14">
        <f>0.000001 * SUM(
  SUMIFS(
    'Resource Fuel Burn'!$E:$E,
    'Resource Fuel Burn'!$A:$A,$D191,
    'Resource Fuel Burn'!$D:$D,W$175
  )
)</f>
        <v>0</v>
      </c>
      <c r="X191" s="14">
        <f>0.000001 * SUM(
  SUMIFS(
    'Resource Fuel Burn'!$E:$E,
    'Resource Fuel Burn'!$A:$A,$D191,
    'Resource Fuel Burn'!$D:$D,X$175
  )
)</f>
        <v>0</v>
      </c>
      <c r="Y191" s="14">
        <f>0.000001 * SUM(
  SUMIFS(
    'Resource Fuel Burn'!$E:$E,
    'Resource Fuel Burn'!$A:$A,$D191,
    'Resource Fuel Burn'!$D:$D,Y$175
  )
)</f>
        <v>0</v>
      </c>
      <c r="Z191" s="14">
        <f>0.000001 * SUM(
  SUMIFS(
    'Resource Fuel Burn'!$E:$E,
    'Resource Fuel Burn'!$A:$A,$D191,
    'Resource Fuel Burn'!$D:$D,Z$175
  )
)</f>
        <v>0</v>
      </c>
      <c r="AA191" s="14">
        <f>0.000001 * SUM(
  SUMIFS(
    'Resource Fuel Burn'!$E:$E,
    'Resource Fuel Burn'!$A:$A,$D191,
    'Resource Fuel Burn'!$D:$D,AA$175
  )
)</f>
        <v>0</v>
      </c>
      <c r="AB191" s="14">
        <f>0.000001 * SUM(
  SUMIFS(
    'Resource Fuel Burn'!$E:$E,
    'Resource Fuel Burn'!$A:$A,$D191,
    'Resource Fuel Burn'!$D:$D,AB$175
  )
)</f>
        <v>0</v>
      </c>
      <c r="AC191" s="14">
        <f>0.000001 * SUM(
  SUMIFS(
    'Resource Fuel Burn'!$E:$E,
    'Resource Fuel Burn'!$A:$A,$D191,
    'Resource Fuel Burn'!$D:$D,AC$175
  )
)</f>
        <v>0</v>
      </c>
      <c r="AD191" s="14">
        <f>0.000001 * SUM(
  SUMIFS(
    'Resource Fuel Burn'!$E:$E,
    'Resource Fuel Burn'!$A:$A,$D191,
    'Resource Fuel Burn'!$D:$D,AD$175
  )
)</f>
        <v>0</v>
      </c>
      <c r="AH191" s="34" t="s">
        <v>422</v>
      </c>
    </row>
    <row r="192" spans="4:34" outlineLevel="2" x14ac:dyDescent="0.2">
      <c r="D192" s="8" t="s">
        <v>33</v>
      </c>
      <c r="E192" s="14">
        <f>0.000001 * SUM(
  SUMIFS(
    'Resource Fuel Burn'!$E:$E,
    'Resource Fuel Burn'!$A:$A,$D192,
    'Resource Fuel Burn'!$D:$D,E$175
  )
)</f>
        <v>0</v>
      </c>
      <c r="F192" s="14">
        <f>0.000001 * SUM(
  SUMIFS(
    'Resource Fuel Burn'!$E:$E,
    'Resource Fuel Burn'!$A:$A,$D192,
    'Resource Fuel Burn'!$D:$D,F$175
  )
)</f>
        <v>0</v>
      </c>
      <c r="G192" s="14">
        <f>0.000001 * SUM(
  SUMIFS(
    'Resource Fuel Burn'!$E:$E,
    'Resource Fuel Burn'!$A:$A,$D192,
    'Resource Fuel Burn'!$D:$D,G$175
  )
)</f>
        <v>0</v>
      </c>
      <c r="H192" s="14">
        <f>0.000001 * SUM(
  SUMIFS(
    'Resource Fuel Burn'!$E:$E,
    'Resource Fuel Burn'!$A:$A,$D192,
    'Resource Fuel Burn'!$D:$D,H$175
  )
)</f>
        <v>0</v>
      </c>
      <c r="I192" s="14">
        <f>0.000001 * SUM(
  SUMIFS(
    'Resource Fuel Burn'!$E:$E,
    'Resource Fuel Burn'!$A:$A,$D192,
    'Resource Fuel Burn'!$D:$D,I$175
  )
)</f>
        <v>0</v>
      </c>
      <c r="J192" s="14">
        <f>0.000001 * SUM(
  SUMIFS(
    'Resource Fuel Burn'!$E:$E,
    'Resource Fuel Burn'!$A:$A,$D192,
    'Resource Fuel Burn'!$D:$D,J$175
  )
)</f>
        <v>0</v>
      </c>
      <c r="K192" s="14">
        <f>0.000001 * SUM(
  SUMIFS(
    'Resource Fuel Burn'!$E:$E,
    'Resource Fuel Burn'!$A:$A,$D192,
    'Resource Fuel Burn'!$D:$D,K$175
  )
)</f>
        <v>0</v>
      </c>
      <c r="L192" s="14">
        <f>0.000001 * SUM(
  SUMIFS(
    'Resource Fuel Burn'!$E:$E,
    'Resource Fuel Burn'!$A:$A,$D192,
    'Resource Fuel Burn'!$D:$D,L$175
  )
)</f>
        <v>0</v>
      </c>
      <c r="M192" s="14">
        <f>0.000001 * SUM(
  SUMIFS(
    'Resource Fuel Burn'!$E:$E,
    'Resource Fuel Burn'!$A:$A,$D192,
    'Resource Fuel Burn'!$D:$D,M$175
  )
)</f>
        <v>0</v>
      </c>
      <c r="N192" s="14">
        <f>0.000001 * SUM(
  SUMIFS(
    'Resource Fuel Burn'!$E:$E,
    'Resource Fuel Burn'!$A:$A,$D192,
    'Resource Fuel Burn'!$D:$D,N$175
  )
)</f>
        <v>0</v>
      </c>
      <c r="O192" s="14">
        <f>0.000001 * SUM(
  SUMIFS(
    'Resource Fuel Burn'!$E:$E,
    'Resource Fuel Burn'!$A:$A,$D192,
    'Resource Fuel Burn'!$D:$D,O$175
  )
)</f>
        <v>0</v>
      </c>
      <c r="P192" s="14">
        <f>0.000001 * SUM(
  SUMIFS(
    'Resource Fuel Burn'!$E:$E,
    'Resource Fuel Burn'!$A:$A,$D192,
    'Resource Fuel Burn'!$D:$D,P$175
  )
)</f>
        <v>0</v>
      </c>
      <c r="Q192" s="14">
        <f>0.000001 * SUM(
  SUMIFS(
    'Resource Fuel Burn'!$E:$E,
    'Resource Fuel Burn'!$A:$A,$D192,
    'Resource Fuel Burn'!$D:$D,Q$175
  )
)</f>
        <v>0</v>
      </c>
      <c r="R192" s="14">
        <f>0.000001 * SUM(
  SUMIFS(
    'Resource Fuel Burn'!$E:$E,
    'Resource Fuel Burn'!$A:$A,$D192,
    'Resource Fuel Burn'!$D:$D,R$175
  )
)</f>
        <v>0</v>
      </c>
      <c r="S192" s="14">
        <f>0.000001 * SUM(
  SUMIFS(
    'Resource Fuel Burn'!$E:$E,
    'Resource Fuel Burn'!$A:$A,$D192,
    'Resource Fuel Burn'!$D:$D,S$175
  )
)</f>
        <v>0</v>
      </c>
      <c r="T192" s="14">
        <f>0.000001 * SUM(
  SUMIFS(
    'Resource Fuel Burn'!$E:$E,
    'Resource Fuel Burn'!$A:$A,$D192,
    'Resource Fuel Burn'!$D:$D,T$175
  )
)</f>
        <v>0</v>
      </c>
      <c r="U192" s="14">
        <f>0.000001 * SUM(
  SUMIFS(
    'Resource Fuel Burn'!$E:$E,
    'Resource Fuel Burn'!$A:$A,$D192,
    'Resource Fuel Burn'!$D:$D,U$175
  )
)</f>
        <v>0</v>
      </c>
      <c r="V192" s="14">
        <f>0.000001 * SUM(
  SUMIFS(
    'Resource Fuel Burn'!$E:$E,
    'Resource Fuel Burn'!$A:$A,$D192,
    'Resource Fuel Burn'!$D:$D,V$175
  )
)</f>
        <v>0</v>
      </c>
      <c r="W192" s="14">
        <f>0.000001 * SUM(
  SUMIFS(
    'Resource Fuel Burn'!$E:$E,
    'Resource Fuel Burn'!$A:$A,$D192,
    'Resource Fuel Burn'!$D:$D,W$175
  )
)</f>
        <v>0</v>
      </c>
      <c r="X192" s="14">
        <f>0.000001 * SUM(
  SUMIFS(
    'Resource Fuel Burn'!$E:$E,
    'Resource Fuel Burn'!$A:$A,$D192,
    'Resource Fuel Burn'!$D:$D,X$175
  )
)</f>
        <v>0</v>
      </c>
      <c r="Y192" s="14">
        <f>0.000001 * SUM(
  SUMIFS(
    'Resource Fuel Burn'!$E:$E,
    'Resource Fuel Burn'!$A:$A,$D192,
    'Resource Fuel Burn'!$D:$D,Y$175
  )
)</f>
        <v>0</v>
      </c>
      <c r="Z192" s="14">
        <f>0.000001 * SUM(
  SUMIFS(
    'Resource Fuel Burn'!$E:$E,
    'Resource Fuel Burn'!$A:$A,$D192,
    'Resource Fuel Burn'!$D:$D,Z$175
  )
)</f>
        <v>0</v>
      </c>
      <c r="AA192" s="14">
        <f>0.000001 * SUM(
  SUMIFS(
    'Resource Fuel Burn'!$E:$E,
    'Resource Fuel Burn'!$A:$A,$D192,
    'Resource Fuel Burn'!$D:$D,AA$175
  )
)</f>
        <v>0</v>
      </c>
      <c r="AB192" s="14">
        <f>0.000001 * SUM(
  SUMIFS(
    'Resource Fuel Burn'!$E:$E,
    'Resource Fuel Burn'!$A:$A,$D192,
    'Resource Fuel Burn'!$D:$D,AB$175
  )
)</f>
        <v>0</v>
      </c>
      <c r="AC192" s="14">
        <f>0.000001 * SUM(
  SUMIFS(
    'Resource Fuel Burn'!$E:$E,
    'Resource Fuel Burn'!$A:$A,$D192,
    'Resource Fuel Burn'!$D:$D,AC$175
  )
)</f>
        <v>0</v>
      </c>
      <c r="AD192" s="14">
        <f>0.000001 * SUM(
  SUMIFS(
    'Resource Fuel Burn'!$E:$E,
    'Resource Fuel Burn'!$A:$A,$D192,
    'Resource Fuel Burn'!$D:$D,AD$175
  )
)</f>
        <v>0</v>
      </c>
      <c r="AH192" s="34" t="s">
        <v>422</v>
      </c>
    </row>
    <row r="193" spans="4:34" outlineLevel="2" x14ac:dyDescent="0.2">
      <c r="D193" s="8" t="s">
        <v>34</v>
      </c>
      <c r="E193" s="14">
        <f>0.000001 * SUM(
  SUMIFS(
    'Resource Fuel Burn'!$E:$E,
    'Resource Fuel Burn'!$A:$A,$D193,
    'Resource Fuel Burn'!$D:$D,E$175
  )
)</f>
        <v>0</v>
      </c>
      <c r="F193" s="14">
        <f>0.000001 * SUM(
  SUMIFS(
    'Resource Fuel Burn'!$E:$E,
    'Resource Fuel Burn'!$A:$A,$D193,
    'Resource Fuel Burn'!$D:$D,F$175
  )
)</f>
        <v>0</v>
      </c>
      <c r="G193" s="14">
        <f>0.000001 * SUM(
  SUMIFS(
    'Resource Fuel Burn'!$E:$E,
    'Resource Fuel Burn'!$A:$A,$D193,
    'Resource Fuel Burn'!$D:$D,G$175
  )
)</f>
        <v>0</v>
      </c>
      <c r="H193" s="14">
        <f>0.000001 * SUM(
  SUMIFS(
    'Resource Fuel Burn'!$E:$E,
    'Resource Fuel Burn'!$A:$A,$D193,
    'Resource Fuel Burn'!$D:$D,H$175
  )
)</f>
        <v>0</v>
      </c>
      <c r="I193" s="14">
        <f>0.000001 * SUM(
  SUMIFS(
    'Resource Fuel Burn'!$E:$E,
    'Resource Fuel Burn'!$A:$A,$D193,
    'Resource Fuel Burn'!$D:$D,I$175
  )
)</f>
        <v>0</v>
      </c>
      <c r="J193" s="14">
        <f>0.000001 * SUM(
  SUMIFS(
    'Resource Fuel Burn'!$E:$E,
    'Resource Fuel Burn'!$A:$A,$D193,
    'Resource Fuel Burn'!$D:$D,J$175
  )
)</f>
        <v>0</v>
      </c>
      <c r="K193" s="14">
        <f>0.000001 * SUM(
  SUMIFS(
    'Resource Fuel Burn'!$E:$E,
    'Resource Fuel Burn'!$A:$A,$D193,
    'Resource Fuel Burn'!$D:$D,K$175
  )
)</f>
        <v>0</v>
      </c>
      <c r="L193" s="14">
        <f>0.000001 * SUM(
  SUMIFS(
    'Resource Fuel Burn'!$E:$E,
    'Resource Fuel Burn'!$A:$A,$D193,
    'Resource Fuel Burn'!$D:$D,L$175
  )
)</f>
        <v>0</v>
      </c>
      <c r="M193" s="14">
        <f>0.000001 * SUM(
  SUMIFS(
    'Resource Fuel Burn'!$E:$E,
    'Resource Fuel Burn'!$A:$A,$D193,
    'Resource Fuel Burn'!$D:$D,M$175
  )
)</f>
        <v>0</v>
      </c>
      <c r="N193" s="14">
        <f>0.000001 * SUM(
  SUMIFS(
    'Resource Fuel Burn'!$E:$E,
    'Resource Fuel Burn'!$A:$A,$D193,
    'Resource Fuel Burn'!$D:$D,N$175
  )
)</f>
        <v>0</v>
      </c>
      <c r="O193" s="14">
        <f>0.000001 * SUM(
  SUMIFS(
    'Resource Fuel Burn'!$E:$E,
    'Resource Fuel Burn'!$A:$A,$D193,
    'Resource Fuel Burn'!$D:$D,O$175
  )
)</f>
        <v>0</v>
      </c>
      <c r="P193" s="14">
        <f>0.000001 * SUM(
  SUMIFS(
    'Resource Fuel Burn'!$E:$E,
    'Resource Fuel Burn'!$A:$A,$D193,
    'Resource Fuel Burn'!$D:$D,P$175
  )
)</f>
        <v>0</v>
      </c>
      <c r="Q193" s="14">
        <f>0.000001 * SUM(
  SUMIFS(
    'Resource Fuel Burn'!$E:$E,
    'Resource Fuel Burn'!$A:$A,$D193,
    'Resource Fuel Burn'!$D:$D,Q$175
  )
)</f>
        <v>0</v>
      </c>
      <c r="R193" s="14">
        <f>0.000001 * SUM(
  SUMIFS(
    'Resource Fuel Burn'!$E:$E,
    'Resource Fuel Burn'!$A:$A,$D193,
    'Resource Fuel Burn'!$D:$D,R$175
  )
)</f>
        <v>0</v>
      </c>
      <c r="S193" s="14">
        <f>0.000001 * SUM(
  SUMIFS(
    'Resource Fuel Burn'!$E:$E,
    'Resource Fuel Burn'!$A:$A,$D193,
    'Resource Fuel Burn'!$D:$D,S$175
  )
)</f>
        <v>0</v>
      </c>
      <c r="T193" s="14">
        <f>0.000001 * SUM(
  SUMIFS(
    'Resource Fuel Burn'!$E:$E,
    'Resource Fuel Burn'!$A:$A,$D193,
    'Resource Fuel Burn'!$D:$D,T$175
  )
)</f>
        <v>0</v>
      </c>
      <c r="U193" s="14">
        <f>0.000001 * SUM(
  SUMIFS(
    'Resource Fuel Burn'!$E:$E,
    'Resource Fuel Burn'!$A:$A,$D193,
    'Resource Fuel Burn'!$D:$D,U$175
  )
)</f>
        <v>0</v>
      </c>
      <c r="V193" s="14">
        <f>0.000001 * SUM(
  SUMIFS(
    'Resource Fuel Burn'!$E:$E,
    'Resource Fuel Burn'!$A:$A,$D193,
    'Resource Fuel Burn'!$D:$D,V$175
  )
)</f>
        <v>0</v>
      </c>
      <c r="W193" s="14">
        <f>0.000001 * SUM(
  SUMIFS(
    'Resource Fuel Burn'!$E:$E,
    'Resource Fuel Burn'!$A:$A,$D193,
    'Resource Fuel Burn'!$D:$D,W$175
  )
)</f>
        <v>0</v>
      </c>
      <c r="X193" s="14">
        <f>0.000001 * SUM(
  SUMIFS(
    'Resource Fuel Burn'!$E:$E,
    'Resource Fuel Burn'!$A:$A,$D193,
    'Resource Fuel Burn'!$D:$D,X$175
  )
)</f>
        <v>0</v>
      </c>
      <c r="Y193" s="14">
        <f>0.000001 * SUM(
  SUMIFS(
    'Resource Fuel Burn'!$E:$E,
    'Resource Fuel Burn'!$A:$A,$D193,
    'Resource Fuel Burn'!$D:$D,Y$175
  )
)</f>
        <v>0</v>
      </c>
      <c r="Z193" s="14">
        <f>0.000001 * SUM(
  SUMIFS(
    'Resource Fuel Burn'!$E:$E,
    'Resource Fuel Burn'!$A:$A,$D193,
    'Resource Fuel Burn'!$D:$D,Z$175
  )
)</f>
        <v>0</v>
      </c>
      <c r="AA193" s="14">
        <f>0.000001 * SUM(
  SUMIFS(
    'Resource Fuel Burn'!$E:$E,
    'Resource Fuel Burn'!$A:$A,$D193,
    'Resource Fuel Burn'!$D:$D,AA$175
  )
)</f>
        <v>0</v>
      </c>
      <c r="AB193" s="14">
        <f>0.000001 * SUM(
  SUMIFS(
    'Resource Fuel Burn'!$E:$E,
    'Resource Fuel Burn'!$A:$A,$D193,
    'Resource Fuel Burn'!$D:$D,AB$175
  )
)</f>
        <v>0</v>
      </c>
      <c r="AC193" s="14">
        <f>0.000001 * SUM(
  SUMIFS(
    'Resource Fuel Burn'!$E:$E,
    'Resource Fuel Burn'!$A:$A,$D193,
    'Resource Fuel Burn'!$D:$D,AC$175
  )
)</f>
        <v>0</v>
      </c>
      <c r="AD193" s="14">
        <f>0.000001 * SUM(
  SUMIFS(
    'Resource Fuel Burn'!$E:$E,
    'Resource Fuel Burn'!$A:$A,$D193,
    'Resource Fuel Burn'!$D:$D,AD$175
  )
)</f>
        <v>0</v>
      </c>
      <c r="AH193" s="34" t="s">
        <v>422</v>
      </c>
    </row>
    <row r="194" spans="4:34" outlineLevel="2" x14ac:dyDescent="0.2">
      <c r="D194" s="8" t="s">
        <v>16</v>
      </c>
      <c r="E194" s="14">
        <f>0.000001 * SUM(
  SUMIFS(
    'Resource Fuel Burn'!$E:$E,
    'Resource Fuel Burn'!$A:$A,$D194,
    'Resource Fuel Burn'!$D:$D,E$175
  )
)</f>
        <v>0</v>
      </c>
      <c r="F194" s="14">
        <f>0.000001 * SUM(
  SUMIFS(
    'Resource Fuel Burn'!$E:$E,
    'Resource Fuel Burn'!$A:$A,$D194,
    'Resource Fuel Burn'!$D:$D,F$175
  )
)</f>
        <v>0</v>
      </c>
      <c r="G194" s="14">
        <f>0.000001 * SUM(
  SUMIFS(
    'Resource Fuel Burn'!$E:$E,
    'Resource Fuel Burn'!$A:$A,$D194,
    'Resource Fuel Burn'!$D:$D,G$175
  )
)</f>
        <v>0</v>
      </c>
      <c r="H194" s="14">
        <f>0.000001 * SUM(
  SUMIFS(
    'Resource Fuel Burn'!$E:$E,
    'Resource Fuel Burn'!$A:$A,$D194,
    'Resource Fuel Burn'!$D:$D,H$175
  )
)</f>
        <v>0</v>
      </c>
      <c r="I194" s="14">
        <f>0.000001 * SUM(
  SUMIFS(
    'Resource Fuel Burn'!$E:$E,
    'Resource Fuel Burn'!$A:$A,$D194,
    'Resource Fuel Burn'!$D:$D,I$175
  )
)</f>
        <v>0</v>
      </c>
      <c r="J194" s="14">
        <f>0.000001 * SUM(
  SUMIFS(
    'Resource Fuel Burn'!$E:$E,
    'Resource Fuel Burn'!$A:$A,$D194,
    'Resource Fuel Burn'!$D:$D,J$175
  )
)</f>
        <v>0</v>
      </c>
      <c r="K194" s="14">
        <f>0.000001 * SUM(
  SUMIFS(
    'Resource Fuel Burn'!$E:$E,
    'Resource Fuel Burn'!$A:$A,$D194,
    'Resource Fuel Burn'!$D:$D,K$175
  )
)</f>
        <v>0</v>
      </c>
      <c r="L194" s="14">
        <f>0.000001 * SUM(
  SUMIFS(
    'Resource Fuel Burn'!$E:$E,
    'Resource Fuel Burn'!$A:$A,$D194,
    'Resource Fuel Burn'!$D:$D,L$175
  )
)</f>
        <v>0</v>
      </c>
      <c r="M194" s="14">
        <f>0.000001 * SUM(
  SUMIFS(
    'Resource Fuel Burn'!$E:$E,
    'Resource Fuel Burn'!$A:$A,$D194,
    'Resource Fuel Burn'!$D:$D,M$175
  )
)</f>
        <v>0</v>
      </c>
      <c r="N194" s="14">
        <f>0.000001 * SUM(
  SUMIFS(
    'Resource Fuel Burn'!$E:$E,
    'Resource Fuel Burn'!$A:$A,$D194,
    'Resource Fuel Burn'!$D:$D,N$175
  )
)</f>
        <v>0</v>
      </c>
      <c r="O194" s="14">
        <f>0.000001 * SUM(
  SUMIFS(
    'Resource Fuel Burn'!$E:$E,
    'Resource Fuel Burn'!$A:$A,$D194,
    'Resource Fuel Burn'!$D:$D,O$175
  )
)</f>
        <v>0</v>
      </c>
      <c r="P194" s="14">
        <f>0.000001 * SUM(
  SUMIFS(
    'Resource Fuel Burn'!$E:$E,
    'Resource Fuel Burn'!$A:$A,$D194,
    'Resource Fuel Burn'!$D:$D,P$175
  )
)</f>
        <v>0</v>
      </c>
      <c r="Q194" s="14">
        <f>0.000001 * SUM(
  SUMIFS(
    'Resource Fuel Burn'!$E:$E,
    'Resource Fuel Burn'!$A:$A,$D194,
    'Resource Fuel Burn'!$D:$D,Q$175
  )
)</f>
        <v>0</v>
      </c>
      <c r="R194" s="14">
        <f>0.000001 * SUM(
  SUMIFS(
    'Resource Fuel Burn'!$E:$E,
    'Resource Fuel Burn'!$A:$A,$D194,
    'Resource Fuel Burn'!$D:$D,R$175
  )
)</f>
        <v>0</v>
      </c>
      <c r="S194" s="14">
        <f>0.000001 * SUM(
  SUMIFS(
    'Resource Fuel Burn'!$E:$E,
    'Resource Fuel Burn'!$A:$A,$D194,
    'Resource Fuel Burn'!$D:$D,S$175
  )
)</f>
        <v>0</v>
      </c>
      <c r="T194" s="14">
        <f>0.000001 * SUM(
  SUMIFS(
    'Resource Fuel Burn'!$E:$E,
    'Resource Fuel Burn'!$A:$A,$D194,
    'Resource Fuel Burn'!$D:$D,T$175
  )
)</f>
        <v>0</v>
      </c>
      <c r="U194" s="14">
        <f>0.000001 * SUM(
  SUMIFS(
    'Resource Fuel Burn'!$E:$E,
    'Resource Fuel Burn'!$A:$A,$D194,
    'Resource Fuel Burn'!$D:$D,U$175
  )
)</f>
        <v>0</v>
      </c>
      <c r="V194" s="14">
        <f>0.000001 * SUM(
  SUMIFS(
    'Resource Fuel Burn'!$E:$E,
    'Resource Fuel Burn'!$A:$A,$D194,
    'Resource Fuel Burn'!$D:$D,V$175
  )
)</f>
        <v>0</v>
      </c>
      <c r="W194" s="14">
        <f>0.000001 * SUM(
  SUMIFS(
    'Resource Fuel Burn'!$E:$E,
    'Resource Fuel Burn'!$A:$A,$D194,
    'Resource Fuel Burn'!$D:$D,W$175
  )
)</f>
        <v>0</v>
      </c>
      <c r="X194" s="14">
        <f>0.000001 * SUM(
  SUMIFS(
    'Resource Fuel Burn'!$E:$E,
    'Resource Fuel Burn'!$A:$A,$D194,
    'Resource Fuel Burn'!$D:$D,X$175
  )
)</f>
        <v>0</v>
      </c>
      <c r="Y194" s="14">
        <f>0.000001 * SUM(
  SUMIFS(
    'Resource Fuel Burn'!$E:$E,
    'Resource Fuel Burn'!$A:$A,$D194,
    'Resource Fuel Burn'!$D:$D,Y$175
  )
)</f>
        <v>0</v>
      </c>
      <c r="Z194" s="14">
        <f>0.000001 * SUM(
  SUMIFS(
    'Resource Fuel Burn'!$E:$E,
    'Resource Fuel Burn'!$A:$A,$D194,
    'Resource Fuel Burn'!$D:$D,Z$175
  )
)</f>
        <v>0</v>
      </c>
      <c r="AA194" s="14">
        <f>0.000001 * SUM(
  SUMIFS(
    'Resource Fuel Burn'!$E:$E,
    'Resource Fuel Burn'!$A:$A,$D194,
    'Resource Fuel Burn'!$D:$D,AA$175
  )
)</f>
        <v>0</v>
      </c>
      <c r="AB194" s="14">
        <f>0.000001 * SUM(
  SUMIFS(
    'Resource Fuel Burn'!$E:$E,
    'Resource Fuel Burn'!$A:$A,$D194,
    'Resource Fuel Burn'!$D:$D,AB$175
  )
)</f>
        <v>0</v>
      </c>
      <c r="AC194" s="14">
        <f>0.000001 * SUM(
  SUMIFS(
    'Resource Fuel Burn'!$E:$E,
    'Resource Fuel Burn'!$A:$A,$D194,
    'Resource Fuel Burn'!$D:$D,AC$175
  )
)</f>
        <v>0</v>
      </c>
      <c r="AD194" s="14">
        <f>0.000001 * SUM(
  SUMIFS(
    'Resource Fuel Burn'!$E:$E,
    'Resource Fuel Burn'!$A:$A,$D194,
    'Resource Fuel Burn'!$D:$D,AD$175
  )
)</f>
        <v>41.272242588452059</v>
      </c>
      <c r="AH194" s="34" t="s">
        <v>422</v>
      </c>
    </row>
    <row r="195" spans="4:34" outlineLevel="2" x14ac:dyDescent="0.2">
      <c r="D195" s="8" t="s">
        <v>17</v>
      </c>
      <c r="E195" s="14">
        <f>0.000001 * SUM(
  SUMIFS(
    'Resource Fuel Burn'!$E:$E,
    'Resource Fuel Burn'!$A:$A,$D195,
    'Resource Fuel Burn'!$D:$D,E$175
  )
)</f>
        <v>0</v>
      </c>
      <c r="F195" s="14">
        <f>0.000001 * SUM(
  SUMIFS(
    'Resource Fuel Burn'!$E:$E,
    'Resource Fuel Burn'!$A:$A,$D195,
    'Resource Fuel Burn'!$D:$D,F$175
  )
)</f>
        <v>0</v>
      </c>
      <c r="G195" s="14">
        <f>0.000001 * SUM(
  SUMIFS(
    'Resource Fuel Burn'!$E:$E,
    'Resource Fuel Burn'!$A:$A,$D195,
    'Resource Fuel Burn'!$D:$D,G$175
  )
)</f>
        <v>0</v>
      </c>
      <c r="H195" s="14">
        <f>0.000001 * SUM(
  SUMIFS(
    'Resource Fuel Burn'!$E:$E,
    'Resource Fuel Burn'!$A:$A,$D195,
    'Resource Fuel Burn'!$D:$D,H$175
  )
)</f>
        <v>0</v>
      </c>
      <c r="I195" s="14">
        <f>0.000001 * SUM(
  SUMIFS(
    'Resource Fuel Burn'!$E:$E,
    'Resource Fuel Burn'!$A:$A,$D195,
    'Resource Fuel Burn'!$D:$D,I$175
  )
)</f>
        <v>0</v>
      </c>
      <c r="J195" s="14">
        <f>0.000001 * SUM(
  SUMIFS(
    'Resource Fuel Burn'!$E:$E,
    'Resource Fuel Burn'!$A:$A,$D195,
    'Resource Fuel Burn'!$D:$D,J$175
  )
)</f>
        <v>0</v>
      </c>
      <c r="K195" s="14">
        <f>0.000001 * SUM(
  SUMIFS(
    'Resource Fuel Burn'!$E:$E,
    'Resource Fuel Burn'!$A:$A,$D195,
    'Resource Fuel Burn'!$D:$D,K$175
  )
)</f>
        <v>0</v>
      </c>
      <c r="L195" s="14">
        <f>0.000001 * SUM(
  SUMIFS(
    'Resource Fuel Burn'!$E:$E,
    'Resource Fuel Burn'!$A:$A,$D195,
    'Resource Fuel Burn'!$D:$D,L$175
  )
)</f>
        <v>0</v>
      </c>
      <c r="M195" s="14">
        <f>0.000001 * SUM(
  SUMIFS(
    'Resource Fuel Burn'!$E:$E,
    'Resource Fuel Burn'!$A:$A,$D195,
    'Resource Fuel Burn'!$D:$D,M$175
  )
)</f>
        <v>0</v>
      </c>
      <c r="N195" s="14">
        <f>0.000001 * SUM(
  SUMIFS(
    'Resource Fuel Burn'!$E:$E,
    'Resource Fuel Burn'!$A:$A,$D195,
    'Resource Fuel Burn'!$D:$D,N$175
  )
)</f>
        <v>0</v>
      </c>
      <c r="O195" s="14">
        <f>0.000001 * SUM(
  SUMIFS(
    'Resource Fuel Burn'!$E:$E,
    'Resource Fuel Burn'!$A:$A,$D195,
    'Resource Fuel Burn'!$D:$D,O$175
  )
)</f>
        <v>0</v>
      </c>
      <c r="P195" s="14">
        <f>0.000001 * SUM(
  SUMIFS(
    'Resource Fuel Burn'!$E:$E,
    'Resource Fuel Burn'!$A:$A,$D195,
    'Resource Fuel Burn'!$D:$D,P$175
  )
)</f>
        <v>0</v>
      </c>
      <c r="Q195" s="14">
        <f>0.000001 * SUM(
  SUMIFS(
    'Resource Fuel Burn'!$E:$E,
    'Resource Fuel Burn'!$A:$A,$D195,
    'Resource Fuel Burn'!$D:$D,Q$175
  )
)</f>
        <v>0</v>
      </c>
      <c r="R195" s="14">
        <f>0.000001 * SUM(
  SUMIFS(
    'Resource Fuel Burn'!$E:$E,
    'Resource Fuel Burn'!$A:$A,$D195,
    'Resource Fuel Burn'!$D:$D,R$175
  )
)</f>
        <v>0</v>
      </c>
      <c r="S195" s="14">
        <f>0.000001 * SUM(
  SUMIFS(
    'Resource Fuel Burn'!$E:$E,
    'Resource Fuel Burn'!$A:$A,$D195,
    'Resource Fuel Burn'!$D:$D,S$175
  )
)</f>
        <v>0</v>
      </c>
      <c r="T195" s="14">
        <f>0.000001 * SUM(
  SUMIFS(
    'Resource Fuel Burn'!$E:$E,
    'Resource Fuel Burn'!$A:$A,$D195,
    'Resource Fuel Burn'!$D:$D,T$175
  )
)</f>
        <v>0</v>
      </c>
      <c r="U195" s="14">
        <f>0.000001 * SUM(
  SUMIFS(
    'Resource Fuel Burn'!$E:$E,
    'Resource Fuel Burn'!$A:$A,$D195,
    'Resource Fuel Burn'!$D:$D,U$175
  )
)</f>
        <v>0</v>
      </c>
      <c r="V195" s="14">
        <f>0.000001 * SUM(
  SUMIFS(
    'Resource Fuel Burn'!$E:$E,
    'Resource Fuel Burn'!$A:$A,$D195,
    'Resource Fuel Burn'!$D:$D,V$175
  )
)</f>
        <v>0</v>
      </c>
      <c r="W195" s="14">
        <f>0.000001 * SUM(
  SUMIFS(
    'Resource Fuel Burn'!$E:$E,
    'Resource Fuel Burn'!$A:$A,$D195,
    'Resource Fuel Burn'!$D:$D,W$175
  )
)</f>
        <v>0</v>
      </c>
      <c r="X195" s="14">
        <f>0.000001 * SUM(
  SUMIFS(
    'Resource Fuel Burn'!$E:$E,
    'Resource Fuel Burn'!$A:$A,$D195,
    'Resource Fuel Burn'!$D:$D,X$175
  )
)</f>
        <v>0</v>
      </c>
      <c r="Y195" s="14">
        <f>0.000001 * SUM(
  SUMIFS(
    'Resource Fuel Burn'!$E:$E,
    'Resource Fuel Burn'!$A:$A,$D195,
    'Resource Fuel Burn'!$D:$D,Y$175
  )
)</f>
        <v>0</v>
      </c>
      <c r="Z195" s="14">
        <f>0.000001 * SUM(
  SUMIFS(
    'Resource Fuel Burn'!$E:$E,
    'Resource Fuel Burn'!$A:$A,$D195,
    'Resource Fuel Burn'!$D:$D,Z$175
  )
)</f>
        <v>0</v>
      </c>
      <c r="AA195" s="14">
        <f>0.000001 * SUM(
  SUMIFS(
    'Resource Fuel Burn'!$E:$E,
    'Resource Fuel Burn'!$A:$A,$D195,
    'Resource Fuel Burn'!$D:$D,AA$175
  )
)</f>
        <v>0</v>
      </c>
      <c r="AB195" s="14">
        <f>0.000001 * SUM(
  SUMIFS(
    'Resource Fuel Burn'!$E:$E,
    'Resource Fuel Burn'!$A:$A,$D195,
    'Resource Fuel Burn'!$D:$D,AB$175
  )
)</f>
        <v>0</v>
      </c>
      <c r="AC195" s="14">
        <f>0.000001 * SUM(
  SUMIFS(
    'Resource Fuel Burn'!$E:$E,
    'Resource Fuel Burn'!$A:$A,$D195,
    'Resource Fuel Burn'!$D:$D,AC$175
  )
)</f>
        <v>0</v>
      </c>
      <c r="AD195" s="14">
        <f>0.000001 * SUM(
  SUMIFS(
    'Resource Fuel Burn'!$E:$E,
    'Resource Fuel Burn'!$A:$A,$D195,
    'Resource Fuel Burn'!$D:$D,AD$175
  )
)</f>
        <v>0</v>
      </c>
      <c r="AH195" s="34" t="s">
        <v>422</v>
      </c>
    </row>
    <row r="196" spans="4:34" outlineLevel="2" x14ac:dyDescent="0.2">
      <c r="D196" s="8" t="s">
        <v>35</v>
      </c>
      <c r="E196" s="14">
        <f>0.000001 * SUM(
  SUMIFS(
    'Resource Fuel Burn'!$E:$E,
    'Resource Fuel Burn'!$A:$A,$D196,
    'Resource Fuel Burn'!$D:$D,E$175
  )
)</f>
        <v>0</v>
      </c>
      <c r="F196" s="14">
        <f>0.000001 * SUM(
  SUMIFS(
    'Resource Fuel Burn'!$E:$E,
    'Resource Fuel Burn'!$A:$A,$D196,
    'Resource Fuel Burn'!$D:$D,F$175
  )
)</f>
        <v>0</v>
      </c>
      <c r="G196" s="14">
        <f>0.000001 * SUM(
  SUMIFS(
    'Resource Fuel Burn'!$E:$E,
    'Resource Fuel Burn'!$A:$A,$D196,
    'Resource Fuel Burn'!$D:$D,G$175
  )
)</f>
        <v>0</v>
      </c>
      <c r="H196" s="14">
        <f>0.000001 * SUM(
  SUMIFS(
    'Resource Fuel Burn'!$E:$E,
    'Resource Fuel Burn'!$A:$A,$D196,
    'Resource Fuel Burn'!$D:$D,H$175
  )
)</f>
        <v>0</v>
      </c>
      <c r="I196" s="14">
        <f>0.000001 * SUM(
  SUMIFS(
    'Resource Fuel Burn'!$E:$E,
    'Resource Fuel Burn'!$A:$A,$D196,
    'Resource Fuel Burn'!$D:$D,I$175
  )
)</f>
        <v>0</v>
      </c>
      <c r="J196" s="14">
        <f>0.000001 * SUM(
  SUMIFS(
    'Resource Fuel Burn'!$E:$E,
    'Resource Fuel Burn'!$A:$A,$D196,
    'Resource Fuel Burn'!$D:$D,J$175
  )
)</f>
        <v>0</v>
      </c>
      <c r="K196" s="14">
        <f>0.000001 * SUM(
  SUMIFS(
    'Resource Fuel Burn'!$E:$E,
    'Resource Fuel Burn'!$A:$A,$D196,
    'Resource Fuel Burn'!$D:$D,K$175
  )
)</f>
        <v>0</v>
      </c>
      <c r="L196" s="14">
        <f>0.000001 * SUM(
  SUMIFS(
    'Resource Fuel Burn'!$E:$E,
    'Resource Fuel Burn'!$A:$A,$D196,
    'Resource Fuel Burn'!$D:$D,L$175
  )
)</f>
        <v>0</v>
      </c>
      <c r="M196" s="14">
        <f>0.000001 * SUM(
  SUMIFS(
    'Resource Fuel Burn'!$E:$E,
    'Resource Fuel Burn'!$A:$A,$D196,
    'Resource Fuel Burn'!$D:$D,M$175
  )
)</f>
        <v>0</v>
      </c>
      <c r="N196" s="14">
        <f>0.000001 * SUM(
  SUMIFS(
    'Resource Fuel Burn'!$E:$E,
    'Resource Fuel Burn'!$A:$A,$D196,
    'Resource Fuel Burn'!$D:$D,N$175
  )
)</f>
        <v>0</v>
      </c>
      <c r="O196" s="14">
        <f>0.000001 * SUM(
  SUMIFS(
    'Resource Fuel Burn'!$E:$E,
    'Resource Fuel Burn'!$A:$A,$D196,
    'Resource Fuel Burn'!$D:$D,O$175
  )
)</f>
        <v>0</v>
      </c>
      <c r="P196" s="14">
        <f>0.000001 * SUM(
  SUMIFS(
    'Resource Fuel Burn'!$E:$E,
    'Resource Fuel Burn'!$A:$A,$D196,
    'Resource Fuel Burn'!$D:$D,P$175
  )
)</f>
        <v>0</v>
      </c>
      <c r="Q196" s="14">
        <f>0.000001 * SUM(
  SUMIFS(
    'Resource Fuel Burn'!$E:$E,
    'Resource Fuel Burn'!$A:$A,$D196,
    'Resource Fuel Burn'!$D:$D,Q$175
  )
)</f>
        <v>0</v>
      </c>
      <c r="R196" s="14">
        <f>0.000001 * SUM(
  SUMIFS(
    'Resource Fuel Burn'!$E:$E,
    'Resource Fuel Burn'!$A:$A,$D196,
    'Resource Fuel Burn'!$D:$D,R$175
  )
)</f>
        <v>0</v>
      </c>
      <c r="S196" s="14">
        <f>0.000001 * SUM(
  SUMIFS(
    'Resource Fuel Burn'!$E:$E,
    'Resource Fuel Burn'!$A:$A,$D196,
    'Resource Fuel Burn'!$D:$D,S$175
  )
)</f>
        <v>0</v>
      </c>
      <c r="T196" s="14">
        <f>0.000001 * SUM(
  SUMIFS(
    'Resource Fuel Burn'!$E:$E,
    'Resource Fuel Burn'!$A:$A,$D196,
    'Resource Fuel Burn'!$D:$D,T$175
  )
)</f>
        <v>0</v>
      </c>
      <c r="U196" s="14">
        <f>0.000001 * SUM(
  SUMIFS(
    'Resource Fuel Burn'!$E:$E,
    'Resource Fuel Burn'!$A:$A,$D196,
    'Resource Fuel Burn'!$D:$D,U$175
  )
)</f>
        <v>0</v>
      </c>
      <c r="V196" s="14">
        <f>0.000001 * SUM(
  SUMIFS(
    'Resource Fuel Burn'!$E:$E,
    'Resource Fuel Burn'!$A:$A,$D196,
    'Resource Fuel Burn'!$D:$D,V$175
  )
)</f>
        <v>0</v>
      </c>
      <c r="W196" s="14">
        <f>0.000001 * SUM(
  SUMIFS(
    'Resource Fuel Burn'!$E:$E,
    'Resource Fuel Burn'!$A:$A,$D196,
    'Resource Fuel Burn'!$D:$D,W$175
  )
)</f>
        <v>0</v>
      </c>
      <c r="X196" s="14">
        <f>0.000001 * SUM(
  SUMIFS(
    'Resource Fuel Burn'!$E:$E,
    'Resource Fuel Burn'!$A:$A,$D196,
    'Resource Fuel Burn'!$D:$D,X$175
  )
)</f>
        <v>0</v>
      </c>
      <c r="Y196" s="14">
        <f>0.000001 * SUM(
  SUMIFS(
    'Resource Fuel Burn'!$E:$E,
    'Resource Fuel Burn'!$A:$A,$D196,
    'Resource Fuel Burn'!$D:$D,Y$175
  )
)</f>
        <v>0</v>
      </c>
      <c r="Z196" s="14">
        <f>0.000001 * SUM(
  SUMIFS(
    'Resource Fuel Burn'!$E:$E,
    'Resource Fuel Burn'!$A:$A,$D196,
    'Resource Fuel Burn'!$D:$D,Z$175
  )
)</f>
        <v>0</v>
      </c>
      <c r="AA196" s="14">
        <f>0.000001 * SUM(
  SUMIFS(
    'Resource Fuel Burn'!$E:$E,
    'Resource Fuel Burn'!$A:$A,$D196,
    'Resource Fuel Burn'!$D:$D,AA$175
  )
)</f>
        <v>0</v>
      </c>
      <c r="AB196" s="14">
        <f>0.000001 * SUM(
  SUMIFS(
    'Resource Fuel Burn'!$E:$E,
    'Resource Fuel Burn'!$A:$A,$D196,
    'Resource Fuel Burn'!$D:$D,AB$175
  )
)</f>
        <v>0</v>
      </c>
      <c r="AC196" s="14">
        <f>0.000001 * SUM(
  SUMIFS(
    'Resource Fuel Burn'!$E:$E,
    'Resource Fuel Burn'!$A:$A,$D196,
    'Resource Fuel Burn'!$D:$D,AC$175
  )
)</f>
        <v>0</v>
      </c>
      <c r="AD196" s="14">
        <f>0.000001 * SUM(
  SUMIFS(
    'Resource Fuel Burn'!$E:$E,
    'Resource Fuel Burn'!$A:$A,$D196,
    'Resource Fuel Burn'!$D:$D,AD$175
  )
)</f>
        <v>0</v>
      </c>
      <c r="AH196" s="34" t="s">
        <v>422</v>
      </c>
    </row>
    <row r="197" spans="4:34" outlineLevel="2" x14ac:dyDescent="0.2">
      <c r="D197" s="8" t="s">
        <v>25</v>
      </c>
      <c r="E197" s="14">
        <f>0.000001 * SUM(
  SUMIFS(
    'Resource Fuel Burn'!$E:$E,
    'Resource Fuel Burn'!$A:$A,$D197,
    'Resource Fuel Burn'!$D:$D,E$175
  )
)</f>
        <v>0</v>
      </c>
      <c r="F197" s="14">
        <f>0.000001 * SUM(
  SUMIFS(
    'Resource Fuel Burn'!$E:$E,
    'Resource Fuel Burn'!$A:$A,$D197,
    'Resource Fuel Burn'!$D:$D,F$175
  )
)</f>
        <v>0</v>
      </c>
      <c r="G197" s="14">
        <f>0.000001 * SUM(
  SUMIFS(
    'Resource Fuel Burn'!$E:$E,
    'Resource Fuel Burn'!$A:$A,$D197,
    'Resource Fuel Burn'!$D:$D,G$175
  )
)</f>
        <v>0</v>
      </c>
      <c r="H197" s="14">
        <f>0.000001 * SUM(
  SUMIFS(
    'Resource Fuel Burn'!$E:$E,
    'Resource Fuel Burn'!$A:$A,$D197,
    'Resource Fuel Burn'!$D:$D,H$175
  )
)</f>
        <v>0</v>
      </c>
      <c r="I197" s="14">
        <f>0.000001 * SUM(
  SUMIFS(
    'Resource Fuel Burn'!$E:$E,
    'Resource Fuel Burn'!$A:$A,$D197,
    'Resource Fuel Burn'!$D:$D,I$175
  )
)</f>
        <v>0</v>
      </c>
      <c r="J197" s="14">
        <f>0.000001 * SUM(
  SUMIFS(
    'Resource Fuel Burn'!$E:$E,
    'Resource Fuel Burn'!$A:$A,$D197,
    'Resource Fuel Burn'!$D:$D,J$175
  )
)</f>
        <v>0</v>
      </c>
      <c r="K197" s="14">
        <f>0.000001 * SUM(
  SUMIFS(
    'Resource Fuel Burn'!$E:$E,
    'Resource Fuel Burn'!$A:$A,$D197,
    'Resource Fuel Burn'!$D:$D,K$175
  )
)</f>
        <v>0</v>
      </c>
      <c r="L197" s="14">
        <f>0.000001 * SUM(
  SUMIFS(
    'Resource Fuel Burn'!$E:$E,
    'Resource Fuel Burn'!$A:$A,$D197,
    'Resource Fuel Burn'!$D:$D,L$175
  )
)</f>
        <v>0</v>
      </c>
      <c r="M197" s="14">
        <f>0.000001 * SUM(
  SUMIFS(
    'Resource Fuel Burn'!$E:$E,
    'Resource Fuel Burn'!$A:$A,$D197,
    'Resource Fuel Burn'!$D:$D,M$175
  )
)</f>
        <v>0</v>
      </c>
      <c r="N197" s="14">
        <f>0.000001 * SUM(
  SUMIFS(
    'Resource Fuel Burn'!$E:$E,
    'Resource Fuel Burn'!$A:$A,$D197,
    'Resource Fuel Burn'!$D:$D,N$175
  )
)</f>
        <v>0</v>
      </c>
      <c r="O197" s="14">
        <f>0.000001 * SUM(
  SUMIFS(
    'Resource Fuel Burn'!$E:$E,
    'Resource Fuel Burn'!$A:$A,$D197,
    'Resource Fuel Burn'!$D:$D,O$175
  )
)</f>
        <v>0</v>
      </c>
      <c r="P197" s="14">
        <f>0.000001 * SUM(
  SUMIFS(
    'Resource Fuel Burn'!$E:$E,
    'Resource Fuel Burn'!$A:$A,$D197,
    'Resource Fuel Burn'!$D:$D,P$175
  )
)</f>
        <v>0</v>
      </c>
      <c r="Q197" s="14">
        <f>0.000001 * SUM(
  SUMIFS(
    'Resource Fuel Burn'!$E:$E,
    'Resource Fuel Burn'!$A:$A,$D197,
    'Resource Fuel Burn'!$D:$D,Q$175
  )
)</f>
        <v>0</v>
      </c>
      <c r="R197" s="14">
        <f>0.000001 * SUM(
  SUMIFS(
    'Resource Fuel Burn'!$E:$E,
    'Resource Fuel Burn'!$A:$A,$D197,
    'Resource Fuel Burn'!$D:$D,R$175
  )
)</f>
        <v>0</v>
      </c>
      <c r="S197" s="14">
        <f>0.000001 * SUM(
  SUMIFS(
    'Resource Fuel Burn'!$E:$E,
    'Resource Fuel Burn'!$A:$A,$D197,
    'Resource Fuel Burn'!$D:$D,S$175
  )
)</f>
        <v>0</v>
      </c>
      <c r="T197" s="14">
        <f>0.000001 * SUM(
  SUMIFS(
    'Resource Fuel Burn'!$E:$E,
    'Resource Fuel Burn'!$A:$A,$D197,
    'Resource Fuel Burn'!$D:$D,T$175
  )
)</f>
        <v>0</v>
      </c>
      <c r="U197" s="14">
        <f>0.000001 * SUM(
  SUMIFS(
    'Resource Fuel Burn'!$E:$E,
    'Resource Fuel Burn'!$A:$A,$D197,
    'Resource Fuel Burn'!$D:$D,U$175
  )
)</f>
        <v>0</v>
      </c>
      <c r="V197" s="14">
        <f>0.000001 * SUM(
  SUMIFS(
    'Resource Fuel Burn'!$E:$E,
    'Resource Fuel Burn'!$A:$A,$D197,
    'Resource Fuel Burn'!$D:$D,V$175
  )
)</f>
        <v>0</v>
      </c>
      <c r="W197" s="14">
        <f>0.000001 * SUM(
  SUMIFS(
    'Resource Fuel Burn'!$E:$E,
    'Resource Fuel Burn'!$A:$A,$D197,
    'Resource Fuel Burn'!$D:$D,W$175
  )
)</f>
        <v>0</v>
      </c>
      <c r="X197" s="14">
        <f>0.000001 * SUM(
  SUMIFS(
    'Resource Fuel Burn'!$E:$E,
    'Resource Fuel Burn'!$A:$A,$D197,
    'Resource Fuel Burn'!$D:$D,X$175
  )
)</f>
        <v>0</v>
      </c>
      <c r="Y197" s="14">
        <f>0.000001 * SUM(
  SUMIFS(
    'Resource Fuel Burn'!$E:$E,
    'Resource Fuel Burn'!$A:$A,$D197,
    'Resource Fuel Burn'!$D:$D,Y$175
  )
)</f>
        <v>0</v>
      </c>
      <c r="Z197" s="14">
        <f>0.000001 * SUM(
  SUMIFS(
    'Resource Fuel Burn'!$E:$E,
    'Resource Fuel Burn'!$A:$A,$D197,
    'Resource Fuel Burn'!$D:$D,Z$175
  )
)</f>
        <v>0</v>
      </c>
      <c r="AA197" s="14">
        <f>0.000001 * SUM(
  SUMIFS(
    'Resource Fuel Burn'!$E:$E,
    'Resource Fuel Burn'!$A:$A,$D197,
    'Resource Fuel Burn'!$D:$D,AA$175
  )
)</f>
        <v>0</v>
      </c>
      <c r="AB197" s="14">
        <f>0.000001 * SUM(
  SUMIFS(
    'Resource Fuel Burn'!$E:$E,
    'Resource Fuel Burn'!$A:$A,$D197,
    'Resource Fuel Burn'!$D:$D,AB$175
  )
)</f>
        <v>0</v>
      </c>
      <c r="AC197" s="14">
        <f>0.000001 * SUM(
  SUMIFS(
    'Resource Fuel Burn'!$E:$E,
    'Resource Fuel Burn'!$A:$A,$D197,
    'Resource Fuel Burn'!$D:$D,AC$175
  )
)</f>
        <v>0</v>
      </c>
      <c r="AD197" s="14">
        <f>0.000001 * SUM(
  SUMIFS(
    'Resource Fuel Burn'!$E:$E,
    'Resource Fuel Burn'!$A:$A,$D197,
    'Resource Fuel Burn'!$D:$D,AD$175
  )
)</f>
        <v>0</v>
      </c>
      <c r="AH197" s="34" t="s">
        <v>422</v>
      </c>
    </row>
    <row r="198" spans="4:34" outlineLevel="2" x14ac:dyDescent="0.2">
      <c r="D198" s="8" t="s">
        <v>49</v>
      </c>
      <c r="E198" s="14">
        <f>0.000001 * SUM(
  SUMIFS(
    'Resource Fuel Burn'!$E:$E,
    'Resource Fuel Burn'!$A:$A,$D198,
    'Resource Fuel Burn'!$D:$D,E$175
  )
)</f>
        <v>0</v>
      </c>
      <c r="F198" s="14">
        <f>0.000001 * SUM(
  SUMIFS(
    'Resource Fuel Burn'!$E:$E,
    'Resource Fuel Burn'!$A:$A,$D198,
    'Resource Fuel Burn'!$D:$D,F$175
  )
)</f>
        <v>0</v>
      </c>
      <c r="G198" s="14">
        <f>0.000001 * SUM(
  SUMIFS(
    'Resource Fuel Burn'!$E:$E,
    'Resource Fuel Burn'!$A:$A,$D198,
    'Resource Fuel Burn'!$D:$D,G$175
  )
)</f>
        <v>0</v>
      </c>
      <c r="H198" s="14">
        <f>0.000001 * SUM(
  SUMIFS(
    'Resource Fuel Burn'!$E:$E,
    'Resource Fuel Burn'!$A:$A,$D198,
    'Resource Fuel Burn'!$D:$D,H$175
  )
)</f>
        <v>0</v>
      </c>
      <c r="I198" s="14">
        <f>0.000001 * SUM(
  SUMIFS(
    'Resource Fuel Burn'!$E:$E,
    'Resource Fuel Burn'!$A:$A,$D198,
    'Resource Fuel Burn'!$D:$D,I$175
  )
)</f>
        <v>0</v>
      </c>
      <c r="J198" s="14">
        <f>0.000001 * SUM(
  SUMIFS(
    'Resource Fuel Burn'!$E:$E,
    'Resource Fuel Burn'!$A:$A,$D198,
    'Resource Fuel Burn'!$D:$D,J$175
  )
)</f>
        <v>0</v>
      </c>
      <c r="K198" s="14">
        <f>0.000001 * SUM(
  SUMIFS(
    'Resource Fuel Burn'!$E:$E,
    'Resource Fuel Burn'!$A:$A,$D198,
    'Resource Fuel Burn'!$D:$D,K$175
  )
)</f>
        <v>0</v>
      </c>
      <c r="L198" s="14">
        <f>0.000001 * SUM(
  SUMIFS(
    'Resource Fuel Burn'!$E:$E,
    'Resource Fuel Burn'!$A:$A,$D198,
    'Resource Fuel Burn'!$D:$D,L$175
  )
)</f>
        <v>0</v>
      </c>
      <c r="M198" s="14">
        <f>0.000001 * SUM(
  SUMIFS(
    'Resource Fuel Burn'!$E:$E,
    'Resource Fuel Burn'!$A:$A,$D198,
    'Resource Fuel Burn'!$D:$D,M$175
  )
)</f>
        <v>0</v>
      </c>
      <c r="N198" s="14">
        <f>0.000001 * SUM(
  SUMIFS(
    'Resource Fuel Burn'!$E:$E,
    'Resource Fuel Burn'!$A:$A,$D198,
    'Resource Fuel Burn'!$D:$D,N$175
  )
)</f>
        <v>0</v>
      </c>
      <c r="O198" s="14">
        <f>0.000001 * SUM(
  SUMIFS(
    'Resource Fuel Burn'!$E:$E,
    'Resource Fuel Burn'!$A:$A,$D198,
    'Resource Fuel Burn'!$D:$D,O$175
  )
)</f>
        <v>0</v>
      </c>
      <c r="P198" s="14">
        <f>0.000001 * SUM(
  SUMIFS(
    'Resource Fuel Burn'!$E:$E,
    'Resource Fuel Burn'!$A:$A,$D198,
    'Resource Fuel Burn'!$D:$D,P$175
  )
)</f>
        <v>0</v>
      </c>
      <c r="Q198" s="14">
        <f>0.000001 * SUM(
  SUMIFS(
    'Resource Fuel Burn'!$E:$E,
    'Resource Fuel Burn'!$A:$A,$D198,
    'Resource Fuel Burn'!$D:$D,Q$175
  )
)</f>
        <v>0</v>
      </c>
      <c r="R198" s="14">
        <f>0.000001 * SUM(
  SUMIFS(
    'Resource Fuel Burn'!$E:$E,
    'Resource Fuel Burn'!$A:$A,$D198,
    'Resource Fuel Burn'!$D:$D,R$175
  )
)</f>
        <v>0</v>
      </c>
      <c r="S198" s="14">
        <f>0.000001 * SUM(
  SUMIFS(
    'Resource Fuel Burn'!$E:$E,
    'Resource Fuel Burn'!$A:$A,$D198,
    'Resource Fuel Burn'!$D:$D,S$175
  )
)</f>
        <v>0</v>
      </c>
      <c r="T198" s="14">
        <f>0.000001 * SUM(
  SUMIFS(
    'Resource Fuel Burn'!$E:$E,
    'Resource Fuel Burn'!$A:$A,$D198,
    'Resource Fuel Burn'!$D:$D,T$175
  )
)</f>
        <v>0</v>
      </c>
      <c r="U198" s="14">
        <f>0.000001 * SUM(
  SUMIFS(
    'Resource Fuel Burn'!$E:$E,
    'Resource Fuel Burn'!$A:$A,$D198,
    'Resource Fuel Burn'!$D:$D,U$175
  )
)</f>
        <v>0</v>
      </c>
      <c r="V198" s="14">
        <f>0.000001 * SUM(
  SUMIFS(
    'Resource Fuel Burn'!$E:$E,
    'Resource Fuel Burn'!$A:$A,$D198,
    'Resource Fuel Burn'!$D:$D,V$175
  )
)</f>
        <v>0</v>
      </c>
      <c r="W198" s="14">
        <f>0.000001 * SUM(
  SUMIFS(
    'Resource Fuel Burn'!$E:$E,
    'Resource Fuel Burn'!$A:$A,$D198,
    'Resource Fuel Burn'!$D:$D,W$175
  )
)</f>
        <v>0</v>
      </c>
      <c r="X198" s="14">
        <f>0.000001 * SUM(
  SUMIFS(
    'Resource Fuel Burn'!$E:$E,
    'Resource Fuel Burn'!$A:$A,$D198,
    'Resource Fuel Burn'!$D:$D,X$175
  )
)</f>
        <v>0</v>
      </c>
      <c r="Y198" s="14">
        <f>0.000001 * SUM(
  SUMIFS(
    'Resource Fuel Burn'!$E:$E,
    'Resource Fuel Burn'!$A:$A,$D198,
    'Resource Fuel Burn'!$D:$D,Y$175
  )
)</f>
        <v>0</v>
      </c>
      <c r="Z198" s="14">
        <f>0.000001 * SUM(
  SUMIFS(
    'Resource Fuel Burn'!$E:$E,
    'Resource Fuel Burn'!$A:$A,$D198,
    'Resource Fuel Burn'!$D:$D,Z$175
  )
)</f>
        <v>0</v>
      </c>
      <c r="AA198" s="14">
        <f>0.000001 * SUM(
  SUMIFS(
    'Resource Fuel Burn'!$E:$E,
    'Resource Fuel Burn'!$A:$A,$D198,
    'Resource Fuel Burn'!$D:$D,AA$175
  )
)</f>
        <v>0</v>
      </c>
      <c r="AB198" s="14">
        <f>0.000001 * SUM(
  SUMIFS(
    'Resource Fuel Burn'!$E:$E,
    'Resource Fuel Burn'!$A:$A,$D198,
    'Resource Fuel Burn'!$D:$D,AB$175
  )
)</f>
        <v>0</v>
      </c>
      <c r="AC198" s="14">
        <f>0.000001 * SUM(
  SUMIFS(
    'Resource Fuel Burn'!$E:$E,
    'Resource Fuel Burn'!$A:$A,$D198,
    'Resource Fuel Burn'!$D:$D,AC$175
  )
)</f>
        <v>0</v>
      </c>
      <c r="AD198" s="14">
        <f>0.000001 * SUM(
  SUMIFS(
    'Resource Fuel Burn'!$E:$E,
    'Resource Fuel Burn'!$A:$A,$D198,
    'Resource Fuel Burn'!$D:$D,AD$175
  )
)</f>
        <v>0</v>
      </c>
      <c r="AH198" s="34" t="s">
        <v>422</v>
      </c>
    </row>
    <row r="199" spans="4:34" outlineLevel="2" x14ac:dyDescent="0.2">
      <c r="D199" s="8" t="s">
        <v>24</v>
      </c>
      <c r="E199" s="14">
        <f>0.000001 * SUM(
  SUMIFS(
    'Resource Fuel Burn'!$E:$E,
    'Resource Fuel Burn'!$A:$A,$D199,
    'Resource Fuel Burn'!$D:$D,E$175
  )
)</f>
        <v>0</v>
      </c>
      <c r="F199" s="14">
        <f>0.000001 * SUM(
  SUMIFS(
    'Resource Fuel Burn'!$E:$E,
    'Resource Fuel Burn'!$A:$A,$D199,
    'Resource Fuel Burn'!$D:$D,F$175
  )
)</f>
        <v>0</v>
      </c>
      <c r="G199" s="14">
        <f>0.000001 * SUM(
  SUMIFS(
    'Resource Fuel Burn'!$E:$E,
    'Resource Fuel Burn'!$A:$A,$D199,
    'Resource Fuel Burn'!$D:$D,G$175
  )
)</f>
        <v>0</v>
      </c>
      <c r="H199" s="14">
        <f>0.000001 * SUM(
  SUMIFS(
    'Resource Fuel Burn'!$E:$E,
    'Resource Fuel Burn'!$A:$A,$D199,
    'Resource Fuel Burn'!$D:$D,H$175
  )
)</f>
        <v>0</v>
      </c>
      <c r="I199" s="14">
        <f>0.000001 * SUM(
  SUMIFS(
    'Resource Fuel Burn'!$E:$E,
    'Resource Fuel Burn'!$A:$A,$D199,
    'Resource Fuel Burn'!$D:$D,I$175
  )
)</f>
        <v>0</v>
      </c>
      <c r="J199" s="14">
        <f>0.000001 * SUM(
  SUMIFS(
    'Resource Fuel Burn'!$E:$E,
    'Resource Fuel Burn'!$A:$A,$D199,
    'Resource Fuel Burn'!$D:$D,J$175
  )
)</f>
        <v>0</v>
      </c>
      <c r="K199" s="14">
        <f>0.000001 * SUM(
  SUMIFS(
    'Resource Fuel Burn'!$E:$E,
    'Resource Fuel Burn'!$A:$A,$D199,
    'Resource Fuel Burn'!$D:$D,K$175
  )
)</f>
        <v>0</v>
      </c>
      <c r="L199" s="14">
        <f>0.000001 * SUM(
  SUMIFS(
    'Resource Fuel Burn'!$E:$E,
    'Resource Fuel Burn'!$A:$A,$D199,
    'Resource Fuel Burn'!$D:$D,L$175
  )
)</f>
        <v>0</v>
      </c>
      <c r="M199" s="14">
        <f>0.000001 * SUM(
  SUMIFS(
    'Resource Fuel Burn'!$E:$E,
    'Resource Fuel Burn'!$A:$A,$D199,
    'Resource Fuel Burn'!$D:$D,M$175
  )
)</f>
        <v>0</v>
      </c>
      <c r="N199" s="14">
        <f>0.000001 * SUM(
  SUMIFS(
    'Resource Fuel Burn'!$E:$E,
    'Resource Fuel Burn'!$A:$A,$D199,
    'Resource Fuel Burn'!$D:$D,N$175
  )
)</f>
        <v>0</v>
      </c>
      <c r="O199" s="14">
        <f>0.000001 * SUM(
  SUMIFS(
    'Resource Fuel Burn'!$E:$E,
    'Resource Fuel Burn'!$A:$A,$D199,
    'Resource Fuel Burn'!$D:$D,O$175
  )
)</f>
        <v>0</v>
      </c>
      <c r="P199" s="14">
        <f>0.000001 * SUM(
  SUMIFS(
    'Resource Fuel Burn'!$E:$E,
    'Resource Fuel Burn'!$A:$A,$D199,
    'Resource Fuel Burn'!$D:$D,P$175
  )
)</f>
        <v>0</v>
      </c>
      <c r="Q199" s="14">
        <f>0.000001 * SUM(
  SUMIFS(
    'Resource Fuel Burn'!$E:$E,
    'Resource Fuel Burn'!$A:$A,$D199,
    'Resource Fuel Burn'!$D:$D,Q$175
  )
)</f>
        <v>0</v>
      </c>
      <c r="R199" s="14">
        <f>0.000001 * SUM(
  SUMIFS(
    'Resource Fuel Burn'!$E:$E,
    'Resource Fuel Burn'!$A:$A,$D199,
    'Resource Fuel Burn'!$D:$D,R$175
  )
)</f>
        <v>0</v>
      </c>
      <c r="S199" s="14">
        <f>0.000001 * SUM(
  SUMIFS(
    'Resource Fuel Burn'!$E:$E,
    'Resource Fuel Burn'!$A:$A,$D199,
    'Resource Fuel Burn'!$D:$D,S$175
  )
)</f>
        <v>0</v>
      </c>
      <c r="T199" s="14">
        <f>0.000001 * SUM(
  SUMIFS(
    'Resource Fuel Burn'!$E:$E,
    'Resource Fuel Burn'!$A:$A,$D199,
    'Resource Fuel Burn'!$D:$D,T$175
  )
)</f>
        <v>0</v>
      </c>
      <c r="U199" s="14">
        <f>0.000001 * SUM(
  SUMIFS(
    'Resource Fuel Burn'!$E:$E,
    'Resource Fuel Burn'!$A:$A,$D199,
    'Resource Fuel Burn'!$D:$D,U$175
  )
)</f>
        <v>0</v>
      </c>
      <c r="V199" s="14">
        <f>0.000001 * SUM(
  SUMIFS(
    'Resource Fuel Burn'!$E:$E,
    'Resource Fuel Burn'!$A:$A,$D199,
    'Resource Fuel Burn'!$D:$D,V$175
  )
)</f>
        <v>0</v>
      </c>
      <c r="W199" s="14">
        <f>0.000001 * SUM(
  SUMIFS(
    'Resource Fuel Burn'!$E:$E,
    'Resource Fuel Burn'!$A:$A,$D199,
    'Resource Fuel Burn'!$D:$D,W$175
  )
)</f>
        <v>0</v>
      </c>
      <c r="X199" s="14">
        <f>0.000001 * SUM(
  SUMIFS(
    'Resource Fuel Burn'!$E:$E,
    'Resource Fuel Burn'!$A:$A,$D199,
    'Resource Fuel Burn'!$D:$D,X$175
  )
)</f>
        <v>0</v>
      </c>
      <c r="Y199" s="14">
        <f>0.000001 * SUM(
  SUMIFS(
    'Resource Fuel Burn'!$E:$E,
    'Resource Fuel Burn'!$A:$A,$D199,
    'Resource Fuel Burn'!$D:$D,Y$175
  )
)</f>
        <v>0</v>
      </c>
      <c r="Z199" s="14">
        <f>0.000001 * SUM(
  SUMIFS(
    'Resource Fuel Burn'!$E:$E,
    'Resource Fuel Burn'!$A:$A,$D199,
    'Resource Fuel Burn'!$D:$D,Z$175
  )
)</f>
        <v>0</v>
      </c>
      <c r="AA199" s="14">
        <f>0.000001 * SUM(
  SUMIFS(
    'Resource Fuel Burn'!$E:$E,
    'Resource Fuel Burn'!$A:$A,$D199,
    'Resource Fuel Burn'!$D:$D,AA$175
  )
)</f>
        <v>0</v>
      </c>
      <c r="AB199" s="14">
        <f>0.000001 * SUM(
  SUMIFS(
    'Resource Fuel Burn'!$E:$E,
    'Resource Fuel Burn'!$A:$A,$D199,
    'Resource Fuel Burn'!$D:$D,AB$175
  )
)</f>
        <v>0</v>
      </c>
      <c r="AC199" s="14">
        <f>0.000001 * SUM(
  SUMIFS(
    'Resource Fuel Burn'!$E:$E,
    'Resource Fuel Burn'!$A:$A,$D199,
    'Resource Fuel Burn'!$D:$D,AC$175
  )
)</f>
        <v>0</v>
      </c>
      <c r="AD199" s="14">
        <f>0.000001 * SUM(
  SUMIFS(
    'Resource Fuel Burn'!$E:$E,
    'Resource Fuel Burn'!$A:$A,$D199,
    'Resource Fuel Burn'!$D:$D,AD$175
  )
)</f>
        <v>0</v>
      </c>
      <c r="AH199" s="34" t="s">
        <v>422</v>
      </c>
    </row>
    <row r="200" spans="4:34" ht="12.6" outlineLevel="2" thickBot="1" x14ac:dyDescent="0.25">
      <c r="D200" s="9" t="s">
        <v>163</v>
      </c>
      <c r="E200" s="13">
        <f t="shared" ref="E200:AD200" si="193">SUM(E190:E199)</f>
        <v>0</v>
      </c>
      <c r="F200" s="13">
        <f t="shared" si="193"/>
        <v>0</v>
      </c>
      <c r="G200" s="13">
        <f t="shared" si="193"/>
        <v>0</v>
      </c>
      <c r="H200" s="13">
        <f t="shared" si="193"/>
        <v>0</v>
      </c>
      <c r="I200" s="13">
        <f t="shared" si="193"/>
        <v>0</v>
      </c>
      <c r="J200" s="13">
        <f t="shared" si="193"/>
        <v>0</v>
      </c>
      <c r="K200" s="13">
        <f t="shared" si="193"/>
        <v>0</v>
      </c>
      <c r="L200" s="13">
        <f t="shared" si="193"/>
        <v>0</v>
      </c>
      <c r="M200" s="13">
        <f t="shared" si="193"/>
        <v>0</v>
      </c>
      <c r="N200" s="13">
        <f t="shared" si="193"/>
        <v>0</v>
      </c>
      <c r="O200" s="13">
        <f t="shared" si="193"/>
        <v>0</v>
      </c>
      <c r="P200" s="13">
        <f t="shared" si="193"/>
        <v>0</v>
      </c>
      <c r="Q200" s="13">
        <f t="shared" si="193"/>
        <v>0</v>
      </c>
      <c r="R200" s="13">
        <f t="shared" si="193"/>
        <v>0</v>
      </c>
      <c r="S200" s="13">
        <f t="shared" si="193"/>
        <v>0</v>
      </c>
      <c r="T200" s="13">
        <f t="shared" si="193"/>
        <v>0</v>
      </c>
      <c r="U200" s="13">
        <f t="shared" si="193"/>
        <v>0</v>
      </c>
      <c r="V200" s="13">
        <f t="shared" si="193"/>
        <v>0</v>
      </c>
      <c r="W200" s="13">
        <f t="shared" si="193"/>
        <v>0</v>
      </c>
      <c r="X200" s="13">
        <f t="shared" si="193"/>
        <v>0</v>
      </c>
      <c r="Y200" s="13">
        <f t="shared" si="193"/>
        <v>0</v>
      </c>
      <c r="Z200" s="13">
        <f t="shared" si="193"/>
        <v>0</v>
      </c>
      <c r="AA200" s="13">
        <f t="shared" si="193"/>
        <v>0</v>
      </c>
      <c r="AB200" s="13">
        <f t="shared" si="193"/>
        <v>0</v>
      </c>
      <c r="AC200" s="13">
        <f t="shared" si="193"/>
        <v>0</v>
      </c>
      <c r="AD200" s="13">
        <f t="shared" si="193"/>
        <v>109.23214009500276</v>
      </c>
      <c r="AH200" s="34" t="s">
        <v>422</v>
      </c>
    </row>
    <row r="201" spans="4:34" ht="12" outlineLevel="2" thickTop="1" x14ac:dyDescent="0.2">
      <c r="AH201" s="34" t="s">
        <v>422</v>
      </c>
    </row>
    <row r="202" spans="4:34" ht="13.2" outlineLevel="2" x14ac:dyDescent="0.2">
      <c r="E202" s="2" t="s">
        <v>420</v>
      </c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H202" s="34" t="s">
        <v>422</v>
      </c>
    </row>
    <row r="203" spans="4:34" outlineLevel="2" x14ac:dyDescent="0.2">
      <c r="E203" s="7">
        <v>43831</v>
      </c>
      <c r="F203" s="7">
        <f t="shared" ref="F203:AD203" si="194">EDATE(E203,12)</f>
        <v>44197</v>
      </c>
      <c r="G203" s="7">
        <f t="shared" si="194"/>
        <v>44562</v>
      </c>
      <c r="H203" s="7">
        <f t="shared" si="194"/>
        <v>44927</v>
      </c>
      <c r="I203" s="7">
        <f t="shared" si="194"/>
        <v>45292</v>
      </c>
      <c r="J203" s="7">
        <f t="shared" si="194"/>
        <v>45658</v>
      </c>
      <c r="K203" s="7">
        <f t="shared" si="194"/>
        <v>46023</v>
      </c>
      <c r="L203" s="7">
        <f t="shared" si="194"/>
        <v>46388</v>
      </c>
      <c r="M203" s="7">
        <f t="shared" si="194"/>
        <v>46753</v>
      </c>
      <c r="N203" s="7">
        <f t="shared" si="194"/>
        <v>47119</v>
      </c>
      <c r="O203" s="7">
        <f t="shared" si="194"/>
        <v>47484</v>
      </c>
      <c r="P203" s="7">
        <f t="shared" si="194"/>
        <v>47849</v>
      </c>
      <c r="Q203" s="7">
        <f t="shared" si="194"/>
        <v>48214</v>
      </c>
      <c r="R203" s="7">
        <f t="shared" si="194"/>
        <v>48580</v>
      </c>
      <c r="S203" s="7">
        <f t="shared" si="194"/>
        <v>48945</v>
      </c>
      <c r="T203" s="7">
        <f t="shared" si="194"/>
        <v>49310</v>
      </c>
      <c r="U203" s="7">
        <f t="shared" si="194"/>
        <v>49675</v>
      </c>
      <c r="V203" s="7">
        <f t="shared" si="194"/>
        <v>50041</v>
      </c>
      <c r="W203" s="7">
        <f t="shared" si="194"/>
        <v>50406</v>
      </c>
      <c r="X203" s="7">
        <f t="shared" si="194"/>
        <v>50771</v>
      </c>
      <c r="Y203" s="7">
        <f t="shared" si="194"/>
        <v>51136</v>
      </c>
      <c r="Z203" s="7">
        <f t="shared" si="194"/>
        <v>51502</v>
      </c>
      <c r="AA203" s="7">
        <f t="shared" si="194"/>
        <v>51867</v>
      </c>
      <c r="AB203" s="7">
        <f t="shared" si="194"/>
        <v>52232</v>
      </c>
      <c r="AC203" s="7">
        <f t="shared" si="194"/>
        <v>52597</v>
      </c>
      <c r="AD203" s="7">
        <f t="shared" si="194"/>
        <v>52963</v>
      </c>
      <c r="AH203" s="34" t="s">
        <v>422</v>
      </c>
    </row>
    <row r="204" spans="4:34" outlineLevel="2" x14ac:dyDescent="0.2">
      <c r="D204" s="8" t="s">
        <v>22</v>
      </c>
      <c r="E204" s="14">
        <f t="shared" ref="E204:AD204" si="195">IFERROR(E190/E176,0)</f>
        <v>0</v>
      </c>
      <c r="F204" s="14">
        <f t="shared" si="195"/>
        <v>0</v>
      </c>
      <c r="G204" s="14">
        <f t="shared" si="195"/>
        <v>0</v>
      </c>
      <c r="H204" s="14">
        <f t="shared" si="195"/>
        <v>0</v>
      </c>
      <c r="I204" s="14">
        <f t="shared" si="195"/>
        <v>0</v>
      </c>
      <c r="J204" s="14">
        <f t="shared" si="195"/>
        <v>0</v>
      </c>
      <c r="K204" s="14">
        <f t="shared" si="195"/>
        <v>0</v>
      </c>
      <c r="L204" s="14">
        <f t="shared" si="195"/>
        <v>0</v>
      </c>
      <c r="M204" s="14">
        <f t="shared" si="195"/>
        <v>0</v>
      </c>
      <c r="N204" s="14">
        <f t="shared" si="195"/>
        <v>0</v>
      </c>
      <c r="O204" s="14">
        <f t="shared" si="195"/>
        <v>0</v>
      </c>
      <c r="P204" s="14">
        <f t="shared" si="195"/>
        <v>0</v>
      </c>
      <c r="Q204" s="14">
        <f t="shared" si="195"/>
        <v>0</v>
      </c>
      <c r="R204" s="14">
        <f t="shared" si="195"/>
        <v>0</v>
      </c>
      <c r="S204" s="14">
        <f t="shared" si="195"/>
        <v>0</v>
      </c>
      <c r="T204" s="14">
        <f t="shared" si="195"/>
        <v>0</v>
      </c>
      <c r="U204" s="14">
        <f t="shared" si="195"/>
        <v>0</v>
      </c>
      <c r="V204" s="14">
        <f t="shared" si="195"/>
        <v>0</v>
      </c>
      <c r="W204" s="14">
        <f t="shared" si="195"/>
        <v>0</v>
      </c>
      <c r="X204" s="14">
        <f t="shared" si="195"/>
        <v>0</v>
      </c>
      <c r="Y204" s="14">
        <f t="shared" si="195"/>
        <v>0</v>
      </c>
      <c r="Z204" s="14">
        <f t="shared" si="195"/>
        <v>0</v>
      </c>
      <c r="AA204" s="14">
        <f t="shared" si="195"/>
        <v>0</v>
      </c>
      <c r="AB204" s="14">
        <f t="shared" si="195"/>
        <v>0</v>
      </c>
      <c r="AC204" s="14">
        <f t="shared" si="195"/>
        <v>0</v>
      </c>
      <c r="AD204" s="14">
        <f t="shared" si="195"/>
        <v>7.4449458410195959</v>
      </c>
      <c r="AH204" s="34" t="s">
        <v>422</v>
      </c>
    </row>
    <row r="205" spans="4:34" outlineLevel="2" x14ac:dyDescent="0.2">
      <c r="D205" s="8" t="s">
        <v>23</v>
      </c>
      <c r="E205" s="14">
        <f t="shared" ref="E205:AD205" si="196">IFERROR(E191/E177,0)</f>
        <v>0</v>
      </c>
      <c r="F205" s="14">
        <f t="shared" si="196"/>
        <v>0</v>
      </c>
      <c r="G205" s="14">
        <f t="shared" si="196"/>
        <v>0</v>
      </c>
      <c r="H205" s="14">
        <f t="shared" si="196"/>
        <v>0</v>
      </c>
      <c r="I205" s="14">
        <f t="shared" si="196"/>
        <v>0</v>
      </c>
      <c r="J205" s="14">
        <f t="shared" si="196"/>
        <v>0</v>
      </c>
      <c r="K205" s="14">
        <f t="shared" si="196"/>
        <v>0</v>
      </c>
      <c r="L205" s="14">
        <f t="shared" si="196"/>
        <v>0</v>
      </c>
      <c r="M205" s="14">
        <f t="shared" si="196"/>
        <v>0</v>
      </c>
      <c r="N205" s="14">
        <f t="shared" si="196"/>
        <v>0</v>
      </c>
      <c r="O205" s="14">
        <f t="shared" si="196"/>
        <v>0</v>
      </c>
      <c r="P205" s="14">
        <f t="shared" si="196"/>
        <v>0</v>
      </c>
      <c r="Q205" s="14">
        <f t="shared" si="196"/>
        <v>0</v>
      </c>
      <c r="R205" s="14">
        <f t="shared" si="196"/>
        <v>0</v>
      </c>
      <c r="S205" s="14">
        <f t="shared" si="196"/>
        <v>0</v>
      </c>
      <c r="T205" s="14">
        <f t="shared" si="196"/>
        <v>0</v>
      </c>
      <c r="U205" s="14">
        <f t="shared" si="196"/>
        <v>0</v>
      </c>
      <c r="V205" s="14">
        <f t="shared" si="196"/>
        <v>0</v>
      </c>
      <c r="W205" s="14">
        <f t="shared" si="196"/>
        <v>0</v>
      </c>
      <c r="X205" s="14">
        <f t="shared" si="196"/>
        <v>0</v>
      </c>
      <c r="Y205" s="14">
        <f t="shared" si="196"/>
        <v>0</v>
      </c>
      <c r="Z205" s="14">
        <f t="shared" si="196"/>
        <v>0</v>
      </c>
      <c r="AA205" s="14">
        <f t="shared" si="196"/>
        <v>0</v>
      </c>
      <c r="AB205" s="14">
        <f t="shared" si="196"/>
        <v>0</v>
      </c>
      <c r="AC205" s="14">
        <f t="shared" si="196"/>
        <v>0</v>
      </c>
      <c r="AD205" s="14">
        <f t="shared" si="196"/>
        <v>0</v>
      </c>
      <c r="AH205" s="34" t="s">
        <v>422</v>
      </c>
    </row>
    <row r="206" spans="4:34" outlineLevel="2" x14ac:dyDescent="0.2">
      <c r="D206" s="8" t="s">
        <v>33</v>
      </c>
      <c r="E206" s="14">
        <f t="shared" ref="E206:AD206" si="197">IFERROR(E192/E178,0)</f>
        <v>0</v>
      </c>
      <c r="F206" s="14">
        <f t="shared" si="197"/>
        <v>0</v>
      </c>
      <c r="G206" s="14">
        <f t="shared" si="197"/>
        <v>0</v>
      </c>
      <c r="H206" s="14">
        <f t="shared" si="197"/>
        <v>0</v>
      </c>
      <c r="I206" s="14">
        <f t="shared" si="197"/>
        <v>0</v>
      </c>
      <c r="J206" s="14">
        <f t="shared" si="197"/>
        <v>0</v>
      </c>
      <c r="K206" s="14">
        <f t="shared" si="197"/>
        <v>0</v>
      </c>
      <c r="L206" s="14">
        <f t="shared" si="197"/>
        <v>0</v>
      </c>
      <c r="M206" s="14">
        <f t="shared" si="197"/>
        <v>0</v>
      </c>
      <c r="N206" s="14">
        <f t="shared" si="197"/>
        <v>0</v>
      </c>
      <c r="O206" s="14">
        <f t="shared" si="197"/>
        <v>0</v>
      </c>
      <c r="P206" s="14">
        <f t="shared" si="197"/>
        <v>0</v>
      </c>
      <c r="Q206" s="14">
        <f t="shared" si="197"/>
        <v>0</v>
      </c>
      <c r="R206" s="14">
        <f t="shared" si="197"/>
        <v>0</v>
      </c>
      <c r="S206" s="14">
        <f t="shared" si="197"/>
        <v>0</v>
      </c>
      <c r="T206" s="14">
        <f t="shared" si="197"/>
        <v>0</v>
      </c>
      <c r="U206" s="14">
        <f t="shared" si="197"/>
        <v>0</v>
      </c>
      <c r="V206" s="14">
        <f t="shared" si="197"/>
        <v>0</v>
      </c>
      <c r="W206" s="14">
        <f t="shared" si="197"/>
        <v>0</v>
      </c>
      <c r="X206" s="14">
        <f t="shared" si="197"/>
        <v>0</v>
      </c>
      <c r="Y206" s="14">
        <f t="shared" si="197"/>
        <v>0</v>
      </c>
      <c r="Z206" s="14">
        <f t="shared" si="197"/>
        <v>0</v>
      </c>
      <c r="AA206" s="14">
        <f t="shared" si="197"/>
        <v>0</v>
      </c>
      <c r="AB206" s="14">
        <f t="shared" si="197"/>
        <v>0</v>
      </c>
      <c r="AC206" s="14">
        <f t="shared" si="197"/>
        <v>0</v>
      </c>
      <c r="AD206" s="14">
        <f t="shared" si="197"/>
        <v>0</v>
      </c>
      <c r="AH206" s="34" t="s">
        <v>422</v>
      </c>
    </row>
    <row r="207" spans="4:34" outlineLevel="2" x14ac:dyDescent="0.2">
      <c r="D207" s="8" t="s">
        <v>34</v>
      </c>
      <c r="E207" s="14">
        <f t="shared" ref="E207:AD207" si="198">IFERROR(E193/E179,0)</f>
        <v>0</v>
      </c>
      <c r="F207" s="14">
        <f t="shared" si="198"/>
        <v>0</v>
      </c>
      <c r="G207" s="14">
        <f t="shared" si="198"/>
        <v>0</v>
      </c>
      <c r="H207" s="14">
        <f t="shared" si="198"/>
        <v>0</v>
      </c>
      <c r="I207" s="14">
        <f t="shared" si="198"/>
        <v>0</v>
      </c>
      <c r="J207" s="14">
        <f t="shared" si="198"/>
        <v>0</v>
      </c>
      <c r="K207" s="14">
        <f t="shared" si="198"/>
        <v>0</v>
      </c>
      <c r="L207" s="14">
        <f t="shared" si="198"/>
        <v>0</v>
      </c>
      <c r="M207" s="14">
        <f t="shared" si="198"/>
        <v>0</v>
      </c>
      <c r="N207" s="14">
        <f t="shared" si="198"/>
        <v>0</v>
      </c>
      <c r="O207" s="14">
        <f t="shared" si="198"/>
        <v>0</v>
      </c>
      <c r="P207" s="14">
        <f t="shared" si="198"/>
        <v>0</v>
      </c>
      <c r="Q207" s="14">
        <f t="shared" si="198"/>
        <v>0</v>
      </c>
      <c r="R207" s="14">
        <f t="shared" si="198"/>
        <v>0</v>
      </c>
      <c r="S207" s="14">
        <f t="shared" si="198"/>
        <v>0</v>
      </c>
      <c r="T207" s="14">
        <f t="shared" si="198"/>
        <v>0</v>
      </c>
      <c r="U207" s="14">
        <f t="shared" si="198"/>
        <v>0</v>
      </c>
      <c r="V207" s="14">
        <f t="shared" si="198"/>
        <v>0</v>
      </c>
      <c r="W207" s="14">
        <f t="shared" si="198"/>
        <v>0</v>
      </c>
      <c r="X207" s="14">
        <f t="shared" si="198"/>
        <v>0</v>
      </c>
      <c r="Y207" s="14">
        <f t="shared" si="198"/>
        <v>0</v>
      </c>
      <c r="Z207" s="14">
        <f t="shared" si="198"/>
        <v>0</v>
      </c>
      <c r="AA207" s="14">
        <f t="shared" si="198"/>
        <v>0</v>
      </c>
      <c r="AB207" s="14">
        <f t="shared" si="198"/>
        <v>0</v>
      </c>
      <c r="AC207" s="14">
        <f t="shared" si="198"/>
        <v>0</v>
      </c>
      <c r="AD207" s="14">
        <f t="shared" si="198"/>
        <v>0</v>
      </c>
      <c r="AH207" s="34" t="s">
        <v>422</v>
      </c>
    </row>
    <row r="208" spans="4:34" outlineLevel="2" x14ac:dyDescent="0.2">
      <c r="D208" s="8" t="s">
        <v>16</v>
      </c>
      <c r="E208" s="14">
        <f t="shared" ref="E208:AD208" si="199">IFERROR(E194/E180,0)</f>
        <v>0</v>
      </c>
      <c r="F208" s="14">
        <f t="shared" si="199"/>
        <v>0</v>
      </c>
      <c r="G208" s="14">
        <f t="shared" si="199"/>
        <v>0</v>
      </c>
      <c r="H208" s="14">
        <f t="shared" si="199"/>
        <v>0</v>
      </c>
      <c r="I208" s="14">
        <f t="shared" si="199"/>
        <v>0</v>
      </c>
      <c r="J208" s="14">
        <f t="shared" si="199"/>
        <v>0</v>
      </c>
      <c r="K208" s="14">
        <f t="shared" si="199"/>
        <v>0</v>
      </c>
      <c r="L208" s="14">
        <f t="shared" si="199"/>
        <v>0</v>
      </c>
      <c r="M208" s="14">
        <f t="shared" si="199"/>
        <v>0</v>
      </c>
      <c r="N208" s="14">
        <f t="shared" si="199"/>
        <v>0</v>
      </c>
      <c r="O208" s="14">
        <f t="shared" si="199"/>
        <v>0</v>
      </c>
      <c r="P208" s="14">
        <f t="shared" si="199"/>
        <v>0</v>
      </c>
      <c r="Q208" s="14">
        <f t="shared" si="199"/>
        <v>0</v>
      </c>
      <c r="R208" s="14">
        <f t="shared" si="199"/>
        <v>0</v>
      </c>
      <c r="S208" s="14">
        <f t="shared" si="199"/>
        <v>0</v>
      </c>
      <c r="T208" s="14">
        <f t="shared" si="199"/>
        <v>0</v>
      </c>
      <c r="U208" s="14">
        <f t="shared" si="199"/>
        <v>0</v>
      </c>
      <c r="V208" s="14">
        <f t="shared" si="199"/>
        <v>0</v>
      </c>
      <c r="W208" s="14">
        <f t="shared" si="199"/>
        <v>0</v>
      </c>
      <c r="X208" s="14">
        <f t="shared" si="199"/>
        <v>0</v>
      </c>
      <c r="Y208" s="14">
        <f t="shared" si="199"/>
        <v>0</v>
      </c>
      <c r="Z208" s="14">
        <f t="shared" si="199"/>
        <v>0</v>
      </c>
      <c r="AA208" s="14">
        <f t="shared" si="199"/>
        <v>0</v>
      </c>
      <c r="AB208" s="14">
        <f t="shared" si="199"/>
        <v>0</v>
      </c>
      <c r="AC208" s="14">
        <f t="shared" si="199"/>
        <v>0</v>
      </c>
      <c r="AD208" s="14">
        <f t="shared" si="199"/>
        <v>7.2056903755335941</v>
      </c>
      <c r="AH208" s="34" t="s">
        <v>422</v>
      </c>
    </row>
    <row r="209" spans="2:34" outlineLevel="2" x14ac:dyDescent="0.2">
      <c r="D209" s="8" t="s">
        <v>17</v>
      </c>
      <c r="E209" s="14">
        <f t="shared" ref="E209:AD209" si="200">IFERROR(E195/E181,0)</f>
        <v>0</v>
      </c>
      <c r="F209" s="14">
        <f t="shared" si="200"/>
        <v>0</v>
      </c>
      <c r="G209" s="14">
        <f t="shared" si="200"/>
        <v>0</v>
      </c>
      <c r="H209" s="14">
        <f t="shared" si="200"/>
        <v>0</v>
      </c>
      <c r="I209" s="14">
        <f t="shared" si="200"/>
        <v>0</v>
      </c>
      <c r="J209" s="14">
        <f t="shared" si="200"/>
        <v>0</v>
      </c>
      <c r="K209" s="14">
        <f t="shared" si="200"/>
        <v>0</v>
      </c>
      <c r="L209" s="14">
        <f t="shared" si="200"/>
        <v>0</v>
      </c>
      <c r="M209" s="14">
        <f t="shared" si="200"/>
        <v>0</v>
      </c>
      <c r="N209" s="14">
        <f t="shared" si="200"/>
        <v>0</v>
      </c>
      <c r="O209" s="14">
        <f t="shared" si="200"/>
        <v>0</v>
      </c>
      <c r="P209" s="14">
        <f t="shared" si="200"/>
        <v>0</v>
      </c>
      <c r="Q209" s="14">
        <f t="shared" si="200"/>
        <v>0</v>
      </c>
      <c r="R209" s="14">
        <f t="shared" si="200"/>
        <v>0</v>
      </c>
      <c r="S209" s="14">
        <f t="shared" si="200"/>
        <v>0</v>
      </c>
      <c r="T209" s="14">
        <f t="shared" si="200"/>
        <v>0</v>
      </c>
      <c r="U209" s="14">
        <f t="shared" si="200"/>
        <v>0</v>
      </c>
      <c r="V209" s="14">
        <f t="shared" si="200"/>
        <v>0</v>
      </c>
      <c r="W209" s="14">
        <f t="shared" si="200"/>
        <v>0</v>
      </c>
      <c r="X209" s="14">
        <f t="shared" si="200"/>
        <v>0</v>
      </c>
      <c r="Y209" s="14">
        <f t="shared" si="200"/>
        <v>0</v>
      </c>
      <c r="Z209" s="14">
        <f t="shared" si="200"/>
        <v>0</v>
      </c>
      <c r="AA209" s="14">
        <f t="shared" si="200"/>
        <v>0</v>
      </c>
      <c r="AB209" s="14">
        <f t="shared" si="200"/>
        <v>0</v>
      </c>
      <c r="AC209" s="14">
        <f t="shared" si="200"/>
        <v>0</v>
      </c>
      <c r="AD209" s="14">
        <f t="shared" si="200"/>
        <v>0</v>
      </c>
      <c r="AH209" s="34" t="s">
        <v>422</v>
      </c>
    </row>
    <row r="210" spans="2:34" outlineLevel="2" x14ac:dyDescent="0.2">
      <c r="D210" s="8" t="s">
        <v>35</v>
      </c>
      <c r="E210" s="14">
        <f t="shared" ref="E210:AD210" si="201">IFERROR(E196/E182,0)</f>
        <v>0</v>
      </c>
      <c r="F210" s="14">
        <f t="shared" si="201"/>
        <v>0</v>
      </c>
      <c r="G210" s="14">
        <f t="shared" si="201"/>
        <v>0</v>
      </c>
      <c r="H210" s="14">
        <f t="shared" si="201"/>
        <v>0</v>
      </c>
      <c r="I210" s="14">
        <f t="shared" si="201"/>
        <v>0</v>
      </c>
      <c r="J210" s="14">
        <f t="shared" si="201"/>
        <v>0</v>
      </c>
      <c r="K210" s="14">
        <f t="shared" si="201"/>
        <v>0</v>
      </c>
      <c r="L210" s="14">
        <f t="shared" si="201"/>
        <v>0</v>
      </c>
      <c r="M210" s="14">
        <f t="shared" si="201"/>
        <v>0</v>
      </c>
      <c r="N210" s="14">
        <f t="shared" si="201"/>
        <v>0</v>
      </c>
      <c r="O210" s="14">
        <f t="shared" si="201"/>
        <v>0</v>
      </c>
      <c r="P210" s="14">
        <f t="shared" si="201"/>
        <v>0</v>
      </c>
      <c r="Q210" s="14">
        <f t="shared" si="201"/>
        <v>0</v>
      </c>
      <c r="R210" s="14">
        <f t="shared" si="201"/>
        <v>0</v>
      </c>
      <c r="S210" s="14">
        <f t="shared" si="201"/>
        <v>0</v>
      </c>
      <c r="T210" s="14">
        <f t="shared" si="201"/>
        <v>0</v>
      </c>
      <c r="U210" s="14">
        <f t="shared" si="201"/>
        <v>0</v>
      </c>
      <c r="V210" s="14">
        <f t="shared" si="201"/>
        <v>0</v>
      </c>
      <c r="W210" s="14">
        <f t="shared" si="201"/>
        <v>0</v>
      </c>
      <c r="X210" s="14">
        <f t="shared" si="201"/>
        <v>0</v>
      </c>
      <c r="Y210" s="14">
        <f t="shared" si="201"/>
        <v>0</v>
      </c>
      <c r="Z210" s="14">
        <f t="shared" si="201"/>
        <v>0</v>
      </c>
      <c r="AA210" s="14">
        <f t="shared" si="201"/>
        <v>0</v>
      </c>
      <c r="AB210" s="14">
        <f t="shared" si="201"/>
        <v>0</v>
      </c>
      <c r="AC210" s="14">
        <f t="shared" si="201"/>
        <v>0</v>
      </c>
      <c r="AD210" s="14">
        <f t="shared" si="201"/>
        <v>0</v>
      </c>
      <c r="AH210" s="34" t="s">
        <v>422</v>
      </c>
    </row>
    <row r="211" spans="2:34" outlineLevel="2" x14ac:dyDescent="0.2">
      <c r="D211" s="8" t="s">
        <v>25</v>
      </c>
      <c r="E211" s="14">
        <f t="shared" ref="E211:AD211" si="202">IFERROR(E197/E183,0)</f>
        <v>0</v>
      </c>
      <c r="F211" s="14">
        <f t="shared" si="202"/>
        <v>0</v>
      </c>
      <c r="G211" s="14">
        <f t="shared" si="202"/>
        <v>0</v>
      </c>
      <c r="H211" s="14">
        <f t="shared" si="202"/>
        <v>0</v>
      </c>
      <c r="I211" s="14">
        <f t="shared" si="202"/>
        <v>0</v>
      </c>
      <c r="J211" s="14">
        <f t="shared" si="202"/>
        <v>0</v>
      </c>
      <c r="K211" s="14">
        <f t="shared" si="202"/>
        <v>0</v>
      </c>
      <c r="L211" s="14">
        <f t="shared" si="202"/>
        <v>0</v>
      </c>
      <c r="M211" s="14">
        <f t="shared" si="202"/>
        <v>0</v>
      </c>
      <c r="N211" s="14">
        <f t="shared" si="202"/>
        <v>0</v>
      </c>
      <c r="O211" s="14">
        <f t="shared" si="202"/>
        <v>0</v>
      </c>
      <c r="P211" s="14">
        <f t="shared" si="202"/>
        <v>0</v>
      </c>
      <c r="Q211" s="14">
        <f t="shared" si="202"/>
        <v>0</v>
      </c>
      <c r="R211" s="14">
        <f t="shared" si="202"/>
        <v>0</v>
      </c>
      <c r="S211" s="14">
        <f t="shared" si="202"/>
        <v>0</v>
      </c>
      <c r="T211" s="14">
        <f t="shared" si="202"/>
        <v>0</v>
      </c>
      <c r="U211" s="14">
        <f t="shared" si="202"/>
        <v>0</v>
      </c>
      <c r="V211" s="14">
        <f t="shared" si="202"/>
        <v>0</v>
      </c>
      <c r="W211" s="14">
        <f t="shared" si="202"/>
        <v>0</v>
      </c>
      <c r="X211" s="14">
        <f t="shared" si="202"/>
        <v>0</v>
      </c>
      <c r="Y211" s="14">
        <f t="shared" si="202"/>
        <v>0</v>
      </c>
      <c r="Z211" s="14">
        <f t="shared" si="202"/>
        <v>0</v>
      </c>
      <c r="AA211" s="14">
        <f t="shared" si="202"/>
        <v>0</v>
      </c>
      <c r="AB211" s="14">
        <f t="shared" si="202"/>
        <v>0</v>
      </c>
      <c r="AC211" s="14">
        <f t="shared" si="202"/>
        <v>0</v>
      </c>
      <c r="AD211" s="14">
        <f t="shared" si="202"/>
        <v>0</v>
      </c>
      <c r="AH211" s="34" t="s">
        <v>422</v>
      </c>
    </row>
    <row r="212" spans="2:34" outlineLevel="2" x14ac:dyDescent="0.2">
      <c r="D212" s="8" t="s">
        <v>49</v>
      </c>
      <c r="E212" s="14">
        <f t="shared" ref="E212:AD212" si="203">IFERROR(E198/E184,0)</f>
        <v>0</v>
      </c>
      <c r="F212" s="14">
        <f t="shared" si="203"/>
        <v>0</v>
      </c>
      <c r="G212" s="14">
        <f t="shared" si="203"/>
        <v>0</v>
      </c>
      <c r="H212" s="14">
        <f t="shared" si="203"/>
        <v>0</v>
      </c>
      <c r="I212" s="14">
        <f t="shared" si="203"/>
        <v>0</v>
      </c>
      <c r="J212" s="14">
        <f t="shared" si="203"/>
        <v>0</v>
      </c>
      <c r="K212" s="14">
        <f t="shared" si="203"/>
        <v>0</v>
      </c>
      <c r="L212" s="14">
        <f t="shared" si="203"/>
        <v>0</v>
      </c>
      <c r="M212" s="14">
        <f t="shared" si="203"/>
        <v>0</v>
      </c>
      <c r="N212" s="14">
        <f t="shared" si="203"/>
        <v>0</v>
      </c>
      <c r="O212" s="14">
        <f t="shared" si="203"/>
        <v>0</v>
      </c>
      <c r="P212" s="14">
        <f t="shared" si="203"/>
        <v>0</v>
      </c>
      <c r="Q212" s="14">
        <f t="shared" si="203"/>
        <v>0</v>
      </c>
      <c r="R212" s="14">
        <f t="shared" si="203"/>
        <v>0</v>
      </c>
      <c r="S212" s="14">
        <f t="shared" si="203"/>
        <v>0</v>
      </c>
      <c r="T212" s="14">
        <f t="shared" si="203"/>
        <v>0</v>
      </c>
      <c r="U212" s="14">
        <f t="shared" si="203"/>
        <v>0</v>
      </c>
      <c r="V212" s="14">
        <f t="shared" si="203"/>
        <v>0</v>
      </c>
      <c r="W212" s="14">
        <f t="shared" si="203"/>
        <v>0</v>
      </c>
      <c r="X212" s="14">
        <f t="shared" si="203"/>
        <v>0</v>
      </c>
      <c r="Y212" s="14">
        <f t="shared" si="203"/>
        <v>0</v>
      </c>
      <c r="Z212" s="14">
        <f t="shared" si="203"/>
        <v>0</v>
      </c>
      <c r="AA212" s="14">
        <f t="shared" si="203"/>
        <v>0</v>
      </c>
      <c r="AB212" s="14">
        <f t="shared" si="203"/>
        <v>0</v>
      </c>
      <c r="AC212" s="14">
        <f t="shared" si="203"/>
        <v>0</v>
      </c>
      <c r="AD212" s="14">
        <f t="shared" si="203"/>
        <v>0</v>
      </c>
      <c r="AH212" s="34" t="s">
        <v>422</v>
      </c>
    </row>
    <row r="213" spans="2:34" outlineLevel="2" x14ac:dyDescent="0.2">
      <c r="D213" s="8" t="s">
        <v>24</v>
      </c>
      <c r="E213" s="14">
        <f t="shared" ref="E213:AD213" si="204">IFERROR(E199/E185,0)</f>
        <v>0</v>
      </c>
      <c r="F213" s="14">
        <f t="shared" si="204"/>
        <v>0</v>
      </c>
      <c r="G213" s="14">
        <f t="shared" si="204"/>
        <v>0</v>
      </c>
      <c r="H213" s="14">
        <f t="shared" si="204"/>
        <v>0</v>
      </c>
      <c r="I213" s="14">
        <f t="shared" si="204"/>
        <v>0</v>
      </c>
      <c r="J213" s="14">
        <f t="shared" si="204"/>
        <v>0</v>
      </c>
      <c r="K213" s="14">
        <f t="shared" si="204"/>
        <v>0</v>
      </c>
      <c r="L213" s="14">
        <f t="shared" si="204"/>
        <v>0</v>
      </c>
      <c r="M213" s="14">
        <f t="shared" si="204"/>
        <v>0</v>
      </c>
      <c r="N213" s="14">
        <f t="shared" si="204"/>
        <v>0</v>
      </c>
      <c r="O213" s="14">
        <f t="shared" si="204"/>
        <v>0</v>
      </c>
      <c r="P213" s="14">
        <f t="shared" si="204"/>
        <v>0</v>
      </c>
      <c r="Q213" s="14">
        <f t="shared" si="204"/>
        <v>0</v>
      </c>
      <c r="R213" s="14">
        <f t="shared" si="204"/>
        <v>0</v>
      </c>
      <c r="S213" s="14">
        <f t="shared" si="204"/>
        <v>0</v>
      </c>
      <c r="T213" s="14">
        <f t="shared" si="204"/>
        <v>0</v>
      </c>
      <c r="U213" s="14">
        <f t="shared" si="204"/>
        <v>0</v>
      </c>
      <c r="V213" s="14">
        <f t="shared" si="204"/>
        <v>0</v>
      </c>
      <c r="W213" s="14">
        <f t="shared" si="204"/>
        <v>0</v>
      </c>
      <c r="X213" s="14">
        <f t="shared" si="204"/>
        <v>0</v>
      </c>
      <c r="Y213" s="14">
        <f t="shared" si="204"/>
        <v>0</v>
      </c>
      <c r="Z213" s="14">
        <f t="shared" si="204"/>
        <v>0</v>
      </c>
      <c r="AA213" s="14">
        <f t="shared" si="204"/>
        <v>0</v>
      </c>
      <c r="AB213" s="14">
        <f t="shared" si="204"/>
        <v>0</v>
      </c>
      <c r="AC213" s="14">
        <f t="shared" si="204"/>
        <v>0</v>
      </c>
      <c r="AD213" s="14">
        <f t="shared" si="204"/>
        <v>0</v>
      </c>
      <c r="AH213" s="34" t="s">
        <v>422</v>
      </c>
    </row>
    <row r="214" spans="2:34" ht="12.6" outlineLevel="2" thickBot="1" x14ac:dyDescent="0.25">
      <c r="D214" s="9" t="s">
        <v>163</v>
      </c>
      <c r="E214" s="13">
        <f t="shared" ref="E214:AD214" si="205">IFERROR(E200/E186,0)</f>
        <v>0</v>
      </c>
      <c r="F214" s="13">
        <f t="shared" si="205"/>
        <v>0</v>
      </c>
      <c r="G214" s="13">
        <f t="shared" si="205"/>
        <v>0</v>
      </c>
      <c r="H214" s="13">
        <f t="shared" si="205"/>
        <v>0</v>
      </c>
      <c r="I214" s="13">
        <f t="shared" si="205"/>
        <v>0</v>
      </c>
      <c r="J214" s="13">
        <f t="shared" si="205"/>
        <v>0</v>
      </c>
      <c r="K214" s="13">
        <f t="shared" si="205"/>
        <v>0</v>
      </c>
      <c r="L214" s="13">
        <f t="shared" si="205"/>
        <v>0</v>
      </c>
      <c r="M214" s="13">
        <f t="shared" si="205"/>
        <v>0</v>
      </c>
      <c r="N214" s="13">
        <f t="shared" si="205"/>
        <v>0</v>
      </c>
      <c r="O214" s="13">
        <f t="shared" si="205"/>
        <v>0</v>
      </c>
      <c r="P214" s="13">
        <f t="shared" si="205"/>
        <v>0</v>
      </c>
      <c r="Q214" s="13">
        <f t="shared" si="205"/>
        <v>0</v>
      </c>
      <c r="R214" s="13">
        <f t="shared" si="205"/>
        <v>0</v>
      </c>
      <c r="S214" s="13">
        <f t="shared" si="205"/>
        <v>0</v>
      </c>
      <c r="T214" s="13">
        <f t="shared" si="205"/>
        <v>0</v>
      </c>
      <c r="U214" s="13">
        <f t="shared" si="205"/>
        <v>0</v>
      </c>
      <c r="V214" s="13">
        <f t="shared" si="205"/>
        <v>0</v>
      </c>
      <c r="W214" s="13">
        <f t="shared" si="205"/>
        <v>0</v>
      </c>
      <c r="X214" s="13">
        <f t="shared" si="205"/>
        <v>0</v>
      </c>
      <c r="Y214" s="13">
        <f t="shared" si="205"/>
        <v>0</v>
      </c>
      <c r="Z214" s="13">
        <f t="shared" si="205"/>
        <v>0</v>
      </c>
      <c r="AA214" s="13">
        <f t="shared" si="205"/>
        <v>0</v>
      </c>
      <c r="AB214" s="13">
        <f t="shared" si="205"/>
        <v>0</v>
      </c>
      <c r="AC214" s="13">
        <f t="shared" si="205"/>
        <v>0</v>
      </c>
      <c r="AD214" s="13">
        <f t="shared" si="205"/>
        <v>7.3527012696364356</v>
      </c>
      <c r="AH214" s="34" t="s">
        <v>422</v>
      </c>
    </row>
    <row r="215" spans="2:34" ht="12" outlineLevel="1" thickTop="1" x14ac:dyDescent="0.2">
      <c r="AH215" s="34"/>
    </row>
    <row r="216" spans="2:34" x14ac:dyDescent="0.2">
      <c r="AH216" s="34"/>
    </row>
    <row r="217" spans="2:34" x14ac:dyDescent="0.2">
      <c r="AH217" s="34"/>
    </row>
    <row r="218" spans="2:34" ht="18" thickBot="1" x14ac:dyDescent="0.25">
      <c r="B218" s="6" t="s">
        <v>175</v>
      </c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H218" s="34"/>
    </row>
    <row r="219" spans="2:34" outlineLevel="1" x14ac:dyDescent="0.2">
      <c r="C219" s="15" t="s">
        <v>173</v>
      </c>
      <c r="D219" s="15" t="s">
        <v>8</v>
      </c>
      <c r="AH219" s="34"/>
    </row>
    <row r="220" spans="2:34" outlineLevel="1" x14ac:dyDescent="0.2">
      <c r="C220" s="15" t="s">
        <v>213</v>
      </c>
      <c r="D220" s="15" t="s">
        <v>288</v>
      </c>
      <c r="E220" s="15">
        <f t="shared" ref="E220:AD220" si="206">YEAR(E222)</f>
        <v>2020</v>
      </c>
      <c r="F220" s="15">
        <f t="shared" si="206"/>
        <v>2021</v>
      </c>
      <c r="G220" s="15">
        <f t="shared" si="206"/>
        <v>2022</v>
      </c>
      <c r="H220" s="15">
        <f t="shared" si="206"/>
        <v>2023</v>
      </c>
      <c r="I220" s="15">
        <f t="shared" si="206"/>
        <v>2024</v>
      </c>
      <c r="J220" s="15">
        <f t="shared" si="206"/>
        <v>2025</v>
      </c>
      <c r="K220" s="15">
        <f t="shared" si="206"/>
        <v>2026</v>
      </c>
      <c r="L220" s="15">
        <f t="shared" si="206"/>
        <v>2027</v>
      </c>
      <c r="M220" s="15">
        <f t="shared" si="206"/>
        <v>2028</v>
      </c>
      <c r="N220" s="15">
        <f t="shared" si="206"/>
        <v>2029</v>
      </c>
      <c r="O220" s="15">
        <f t="shared" si="206"/>
        <v>2030</v>
      </c>
      <c r="P220" s="15">
        <f t="shared" si="206"/>
        <v>2031</v>
      </c>
      <c r="Q220" s="15">
        <f t="shared" si="206"/>
        <v>2032</v>
      </c>
      <c r="R220" s="15">
        <f t="shared" si="206"/>
        <v>2033</v>
      </c>
      <c r="S220" s="15">
        <f t="shared" si="206"/>
        <v>2034</v>
      </c>
      <c r="T220" s="15">
        <f t="shared" si="206"/>
        <v>2035</v>
      </c>
      <c r="U220" s="15">
        <f t="shared" si="206"/>
        <v>2036</v>
      </c>
      <c r="V220" s="15">
        <f t="shared" si="206"/>
        <v>2037</v>
      </c>
      <c r="W220" s="15">
        <f t="shared" si="206"/>
        <v>2038</v>
      </c>
      <c r="X220" s="15">
        <f t="shared" si="206"/>
        <v>2039</v>
      </c>
      <c r="Y220" s="15">
        <f t="shared" si="206"/>
        <v>2040</v>
      </c>
      <c r="Z220" s="15">
        <f t="shared" si="206"/>
        <v>2041</v>
      </c>
      <c r="AA220" s="15">
        <f t="shared" si="206"/>
        <v>2042</v>
      </c>
      <c r="AB220" s="15">
        <f t="shared" si="206"/>
        <v>2043</v>
      </c>
      <c r="AC220" s="15">
        <f t="shared" si="206"/>
        <v>2044</v>
      </c>
      <c r="AD220" s="15">
        <f t="shared" si="206"/>
        <v>2045</v>
      </c>
      <c r="AF220" s="15">
        <f t="shared" ref="AF220" si="207">YEAR(AF222)</f>
        <v>1900</v>
      </c>
      <c r="AH220" s="34"/>
    </row>
    <row r="221" spans="2:34" ht="13.2" outlineLevel="1" x14ac:dyDescent="0.2">
      <c r="E221" s="2" t="s">
        <v>184</v>
      </c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H221" s="34"/>
    </row>
    <row r="222" spans="2:34" outlineLevel="1" x14ac:dyDescent="0.2">
      <c r="E222" s="7">
        <v>43831</v>
      </c>
      <c r="F222" s="7">
        <f>EDATE(E222,12)</f>
        <v>44197</v>
      </c>
      <c r="G222" s="7">
        <f t="shared" ref="G222:AC222" si="208">EDATE(F222,12)</f>
        <v>44562</v>
      </c>
      <c r="H222" s="7">
        <f t="shared" si="208"/>
        <v>44927</v>
      </c>
      <c r="I222" s="7">
        <f t="shared" si="208"/>
        <v>45292</v>
      </c>
      <c r="J222" s="7">
        <f t="shared" si="208"/>
        <v>45658</v>
      </c>
      <c r="K222" s="7">
        <f t="shared" si="208"/>
        <v>46023</v>
      </c>
      <c r="L222" s="7">
        <f t="shared" si="208"/>
        <v>46388</v>
      </c>
      <c r="M222" s="7">
        <f t="shared" si="208"/>
        <v>46753</v>
      </c>
      <c r="N222" s="7">
        <f t="shared" si="208"/>
        <v>47119</v>
      </c>
      <c r="O222" s="7">
        <f t="shared" si="208"/>
        <v>47484</v>
      </c>
      <c r="P222" s="7">
        <f t="shared" si="208"/>
        <v>47849</v>
      </c>
      <c r="Q222" s="7">
        <f t="shared" si="208"/>
        <v>48214</v>
      </c>
      <c r="R222" s="7">
        <f t="shared" si="208"/>
        <v>48580</v>
      </c>
      <c r="S222" s="7">
        <f t="shared" si="208"/>
        <v>48945</v>
      </c>
      <c r="T222" s="7">
        <f t="shared" si="208"/>
        <v>49310</v>
      </c>
      <c r="U222" s="7">
        <f t="shared" si="208"/>
        <v>49675</v>
      </c>
      <c r="V222" s="7">
        <f t="shared" si="208"/>
        <v>50041</v>
      </c>
      <c r="W222" s="7">
        <f t="shared" si="208"/>
        <v>50406</v>
      </c>
      <c r="X222" s="7">
        <f t="shared" si="208"/>
        <v>50771</v>
      </c>
      <c r="Y222" s="7">
        <f t="shared" si="208"/>
        <v>51136</v>
      </c>
      <c r="Z222" s="7">
        <f t="shared" si="208"/>
        <v>51502</v>
      </c>
      <c r="AA222" s="7">
        <f t="shared" si="208"/>
        <v>51867</v>
      </c>
      <c r="AB222" s="7">
        <f t="shared" si="208"/>
        <v>52232</v>
      </c>
      <c r="AC222" s="7">
        <f t="shared" si="208"/>
        <v>52597</v>
      </c>
      <c r="AD222" s="7">
        <f>EDATE(AC222,12)</f>
        <v>52963</v>
      </c>
      <c r="AH222" s="34"/>
    </row>
    <row r="223" spans="2:34" outlineLevel="1" x14ac:dyDescent="0.2">
      <c r="C223" s="8" t="s">
        <v>176</v>
      </c>
      <c r="D223" s="8" t="s">
        <v>178</v>
      </c>
      <c r="E223" s="10" cm="1">
        <f t="array" ref="E223">SUM(
  SUMIFS(
    'PRM Resource Summary'!$E:$E,
    'PRM Resource Summary'!$A:$A,$D$220,
    'PRM Resource Summary'!$B:$B,TRANSPOSE(_xlfn._xlws.FILTER('Results Grouping'!$G$9:$G$322,('Results Grouping'!$H$9:$H$322=$D$219) * ('Results Grouping'!$I$9:$I$322=$D223),0)),
    'PRM Resource Summary'!$C:$C,E$260
  ))</f>
        <v>0</v>
      </c>
      <c r="F223" s="10" cm="1">
        <f t="array" ref="F223">SUM(
  SUMIFS(
    'PRM Resource Summary'!$E:$E,
    'PRM Resource Summary'!$A:$A,$D$220,
    'PRM Resource Summary'!$B:$B,TRANSPOSE(_xlfn._xlws.FILTER('Results Grouping'!$G$9:$G$322,('Results Grouping'!$H$9:$H$322=$D$219) * ('Results Grouping'!$I$9:$I$322=$D223),0)),
    'PRM Resource Summary'!$C:$C,F$260
  ))</f>
        <v>0</v>
      </c>
      <c r="G223" s="10" cm="1">
        <f t="array" ref="G223">SUM(
  SUMIFS(
    'PRM Resource Summary'!$E:$E,
    'PRM Resource Summary'!$A:$A,$D$220,
    'PRM Resource Summary'!$B:$B,TRANSPOSE(_xlfn._xlws.FILTER('Results Grouping'!$G$9:$G$322,('Results Grouping'!$H$9:$H$322=$D$219) * ('Results Grouping'!$I$9:$I$322=$D223),0)),
    'PRM Resource Summary'!$C:$C,G$260
  ))</f>
        <v>0</v>
      </c>
      <c r="H223" s="10" cm="1">
        <f t="array" ref="H223">SUM(
  SUMIFS(
    'PRM Resource Summary'!$E:$E,
    'PRM Resource Summary'!$A:$A,$D$220,
    'PRM Resource Summary'!$B:$B,TRANSPOSE(_xlfn._xlws.FILTER('Results Grouping'!$G$9:$G$322,('Results Grouping'!$H$9:$H$322=$D$219) * ('Results Grouping'!$I$9:$I$322=$D223),0)),
    'PRM Resource Summary'!$C:$C,H$260
  ))</f>
        <v>0</v>
      </c>
      <c r="I223" s="10" cm="1">
        <f t="array" ref="I223">SUM(
  SUMIFS(
    'PRM Resource Summary'!$E:$E,
    'PRM Resource Summary'!$A:$A,$D$220,
    'PRM Resource Summary'!$B:$B,TRANSPOSE(_xlfn._xlws.FILTER('Results Grouping'!$G$9:$G$322,('Results Grouping'!$H$9:$H$322=$D$219) * ('Results Grouping'!$I$9:$I$322=$D223),0)),
    'PRM Resource Summary'!$C:$C,I$260
  ))</f>
        <v>0</v>
      </c>
      <c r="J223" s="10" cm="1">
        <f t="array" ref="J223">SUM(
  SUMIFS(
    'PRM Resource Summary'!$E:$E,
    'PRM Resource Summary'!$A:$A,$D$220,
    'PRM Resource Summary'!$B:$B,TRANSPOSE(_xlfn._xlws.FILTER('Results Grouping'!$G$9:$G$322,('Results Grouping'!$H$9:$H$322=$D$219) * ('Results Grouping'!$I$9:$I$322=$D223),0)),
    'PRM Resource Summary'!$C:$C,J$260
  ))</f>
        <v>0</v>
      </c>
      <c r="K223" s="10" cm="1">
        <f t="array" ref="K223">SUM(
  SUMIFS(
    'PRM Resource Summary'!$E:$E,
    'PRM Resource Summary'!$A:$A,$D$220,
    'PRM Resource Summary'!$B:$B,TRANSPOSE(_xlfn._xlws.FILTER('Results Grouping'!$G$9:$G$322,('Results Grouping'!$H$9:$H$322=$D$219) * ('Results Grouping'!$I$9:$I$322=$D223),0)),
    'PRM Resource Summary'!$C:$C,K$260
  ))</f>
        <v>0</v>
      </c>
      <c r="L223" s="10" cm="1">
        <f t="array" ref="L223">SUM(
  SUMIFS(
    'PRM Resource Summary'!$E:$E,
    'PRM Resource Summary'!$A:$A,$D$220,
    'PRM Resource Summary'!$B:$B,TRANSPOSE(_xlfn._xlws.FILTER('Results Grouping'!$G$9:$G$322,('Results Grouping'!$H$9:$H$322=$D$219) * ('Results Grouping'!$I$9:$I$322=$D223),0)),
    'PRM Resource Summary'!$C:$C,L$260
  ))</f>
        <v>0</v>
      </c>
      <c r="M223" s="10" cm="1">
        <f t="array" ref="M223">SUM(
  SUMIFS(
    'PRM Resource Summary'!$E:$E,
    'PRM Resource Summary'!$A:$A,$D$220,
    'PRM Resource Summary'!$B:$B,TRANSPOSE(_xlfn._xlws.FILTER('Results Grouping'!$G$9:$G$322,('Results Grouping'!$H$9:$H$322=$D$219) * ('Results Grouping'!$I$9:$I$322=$D223),0)),
    'PRM Resource Summary'!$C:$C,M$260
  ))</f>
        <v>0</v>
      </c>
      <c r="N223" s="10" cm="1">
        <f t="array" ref="N223">SUM(
  SUMIFS(
    'PRM Resource Summary'!$E:$E,
    'PRM Resource Summary'!$A:$A,$D$220,
    'PRM Resource Summary'!$B:$B,TRANSPOSE(_xlfn._xlws.FILTER('Results Grouping'!$G$9:$G$322,('Results Grouping'!$H$9:$H$322=$D$219) * ('Results Grouping'!$I$9:$I$322=$D223),0)),
    'PRM Resource Summary'!$C:$C,N$260
  ))</f>
        <v>0</v>
      </c>
      <c r="O223" s="10" cm="1">
        <f t="array" ref="O223">SUM(
  SUMIFS(
    'PRM Resource Summary'!$E:$E,
    'PRM Resource Summary'!$A:$A,$D$220,
    'PRM Resource Summary'!$B:$B,TRANSPOSE(_xlfn._xlws.FILTER('Results Grouping'!$G$9:$G$322,('Results Grouping'!$H$9:$H$322=$D$219) * ('Results Grouping'!$I$9:$I$322=$D223),0)),
    'PRM Resource Summary'!$C:$C,O$260
  ))</f>
        <v>0</v>
      </c>
      <c r="P223" s="10" cm="1">
        <f t="array" ref="P223">SUM(
  SUMIFS(
    'PRM Resource Summary'!$E:$E,
    'PRM Resource Summary'!$A:$A,$D$220,
    'PRM Resource Summary'!$B:$B,TRANSPOSE(_xlfn._xlws.FILTER('Results Grouping'!$G$9:$G$322,('Results Grouping'!$H$9:$H$322=$D$219) * ('Results Grouping'!$I$9:$I$322=$D223),0)),
    'PRM Resource Summary'!$C:$C,P$260
  ))</f>
        <v>0</v>
      </c>
      <c r="Q223" s="10" cm="1">
        <f t="array" ref="Q223">SUM(
  SUMIFS(
    'PRM Resource Summary'!$E:$E,
    'PRM Resource Summary'!$A:$A,$D$220,
    'PRM Resource Summary'!$B:$B,TRANSPOSE(_xlfn._xlws.FILTER('Results Grouping'!$G$9:$G$322,('Results Grouping'!$H$9:$H$322=$D$219) * ('Results Grouping'!$I$9:$I$322=$D223),0)),
    'PRM Resource Summary'!$C:$C,Q$260
  ))</f>
        <v>0</v>
      </c>
      <c r="R223" s="10" cm="1">
        <f t="array" ref="R223">SUM(
  SUMIFS(
    'PRM Resource Summary'!$E:$E,
    'PRM Resource Summary'!$A:$A,$D$220,
    'PRM Resource Summary'!$B:$B,TRANSPOSE(_xlfn._xlws.FILTER('Results Grouping'!$G$9:$G$322,('Results Grouping'!$H$9:$H$322=$D$219) * ('Results Grouping'!$I$9:$I$322=$D223),0)),
    'PRM Resource Summary'!$C:$C,R$260
  ))</f>
        <v>0</v>
      </c>
      <c r="S223" s="10" cm="1">
        <f t="array" ref="S223">SUM(
  SUMIFS(
    'PRM Resource Summary'!$E:$E,
    'PRM Resource Summary'!$A:$A,$D$220,
    'PRM Resource Summary'!$B:$B,TRANSPOSE(_xlfn._xlws.FILTER('Results Grouping'!$G$9:$G$322,('Results Grouping'!$H$9:$H$322=$D$219) * ('Results Grouping'!$I$9:$I$322=$D223),0)),
    'PRM Resource Summary'!$C:$C,S$260
  ))</f>
        <v>0</v>
      </c>
      <c r="T223" s="10" cm="1">
        <f t="array" ref="T223">SUM(
  SUMIFS(
    'PRM Resource Summary'!$E:$E,
    'PRM Resource Summary'!$A:$A,$D$220,
    'PRM Resource Summary'!$B:$B,TRANSPOSE(_xlfn._xlws.FILTER('Results Grouping'!$G$9:$G$322,('Results Grouping'!$H$9:$H$322=$D$219) * ('Results Grouping'!$I$9:$I$322=$D223),0)),
    'PRM Resource Summary'!$C:$C,T$260
  ))</f>
        <v>0</v>
      </c>
      <c r="U223" s="10" cm="1">
        <f t="array" ref="U223">SUM(
  SUMIFS(
    'PRM Resource Summary'!$E:$E,
    'PRM Resource Summary'!$A:$A,$D$220,
    'PRM Resource Summary'!$B:$B,TRANSPOSE(_xlfn._xlws.FILTER('Results Grouping'!$G$9:$G$322,('Results Grouping'!$H$9:$H$322=$D$219) * ('Results Grouping'!$I$9:$I$322=$D223),0)),
    'PRM Resource Summary'!$C:$C,U$260
  ))</f>
        <v>0</v>
      </c>
      <c r="V223" s="10" cm="1">
        <f t="array" ref="V223">SUM(
  SUMIFS(
    'PRM Resource Summary'!$E:$E,
    'PRM Resource Summary'!$A:$A,$D$220,
    'PRM Resource Summary'!$B:$B,TRANSPOSE(_xlfn._xlws.FILTER('Results Grouping'!$G$9:$G$322,('Results Grouping'!$H$9:$H$322=$D$219) * ('Results Grouping'!$I$9:$I$322=$D223),0)),
    'PRM Resource Summary'!$C:$C,V$260
  ))</f>
        <v>0</v>
      </c>
      <c r="W223" s="10" cm="1">
        <f t="array" ref="W223">SUM(
  SUMIFS(
    'PRM Resource Summary'!$E:$E,
    'PRM Resource Summary'!$A:$A,$D$220,
    'PRM Resource Summary'!$B:$B,TRANSPOSE(_xlfn._xlws.FILTER('Results Grouping'!$G$9:$G$322,('Results Grouping'!$H$9:$H$322=$D$219) * ('Results Grouping'!$I$9:$I$322=$D223),0)),
    'PRM Resource Summary'!$C:$C,W$260
  ))</f>
        <v>0</v>
      </c>
      <c r="X223" s="10" cm="1">
        <f t="array" ref="X223">SUM(
  SUMIFS(
    'PRM Resource Summary'!$E:$E,
    'PRM Resource Summary'!$A:$A,$D$220,
    'PRM Resource Summary'!$B:$B,TRANSPOSE(_xlfn._xlws.FILTER('Results Grouping'!$G$9:$G$322,('Results Grouping'!$H$9:$H$322=$D$219) * ('Results Grouping'!$I$9:$I$322=$D223),0)),
    'PRM Resource Summary'!$C:$C,X$260
  ))</f>
        <v>0</v>
      </c>
      <c r="Y223" s="10" cm="1">
        <f t="array" ref="Y223">SUM(
  SUMIFS(
    'PRM Resource Summary'!$E:$E,
    'PRM Resource Summary'!$A:$A,$D$220,
    'PRM Resource Summary'!$B:$B,TRANSPOSE(_xlfn._xlws.FILTER('Results Grouping'!$G$9:$G$322,('Results Grouping'!$H$9:$H$322=$D$219) * ('Results Grouping'!$I$9:$I$322=$D223),0)),
    'PRM Resource Summary'!$C:$C,Y$260
  ))</f>
        <v>0</v>
      </c>
      <c r="Z223" s="10" cm="1">
        <f t="array" ref="Z223">SUM(
  SUMIFS(
    'PRM Resource Summary'!$E:$E,
    'PRM Resource Summary'!$A:$A,$D$220,
    'PRM Resource Summary'!$B:$B,TRANSPOSE(_xlfn._xlws.FILTER('Results Grouping'!$G$9:$G$322,('Results Grouping'!$H$9:$H$322=$D$219) * ('Results Grouping'!$I$9:$I$322=$D223),0)),
    'PRM Resource Summary'!$C:$C,Z$260
  ))</f>
        <v>0</v>
      </c>
      <c r="AA223" s="10" cm="1">
        <f t="array" ref="AA223">SUM(
  SUMIFS(
    'PRM Resource Summary'!$E:$E,
    'PRM Resource Summary'!$A:$A,$D$220,
    'PRM Resource Summary'!$B:$B,TRANSPOSE(_xlfn._xlws.FILTER('Results Grouping'!$G$9:$G$322,('Results Grouping'!$H$9:$H$322=$D$219) * ('Results Grouping'!$I$9:$I$322=$D223),0)),
    'PRM Resource Summary'!$C:$C,AA$260
  ))</f>
        <v>0</v>
      </c>
      <c r="AB223" s="10" cm="1">
        <f t="array" ref="AB223">SUM(
  SUMIFS(
    'PRM Resource Summary'!$E:$E,
    'PRM Resource Summary'!$A:$A,$D$220,
    'PRM Resource Summary'!$B:$B,TRANSPOSE(_xlfn._xlws.FILTER('Results Grouping'!$G$9:$G$322,('Results Grouping'!$H$9:$H$322=$D$219) * ('Results Grouping'!$I$9:$I$322=$D223),0)),
    'PRM Resource Summary'!$C:$C,AB$260
  ))</f>
        <v>0</v>
      </c>
      <c r="AC223" s="10" cm="1">
        <f t="array" ref="AC223">SUM(
  SUMIFS(
    'PRM Resource Summary'!$E:$E,
    'PRM Resource Summary'!$A:$A,$D$220,
    'PRM Resource Summary'!$B:$B,TRANSPOSE(_xlfn._xlws.FILTER('Results Grouping'!$G$9:$G$322,('Results Grouping'!$H$9:$H$322=$D$219) * ('Results Grouping'!$I$9:$I$322=$D223),0)),
    'PRM Resource Summary'!$C:$C,AC$260
  ))</f>
        <v>0</v>
      </c>
      <c r="AD223" s="10" cm="1">
        <f t="array" ref="AD223">SUM(
  SUMIFS(
    'PRM Resource Summary'!$E:$E,
    'PRM Resource Summary'!$A:$A,$D$220,
    'PRM Resource Summary'!$B:$B,TRANSPOSE(_xlfn._xlws.FILTER('Results Grouping'!$G$9:$G$322,('Results Grouping'!$H$9:$H$322=$D$219) * ('Results Grouping'!$I$9:$I$322=$D223),0)),
    'PRM Resource Summary'!$C:$C,AD$260
  ))</f>
        <v>19103.346625587143</v>
      </c>
      <c r="AH223" s="34"/>
    </row>
    <row r="224" spans="2:34" outlineLevel="1" x14ac:dyDescent="0.2">
      <c r="C224" s="8" t="s">
        <v>176</v>
      </c>
      <c r="D224" s="8" t="s">
        <v>179</v>
      </c>
      <c r="E224" s="10" cm="1">
        <f t="array" ref="E224">SUM(
  SUMIFS(
    'PRM Resource Summary'!$E:$E,
    'PRM Resource Summary'!$A:$A,$D$220,
    'PRM Resource Summary'!$B:$B,TRANSPOSE(_xlfn._xlws.FILTER('Results Grouping'!$G$9:$G$322,('Results Grouping'!$H$9:$H$322=$D$219) * ('Results Grouping'!$I$9:$I$322=$D224),0)),
    'PRM Resource Summary'!$C:$C,E$260
  ))</f>
        <v>0</v>
      </c>
      <c r="F224" s="10" cm="1">
        <f t="array" ref="F224">SUM(
  SUMIFS(
    'PRM Resource Summary'!$E:$E,
    'PRM Resource Summary'!$A:$A,$D$220,
    'PRM Resource Summary'!$B:$B,TRANSPOSE(_xlfn._xlws.FILTER('Results Grouping'!$G$9:$G$322,('Results Grouping'!$H$9:$H$322=$D$219) * ('Results Grouping'!$I$9:$I$322=$D224),0)),
    'PRM Resource Summary'!$C:$C,F$260
  ))</f>
        <v>0</v>
      </c>
      <c r="G224" s="10" cm="1">
        <f t="array" ref="G224">SUM(
  SUMIFS(
    'PRM Resource Summary'!$E:$E,
    'PRM Resource Summary'!$A:$A,$D$220,
    'PRM Resource Summary'!$B:$B,TRANSPOSE(_xlfn._xlws.FILTER('Results Grouping'!$G$9:$G$322,('Results Grouping'!$H$9:$H$322=$D$219) * ('Results Grouping'!$I$9:$I$322=$D224),0)),
    'PRM Resource Summary'!$C:$C,G$260
  ))</f>
        <v>0</v>
      </c>
      <c r="H224" s="10" cm="1">
        <f t="array" ref="H224">SUM(
  SUMIFS(
    'PRM Resource Summary'!$E:$E,
    'PRM Resource Summary'!$A:$A,$D$220,
    'PRM Resource Summary'!$B:$B,TRANSPOSE(_xlfn._xlws.FILTER('Results Grouping'!$G$9:$G$322,('Results Grouping'!$H$9:$H$322=$D$219) * ('Results Grouping'!$I$9:$I$322=$D224),0)),
    'PRM Resource Summary'!$C:$C,H$260
  ))</f>
        <v>0</v>
      </c>
      <c r="I224" s="10" cm="1">
        <f t="array" ref="I224">SUM(
  SUMIFS(
    'PRM Resource Summary'!$E:$E,
    'PRM Resource Summary'!$A:$A,$D$220,
    'PRM Resource Summary'!$B:$B,TRANSPOSE(_xlfn._xlws.FILTER('Results Grouping'!$G$9:$G$322,('Results Grouping'!$H$9:$H$322=$D$219) * ('Results Grouping'!$I$9:$I$322=$D224),0)),
    'PRM Resource Summary'!$C:$C,I$260
  ))</f>
        <v>0</v>
      </c>
      <c r="J224" s="10" cm="1">
        <f t="array" ref="J224">SUM(
  SUMIFS(
    'PRM Resource Summary'!$E:$E,
    'PRM Resource Summary'!$A:$A,$D$220,
    'PRM Resource Summary'!$B:$B,TRANSPOSE(_xlfn._xlws.FILTER('Results Grouping'!$G$9:$G$322,('Results Grouping'!$H$9:$H$322=$D$219) * ('Results Grouping'!$I$9:$I$322=$D224),0)),
    'PRM Resource Summary'!$C:$C,J$260
  ))</f>
        <v>0</v>
      </c>
      <c r="K224" s="10" cm="1">
        <f t="array" ref="K224">SUM(
  SUMIFS(
    'PRM Resource Summary'!$E:$E,
    'PRM Resource Summary'!$A:$A,$D$220,
    'PRM Resource Summary'!$B:$B,TRANSPOSE(_xlfn._xlws.FILTER('Results Grouping'!$G$9:$G$322,('Results Grouping'!$H$9:$H$322=$D$219) * ('Results Grouping'!$I$9:$I$322=$D224),0)),
    'PRM Resource Summary'!$C:$C,K$260
  ))</f>
        <v>0</v>
      </c>
      <c r="L224" s="10" cm="1">
        <f t="array" ref="L224">SUM(
  SUMIFS(
    'PRM Resource Summary'!$E:$E,
    'PRM Resource Summary'!$A:$A,$D$220,
    'PRM Resource Summary'!$B:$B,TRANSPOSE(_xlfn._xlws.FILTER('Results Grouping'!$G$9:$G$322,('Results Grouping'!$H$9:$H$322=$D$219) * ('Results Grouping'!$I$9:$I$322=$D224),0)),
    'PRM Resource Summary'!$C:$C,L$260
  ))</f>
        <v>0</v>
      </c>
      <c r="M224" s="10" cm="1">
        <f t="array" ref="M224">SUM(
  SUMIFS(
    'PRM Resource Summary'!$E:$E,
    'PRM Resource Summary'!$A:$A,$D$220,
    'PRM Resource Summary'!$B:$B,TRANSPOSE(_xlfn._xlws.FILTER('Results Grouping'!$G$9:$G$322,('Results Grouping'!$H$9:$H$322=$D$219) * ('Results Grouping'!$I$9:$I$322=$D224),0)),
    'PRM Resource Summary'!$C:$C,M$260
  ))</f>
        <v>0</v>
      </c>
      <c r="N224" s="10" cm="1">
        <f t="array" ref="N224">SUM(
  SUMIFS(
    'PRM Resource Summary'!$E:$E,
    'PRM Resource Summary'!$A:$A,$D$220,
    'PRM Resource Summary'!$B:$B,TRANSPOSE(_xlfn._xlws.FILTER('Results Grouping'!$G$9:$G$322,('Results Grouping'!$H$9:$H$322=$D$219) * ('Results Grouping'!$I$9:$I$322=$D224),0)),
    'PRM Resource Summary'!$C:$C,N$260
  ))</f>
        <v>0</v>
      </c>
      <c r="O224" s="10" cm="1">
        <f t="array" ref="O224">SUM(
  SUMIFS(
    'PRM Resource Summary'!$E:$E,
    'PRM Resource Summary'!$A:$A,$D$220,
    'PRM Resource Summary'!$B:$B,TRANSPOSE(_xlfn._xlws.FILTER('Results Grouping'!$G$9:$G$322,('Results Grouping'!$H$9:$H$322=$D$219) * ('Results Grouping'!$I$9:$I$322=$D224),0)),
    'PRM Resource Summary'!$C:$C,O$260
  ))</f>
        <v>0</v>
      </c>
      <c r="P224" s="10" cm="1">
        <f t="array" ref="P224">SUM(
  SUMIFS(
    'PRM Resource Summary'!$E:$E,
    'PRM Resource Summary'!$A:$A,$D$220,
    'PRM Resource Summary'!$B:$B,TRANSPOSE(_xlfn._xlws.FILTER('Results Grouping'!$G$9:$G$322,('Results Grouping'!$H$9:$H$322=$D$219) * ('Results Grouping'!$I$9:$I$322=$D224),0)),
    'PRM Resource Summary'!$C:$C,P$260
  ))</f>
        <v>0</v>
      </c>
      <c r="Q224" s="10" cm="1">
        <f t="array" ref="Q224">SUM(
  SUMIFS(
    'PRM Resource Summary'!$E:$E,
    'PRM Resource Summary'!$A:$A,$D$220,
    'PRM Resource Summary'!$B:$B,TRANSPOSE(_xlfn._xlws.FILTER('Results Grouping'!$G$9:$G$322,('Results Grouping'!$H$9:$H$322=$D$219) * ('Results Grouping'!$I$9:$I$322=$D224),0)),
    'PRM Resource Summary'!$C:$C,Q$260
  ))</f>
        <v>0</v>
      </c>
      <c r="R224" s="10" cm="1">
        <f t="array" ref="R224">SUM(
  SUMIFS(
    'PRM Resource Summary'!$E:$E,
    'PRM Resource Summary'!$A:$A,$D$220,
    'PRM Resource Summary'!$B:$B,TRANSPOSE(_xlfn._xlws.FILTER('Results Grouping'!$G$9:$G$322,('Results Grouping'!$H$9:$H$322=$D$219) * ('Results Grouping'!$I$9:$I$322=$D224),0)),
    'PRM Resource Summary'!$C:$C,R$260
  ))</f>
        <v>0</v>
      </c>
      <c r="S224" s="10" cm="1">
        <f t="array" ref="S224">SUM(
  SUMIFS(
    'PRM Resource Summary'!$E:$E,
    'PRM Resource Summary'!$A:$A,$D$220,
    'PRM Resource Summary'!$B:$B,TRANSPOSE(_xlfn._xlws.FILTER('Results Grouping'!$G$9:$G$322,('Results Grouping'!$H$9:$H$322=$D$219) * ('Results Grouping'!$I$9:$I$322=$D224),0)),
    'PRM Resource Summary'!$C:$C,S$260
  ))</f>
        <v>0</v>
      </c>
      <c r="T224" s="10" cm="1">
        <f t="array" ref="T224">SUM(
  SUMIFS(
    'PRM Resource Summary'!$E:$E,
    'PRM Resource Summary'!$A:$A,$D$220,
    'PRM Resource Summary'!$B:$B,TRANSPOSE(_xlfn._xlws.FILTER('Results Grouping'!$G$9:$G$322,('Results Grouping'!$H$9:$H$322=$D$219) * ('Results Grouping'!$I$9:$I$322=$D224),0)),
    'PRM Resource Summary'!$C:$C,T$260
  ))</f>
        <v>0</v>
      </c>
      <c r="U224" s="10" cm="1">
        <f t="array" ref="U224">SUM(
  SUMIFS(
    'PRM Resource Summary'!$E:$E,
    'PRM Resource Summary'!$A:$A,$D$220,
    'PRM Resource Summary'!$B:$B,TRANSPOSE(_xlfn._xlws.FILTER('Results Grouping'!$G$9:$G$322,('Results Grouping'!$H$9:$H$322=$D$219) * ('Results Grouping'!$I$9:$I$322=$D224),0)),
    'PRM Resource Summary'!$C:$C,U$260
  ))</f>
        <v>0</v>
      </c>
      <c r="V224" s="10" cm="1">
        <f t="array" ref="V224">SUM(
  SUMIFS(
    'PRM Resource Summary'!$E:$E,
    'PRM Resource Summary'!$A:$A,$D$220,
    'PRM Resource Summary'!$B:$B,TRANSPOSE(_xlfn._xlws.FILTER('Results Grouping'!$G$9:$G$322,('Results Grouping'!$H$9:$H$322=$D$219) * ('Results Grouping'!$I$9:$I$322=$D224),0)),
    'PRM Resource Summary'!$C:$C,V$260
  ))</f>
        <v>0</v>
      </c>
      <c r="W224" s="10" cm="1">
        <f t="array" ref="W224">SUM(
  SUMIFS(
    'PRM Resource Summary'!$E:$E,
    'PRM Resource Summary'!$A:$A,$D$220,
    'PRM Resource Summary'!$B:$B,TRANSPOSE(_xlfn._xlws.FILTER('Results Grouping'!$G$9:$G$322,('Results Grouping'!$H$9:$H$322=$D$219) * ('Results Grouping'!$I$9:$I$322=$D224),0)),
    'PRM Resource Summary'!$C:$C,W$260
  ))</f>
        <v>0</v>
      </c>
      <c r="X224" s="10" cm="1">
        <f t="array" ref="X224">SUM(
  SUMIFS(
    'PRM Resource Summary'!$E:$E,
    'PRM Resource Summary'!$A:$A,$D$220,
    'PRM Resource Summary'!$B:$B,TRANSPOSE(_xlfn._xlws.FILTER('Results Grouping'!$G$9:$G$322,('Results Grouping'!$H$9:$H$322=$D$219) * ('Results Grouping'!$I$9:$I$322=$D224),0)),
    'PRM Resource Summary'!$C:$C,X$260
  ))</f>
        <v>0</v>
      </c>
      <c r="Y224" s="10" cm="1">
        <f t="array" ref="Y224">SUM(
  SUMIFS(
    'PRM Resource Summary'!$E:$E,
    'PRM Resource Summary'!$A:$A,$D$220,
    'PRM Resource Summary'!$B:$B,TRANSPOSE(_xlfn._xlws.FILTER('Results Grouping'!$G$9:$G$322,('Results Grouping'!$H$9:$H$322=$D$219) * ('Results Grouping'!$I$9:$I$322=$D224),0)),
    'PRM Resource Summary'!$C:$C,Y$260
  ))</f>
        <v>0</v>
      </c>
      <c r="Z224" s="10" cm="1">
        <f t="array" ref="Z224">SUM(
  SUMIFS(
    'PRM Resource Summary'!$E:$E,
    'PRM Resource Summary'!$A:$A,$D$220,
    'PRM Resource Summary'!$B:$B,TRANSPOSE(_xlfn._xlws.FILTER('Results Grouping'!$G$9:$G$322,('Results Grouping'!$H$9:$H$322=$D$219) * ('Results Grouping'!$I$9:$I$322=$D224),0)),
    'PRM Resource Summary'!$C:$C,Z$260
  ))</f>
        <v>0</v>
      </c>
      <c r="AA224" s="10" cm="1">
        <f t="array" ref="AA224">SUM(
  SUMIFS(
    'PRM Resource Summary'!$E:$E,
    'PRM Resource Summary'!$A:$A,$D$220,
    'PRM Resource Summary'!$B:$B,TRANSPOSE(_xlfn._xlws.FILTER('Results Grouping'!$G$9:$G$322,('Results Grouping'!$H$9:$H$322=$D$219) * ('Results Grouping'!$I$9:$I$322=$D224),0)),
    'PRM Resource Summary'!$C:$C,AA$260
  ))</f>
        <v>0</v>
      </c>
      <c r="AB224" s="10" cm="1">
        <f t="array" ref="AB224">SUM(
  SUMIFS(
    'PRM Resource Summary'!$E:$E,
    'PRM Resource Summary'!$A:$A,$D$220,
    'PRM Resource Summary'!$B:$B,TRANSPOSE(_xlfn._xlws.FILTER('Results Grouping'!$G$9:$G$322,('Results Grouping'!$H$9:$H$322=$D$219) * ('Results Grouping'!$I$9:$I$322=$D224),0)),
    'PRM Resource Summary'!$C:$C,AB$260
  ))</f>
        <v>0</v>
      </c>
      <c r="AC224" s="10" cm="1">
        <f t="array" ref="AC224">SUM(
  SUMIFS(
    'PRM Resource Summary'!$E:$E,
    'PRM Resource Summary'!$A:$A,$D$220,
    'PRM Resource Summary'!$B:$B,TRANSPOSE(_xlfn._xlws.FILTER('Results Grouping'!$G$9:$G$322,('Results Grouping'!$H$9:$H$322=$D$219) * ('Results Grouping'!$I$9:$I$322=$D224),0)),
    'PRM Resource Summary'!$C:$C,AC$260
  ))</f>
        <v>0</v>
      </c>
      <c r="AD224" s="10" cm="1">
        <f t="array" ref="AD224">SUM(
  SUMIFS(
    'PRM Resource Summary'!$E:$E,
    'PRM Resource Summary'!$A:$A,$D$220,
    'PRM Resource Summary'!$B:$B,TRANSPOSE(_xlfn._xlws.FILTER('Results Grouping'!$G$9:$G$322,('Results Grouping'!$H$9:$H$322=$D$219) * ('Results Grouping'!$I$9:$I$322=$D224),0)),
    'PRM Resource Summary'!$C:$C,AD$260
  ))</f>
        <v>7793.8779751046832</v>
      </c>
      <c r="AH224" s="34"/>
    </row>
    <row r="225" spans="3:34" outlineLevel="1" x14ac:dyDescent="0.2">
      <c r="C225" s="8" t="s">
        <v>176</v>
      </c>
      <c r="D225" s="8" t="s">
        <v>180</v>
      </c>
      <c r="E225" s="10" cm="1">
        <f t="array" ref="E225">SUM(
  SUMIFS(
    'PRM Resource Summary'!$E:$E,
    'PRM Resource Summary'!$A:$A,$D$220,
    'PRM Resource Summary'!$B:$B,TRANSPOSE(_xlfn._xlws.FILTER('Results Grouping'!$G$9:$G$322,('Results Grouping'!$H$9:$H$322=$D$219) * ('Results Grouping'!$I$9:$I$322=$D225),0)),
    'PRM Resource Summary'!$C:$C,E$260
  ))</f>
        <v>0</v>
      </c>
      <c r="F225" s="10" cm="1">
        <f t="array" ref="F225">SUM(
  SUMIFS(
    'PRM Resource Summary'!$E:$E,
    'PRM Resource Summary'!$A:$A,$D$220,
    'PRM Resource Summary'!$B:$B,TRANSPOSE(_xlfn._xlws.FILTER('Results Grouping'!$G$9:$G$322,('Results Grouping'!$H$9:$H$322=$D$219) * ('Results Grouping'!$I$9:$I$322=$D225),0)),
    'PRM Resource Summary'!$C:$C,F$260
  ))</f>
        <v>0</v>
      </c>
      <c r="G225" s="10" cm="1">
        <f t="array" ref="G225">SUM(
  SUMIFS(
    'PRM Resource Summary'!$E:$E,
    'PRM Resource Summary'!$A:$A,$D$220,
    'PRM Resource Summary'!$B:$B,TRANSPOSE(_xlfn._xlws.FILTER('Results Grouping'!$G$9:$G$322,('Results Grouping'!$H$9:$H$322=$D$219) * ('Results Grouping'!$I$9:$I$322=$D225),0)),
    'PRM Resource Summary'!$C:$C,G$260
  ))</f>
        <v>0</v>
      </c>
      <c r="H225" s="10" cm="1">
        <f t="array" ref="H225">SUM(
  SUMIFS(
    'PRM Resource Summary'!$E:$E,
    'PRM Resource Summary'!$A:$A,$D$220,
    'PRM Resource Summary'!$B:$B,TRANSPOSE(_xlfn._xlws.FILTER('Results Grouping'!$G$9:$G$322,('Results Grouping'!$H$9:$H$322=$D$219) * ('Results Grouping'!$I$9:$I$322=$D225),0)),
    'PRM Resource Summary'!$C:$C,H$260
  ))</f>
        <v>0</v>
      </c>
      <c r="I225" s="10" cm="1">
        <f t="array" ref="I225">SUM(
  SUMIFS(
    'PRM Resource Summary'!$E:$E,
    'PRM Resource Summary'!$A:$A,$D$220,
    'PRM Resource Summary'!$B:$B,TRANSPOSE(_xlfn._xlws.FILTER('Results Grouping'!$G$9:$G$322,('Results Grouping'!$H$9:$H$322=$D$219) * ('Results Grouping'!$I$9:$I$322=$D225),0)),
    'PRM Resource Summary'!$C:$C,I$260
  ))</f>
        <v>0</v>
      </c>
      <c r="J225" s="10" cm="1">
        <f t="array" ref="J225">SUM(
  SUMIFS(
    'PRM Resource Summary'!$E:$E,
    'PRM Resource Summary'!$A:$A,$D$220,
    'PRM Resource Summary'!$B:$B,TRANSPOSE(_xlfn._xlws.FILTER('Results Grouping'!$G$9:$G$322,('Results Grouping'!$H$9:$H$322=$D$219) * ('Results Grouping'!$I$9:$I$322=$D225),0)),
    'PRM Resource Summary'!$C:$C,J$260
  ))</f>
        <v>0</v>
      </c>
      <c r="K225" s="10" cm="1">
        <f t="array" ref="K225">SUM(
  SUMIFS(
    'PRM Resource Summary'!$E:$E,
    'PRM Resource Summary'!$A:$A,$D$220,
    'PRM Resource Summary'!$B:$B,TRANSPOSE(_xlfn._xlws.FILTER('Results Grouping'!$G$9:$G$322,('Results Grouping'!$H$9:$H$322=$D$219) * ('Results Grouping'!$I$9:$I$322=$D225),0)),
    'PRM Resource Summary'!$C:$C,K$260
  ))</f>
        <v>0</v>
      </c>
      <c r="L225" s="10" cm="1">
        <f t="array" ref="L225">SUM(
  SUMIFS(
    'PRM Resource Summary'!$E:$E,
    'PRM Resource Summary'!$A:$A,$D$220,
    'PRM Resource Summary'!$B:$B,TRANSPOSE(_xlfn._xlws.FILTER('Results Grouping'!$G$9:$G$322,('Results Grouping'!$H$9:$H$322=$D$219) * ('Results Grouping'!$I$9:$I$322=$D225),0)),
    'PRM Resource Summary'!$C:$C,L$260
  ))</f>
        <v>0</v>
      </c>
      <c r="M225" s="10" cm="1">
        <f t="array" ref="M225">SUM(
  SUMIFS(
    'PRM Resource Summary'!$E:$E,
    'PRM Resource Summary'!$A:$A,$D$220,
    'PRM Resource Summary'!$B:$B,TRANSPOSE(_xlfn._xlws.FILTER('Results Grouping'!$G$9:$G$322,('Results Grouping'!$H$9:$H$322=$D$219) * ('Results Grouping'!$I$9:$I$322=$D225),0)),
    'PRM Resource Summary'!$C:$C,M$260
  ))</f>
        <v>0</v>
      </c>
      <c r="N225" s="10" cm="1">
        <f t="array" ref="N225">SUM(
  SUMIFS(
    'PRM Resource Summary'!$E:$E,
    'PRM Resource Summary'!$A:$A,$D$220,
    'PRM Resource Summary'!$B:$B,TRANSPOSE(_xlfn._xlws.FILTER('Results Grouping'!$G$9:$G$322,('Results Grouping'!$H$9:$H$322=$D$219) * ('Results Grouping'!$I$9:$I$322=$D225),0)),
    'PRM Resource Summary'!$C:$C,N$260
  ))</f>
        <v>0</v>
      </c>
      <c r="O225" s="10" cm="1">
        <f t="array" ref="O225">SUM(
  SUMIFS(
    'PRM Resource Summary'!$E:$E,
    'PRM Resource Summary'!$A:$A,$D$220,
    'PRM Resource Summary'!$B:$B,TRANSPOSE(_xlfn._xlws.FILTER('Results Grouping'!$G$9:$G$322,('Results Grouping'!$H$9:$H$322=$D$219) * ('Results Grouping'!$I$9:$I$322=$D225),0)),
    'PRM Resource Summary'!$C:$C,O$260
  ))</f>
        <v>0</v>
      </c>
      <c r="P225" s="10" cm="1">
        <f t="array" ref="P225">SUM(
  SUMIFS(
    'PRM Resource Summary'!$E:$E,
    'PRM Resource Summary'!$A:$A,$D$220,
    'PRM Resource Summary'!$B:$B,TRANSPOSE(_xlfn._xlws.FILTER('Results Grouping'!$G$9:$G$322,('Results Grouping'!$H$9:$H$322=$D$219) * ('Results Grouping'!$I$9:$I$322=$D225),0)),
    'PRM Resource Summary'!$C:$C,P$260
  ))</f>
        <v>0</v>
      </c>
      <c r="Q225" s="10" cm="1">
        <f t="array" ref="Q225">SUM(
  SUMIFS(
    'PRM Resource Summary'!$E:$E,
    'PRM Resource Summary'!$A:$A,$D$220,
    'PRM Resource Summary'!$B:$B,TRANSPOSE(_xlfn._xlws.FILTER('Results Grouping'!$G$9:$G$322,('Results Grouping'!$H$9:$H$322=$D$219) * ('Results Grouping'!$I$9:$I$322=$D225),0)),
    'PRM Resource Summary'!$C:$C,Q$260
  ))</f>
        <v>0</v>
      </c>
      <c r="R225" s="10" cm="1">
        <f t="array" ref="R225">SUM(
  SUMIFS(
    'PRM Resource Summary'!$E:$E,
    'PRM Resource Summary'!$A:$A,$D$220,
    'PRM Resource Summary'!$B:$B,TRANSPOSE(_xlfn._xlws.FILTER('Results Grouping'!$G$9:$G$322,('Results Grouping'!$H$9:$H$322=$D$219) * ('Results Grouping'!$I$9:$I$322=$D225),0)),
    'PRM Resource Summary'!$C:$C,R$260
  ))</f>
        <v>0</v>
      </c>
      <c r="S225" s="10" cm="1">
        <f t="array" ref="S225">SUM(
  SUMIFS(
    'PRM Resource Summary'!$E:$E,
    'PRM Resource Summary'!$A:$A,$D$220,
    'PRM Resource Summary'!$B:$B,TRANSPOSE(_xlfn._xlws.FILTER('Results Grouping'!$G$9:$G$322,('Results Grouping'!$H$9:$H$322=$D$219) * ('Results Grouping'!$I$9:$I$322=$D225),0)),
    'PRM Resource Summary'!$C:$C,S$260
  ))</f>
        <v>0</v>
      </c>
      <c r="T225" s="10" cm="1">
        <f t="array" ref="T225">SUM(
  SUMIFS(
    'PRM Resource Summary'!$E:$E,
    'PRM Resource Summary'!$A:$A,$D$220,
    'PRM Resource Summary'!$B:$B,TRANSPOSE(_xlfn._xlws.FILTER('Results Grouping'!$G$9:$G$322,('Results Grouping'!$H$9:$H$322=$D$219) * ('Results Grouping'!$I$9:$I$322=$D225),0)),
    'PRM Resource Summary'!$C:$C,T$260
  ))</f>
        <v>0</v>
      </c>
      <c r="U225" s="10" cm="1">
        <f t="array" ref="U225">SUM(
  SUMIFS(
    'PRM Resource Summary'!$E:$E,
    'PRM Resource Summary'!$A:$A,$D$220,
    'PRM Resource Summary'!$B:$B,TRANSPOSE(_xlfn._xlws.FILTER('Results Grouping'!$G$9:$G$322,('Results Grouping'!$H$9:$H$322=$D$219) * ('Results Grouping'!$I$9:$I$322=$D225),0)),
    'PRM Resource Summary'!$C:$C,U$260
  ))</f>
        <v>0</v>
      </c>
      <c r="V225" s="10" cm="1">
        <f t="array" ref="V225">SUM(
  SUMIFS(
    'PRM Resource Summary'!$E:$E,
    'PRM Resource Summary'!$A:$A,$D$220,
    'PRM Resource Summary'!$B:$B,TRANSPOSE(_xlfn._xlws.FILTER('Results Grouping'!$G$9:$G$322,('Results Grouping'!$H$9:$H$322=$D$219) * ('Results Grouping'!$I$9:$I$322=$D225),0)),
    'PRM Resource Summary'!$C:$C,V$260
  ))</f>
        <v>0</v>
      </c>
      <c r="W225" s="10" cm="1">
        <f t="array" ref="W225">SUM(
  SUMIFS(
    'PRM Resource Summary'!$E:$E,
    'PRM Resource Summary'!$A:$A,$D$220,
    'PRM Resource Summary'!$B:$B,TRANSPOSE(_xlfn._xlws.FILTER('Results Grouping'!$G$9:$G$322,('Results Grouping'!$H$9:$H$322=$D$219) * ('Results Grouping'!$I$9:$I$322=$D225),0)),
    'PRM Resource Summary'!$C:$C,W$260
  ))</f>
        <v>0</v>
      </c>
      <c r="X225" s="10" cm="1">
        <f t="array" ref="X225">SUM(
  SUMIFS(
    'PRM Resource Summary'!$E:$E,
    'PRM Resource Summary'!$A:$A,$D$220,
    'PRM Resource Summary'!$B:$B,TRANSPOSE(_xlfn._xlws.FILTER('Results Grouping'!$G$9:$G$322,('Results Grouping'!$H$9:$H$322=$D$219) * ('Results Grouping'!$I$9:$I$322=$D225),0)),
    'PRM Resource Summary'!$C:$C,X$260
  ))</f>
        <v>0</v>
      </c>
      <c r="Y225" s="10" cm="1">
        <f t="array" ref="Y225">SUM(
  SUMIFS(
    'PRM Resource Summary'!$E:$E,
    'PRM Resource Summary'!$A:$A,$D$220,
    'PRM Resource Summary'!$B:$B,TRANSPOSE(_xlfn._xlws.FILTER('Results Grouping'!$G$9:$G$322,('Results Grouping'!$H$9:$H$322=$D$219) * ('Results Grouping'!$I$9:$I$322=$D225),0)),
    'PRM Resource Summary'!$C:$C,Y$260
  ))</f>
        <v>0</v>
      </c>
      <c r="Z225" s="10" cm="1">
        <f t="array" ref="Z225">SUM(
  SUMIFS(
    'PRM Resource Summary'!$E:$E,
    'PRM Resource Summary'!$A:$A,$D$220,
    'PRM Resource Summary'!$B:$B,TRANSPOSE(_xlfn._xlws.FILTER('Results Grouping'!$G$9:$G$322,('Results Grouping'!$H$9:$H$322=$D$219) * ('Results Grouping'!$I$9:$I$322=$D225),0)),
    'PRM Resource Summary'!$C:$C,Z$260
  ))</f>
        <v>0</v>
      </c>
      <c r="AA225" s="10" cm="1">
        <f t="array" ref="AA225">SUM(
  SUMIFS(
    'PRM Resource Summary'!$E:$E,
    'PRM Resource Summary'!$A:$A,$D$220,
    'PRM Resource Summary'!$B:$B,TRANSPOSE(_xlfn._xlws.FILTER('Results Grouping'!$G$9:$G$322,('Results Grouping'!$H$9:$H$322=$D$219) * ('Results Grouping'!$I$9:$I$322=$D225),0)),
    'PRM Resource Summary'!$C:$C,AA$260
  ))</f>
        <v>0</v>
      </c>
      <c r="AB225" s="10" cm="1">
        <f t="array" ref="AB225">SUM(
  SUMIFS(
    'PRM Resource Summary'!$E:$E,
    'PRM Resource Summary'!$A:$A,$D$220,
    'PRM Resource Summary'!$B:$B,TRANSPOSE(_xlfn._xlws.FILTER('Results Grouping'!$G$9:$G$322,('Results Grouping'!$H$9:$H$322=$D$219) * ('Results Grouping'!$I$9:$I$322=$D225),0)),
    'PRM Resource Summary'!$C:$C,AB$260
  ))</f>
        <v>0</v>
      </c>
      <c r="AC225" s="10" cm="1">
        <f t="array" ref="AC225">SUM(
  SUMIFS(
    'PRM Resource Summary'!$E:$E,
    'PRM Resource Summary'!$A:$A,$D$220,
    'PRM Resource Summary'!$B:$B,TRANSPOSE(_xlfn._xlws.FILTER('Results Grouping'!$G$9:$G$322,('Results Grouping'!$H$9:$H$322=$D$219) * ('Results Grouping'!$I$9:$I$322=$D225),0)),
    'PRM Resource Summary'!$C:$C,AC$260
  ))</f>
        <v>0</v>
      </c>
      <c r="AD225" s="10" cm="1">
        <f t="array" ref="AD225">SUM(
  SUMIFS(
    'PRM Resource Summary'!$E:$E,
    'PRM Resource Summary'!$A:$A,$D$220,
    'PRM Resource Summary'!$B:$B,TRANSPOSE(_xlfn._xlws.FILTER('Results Grouping'!$G$9:$G$322,('Results Grouping'!$H$9:$H$322=$D$219) * ('Results Grouping'!$I$9:$I$322=$D225),0)),
    'PRM Resource Summary'!$C:$C,AD$260
  ))</f>
        <v>0</v>
      </c>
      <c r="AH225" s="34"/>
    </row>
    <row r="226" spans="3:34" outlineLevel="1" x14ac:dyDescent="0.2">
      <c r="C226" s="8" t="s">
        <v>176</v>
      </c>
      <c r="D226" s="8" t="s">
        <v>149</v>
      </c>
      <c r="E226" s="10" cm="1">
        <f t="array" ref="E226">SUM(
  SUMIFS(
    'PRM Resource Summary'!$E:$E,
    'PRM Resource Summary'!$A:$A,$D$220,
    'PRM Resource Summary'!$B:$B,TRANSPOSE(_xlfn._xlws.FILTER('Results Grouping'!$G$9:$G$322,('Results Grouping'!$H$9:$H$322=$D$219) * ('Results Grouping'!$I$9:$I$322=$D226),0)),
    'PRM Resource Summary'!$C:$C,E$260
  ))</f>
        <v>0</v>
      </c>
      <c r="F226" s="10" cm="1">
        <f t="array" ref="F226">SUM(
  SUMIFS(
    'PRM Resource Summary'!$E:$E,
    'PRM Resource Summary'!$A:$A,$D$220,
    'PRM Resource Summary'!$B:$B,TRANSPOSE(_xlfn._xlws.FILTER('Results Grouping'!$G$9:$G$322,('Results Grouping'!$H$9:$H$322=$D$219) * ('Results Grouping'!$I$9:$I$322=$D226),0)),
    'PRM Resource Summary'!$C:$C,F$260
  ))</f>
        <v>0</v>
      </c>
      <c r="G226" s="10" cm="1">
        <f t="array" ref="G226">SUM(
  SUMIFS(
    'PRM Resource Summary'!$E:$E,
    'PRM Resource Summary'!$A:$A,$D$220,
    'PRM Resource Summary'!$B:$B,TRANSPOSE(_xlfn._xlws.FILTER('Results Grouping'!$G$9:$G$322,('Results Grouping'!$H$9:$H$322=$D$219) * ('Results Grouping'!$I$9:$I$322=$D226),0)),
    'PRM Resource Summary'!$C:$C,G$260
  ))</f>
        <v>0</v>
      </c>
      <c r="H226" s="10" cm="1">
        <f t="array" ref="H226">SUM(
  SUMIFS(
    'PRM Resource Summary'!$E:$E,
    'PRM Resource Summary'!$A:$A,$D$220,
    'PRM Resource Summary'!$B:$B,TRANSPOSE(_xlfn._xlws.FILTER('Results Grouping'!$G$9:$G$322,('Results Grouping'!$H$9:$H$322=$D$219) * ('Results Grouping'!$I$9:$I$322=$D226),0)),
    'PRM Resource Summary'!$C:$C,H$260
  ))</f>
        <v>0</v>
      </c>
      <c r="I226" s="10" cm="1">
        <f t="array" ref="I226">SUM(
  SUMIFS(
    'PRM Resource Summary'!$E:$E,
    'PRM Resource Summary'!$A:$A,$D$220,
    'PRM Resource Summary'!$B:$B,TRANSPOSE(_xlfn._xlws.FILTER('Results Grouping'!$G$9:$G$322,('Results Grouping'!$H$9:$H$322=$D$219) * ('Results Grouping'!$I$9:$I$322=$D226),0)),
    'PRM Resource Summary'!$C:$C,I$260
  ))</f>
        <v>0</v>
      </c>
      <c r="J226" s="10" cm="1">
        <f t="array" ref="J226">SUM(
  SUMIFS(
    'PRM Resource Summary'!$E:$E,
    'PRM Resource Summary'!$A:$A,$D$220,
    'PRM Resource Summary'!$B:$B,TRANSPOSE(_xlfn._xlws.FILTER('Results Grouping'!$G$9:$G$322,('Results Grouping'!$H$9:$H$322=$D$219) * ('Results Grouping'!$I$9:$I$322=$D226),0)),
    'PRM Resource Summary'!$C:$C,J$260
  ))</f>
        <v>0</v>
      </c>
      <c r="K226" s="10" cm="1">
        <f t="array" ref="K226">SUM(
  SUMIFS(
    'PRM Resource Summary'!$E:$E,
    'PRM Resource Summary'!$A:$A,$D$220,
    'PRM Resource Summary'!$B:$B,TRANSPOSE(_xlfn._xlws.FILTER('Results Grouping'!$G$9:$G$322,('Results Grouping'!$H$9:$H$322=$D$219) * ('Results Grouping'!$I$9:$I$322=$D226),0)),
    'PRM Resource Summary'!$C:$C,K$260
  ))</f>
        <v>0</v>
      </c>
      <c r="L226" s="10" cm="1">
        <f t="array" ref="L226">SUM(
  SUMIFS(
    'PRM Resource Summary'!$E:$E,
    'PRM Resource Summary'!$A:$A,$D$220,
    'PRM Resource Summary'!$B:$B,TRANSPOSE(_xlfn._xlws.FILTER('Results Grouping'!$G$9:$G$322,('Results Grouping'!$H$9:$H$322=$D$219) * ('Results Grouping'!$I$9:$I$322=$D226),0)),
    'PRM Resource Summary'!$C:$C,L$260
  ))</f>
        <v>0</v>
      </c>
      <c r="M226" s="10" cm="1">
        <f t="array" ref="M226">SUM(
  SUMIFS(
    'PRM Resource Summary'!$E:$E,
    'PRM Resource Summary'!$A:$A,$D$220,
    'PRM Resource Summary'!$B:$B,TRANSPOSE(_xlfn._xlws.FILTER('Results Grouping'!$G$9:$G$322,('Results Grouping'!$H$9:$H$322=$D$219) * ('Results Grouping'!$I$9:$I$322=$D226),0)),
    'PRM Resource Summary'!$C:$C,M$260
  ))</f>
        <v>0</v>
      </c>
      <c r="N226" s="10" cm="1">
        <f t="array" ref="N226">SUM(
  SUMIFS(
    'PRM Resource Summary'!$E:$E,
    'PRM Resource Summary'!$A:$A,$D$220,
    'PRM Resource Summary'!$B:$B,TRANSPOSE(_xlfn._xlws.FILTER('Results Grouping'!$G$9:$G$322,('Results Grouping'!$H$9:$H$322=$D$219) * ('Results Grouping'!$I$9:$I$322=$D226),0)),
    'PRM Resource Summary'!$C:$C,N$260
  ))</f>
        <v>0</v>
      </c>
      <c r="O226" s="10" cm="1">
        <f t="array" ref="O226">SUM(
  SUMIFS(
    'PRM Resource Summary'!$E:$E,
    'PRM Resource Summary'!$A:$A,$D$220,
    'PRM Resource Summary'!$B:$B,TRANSPOSE(_xlfn._xlws.FILTER('Results Grouping'!$G$9:$G$322,('Results Grouping'!$H$9:$H$322=$D$219) * ('Results Grouping'!$I$9:$I$322=$D226),0)),
    'PRM Resource Summary'!$C:$C,O$260
  ))</f>
        <v>0</v>
      </c>
      <c r="P226" s="10" cm="1">
        <f t="array" ref="P226">SUM(
  SUMIFS(
    'PRM Resource Summary'!$E:$E,
    'PRM Resource Summary'!$A:$A,$D$220,
    'PRM Resource Summary'!$B:$B,TRANSPOSE(_xlfn._xlws.FILTER('Results Grouping'!$G$9:$G$322,('Results Grouping'!$H$9:$H$322=$D$219) * ('Results Grouping'!$I$9:$I$322=$D226),0)),
    'PRM Resource Summary'!$C:$C,P$260
  ))</f>
        <v>0</v>
      </c>
      <c r="Q226" s="10" cm="1">
        <f t="array" ref="Q226">SUM(
  SUMIFS(
    'PRM Resource Summary'!$E:$E,
    'PRM Resource Summary'!$A:$A,$D$220,
    'PRM Resource Summary'!$B:$B,TRANSPOSE(_xlfn._xlws.FILTER('Results Grouping'!$G$9:$G$322,('Results Grouping'!$H$9:$H$322=$D$219) * ('Results Grouping'!$I$9:$I$322=$D226),0)),
    'PRM Resource Summary'!$C:$C,Q$260
  ))</f>
        <v>0</v>
      </c>
      <c r="R226" s="10" cm="1">
        <f t="array" ref="R226">SUM(
  SUMIFS(
    'PRM Resource Summary'!$E:$E,
    'PRM Resource Summary'!$A:$A,$D$220,
    'PRM Resource Summary'!$B:$B,TRANSPOSE(_xlfn._xlws.FILTER('Results Grouping'!$G$9:$G$322,('Results Grouping'!$H$9:$H$322=$D$219) * ('Results Grouping'!$I$9:$I$322=$D226),0)),
    'PRM Resource Summary'!$C:$C,R$260
  ))</f>
        <v>0</v>
      </c>
      <c r="S226" s="10" cm="1">
        <f t="array" ref="S226">SUM(
  SUMIFS(
    'PRM Resource Summary'!$E:$E,
    'PRM Resource Summary'!$A:$A,$D$220,
    'PRM Resource Summary'!$B:$B,TRANSPOSE(_xlfn._xlws.FILTER('Results Grouping'!$G$9:$G$322,('Results Grouping'!$H$9:$H$322=$D$219) * ('Results Grouping'!$I$9:$I$322=$D226),0)),
    'PRM Resource Summary'!$C:$C,S$260
  ))</f>
        <v>0</v>
      </c>
      <c r="T226" s="10" cm="1">
        <f t="array" ref="T226">SUM(
  SUMIFS(
    'PRM Resource Summary'!$E:$E,
    'PRM Resource Summary'!$A:$A,$D$220,
    'PRM Resource Summary'!$B:$B,TRANSPOSE(_xlfn._xlws.FILTER('Results Grouping'!$G$9:$G$322,('Results Grouping'!$H$9:$H$322=$D$219) * ('Results Grouping'!$I$9:$I$322=$D226),0)),
    'PRM Resource Summary'!$C:$C,T$260
  ))</f>
        <v>0</v>
      </c>
      <c r="U226" s="10" cm="1">
        <f t="array" ref="U226">SUM(
  SUMIFS(
    'PRM Resource Summary'!$E:$E,
    'PRM Resource Summary'!$A:$A,$D$220,
    'PRM Resource Summary'!$B:$B,TRANSPOSE(_xlfn._xlws.FILTER('Results Grouping'!$G$9:$G$322,('Results Grouping'!$H$9:$H$322=$D$219) * ('Results Grouping'!$I$9:$I$322=$D226),0)),
    'PRM Resource Summary'!$C:$C,U$260
  ))</f>
        <v>0</v>
      </c>
      <c r="V226" s="10" cm="1">
        <f t="array" ref="V226">SUM(
  SUMIFS(
    'PRM Resource Summary'!$E:$E,
    'PRM Resource Summary'!$A:$A,$D$220,
    'PRM Resource Summary'!$B:$B,TRANSPOSE(_xlfn._xlws.FILTER('Results Grouping'!$G$9:$G$322,('Results Grouping'!$H$9:$H$322=$D$219) * ('Results Grouping'!$I$9:$I$322=$D226),0)),
    'PRM Resource Summary'!$C:$C,V$260
  ))</f>
        <v>0</v>
      </c>
      <c r="W226" s="10" cm="1">
        <f t="array" ref="W226">SUM(
  SUMIFS(
    'PRM Resource Summary'!$E:$E,
    'PRM Resource Summary'!$A:$A,$D$220,
    'PRM Resource Summary'!$B:$B,TRANSPOSE(_xlfn._xlws.FILTER('Results Grouping'!$G$9:$G$322,('Results Grouping'!$H$9:$H$322=$D$219) * ('Results Grouping'!$I$9:$I$322=$D226),0)),
    'PRM Resource Summary'!$C:$C,W$260
  ))</f>
        <v>0</v>
      </c>
      <c r="X226" s="10" cm="1">
        <f t="array" ref="X226">SUM(
  SUMIFS(
    'PRM Resource Summary'!$E:$E,
    'PRM Resource Summary'!$A:$A,$D$220,
    'PRM Resource Summary'!$B:$B,TRANSPOSE(_xlfn._xlws.FILTER('Results Grouping'!$G$9:$G$322,('Results Grouping'!$H$9:$H$322=$D$219) * ('Results Grouping'!$I$9:$I$322=$D226),0)),
    'PRM Resource Summary'!$C:$C,X$260
  ))</f>
        <v>0</v>
      </c>
      <c r="Y226" s="10" cm="1">
        <f t="array" ref="Y226">SUM(
  SUMIFS(
    'PRM Resource Summary'!$E:$E,
    'PRM Resource Summary'!$A:$A,$D$220,
    'PRM Resource Summary'!$B:$B,TRANSPOSE(_xlfn._xlws.FILTER('Results Grouping'!$G$9:$G$322,('Results Grouping'!$H$9:$H$322=$D$219) * ('Results Grouping'!$I$9:$I$322=$D226),0)),
    'PRM Resource Summary'!$C:$C,Y$260
  ))</f>
        <v>0</v>
      </c>
      <c r="Z226" s="10" cm="1">
        <f t="array" ref="Z226">SUM(
  SUMIFS(
    'PRM Resource Summary'!$E:$E,
    'PRM Resource Summary'!$A:$A,$D$220,
    'PRM Resource Summary'!$B:$B,TRANSPOSE(_xlfn._xlws.FILTER('Results Grouping'!$G$9:$G$322,('Results Grouping'!$H$9:$H$322=$D$219) * ('Results Grouping'!$I$9:$I$322=$D226),0)),
    'PRM Resource Summary'!$C:$C,Z$260
  ))</f>
        <v>0</v>
      </c>
      <c r="AA226" s="10" cm="1">
        <f t="array" ref="AA226">SUM(
  SUMIFS(
    'PRM Resource Summary'!$E:$E,
    'PRM Resource Summary'!$A:$A,$D$220,
    'PRM Resource Summary'!$B:$B,TRANSPOSE(_xlfn._xlws.FILTER('Results Grouping'!$G$9:$G$322,('Results Grouping'!$H$9:$H$322=$D$219) * ('Results Grouping'!$I$9:$I$322=$D226),0)),
    'PRM Resource Summary'!$C:$C,AA$260
  ))</f>
        <v>0</v>
      </c>
      <c r="AB226" s="10" cm="1">
        <f t="array" ref="AB226">SUM(
  SUMIFS(
    'PRM Resource Summary'!$E:$E,
    'PRM Resource Summary'!$A:$A,$D$220,
    'PRM Resource Summary'!$B:$B,TRANSPOSE(_xlfn._xlws.FILTER('Results Grouping'!$G$9:$G$322,('Results Grouping'!$H$9:$H$322=$D$219) * ('Results Grouping'!$I$9:$I$322=$D226),0)),
    'PRM Resource Summary'!$C:$C,AB$260
  ))</f>
        <v>0</v>
      </c>
      <c r="AC226" s="10" cm="1">
        <f t="array" ref="AC226">SUM(
  SUMIFS(
    'PRM Resource Summary'!$E:$E,
    'PRM Resource Summary'!$A:$A,$D$220,
    'PRM Resource Summary'!$B:$B,TRANSPOSE(_xlfn._xlws.FILTER('Results Grouping'!$G$9:$G$322,('Results Grouping'!$H$9:$H$322=$D$219) * ('Results Grouping'!$I$9:$I$322=$D226),0)),
    'PRM Resource Summary'!$C:$C,AC$260
  ))</f>
        <v>0</v>
      </c>
      <c r="AD226" s="10" cm="1">
        <f t="array" ref="AD226">SUM(
  SUMIFS(
    'PRM Resource Summary'!$E:$E,
    'PRM Resource Summary'!$A:$A,$D$220,
    'PRM Resource Summary'!$B:$B,TRANSPOSE(_xlfn._xlws.FILTER('Results Grouping'!$G$9:$G$322,('Results Grouping'!$H$9:$H$322=$D$219) * ('Results Grouping'!$I$9:$I$322=$D226),0)),
    'PRM Resource Summary'!$C:$C,AD$260
  ))</f>
        <v>0</v>
      </c>
      <c r="AH226" s="34"/>
    </row>
    <row r="227" spans="3:34" outlineLevel="1" x14ac:dyDescent="0.2">
      <c r="C227" s="8" t="s">
        <v>176</v>
      </c>
      <c r="D227" s="8" t="s">
        <v>181</v>
      </c>
      <c r="E227" s="10" cm="1">
        <f t="array" ref="E227">SUM(
  SUMIFS(
    'PRM Resource Summary'!$E:$E,
    'PRM Resource Summary'!$A:$A,$D$220,
    'PRM Resource Summary'!$B:$B,TRANSPOSE(_xlfn._xlws.FILTER('Results Grouping'!$G$9:$G$322,('Results Grouping'!$H$9:$H$322=$D$219) * ('Results Grouping'!$I$9:$I$322=$D227),0)),
    'PRM Resource Summary'!$C:$C,E$260
  ))</f>
        <v>0</v>
      </c>
      <c r="F227" s="10" cm="1">
        <f t="array" ref="F227">SUM(
  SUMIFS(
    'PRM Resource Summary'!$E:$E,
    'PRM Resource Summary'!$A:$A,$D$220,
    'PRM Resource Summary'!$B:$B,TRANSPOSE(_xlfn._xlws.FILTER('Results Grouping'!$G$9:$G$322,('Results Grouping'!$H$9:$H$322=$D$219) * ('Results Grouping'!$I$9:$I$322=$D227),0)),
    'PRM Resource Summary'!$C:$C,F$260
  ))</f>
        <v>0</v>
      </c>
      <c r="G227" s="10" cm="1">
        <f t="array" ref="G227">SUM(
  SUMIFS(
    'PRM Resource Summary'!$E:$E,
    'PRM Resource Summary'!$A:$A,$D$220,
    'PRM Resource Summary'!$B:$B,TRANSPOSE(_xlfn._xlws.FILTER('Results Grouping'!$G$9:$G$322,('Results Grouping'!$H$9:$H$322=$D$219) * ('Results Grouping'!$I$9:$I$322=$D227),0)),
    'PRM Resource Summary'!$C:$C,G$260
  ))</f>
        <v>0</v>
      </c>
      <c r="H227" s="10" cm="1">
        <f t="array" ref="H227">SUM(
  SUMIFS(
    'PRM Resource Summary'!$E:$E,
    'PRM Resource Summary'!$A:$A,$D$220,
    'PRM Resource Summary'!$B:$B,TRANSPOSE(_xlfn._xlws.FILTER('Results Grouping'!$G$9:$G$322,('Results Grouping'!$H$9:$H$322=$D$219) * ('Results Grouping'!$I$9:$I$322=$D227),0)),
    'PRM Resource Summary'!$C:$C,H$260
  ))</f>
        <v>0</v>
      </c>
      <c r="I227" s="10" cm="1">
        <f t="array" ref="I227">SUM(
  SUMIFS(
    'PRM Resource Summary'!$E:$E,
    'PRM Resource Summary'!$A:$A,$D$220,
    'PRM Resource Summary'!$B:$B,TRANSPOSE(_xlfn._xlws.FILTER('Results Grouping'!$G$9:$G$322,('Results Grouping'!$H$9:$H$322=$D$219) * ('Results Grouping'!$I$9:$I$322=$D227),0)),
    'PRM Resource Summary'!$C:$C,I$260
  ))</f>
        <v>0</v>
      </c>
      <c r="J227" s="10" cm="1">
        <f t="array" ref="J227">SUM(
  SUMIFS(
    'PRM Resource Summary'!$E:$E,
    'PRM Resource Summary'!$A:$A,$D$220,
    'PRM Resource Summary'!$B:$B,TRANSPOSE(_xlfn._xlws.FILTER('Results Grouping'!$G$9:$G$322,('Results Grouping'!$H$9:$H$322=$D$219) * ('Results Grouping'!$I$9:$I$322=$D227),0)),
    'PRM Resource Summary'!$C:$C,J$260
  ))</f>
        <v>0</v>
      </c>
      <c r="K227" s="10" cm="1">
        <f t="array" ref="K227">SUM(
  SUMIFS(
    'PRM Resource Summary'!$E:$E,
    'PRM Resource Summary'!$A:$A,$D$220,
    'PRM Resource Summary'!$B:$B,TRANSPOSE(_xlfn._xlws.FILTER('Results Grouping'!$G$9:$G$322,('Results Grouping'!$H$9:$H$322=$D$219) * ('Results Grouping'!$I$9:$I$322=$D227),0)),
    'PRM Resource Summary'!$C:$C,K$260
  ))</f>
        <v>0</v>
      </c>
      <c r="L227" s="10" cm="1">
        <f t="array" ref="L227">SUM(
  SUMIFS(
    'PRM Resource Summary'!$E:$E,
    'PRM Resource Summary'!$A:$A,$D$220,
    'PRM Resource Summary'!$B:$B,TRANSPOSE(_xlfn._xlws.FILTER('Results Grouping'!$G$9:$G$322,('Results Grouping'!$H$9:$H$322=$D$219) * ('Results Grouping'!$I$9:$I$322=$D227),0)),
    'PRM Resource Summary'!$C:$C,L$260
  ))</f>
        <v>0</v>
      </c>
      <c r="M227" s="10" cm="1">
        <f t="array" ref="M227">SUM(
  SUMIFS(
    'PRM Resource Summary'!$E:$E,
    'PRM Resource Summary'!$A:$A,$D$220,
    'PRM Resource Summary'!$B:$B,TRANSPOSE(_xlfn._xlws.FILTER('Results Grouping'!$G$9:$G$322,('Results Grouping'!$H$9:$H$322=$D$219) * ('Results Grouping'!$I$9:$I$322=$D227),0)),
    'PRM Resource Summary'!$C:$C,M$260
  ))</f>
        <v>0</v>
      </c>
      <c r="N227" s="10" cm="1">
        <f t="array" ref="N227">SUM(
  SUMIFS(
    'PRM Resource Summary'!$E:$E,
    'PRM Resource Summary'!$A:$A,$D$220,
    'PRM Resource Summary'!$B:$B,TRANSPOSE(_xlfn._xlws.FILTER('Results Grouping'!$G$9:$G$322,('Results Grouping'!$H$9:$H$322=$D$219) * ('Results Grouping'!$I$9:$I$322=$D227),0)),
    'PRM Resource Summary'!$C:$C,N$260
  ))</f>
        <v>0</v>
      </c>
      <c r="O227" s="10" cm="1">
        <f t="array" ref="O227">SUM(
  SUMIFS(
    'PRM Resource Summary'!$E:$E,
    'PRM Resource Summary'!$A:$A,$D$220,
    'PRM Resource Summary'!$B:$B,TRANSPOSE(_xlfn._xlws.FILTER('Results Grouping'!$G$9:$G$322,('Results Grouping'!$H$9:$H$322=$D$219) * ('Results Grouping'!$I$9:$I$322=$D227),0)),
    'PRM Resource Summary'!$C:$C,O$260
  ))</f>
        <v>0</v>
      </c>
      <c r="P227" s="10" cm="1">
        <f t="array" ref="P227">SUM(
  SUMIFS(
    'PRM Resource Summary'!$E:$E,
    'PRM Resource Summary'!$A:$A,$D$220,
    'PRM Resource Summary'!$B:$B,TRANSPOSE(_xlfn._xlws.FILTER('Results Grouping'!$G$9:$G$322,('Results Grouping'!$H$9:$H$322=$D$219) * ('Results Grouping'!$I$9:$I$322=$D227),0)),
    'PRM Resource Summary'!$C:$C,P$260
  ))</f>
        <v>0</v>
      </c>
      <c r="Q227" s="10" cm="1">
        <f t="array" ref="Q227">SUM(
  SUMIFS(
    'PRM Resource Summary'!$E:$E,
    'PRM Resource Summary'!$A:$A,$D$220,
    'PRM Resource Summary'!$B:$B,TRANSPOSE(_xlfn._xlws.FILTER('Results Grouping'!$G$9:$G$322,('Results Grouping'!$H$9:$H$322=$D$219) * ('Results Grouping'!$I$9:$I$322=$D227),0)),
    'PRM Resource Summary'!$C:$C,Q$260
  ))</f>
        <v>0</v>
      </c>
      <c r="R227" s="10" cm="1">
        <f t="array" ref="R227">SUM(
  SUMIFS(
    'PRM Resource Summary'!$E:$E,
    'PRM Resource Summary'!$A:$A,$D$220,
    'PRM Resource Summary'!$B:$B,TRANSPOSE(_xlfn._xlws.FILTER('Results Grouping'!$G$9:$G$322,('Results Grouping'!$H$9:$H$322=$D$219) * ('Results Grouping'!$I$9:$I$322=$D227),0)),
    'PRM Resource Summary'!$C:$C,R$260
  ))</f>
        <v>0</v>
      </c>
      <c r="S227" s="10" cm="1">
        <f t="array" ref="S227">SUM(
  SUMIFS(
    'PRM Resource Summary'!$E:$E,
    'PRM Resource Summary'!$A:$A,$D$220,
    'PRM Resource Summary'!$B:$B,TRANSPOSE(_xlfn._xlws.FILTER('Results Grouping'!$G$9:$G$322,('Results Grouping'!$H$9:$H$322=$D$219) * ('Results Grouping'!$I$9:$I$322=$D227),0)),
    'PRM Resource Summary'!$C:$C,S$260
  ))</f>
        <v>0</v>
      </c>
      <c r="T227" s="10" cm="1">
        <f t="array" ref="T227">SUM(
  SUMIFS(
    'PRM Resource Summary'!$E:$E,
    'PRM Resource Summary'!$A:$A,$D$220,
    'PRM Resource Summary'!$B:$B,TRANSPOSE(_xlfn._xlws.FILTER('Results Grouping'!$G$9:$G$322,('Results Grouping'!$H$9:$H$322=$D$219) * ('Results Grouping'!$I$9:$I$322=$D227),0)),
    'PRM Resource Summary'!$C:$C,T$260
  ))</f>
        <v>0</v>
      </c>
      <c r="U227" s="10" cm="1">
        <f t="array" ref="U227">SUM(
  SUMIFS(
    'PRM Resource Summary'!$E:$E,
    'PRM Resource Summary'!$A:$A,$D$220,
    'PRM Resource Summary'!$B:$B,TRANSPOSE(_xlfn._xlws.FILTER('Results Grouping'!$G$9:$G$322,('Results Grouping'!$H$9:$H$322=$D$219) * ('Results Grouping'!$I$9:$I$322=$D227),0)),
    'PRM Resource Summary'!$C:$C,U$260
  ))</f>
        <v>0</v>
      </c>
      <c r="V227" s="10" cm="1">
        <f t="array" ref="V227">SUM(
  SUMIFS(
    'PRM Resource Summary'!$E:$E,
    'PRM Resource Summary'!$A:$A,$D$220,
    'PRM Resource Summary'!$B:$B,TRANSPOSE(_xlfn._xlws.FILTER('Results Grouping'!$G$9:$G$322,('Results Grouping'!$H$9:$H$322=$D$219) * ('Results Grouping'!$I$9:$I$322=$D227),0)),
    'PRM Resource Summary'!$C:$C,V$260
  ))</f>
        <v>0</v>
      </c>
      <c r="W227" s="10" cm="1">
        <f t="array" ref="W227">SUM(
  SUMIFS(
    'PRM Resource Summary'!$E:$E,
    'PRM Resource Summary'!$A:$A,$D$220,
    'PRM Resource Summary'!$B:$B,TRANSPOSE(_xlfn._xlws.FILTER('Results Grouping'!$G$9:$G$322,('Results Grouping'!$H$9:$H$322=$D$219) * ('Results Grouping'!$I$9:$I$322=$D227),0)),
    'PRM Resource Summary'!$C:$C,W$260
  ))</f>
        <v>0</v>
      </c>
      <c r="X227" s="10" cm="1">
        <f t="array" ref="X227">SUM(
  SUMIFS(
    'PRM Resource Summary'!$E:$E,
    'PRM Resource Summary'!$A:$A,$D$220,
    'PRM Resource Summary'!$B:$B,TRANSPOSE(_xlfn._xlws.FILTER('Results Grouping'!$G$9:$G$322,('Results Grouping'!$H$9:$H$322=$D$219) * ('Results Grouping'!$I$9:$I$322=$D227),0)),
    'PRM Resource Summary'!$C:$C,X$260
  ))</f>
        <v>0</v>
      </c>
      <c r="Y227" s="10" cm="1">
        <f t="array" ref="Y227">SUM(
  SUMIFS(
    'PRM Resource Summary'!$E:$E,
    'PRM Resource Summary'!$A:$A,$D$220,
    'PRM Resource Summary'!$B:$B,TRANSPOSE(_xlfn._xlws.FILTER('Results Grouping'!$G$9:$G$322,('Results Grouping'!$H$9:$H$322=$D$219) * ('Results Grouping'!$I$9:$I$322=$D227),0)),
    'PRM Resource Summary'!$C:$C,Y$260
  ))</f>
        <v>0</v>
      </c>
      <c r="Z227" s="10" cm="1">
        <f t="array" ref="Z227">SUM(
  SUMIFS(
    'PRM Resource Summary'!$E:$E,
    'PRM Resource Summary'!$A:$A,$D$220,
    'PRM Resource Summary'!$B:$B,TRANSPOSE(_xlfn._xlws.FILTER('Results Grouping'!$G$9:$G$322,('Results Grouping'!$H$9:$H$322=$D$219) * ('Results Grouping'!$I$9:$I$322=$D227),0)),
    'PRM Resource Summary'!$C:$C,Z$260
  ))</f>
        <v>0</v>
      </c>
      <c r="AA227" s="10" cm="1">
        <f t="array" ref="AA227">SUM(
  SUMIFS(
    'PRM Resource Summary'!$E:$E,
    'PRM Resource Summary'!$A:$A,$D$220,
    'PRM Resource Summary'!$B:$B,TRANSPOSE(_xlfn._xlws.FILTER('Results Grouping'!$G$9:$G$322,('Results Grouping'!$H$9:$H$322=$D$219) * ('Results Grouping'!$I$9:$I$322=$D227),0)),
    'PRM Resource Summary'!$C:$C,AA$260
  ))</f>
        <v>0</v>
      </c>
      <c r="AB227" s="10" cm="1">
        <f t="array" ref="AB227">SUM(
  SUMIFS(
    'PRM Resource Summary'!$E:$E,
    'PRM Resource Summary'!$A:$A,$D$220,
    'PRM Resource Summary'!$B:$B,TRANSPOSE(_xlfn._xlws.FILTER('Results Grouping'!$G$9:$G$322,('Results Grouping'!$H$9:$H$322=$D$219) * ('Results Grouping'!$I$9:$I$322=$D227),0)),
    'PRM Resource Summary'!$C:$C,AB$260
  ))</f>
        <v>0</v>
      </c>
      <c r="AC227" s="10" cm="1">
        <f t="array" ref="AC227">SUM(
  SUMIFS(
    'PRM Resource Summary'!$E:$E,
    'PRM Resource Summary'!$A:$A,$D$220,
    'PRM Resource Summary'!$B:$B,TRANSPOSE(_xlfn._xlws.FILTER('Results Grouping'!$G$9:$G$322,('Results Grouping'!$H$9:$H$322=$D$219) * ('Results Grouping'!$I$9:$I$322=$D227),0)),
    'PRM Resource Summary'!$C:$C,AC$260
  ))</f>
        <v>0</v>
      </c>
      <c r="AD227" s="10" cm="1">
        <f t="array" ref="AD227">SUM(
  SUMIFS(
    'PRM Resource Summary'!$E:$E,
    'PRM Resource Summary'!$A:$A,$D$220,
    'PRM Resource Summary'!$B:$B,TRANSPOSE(_xlfn._xlws.FILTER('Results Grouping'!$G$9:$G$322,('Results Grouping'!$H$9:$H$322=$D$219) * ('Results Grouping'!$I$9:$I$322=$D227),0)),
    'PRM Resource Summary'!$C:$C,AD$260
  ))</f>
        <v>5205.1146675106502</v>
      </c>
      <c r="AH227" s="34"/>
    </row>
    <row r="228" spans="3:34" outlineLevel="1" x14ac:dyDescent="0.2">
      <c r="C228" s="8" t="s">
        <v>176</v>
      </c>
      <c r="D228" s="8" t="s">
        <v>148</v>
      </c>
      <c r="E228" s="10" cm="1">
        <f t="array" ref="E228">SUM(
  SUMIFS(
    'PRM Resource Summary'!$E:$E,
    'PRM Resource Summary'!$A:$A,$D$220,
    'PRM Resource Summary'!$B:$B,TRANSPOSE(_xlfn._xlws.FILTER('Results Grouping'!$G$9:$G$322,('Results Grouping'!$H$9:$H$322=$D$219) * ('Results Grouping'!$I$9:$I$322=$D228),0)),
    'PRM Resource Summary'!$C:$C,E$260
  ))</f>
        <v>0</v>
      </c>
      <c r="F228" s="10" cm="1">
        <f t="array" ref="F228">SUM(
  SUMIFS(
    'PRM Resource Summary'!$E:$E,
    'PRM Resource Summary'!$A:$A,$D$220,
    'PRM Resource Summary'!$B:$B,TRANSPOSE(_xlfn._xlws.FILTER('Results Grouping'!$G$9:$G$322,('Results Grouping'!$H$9:$H$322=$D$219) * ('Results Grouping'!$I$9:$I$322=$D228),0)),
    'PRM Resource Summary'!$C:$C,F$260
  ))</f>
        <v>0</v>
      </c>
      <c r="G228" s="10" cm="1">
        <f t="array" ref="G228">SUM(
  SUMIFS(
    'PRM Resource Summary'!$E:$E,
    'PRM Resource Summary'!$A:$A,$D$220,
    'PRM Resource Summary'!$B:$B,TRANSPOSE(_xlfn._xlws.FILTER('Results Grouping'!$G$9:$G$322,('Results Grouping'!$H$9:$H$322=$D$219) * ('Results Grouping'!$I$9:$I$322=$D228),0)),
    'PRM Resource Summary'!$C:$C,G$260
  ))</f>
        <v>0</v>
      </c>
      <c r="H228" s="10" cm="1">
        <f t="array" ref="H228">SUM(
  SUMIFS(
    'PRM Resource Summary'!$E:$E,
    'PRM Resource Summary'!$A:$A,$D$220,
    'PRM Resource Summary'!$B:$B,TRANSPOSE(_xlfn._xlws.FILTER('Results Grouping'!$G$9:$G$322,('Results Grouping'!$H$9:$H$322=$D$219) * ('Results Grouping'!$I$9:$I$322=$D228),0)),
    'PRM Resource Summary'!$C:$C,H$260
  ))</f>
        <v>0</v>
      </c>
      <c r="I228" s="10" cm="1">
        <f t="array" ref="I228">SUM(
  SUMIFS(
    'PRM Resource Summary'!$E:$E,
    'PRM Resource Summary'!$A:$A,$D$220,
    'PRM Resource Summary'!$B:$B,TRANSPOSE(_xlfn._xlws.FILTER('Results Grouping'!$G$9:$G$322,('Results Grouping'!$H$9:$H$322=$D$219) * ('Results Grouping'!$I$9:$I$322=$D228),0)),
    'PRM Resource Summary'!$C:$C,I$260
  ))</f>
        <v>0</v>
      </c>
      <c r="J228" s="10" cm="1">
        <f t="array" ref="J228">SUM(
  SUMIFS(
    'PRM Resource Summary'!$E:$E,
    'PRM Resource Summary'!$A:$A,$D$220,
    'PRM Resource Summary'!$B:$B,TRANSPOSE(_xlfn._xlws.FILTER('Results Grouping'!$G$9:$G$322,('Results Grouping'!$H$9:$H$322=$D$219) * ('Results Grouping'!$I$9:$I$322=$D228),0)),
    'PRM Resource Summary'!$C:$C,J$260
  ))</f>
        <v>0</v>
      </c>
      <c r="K228" s="10" cm="1">
        <f t="array" ref="K228">SUM(
  SUMIFS(
    'PRM Resource Summary'!$E:$E,
    'PRM Resource Summary'!$A:$A,$D$220,
    'PRM Resource Summary'!$B:$B,TRANSPOSE(_xlfn._xlws.FILTER('Results Grouping'!$G$9:$G$322,('Results Grouping'!$H$9:$H$322=$D$219) * ('Results Grouping'!$I$9:$I$322=$D228),0)),
    'PRM Resource Summary'!$C:$C,K$260
  ))</f>
        <v>0</v>
      </c>
      <c r="L228" s="10" cm="1">
        <f t="array" ref="L228">SUM(
  SUMIFS(
    'PRM Resource Summary'!$E:$E,
    'PRM Resource Summary'!$A:$A,$D$220,
    'PRM Resource Summary'!$B:$B,TRANSPOSE(_xlfn._xlws.FILTER('Results Grouping'!$G$9:$G$322,('Results Grouping'!$H$9:$H$322=$D$219) * ('Results Grouping'!$I$9:$I$322=$D228),0)),
    'PRM Resource Summary'!$C:$C,L$260
  ))</f>
        <v>0</v>
      </c>
      <c r="M228" s="10" cm="1">
        <f t="array" ref="M228">SUM(
  SUMIFS(
    'PRM Resource Summary'!$E:$E,
    'PRM Resource Summary'!$A:$A,$D$220,
    'PRM Resource Summary'!$B:$B,TRANSPOSE(_xlfn._xlws.FILTER('Results Grouping'!$G$9:$G$322,('Results Grouping'!$H$9:$H$322=$D$219) * ('Results Grouping'!$I$9:$I$322=$D228),0)),
    'PRM Resource Summary'!$C:$C,M$260
  ))</f>
        <v>0</v>
      </c>
      <c r="N228" s="10" cm="1">
        <f t="array" ref="N228">SUM(
  SUMIFS(
    'PRM Resource Summary'!$E:$E,
    'PRM Resource Summary'!$A:$A,$D$220,
    'PRM Resource Summary'!$B:$B,TRANSPOSE(_xlfn._xlws.FILTER('Results Grouping'!$G$9:$G$322,('Results Grouping'!$H$9:$H$322=$D$219) * ('Results Grouping'!$I$9:$I$322=$D228),0)),
    'PRM Resource Summary'!$C:$C,N$260
  ))</f>
        <v>0</v>
      </c>
      <c r="O228" s="10" cm="1">
        <f t="array" ref="O228">SUM(
  SUMIFS(
    'PRM Resource Summary'!$E:$E,
    'PRM Resource Summary'!$A:$A,$D$220,
    'PRM Resource Summary'!$B:$B,TRANSPOSE(_xlfn._xlws.FILTER('Results Grouping'!$G$9:$G$322,('Results Grouping'!$H$9:$H$322=$D$219) * ('Results Grouping'!$I$9:$I$322=$D228),0)),
    'PRM Resource Summary'!$C:$C,O$260
  ))</f>
        <v>0</v>
      </c>
      <c r="P228" s="10" cm="1">
        <f t="array" ref="P228">SUM(
  SUMIFS(
    'PRM Resource Summary'!$E:$E,
    'PRM Resource Summary'!$A:$A,$D$220,
    'PRM Resource Summary'!$B:$B,TRANSPOSE(_xlfn._xlws.FILTER('Results Grouping'!$G$9:$G$322,('Results Grouping'!$H$9:$H$322=$D$219) * ('Results Grouping'!$I$9:$I$322=$D228),0)),
    'PRM Resource Summary'!$C:$C,P$260
  ))</f>
        <v>0</v>
      </c>
      <c r="Q228" s="10" cm="1">
        <f t="array" ref="Q228">SUM(
  SUMIFS(
    'PRM Resource Summary'!$E:$E,
    'PRM Resource Summary'!$A:$A,$D$220,
    'PRM Resource Summary'!$B:$B,TRANSPOSE(_xlfn._xlws.FILTER('Results Grouping'!$G$9:$G$322,('Results Grouping'!$H$9:$H$322=$D$219) * ('Results Grouping'!$I$9:$I$322=$D228),0)),
    'PRM Resource Summary'!$C:$C,Q$260
  ))</f>
        <v>0</v>
      </c>
      <c r="R228" s="10" cm="1">
        <f t="array" ref="R228">SUM(
  SUMIFS(
    'PRM Resource Summary'!$E:$E,
    'PRM Resource Summary'!$A:$A,$D$220,
    'PRM Resource Summary'!$B:$B,TRANSPOSE(_xlfn._xlws.FILTER('Results Grouping'!$G$9:$G$322,('Results Grouping'!$H$9:$H$322=$D$219) * ('Results Grouping'!$I$9:$I$322=$D228),0)),
    'PRM Resource Summary'!$C:$C,R$260
  ))</f>
        <v>0</v>
      </c>
      <c r="S228" s="10" cm="1">
        <f t="array" ref="S228">SUM(
  SUMIFS(
    'PRM Resource Summary'!$E:$E,
    'PRM Resource Summary'!$A:$A,$D$220,
    'PRM Resource Summary'!$B:$B,TRANSPOSE(_xlfn._xlws.FILTER('Results Grouping'!$G$9:$G$322,('Results Grouping'!$H$9:$H$322=$D$219) * ('Results Grouping'!$I$9:$I$322=$D228),0)),
    'PRM Resource Summary'!$C:$C,S$260
  ))</f>
        <v>0</v>
      </c>
      <c r="T228" s="10" cm="1">
        <f t="array" ref="T228">SUM(
  SUMIFS(
    'PRM Resource Summary'!$E:$E,
    'PRM Resource Summary'!$A:$A,$D$220,
    'PRM Resource Summary'!$B:$B,TRANSPOSE(_xlfn._xlws.FILTER('Results Grouping'!$G$9:$G$322,('Results Grouping'!$H$9:$H$322=$D$219) * ('Results Grouping'!$I$9:$I$322=$D228),0)),
    'PRM Resource Summary'!$C:$C,T$260
  ))</f>
        <v>0</v>
      </c>
      <c r="U228" s="10" cm="1">
        <f t="array" ref="U228">SUM(
  SUMIFS(
    'PRM Resource Summary'!$E:$E,
    'PRM Resource Summary'!$A:$A,$D$220,
    'PRM Resource Summary'!$B:$B,TRANSPOSE(_xlfn._xlws.FILTER('Results Grouping'!$G$9:$G$322,('Results Grouping'!$H$9:$H$322=$D$219) * ('Results Grouping'!$I$9:$I$322=$D228),0)),
    'PRM Resource Summary'!$C:$C,U$260
  ))</f>
        <v>0</v>
      </c>
      <c r="V228" s="10" cm="1">
        <f t="array" ref="V228">SUM(
  SUMIFS(
    'PRM Resource Summary'!$E:$E,
    'PRM Resource Summary'!$A:$A,$D$220,
    'PRM Resource Summary'!$B:$B,TRANSPOSE(_xlfn._xlws.FILTER('Results Grouping'!$G$9:$G$322,('Results Grouping'!$H$9:$H$322=$D$219) * ('Results Grouping'!$I$9:$I$322=$D228),0)),
    'PRM Resource Summary'!$C:$C,V$260
  ))</f>
        <v>0</v>
      </c>
      <c r="W228" s="10" cm="1">
        <f t="array" ref="W228">SUM(
  SUMIFS(
    'PRM Resource Summary'!$E:$E,
    'PRM Resource Summary'!$A:$A,$D$220,
    'PRM Resource Summary'!$B:$B,TRANSPOSE(_xlfn._xlws.FILTER('Results Grouping'!$G$9:$G$322,('Results Grouping'!$H$9:$H$322=$D$219) * ('Results Grouping'!$I$9:$I$322=$D228),0)),
    'PRM Resource Summary'!$C:$C,W$260
  ))</f>
        <v>0</v>
      </c>
      <c r="X228" s="10" cm="1">
        <f t="array" ref="X228">SUM(
  SUMIFS(
    'PRM Resource Summary'!$E:$E,
    'PRM Resource Summary'!$A:$A,$D$220,
    'PRM Resource Summary'!$B:$B,TRANSPOSE(_xlfn._xlws.FILTER('Results Grouping'!$G$9:$G$322,('Results Grouping'!$H$9:$H$322=$D$219) * ('Results Grouping'!$I$9:$I$322=$D228),0)),
    'PRM Resource Summary'!$C:$C,X$260
  ))</f>
        <v>0</v>
      </c>
      <c r="Y228" s="10" cm="1">
        <f t="array" ref="Y228">SUM(
  SUMIFS(
    'PRM Resource Summary'!$E:$E,
    'PRM Resource Summary'!$A:$A,$D$220,
    'PRM Resource Summary'!$B:$B,TRANSPOSE(_xlfn._xlws.FILTER('Results Grouping'!$G$9:$G$322,('Results Grouping'!$H$9:$H$322=$D$219) * ('Results Grouping'!$I$9:$I$322=$D228),0)),
    'PRM Resource Summary'!$C:$C,Y$260
  ))</f>
        <v>0</v>
      </c>
      <c r="Z228" s="10" cm="1">
        <f t="array" ref="Z228">SUM(
  SUMIFS(
    'PRM Resource Summary'!$E:$E,
    'PRM Resource Summary'!$A:$A,$D$220,
    'PRM Resource Summary'!$B:$B,TRANSPOSE(_xlfn._xlws.FILTER('Results Grouping'!$G$9:$G$322,('Results Grouping'!$H$9:$H$322=$D$219) * ('Results Grouping'!$I$9:$I$322=$D228),0)),
    'PRM Resource Summary'!$C:$C,Z$260
  ))</f>
        <v>0</v>
      </c>
      <c r="AA228" s="10" cm="1">
        <f t="array" ref="AA228">SUM(
  SUMIFS(
    'PRM Resource Summary'!$E:$E,
    'PRM Resource Summary'!$A:$A,$D$220,
    'PRM Resource Summary'!$B:$B,TRANSPOSE(_xlfn._xlws.FILTER('Results Grouping'!$G$9:$G$322,('Results Grouping'!$H$9:$H$322=$D$219) * ('Results Grouping'!$I$9:$I$322=$D228),0)),
    'PRM Resource Summary'!$C:$C,AA$260
  ))</f>
        <v>0</v>
      </c>
      <c r="AB228" s="10" cm="1">
        <f t="array" ref="AB228">SUM(
  SUMIFS(
    'PRM Resource Summary'!$E:$E,
    'PRM Resource Summary'!$A:$A,$D$220,
    'PRM Resource Summary'!$B:$B,TRANSPOSE(_xlfn._xlws.FILTER('Results Grouping'!$G$9:$G$322,('Results Grouping'!$H$9:$H$322=$D$219) * ('Results Grouping'!$I$9:$I$322=$D228),0)),
    'PRM Resource Summary'!$C:$C,AB$260
  ))</f>
        <v>0</v>
      </c>
      <c r="AC228" s="10" cm="1">
        <f t="array" ref="AC228">SUM(
  SUMIFS(
    'PRM Resource Summary'!$E:$E,
    'PRM Resource Summary'!$A:$A,$D$220,
    'PRM Resource Summary'!$B:$B,TRANSPOSE(_xlfn._xlws.FILTER('Results Grouping'!$G$9:$G$322,('Results Grouping'!$H$9:$H$322=$D$219) * ('Results Grouping'!$I$9:$I$322=$D228),0)),
    'PRM Resource Summary'!$C:$C,AC$260
  ))</f>
        <v>0</v>
      </c>
      <c r="AD228" s="10" cm="1">
        <f t="array" ref="AD228">SUM(
  SUMIFS(
    'PRM Resource Summary'!$E:$E,
    'PRM Resource Summary'!$A:$A,$D$220,
    'PRM Resource Summary'!$B:$B,TRANSPOSE(_xlfn._xlws.FILTER('Results Grouping'!$G$9:$G$322,('Results Grouping'!$H$9:$H$322=$D$219) * ('Results Grouping'!$I$9:$I$322=$D228),0)),
    'PRM Resource Summary'!$C:$C,AD$260
  ))</f>
        <v>630.67291311754707</v>
      </c>
      <c r="AH228" s="34"/>
    </row>
    <row r="229" spans="3:34" outlineLevel="1" x14ac:dyDescent="0.2">
      <c r="C229" s="8" t="s">
        <v>176</v>
      </c>
      <c r="D229" s="8" t="s">
        <v>145</v>
      </c>
      <c r="E229" s="10" cm="1">
        <f t="array" ref="E229">SUM(
  SUMIFS(
    'PRM Resource Summary'!$E:$E,
    'PRM Resource Summary'!$A:$A,$D$220,
    'PRM Resource Summary'!$B:$B,TRANSPOSE(_xlfn._xlws.FILTER('Results Grouping'!$G$9:$G$322,('Results Grouping'!$H$9:$H$322=$D$219) * ('Results Grouping'!$I$9:$I$322=$D229),0)),
    'PRM Resource Summary'!$C:$C,E$260
  ))</f>
        <v>0</v>
      </c>
      <c r="F229" s="10" cm="1">
        <f t="array" ref="F229">SUM(
  SUMIFS(
    'PRM Resource Summary'!$E:$E,
    'PRM Resource Summary'!$A:$A,$D$220,
    'PRM Resource Summary'!$B:$B,TRANSPOSE(_xlfn._xlws.FILTER('Results Grouping'!$G$9:$G$322,('Results Grouping'!$H$9:$H$322=$D$219) * ('Results Grouping'!$I$9:$I$322=$D229),0)),
    'PRM Resource Summary'!$C:$C,F$260
  ))</f>
        <v>0</v>
      </c>
      <c r="G229" s="10" cm="1">
        <f t="array" ref="G229">SUM(
  SUMIFS(
    'PRM Resource Summary'!$E:$E,
    'PRM Resource Summary'!$A:$A,$D$220,
    'PRM Resource Summary'!$B:$B,TRANSPOSE(_xlfn._xlws.FILTER('Results Grouping'!$G$9:$G$322,('Results Grouping'!$H$9:$H$322=$D$219) * ('Results Grouping'!$I$9:$I$322=$D229),0)),
    'PRM Resource Summary'!$C:$C,G$260
  ))</f>
        <v>0</v>
      </c>
      <c r="H229" s="10" cm="1">
        <f t="array" ref="H229">SUM(
  SUMIFS(
    'PRM Resource Summary'!$E:$E,
    'PRM Resource Summary'!$A:$A,$D$220,
    'PRM Resource Summary'!$B:$B,TRANSPOSE(_xlfn._xlws.FILTER('Results Grouping'!$G$9:$G$322,('Results Grouping'!$H$9:$H$322=$D$219) * ('Results Grouping'!$I$9:$I$322=$D229),0)),
    'PRM Resource Summary'!$C:$C,H$260
  ))</f>
        <v>0</v>
      </c>
      <c r="I229" s="10" cm="1">
        <f t="array" ref="I229">SUM(
  SUMIFS(
    'PRM Resource Summary'!$E:$E,
    'PRM Resource Summary'!$A:$A,$D$220,
    'PRM Resource Summary'!$B:$B,TRANSPOSE(_xlfn._xlws.FILTER('Results Grouping'!$G$9:$G$322,('Results Grouping'!$H$9:$H$322=$D$219) * ('Results Grouping'!$I$9:$I$322=$D229),0)),
    'PRM Resource Summary'!$C:$C,I$260
  ))</f>
        <v>0</v>
      </c>
      <c r="J229" s="10" cm="1">
        <f t="array" ref="J229">SUM(
  SUMIFS(
    'PRM Resource Summary'!$E:$E,
    'PRM Resource Summary'!$A:$A,$D$220,
    'PRM Resource Summary'!$B:$B,TRANSPOSE(_xlfn._xlws.FILTER('Results Grouping'!$G$9:$G$322,('Results Grouping'!$H$9:$H$322=$D$219) * ('Results Grouping'!$I$9:$I$322=$D229),0)),
    'PRM Resource Summary'!$C:$C,J$260
  ))</f>
        <v>0</v>
      </c>
      <c r="K229" s="10" cm="1">
        <f t="array" ref="K229">SUM(
  SUMIFS(
    'PRM Resource Summary'!$E:$E,
    'PRM Resource Summary'!$A:$A,$D$220,
    'PRM Resource Summary'!$B:$B,TRANSPOSE(_xlfn._xlws.FILTER('Results Grouping'!$G$9:$G$322,('Results Grouping'!$H$9:$H$322=$D$219) * ('Results Grouping'!$I$9:$I$322=$D229),0)),
    'PRM Resource Summary'!$C:$C,K$260
  ))</f>
        <v>0</v>
      </c>
      <c r="L229" s="10" cm="1">
        <f t="array" ref="L229">SUM(
  SUMIFS(
    'PRM Resource Summary'!$E:$E,
    'PRM Resource Summary'!$A:$A,$D$220,
    'PRM Resource Summary'!$B:$B,TRANSPOSE(_xlfn._xlws.FILTER('Results Grouping'!$G$9:$G$322,('Results Grouping'!$H$9:$H$322=$D$219) * ('Results Grouping'!$I$9:$I$322=$D229),0)),
    'PRM Resource Summary'!$C:$C,L$260
  ))</f>
        <v>0</v>
      </c>
      <c r="M229" s="10" cm="1">
        <f t="array" ref="M229">SUM(
  SUMIFS(
    'PRM Resource Summary'!$E:$E,
    'PRM Resource Summary'!$A:$A,$D$220,
    'PRM Resource Summary'!$B:$B,TRANSPOSE(_xlfn._xlws.FILTER('Results Grouping'!$G$9:$G$322,('Results Grouping'!$H$9:$H$322=$D$219) * ('Results Grouping'!$I$9:$I$322=$D229),0)),
    'PRM Resource Summary'!$C:$C,M$260
  ))</f>
        <v>0</v>
      </c>
      <c r="N229" s="10" cm="1">
        <f t="array" ref="N229">SUM(
  SUMIFS(
    'PRM Resource Summary'!$E:$E,
    'PRM Resource Summary'!$A:$A,$D$220,
    'PRM Resource Summary'!$B:$B,TRANSPOSE(_xlfn._xlws.FILTER('Results Grouping'!$G$9:$G$322,('Results Grouping'!$H$9:$H$322=$D$219) * ('Results Grouping'!$I$9:$I$322=$D229),0)),
    'PRM Resource Summary'!$C:$C,N$260
  ))</f>
        <v>0</v>
      </c>
      <c r="O229" s="10" cm="1">
        <f t="array" ref="O229">SUM(
  SUMIFS(
    'PRM Resource Summary'!$E:$E,
    'PRM Resource Summary'!$A:$A,$D$220,
    'PRM Resource Summary'!$B:$B,TRANSPOSE(_xlfn._xlws.FILTER('Results Grouping'!$G$9:$G$322,('Results Grouping'!$H$9:$H$322=$D$219) * ('Results Grouping'!$I$9:$I$322=$D229),0)),
    'PRM Resource Summary'!$C:$C,O$260
  ))</f>
        <v>0</v>
      </c>
      <c r="P229" s="10" cm="1">
        <f t="array" ref="P229">SUM(
  SUMIFS(
    'PRM Resource Summary'!$E:$E,
    'PRM Resource Summary'!$A:$A,$D$220,
    'PRM Resource Summary'!$B:$B,TRANSPOSE(_xlfn._xlws.FILTER('Results Grouping'!$G$9:$G$322,('Results Grouping'!$H$9:$H$322=$D$219) * ('Results Grouping'!$I$9:$I$322=$D229),0)),
    'PRM Resource Summary'!$C:$C,P$260
  ))</f>
        <v>0</v>
      </c>
      <c r="Q229" s="10" cm="1">
        <f t="array" ref="Q229">SUM(
  SUMIFS(
    'PRM Resource Summary'!$E:$E,
    'PRM Resource Summary'!$A:$A,$D$220,
    'PRM Resource Summary'!$B:$B,TRANSPOSE(_xlfn._xlws.FILTER('Results Grouping'!$G$9:$G$322,('Results Grouping'!$H$9:$H$322=$D$219) * ('Results Grouping'!$I$9:$I$322=$D229),0)),
    'PRM Resource Summary'!$C:$C,Q$260
  ))</f>
        <v>0</v>
      </c>
      <c r="R229" s="10" cm="1">
        <f t="array" ref="R229">SUM(
  SUMIFS(
    'PRM Resource Summary'!$E:$E,
    'PRM Resource Summary'!$A:$A,$D$220,
    'PRM Resource Summary'!$B:$B,TRANSPOSE(_xlfn._xlws.FILTER('Results Grouping'!$G$9:$G$322,('Results Grouping'!$H$9:$H$322=$D$219) * ('Results Grouping'!$I$9:$I$322=$D229),0)),
    'PRM Resource Summary'!$C:$C,R$260
  ))</f>
        <v>0</v>
      </c>
      <c r="S229" s="10" cm="1">
        <f t="array" ref="S229">SUM(
  SUMIFS(
    'PRM Resource Summary'!$E:$E,
    'PRM Resource Summary'!$A:$A,$D$220,
    'PRM Resource Summary'!$B:$B,TRANSPOSE(_xlfn._xlws.FILTER('Results Grouping'!$G$9:$G$322,('Results Grouping'!$H$9:$H$322=$D$219) * ('Results Grouping'!$I$9:$I$322=$D229),0)),
    'PRM Resource Summary'!$C:$C,S$260
  ))</f>
        <v>0</v>
      </c>
      <c r="T229" s="10" cm="1">
        <f t="array" ref="T229">SUM(
  SUMIFS(
    'PRM Resource Summary'!$E:$E,
    'PRM Resource Summary'!$A:$A,$D$220,
    'PRM Resource Summary'!$B:$B,TRANSPOSE(_xlfn._xlws.FILTER('Results Grouping'!$G$9:$G$322,('Results Grouping'!$H$9:$H$322=$D$219) * ('Results Grouping'!$I$9:$I$322=$D229),0)),
    'PRM Resource Summary'!$C:$C,T$260
  ))</f>
        <v>0</v>
      </c>
      <c r="U229" s="10" cm="1">
        <f t="array" ref="U229">SUM(
  SUMIFS(
    'PRM Resource Summary'!$E:$E,
    'PRM Resource Summary'!$A:$A,$D$220,
    'PRM Resource Summary'!$B:$B,TRANSPOSE(_xlfn._xlws.FILTER('Results Grouping'!$G$9:$G$322,('Results Grouping'!$H$9:$H$322=$D$219) * ('Results Grouping'!$I$9:$I$322=$D229),0)),
    'PRM Resource Summary'!$C:$C,U$260
  ))</f>
        <v>0</v>
      </c>
      <c r="V229" s="10" cm="1">
        <f t="array" ref="V229">SUM(
  SUMIFS(
    'PRM Resource Summary'!$E:$E,
    'PRM Resource Summary'!$A:$A,$D$220,
    'PRM Resource Summary'!$B:$B,TRANSPOSE(_xlfn._xlws.FILTER('Results Grouping'!$G$9:$G$322,('Results Grouping'!$H$9:$H$322=$D$219) * ('Results Grouping'!$I$9:$I$322=$D229),0)),
    'PRM Resource Summary'!$C:$C,V$260
  ))</f>
        <v>0</v>
      </c>
      <c r="W229" s="10" cm="1">
        <f t="array" ref="W229">SUM(
  SUMIFS(
    'PRM Resource Summary'!$E:$E,
    'PRM Resource Summary'!$A:$A,$D$220,
    'PRM Resource Summary'!$B:$B,TRANSPOSE(_xlfn._xlws.FILTER('Results Grouping'!$G$9:$G$322,('Results Grouping'!$H$9:$H$322=$D$219) * ('Results Grouping'!$I$9:$I$322=$D229),0)),
    'PRM Resource Summary'!$C:$C,W$260
  ))</f>
        <v>0</v>
      </c>
      <c r="X229" s="10" cm="1">
        <f t="array" ref="X229">SUM(
  SUMIFS(
    'PRM Resource Summary'!$E:$E,
    'PRM Resource Summary'!$A:$A,$D$220,
    'PRM Resource Summary'!$B:$B,TRANSPOSE(_xlfn._xlws.FILTER('Results Grouping'!$G$9:$G$322,('Results Grouping'!$H$9:$H$322=$D$219) * ('Results Grouping'!$I$9:$I$322=$D229),0)),
    'PRM Resource Summary'!$C:$C,X$260
  ))</f>
        <v>0</v>
      </c>
      <c r="Y229" s="10" cm="1">
        <f t="array" ref="Y229">SUM(
  SUMIFS(
    'PRM Resource Summary'!$E:$E,
    'PRM Resource Summary'!$A:$A,$D$220,
    'PRM Resource Summary'!$B:$B,TRANSPOSE(_xlfn._xlws.FILTER('Results Grouping'!$G$9:$G$322,('Results Grouping'!$H$9:$H$322=$D$219) * ('Results Grouping'!$I$9:$I$322=$D229),0)),
    'PRM Resource Summary'!$C:$C,Y$260
  ))</f>
        <v>0</v>
      </c>
      <c r="Z229" s="10" cm="1">
        <f t="array" ref="Z229">SUM(
  SUMIFS(
    'PRM Resource Summary'!$E:$E,
    'PRM Resource Summary'!$A:$A,$D$220,
    'PRM Resource Summary'!$B:$B,TRANSPOSE(_xlfn._xlws.FILTER('Results Grouping'!$G$9:$G$322,('Results Grouping'!$H$9:$H$322=$D$219) * ('Results Grouping'!$I$9:$I$322=$D229),0)),
    'PRM Resource Summary'!$C:$C,Z$260
  ))</f>
        <v>0</v>
      </c>
      <c r="AA229" s="10" cm="1">
        <f t="array" ref="AA229">SUM(
  SUMIFS(
    'PRM Resource Summary'!$E:$E,
    'PRM Resource Summary'!$A:$A,$D$220,
    'PRM Resource Summary'!$B:$B,TRANSPOSE(_xlfn._xlws.FILTER('Results Grouping'!$G$9:$G$322,('Results Grouping'!$H$9:$H$322=$D$219) * ('Results Grouping'!$I$9:$I$322=$D229),0)),
    'PRM Resource Summary'!$C:$C,AA$260
  ))</f>
        <v>0</v>
      </c>
      <c r="AB229" s="10" cm="1">
        <f t="array" ref="AB229">SUM(
  SUMIFS(
    'PRM Resource Summary'!$E:$E,
    'PRM Resource Summary'!$A:$A,$D$220,
    'PRM Resource Summary'!$B:$B,TRANSPOSE(_xlfn._xlws.FILTER('Results Grouping'!$G$9:$G$322,('Results Grouping'!$H$9:$H$322=$D$219) * ('Results Grouping'!$I$9:$I$322=$D229),0)),
    'PRM Resource Summary'!$C:$C,AB$260
  ))</f>
        <v>0</v>
      </c>
      <c r="AC229" s="10" cm="1">
        <f t="array" ref="AC229">SUM(
  SUMIFS(
    'PRM Resource Summary'!$E:$E,
    'PRM Resource Summary'!$A:$A,$D$220,
    'PRM Resource Summary'!$B:$B,TRANSPOSE(_xlfn._xlws.FILTER('Results Grouping'!$G$9:$G$322,('Results Grouping'!$H$9:$H$322=$D$219) * ('Results Grouping'!$I$9:$I$322=$D229),0)),
    'PRM Resource Summary'!$C:$C,AC$260
  ))</f>
        <v>0</v>
      </c>
      <c r="AD229" s="10" cm="1">
        <f t="array" ref="AD229">SUM(
  SUMIFS(
    'PRM Resource Summary'!$E:$E,
    'PRM Resource Summary'!$A:$A,$D$220,
    'PRM Resource Summary'!$B:$B,TRANSPOSE(_xlfn._xlws.FILTER('Results Grouping'!$G$9:$G$322,('Results Grouping'!$H$9:$H$322=$D$219) * ('Results Grouping'!$I$9:$I$322=$D229),0)),
    'PRM Resource Summary'!$C:$C,AD$260
  ))</f>
        <v>0</v>
      </c>
      <c r="AH229" s="34"/>
    </row>
    <row r="230" spans="3:34" outlineLevel="1" x14ac:dyDescent="0.2">
      <c r="C230" s="8" t="s">
        <v>176</v>
      </c>
      <c r="D230" s="8" t="s">
        <v>121</v>
      </c>
      <c r="E230" s="10" cm="1">
        <f t="array" ref="E230">SUM(
  SUMIFS(
    'PRM Resource Summary'!$E:$E,
    'PRM Resource Summary'!$A:$A,$D$220,
    'PRM Resource Summary'!$B:$B,TRANSPOSE(_xlfn._xlws.FILTER('Results Grouping'!$G$9:$G$322,('Results Grouping'!$H$9:$H$322=$D$219) * ('Results Grouping'!$I$9:$I$322=$D230),0)),
    'PRM Resource Summary'!$C:$C,E$260
  ))</f>
        <v>0</v>
      </c>
      <c r="F230" s="10" cm="1">
        <f t="array" ref="F230">SUM(
  SUMIFS(
    'PRM Resource Summary'!$E:$E,
    'PRM Resource Summary'!$A:$A,$D$220,
    'PRM Resource Summary'!$B:$B,TRANSPOSE(_xlfn._xlws.FILTER('Results Grouping'!$G$9:$G$322,('Results Grouping'!$H$9:$H$322=$D$219) * ('Results Grouping'!$I$9:$I$322=$D230),0)),
    'PRM Resource Summary'!$C:$C,F$260
  ))</f>
        <v>0</v>
      </c>
      <c r="G230" s="10" cm="1">
        <f t="array" ref="G230">SUM(
  SUMIFS(
    'PRM Resource Summary'!$E:$E,
    'PRM Resource Summary'!$A:$A,$D$220,
    'PRM Resource Summary'!$B:$B,TRANSPOSE(_xlfn._xlws.FILTER('Results Grouping'!$G$9:$G$322,('Results Grouping'!$H$9:$H$322=$D$219) * ('Results Grouping'!$I$9:$I$322=$D230),0)),
    'PRM Resource Summary'!$C:$C,G$260
  ))</f>
        <v>0</v>
      </c>
      <c r="H230" s="10" cm="1">
        <f t="array" ref="H230">SUM(
  SUMIFS(
    'PRM Resource Summary'!$E:$E,
    'PRM Resource Summary'!$A:$A,$D$220,
    'PRM Resource Summary'!$B:$B,TRANSPOSE(_xlfn._xlws.FILTER('Results Grouping'!$G$9:$G$322,('Results Grouping'!$H$9:$H$322=$D$219) * ('Results Grouping'!$I$9:$I$322=$D230),0)),
    'PRM Resource Summary'!$C:$C,H$260
  ))</f>
        <v>0</v>
      </c>
      <c r="I230" s="10" cm="1">
        <f t="array" ref="I230">SUM(
  SUMIFS(
    'PRM Resource Summary'!$E:$E,
    'PRM Resource Summary'!$A:$A,$D$220,
    'PRM Resource Summary'!$B:$B,TRANSPOSE(_xlfn._xlws.FILTER('Results Grouping'!$G$9:$G$322,('Results Grouping'!$H$9:$H$322=$D$219) * ('Results Grouping'!$I$9:$I$322=$D230),0)),
    'PRM Resource Summary'!$C:$C,I$260
  ))</f>
        <v>0</v>
      </c>
      <c r="J230" s="10" cm="1">
        <f t="array" ref="J230">SUM(
  SUMIFS(
    'PRM Resource Summary'!$E:$E,
    'PRM Resource Summary'!$A:$A,$D$220,
    'PRM Resource Summary'!$B:$B,TRANSPOSE(_xlfn._xlws.FILTER('Results Grouping'!$G$9:$G$322,('Results Grouping'!$H$9:$H$322=$D$219) * ('Results Grouping'!$I$9:$I$322=$D230),0)),
    'PRM Resource Summary'!$C:$C,J$260
  ))</f>
        <v>0</v>
      </c>
      <c r="K230" s="10" cm="1">
        <f t="array" ref="K230">SUM(
  SUMIFS(
    'PRM Resource Summary'!$E:$E,
    'PRM Resource Summary'!$A:$A,$D$220,
    'PRM Resource Summary'!$B:$B,TRANSPOSE(_xlfn._xlws.FILTER('Results Grouping'!$G$9:$G$322,('Results Grouping'!$H$9:$H$322=$D$219) * ('Results Grouping'!$I$9:$I$322=$D230),0)),
    'PRM Resource Summary'!$C:$C,K$260
  ))</f>
        <v>0</v>
      </c>
      <c r="L230" s="10" cm="1">
        <f t="array" ref="L230">SUM(
  SUMIFS(
    'PRM Resource Summary'!$E:$E,
    'PRM Resource Summary'!$A:$A,$D$220,
    'PRM Resource Summary'!$B:$B,TRANSPOSE(_xlfn._xlws.FILTER('Results Grouping'!$G$9:$G$322,('Results Grouping'!$H$9:$H$322=$D$219) * ('Results Grouping'!$I$9:$I$322=$D230),0)),
    'PRM Resource Summary'!$C:$C,L$260
  ))</f>
        <v>0</v>
      </c>
      <c r="M230" s="10" cm="1">
        <f t="array" ref="M230">SUM(
  SUMIFS(
    'PRM Resource Summary'!$E:$E,
    'PRM Resource Summary'!$A:$A,$D$220,
    'PRM Resource Summary'!$B:$B,TRANSPOSE(_xlfn._xlws.FILTER('Results Grouping'!$G$9:$G$322,('Results Grouping'!$H$9:$H$322=$D$219) * ('Results Grouping'!$I$9:$I$322=$D230),0)),
    'PRM Resource Summary'!$C:$C,M$260
  ))</f>
        <v>0</v>
      </c>
      <c r="N230" s="10" cm="1">
        <f t="array" ref="N230">SUM(
  SUMIFS(
    'PRM Resource Summary'!$E:$E,
    'PRM Resource Summary'!$A:$A,$D$220,
    'PRM Resource Summary'!$B:$B,TRANSPOSE(_xlfn._xlws.FILTER('Results Grouping'!$G$9:$G$322,('Results Grouping'!$H$9:$H$322=$D$219) * ('Results Grouping'!$I$9:$I$322=$D230),0)),
    'PRM Resource Summary'!$C:$C,N$260
  ))</f>
        <v>0</v>
      </c>
      <c r="O230" s="10" cm="1">
        <f t="array" ref="O230">SUM(
  SUMIFS(
    'PRM Resource Summary'!$E:$E,
    'PRM Resource Summary'!$A:$A,$D$220,
    'PRM Resource Summary'!$B:$B,TRANSPOSE(_xlfn._xlws.FILTER('Results Grouping'!$G$9:$G$322,('Results Grouping'!$H$9:$H$322=$D$219) * ('Results Grouping'!$I$9:$I$322=$D230),0)),
    'PRM Resource Summary'!$C:$C,O$260
  ))</f>
        <v>0</v>
      </c>
      <c r="P230" s="10" cm="1">
        <f t="array" ref="P230">SUM(
  SUMIFS(
    'PRM Resource Summary'!$E:$E,
    'PRM Resource Summary'!$A:$A,$D$220,
    'PRM Resource Summary'!$B:$B,TRANSPOSE(_xlfn._xlws.FILTER('Results Grouping'!$G$9:$G$322,('Results Grouping'!$H$9:$H$322=$D$219) * ('Results Grouping'!$I$9:$I$322=$D230),0)),
    'PRM Resource Summary'!$C:$C,P$260
  ))</f>
        <v>0</v>
      </c>
      <c r="Q230" s="10" cm="1">
        <f t="array" ref="Q230">SUM(
  SUMIFS(
    'PRM Resource Summary'!$E:$E,
    'PRM Resource Summary'!$A:$A,$D$220,
    'PRM Resource Summary'!$B:$B,TRANSPOSE(_xlfn._xlws.FILTER('Results Grouping'!$G$9:$G$322,('Results Grouping'!$H$9:$H$322=$D$219) * ('Results Grouping'!$I$9:$I$322=$D230),0)),
    'PRM Resource Summary'!$C:$C,Q$260
  ))</f>
        <v>0</v>
      </c>
      <c r="R230" s="10" cm="1">
        <f t="array" ref="R230">SUM(
  SUMIFS(
    'PRM Resource Summary'!$E:$E,
    'PRM Resource Summary'!$A:$A,$D$220,
    'PRM Resource Summary'!$B:$B,TRANSPOSE(_xlfn._xlws.FILTER('Results Grouping'!$G$9:$G$322,('Results Grouping'!$H$9:$H$322=$D$219) * ('Results Grouping'!$I$9:$I$322=$D230),0)),
    'PRM Resource Summary'!$C:$C,R$260
  ))</f>
        <v>0</v>
      </c>
      <c r="S230" s="10" cm="1">
        <f t="array" ref="S230">SUM(
  SUMIFS(
    'PRM Resource Summary'!$E:$E,
    'PRM Resource Summary'!$A:$A,$D$220,
    'PRM Resource Summary'!$B:$B,TRANSPOSE(_xlfn._xlws.FILTER('Results Grouping'!$G$9:$G$322,('Results Grouping'!$H$9:$H$322=$D$219) * ('Results Grouping'!$I$9:$I$322=$D230),0)),
    'PRM Resource Summary'!$C:$C,S$260
  ))</f>
        <v>0</v>
      </c>
      <c r="T230" s="10" cm="1">
        <f t="array" ref="T230">SUM(
  SUMIFS(
    'PRM Resource Summary'!$E:$E,
    'PRM Resource Summary'!$A:$A,$D$220,
    'PRM Resource Summary'!$B:$B,TRANSPOSE(_xlfn._xlws.FILTER('Results Grouping'!$G$9:$G$322,('Results Grouping'!$H$9:$H$322=$D$219) * ('Results Grouping'!$I$9:$I$322=$D230),0)),
    'PRM Resource Summary'!$C:$C,T$260
  ))</f>
        <v>0</v>
      </c>
      <c r="U230" s="10" cm="1">
        <f t="array" ref="U230">SUM(
  SUMIFS(
    'PRM Resource Summary'!$E:$E,
    'PRM Resource Summary'!$A:$A,$D$220,
    'PRM Resource Summary'!$B:$B,TRANSPOSE(_xlfn._xlws.FILTER('Results Grouping'!$G$9:$G$322,('Results Grouping'!$H$9:$H$322=$D$219) * ('Results Grouping'!$I$9:$I$322=$D230),0)),
    'PRM Resource Summary'!$C:$C,U$260
  ))</f>
        <v>0</v>
      </c>
      <c r="V230" s="10" cm="1">
        <f t="array" ref="V230">SUM(
  SUMIFS(
    'PRM Resource Summary'!$E:$E,
    'PRM Resource Summary'!$A:$A,$D$220,
    'PRM Resource Summary'!$B:$B,TRANSPOSE(_xlfn._xlws.FILTER('Results Grouping'!$G$9:$G$322,('Results Grouping'!$H$9:$H$322=$D$219) * ('Results Grouping'!$I$9:$I$322=$D230),0)),
    'PRM Resource Summary'!$C:$C,V$260
  ))</f>
        <v>0</v>
      </c>
      <c r="W230" s="10" cm="1">
        <f t="array" ref="W230">SUM(
  SUMIFS(
    'PRM Resource Summary'!$E:$E,
    'PRM Resource Summary'!$A:$A,$D$220,
    'PRM Resource Summary'!$B:$B,TRANSPOSE(_xlfn._xlws.FILTER('Results Grouping'!$G$9:$G$322,('Results Grouping'!$H$9:$H$322=$D$219) * ('Results Grouping'!$I$9:$I$322=$D230),0)),
    'PRM Resource Summary'!$C:$C,W$260
  ))</f>
        <v>0</v>
      </c>
      <c r="X230" s="10" cm="1">
        <f t="array" ref="X230">SUM(
  SUMIFS(
    'PRM Resource Summary'!$E:$E,
    'PRM Resource Summary'!$A:$A,$D$220,
    'PRM Resource Summary'!$B:$B,TRANSPOSE(_xlfn._xlws.FILTER('Results Grouping'!$G$9:$G$322,('Results Grouping'!$H$9:$H$322=$D$219) * ('Results Grouping'!$I$9:$I$322=$D230),0)),
    'PRM Resource Summary'!$C:$C,X$260
  ))</f>
        <v>0</v>
      </c>
      <c r="Y230" s="10" cm="1">
        <f t="array" ref="Y230">SUM(
  SUMIFS(
    'PRM Resource Summary'!$E:$E,
    'PRM Resource Summary'!$A:$A,$D$220,
    'PRM Resource Summary'!$B:$B,TRANSPOSE(_xlfn._xlws.FILTER('Results Grouping'!$G$9:$G$322,('Results Grouping'!$H$9:$H$322=$D$219) * ('Results Grouping'!$I$9:$I$322=$D230),0)),
    'PRM Resource Summary'!$C:$C,Y$260
  ))</f>
        <v>0</v>
      </c>
      <c r="Z230" s="10" cm="1">
        <f t="array" ref="Z230">SUM(
  SUMIFS(
    'PRM Resource Summary'!$E:$E,
    'PRM Resource Summary'!$A:$A,$D$220,
    'PRM Resource Summary'!$B:$B,TRANSPOSE(_xlfn._xlws.FILTER('Results Grouping'!$G$9:$G$322,('Results Grouping'!$H$9:$H$322=$D$219) * ('Results Grouping'!$I$9:$I$322=$D230),0)),
    'PRM Resource Summary'!$C:$C,Z$260
  ))</f>
        <v>0</v>
      </c>
      <c r="AA230" s="10" cm="1">
        <f t="array" ref="AA230">SUM(
  SUMIFS(
    'PRM Resource Summary'!$E:$E,
    'PRM Resource Summary'!$A:$A,$D$220,
    'PRM Resource Summary'!$B:$B,TRANSPOSE(_xlfn._xlws.FILTER('Results Grouping'!$G$9:$G$322,('Results Grouping'!$H$9:$H$322=$D$219) * ('Results Grouping'!$I$9:$I$322=$D230),0)),
    'PRM Resource Summary'!$C:$C,AA$260
  ))</f>
        <v>0</v>
      </c>
      <c r="AB230" s="10" cm="1">
        <f t="array" ref="AB230">SUM(
  SUMIFS(
    'PRM Resource Summary'!$E:$E,
    'PRM Resource Summary'!$A:$A,$D$220,
    'PRM Resource Summary'!$B:$B,TRANSPOSE(_xlfn._xlws.FILTER('Results Grouping'!$G$9:$G$322,('Results Grouping'!$H$9:$H$322=$D$219) * ('Results Grouping'!$I$9:$I$322=$D230),0)),
    'PRM Resource Summary'!$C:$C,AB$260
  ))</f>
        <v>0</v>
      </c>
      <c r="AC230" s="10" cm="1">
        <f t="array" ref="AC230">SUM(
  SUMIFS(
    'PRM Resource Summary'!$E:$E,
    'PRM Resource Summary'!$A:$A,$D$220,
    'PRM Resource Summary'!$B:$B,TRANSPOSE(_xlfn._xlws.FILTER('Results Grouping'!$G$9:$G$322,('Results Grouping'!$H$9:$H$322=$D$219) * ('Results Grouping'!$I$9:$I$322=$D230),0)),
    'PRM Resource Summary'!$C:$C,AC$260
  ))</f>
        <v>0</v>
      </c>
      <c r="AD230" s="10" cm="1">
        <f t="array" ref="AD230">SUM(
  SUMIFS(
    'PRM Resource Summary'!$E:$E,
    'PRM Resource Summary'!$A:$A,$D$220,
    'PRM Resource Summary'!$B:$B,TRANSPOSE(_xlfn._xlws.FILTER('Results Grouping'!$G$9:$G$322,('Results Grouping'!$H$9:$H$322=$D$219) * ('Results Grouping'!$I$9:$I$322=$D230),0)),
    'PRM Resource Summary'!$C:$C,AD$260
  ))</f>
        <v>1292.3052830692411</v>
      </c>
      <c r="AH230" s="34"/>
    </row>
    <row r="231" spans="3:34" outlineLevel="1" x14ac:dyDescent="0.2">
      <c r="C231" s="8" t="s">
        <v>176</v>
      </c>
      <c r="D231" s="8" t="s">
        <v>120</v>
      </c>
      <c r="E231" s="10" cm="1">
        <f t="array" ref="E231">SUM(
  SUMIFS(
    'PRM Resource Summary'!$E:$E,
    'PRM Resource Summary'!$A:$A,$D$220,
    'PRM Resource Summary'!$B:$B,TRANSPOSE(_xlfn._xlws.FILTER('Results Grouping'!$G$9:$G$322,('Results Grouping'!$H$9:$H$322=$D$219) * ('Results Grouping'!$I$9:$I$322=$D231),0)),
    'PRM Resource Summary'!$C:$C,E$260
  ))</f>
        <v>0</v>
      </c>
      <c r="F231" s="10" cm="1">
        <f t="array" ref="F231">SUM(
  SUMIFS(
    'PRM Resource Summary'!$E:$E,
    'PRM Resource Summary'!$A:$A,$D$220,
    'PRM Resource Summary'!$B:$B,TRANSPOSE(_xlfn._xlws.FILTER('Results Grouping'!$G$9:$G$322,('Results Grouping'!$H$9:$H$322=$D$219) * ('Results Grouping'!$I$9:$I$322=$D231),0)),
    'PRM Resource Summary'!$C:$C,F$260
  ))</f>
        <v>0</v>
      </c>
      <c r="G231" s="10" cm="1">
        <f t="array" ref="G231">SUM(
  SUMIFS(
    'PRM Resource Summary'!$E:$E,
    'PRM Resource Summary'!$A:$A,$D$220,
    'PRM Resource Summary'!$B:$B,TRANSPOSE(_xlfn._xlws.FILTER('Results Grouping'!$G$9:$G$322,('Results Grouping'!$H$9:$H$322=$D$219) * ('Results Grouping'!$I$9:$I$322=$D231),0)),
    'PRM Resource Summary'!$C:$C,G$260
  ))</f>
        <v>0</v>
      </c>
      <c r="H231" s="10" cm="1">
        <f t="array" ref="H231">SUM(
  SUMIFS(
    'PRM Resource Summary'!$E:$E,
    'PRM Resource Summary'!$A:$A,$D$220,
    'PRM Resource Summary'!$B:$B,TRANSPOSE(_xlfn._xlws.FILTER('Results Grouping'!$G$9:$G$322,('Results Grouping'!$H$9:$H$322=$D$219) * ('Results Grouping'!$I$9:$I$322=$D231),0)),
    'PRM Resource Summary'!$C:$C,H$260
  ))</f>
        <v>0</v>
      </c>
      <c r="I231" s="10" cm="1">
        <f t="array" ref="I231">SUM(
  SUMIFS(
    'PRM Resource Summary'!$E:$E,
    'PRM Resource Summary'!$A:$A,$D$220,
    'PRM Resource Summary'!$B:$B,TRANSPOSE(_xlfn._xlws.FILTER('Results Grouping'!$G$9:$G$322,('Results Grouping'!$H$9:$H$322=$D$219) * ('Results Grouping'!$I$9:$I$322=$D231),0)),
    'PRM Resource Summary'!$C:$C,I$260
  ))</f>
        <v>0</v>
      </c>
      <c r="J231" s="10" cm="1">
        <f t="array" ref="J231">SUM(
  SUMIFS(
    'PRM Resource Summary'!$E:$E,
    'PRM Resource Summary'!$A:$A,$D$220,
    'PRM Resource Summary'!$B:$B,TRANSPOSE(_xlfn._xlws.FILTER('Results Grouping'!$G$9:$G$322,('Results Grouping'!$H$9:$H$322=$D$219) * ('Results Grouping'!$I$9:$I$322=$D231),0)),
    'PRM Resource Summary'!$C:$C,J$260
  ))</f>
        <v>0</v>
      </c>
      <c r="K231" s="10" cm="1">
        <f t="array" ref="K231">SUM(
  SUMIFS(
    'PRM Resource Summary'!$E:$E,
    'PRM Resource Summary'!$A:$A,$D$220,
    'PRM Resource Summary'!$B:$B,TRANSPOSE(_xlfn._xlws.FILTER('Results Grouping'!$G$9:$G$322,('Results Grouping'!$H$9:$H$322=$D$219) * ('Results Grouping'!$I$9:$I$322=$D231),0)),
    'PRM Resource Summary'!$C:$C,K$260
  ))</f>
        <v>0</v>
      </c>
      <c r="L231" s="10" cm="1">
        <f t="array" ref="L231">SUM(
  SUMIFS(
    'PRM Resource Summary'!$E:$E,
    'PRM Resource Summary'!$A:$A,$D$220,
    'PRM Resource Summary'!$B:$B,TRANSPOSE(_xlfn._xlws.FILTER('Results Grouping'!$G$9:$G$322,('Results Grouping'!$H$9:$H$322=$D$219) * ('Results Grouping'!$I$9:$I$322=$D231),0)),
    'PRM Resource Summary'!$C:$C,L$260
  ))</f>
        <v>0</v>
      </c>
      <c r="M231" s="10" cm="1">
        <f t="array" ref="M231">SUM(
  SUMIFS(
    'PRM Resource Summary'!$E:$E,
    'PRM Resource Summary'!$A:$A,$D$220,
    'PRM Resource Summary'!$B:$B,TRANSPOSE(_xlfn._xlws.FILTER('Results Grouping'!$G$9:$G$322,('Results Grouping'!$H$9:$H$322=$D$219) * ('Results Grouping'!$I$9:$I$322=$D231),0)),
    'PRM Resource Summary'!$C:$C,M$260
  ))</f>
        <v>0</v>
      </c>
      <c r="N231" s="10" cm="1">
        <f t="array" ref="N231">SUM(
  SUMIFS(
    'PRM Resource Summary'!$E:$E,
    'PRM Resource Summary'!$A:$A,$D$220,
    'PRM Resource Summary'!$B:$B,TRANSPOSE(_xlfn._xlws.FILTER('Results Grouping'!$G$9:$G$322,('Results Grouping'!$H$9:$H$322=$D$219) * ('Results Grouping'!$I$9:$I$322=$D231),0)),
    'PRM Resource Summary'!$C:$C,N$260
  ))</f>
        <v>0</v>
      </c>
      <c r="O231" s="10" cm="1">
        <f t="array" ref="O231">SUM(
  SUMIFS(
    'PRM Resource Summary'!$E:$E,
    'PRM Resource Summary'!$A:$A,$D$220,
    'PRM Resource Summary'!$B:$B,TRANSPOSE(_xlfn._xlws.FILTER('Results Grouping'!$G$9:$G$322,('Results Grouping'!$H$9:$H$322=$D$219) * ('Results Grouping'!$I$9:$I$322=$D231),0)),
    'PRM Resource Summary'!$C:$C,O$260
  ))</f>
        <v>0</v>
      </c>
      <c r="P231" s="10" cm="1">
        <f t="array" ref="P231">SUM(
  SUMIFS(
    'PRM Resource Summary'!$E:$E,
    'PRM Resource Summary'!$A:$A,$D$220,
    'PRM Resource Summary'!$B:$B,TRANSPOSE(_xlfn._xlws.FILTER('Results Grouping'!$G$9:$G$322,('Results Grouping'!$H$9:$H$322=$D$219) * ('Results Grouping'!$I$9:$I$322=$D231),0)),
    'PRM Resource Summary'!$C:$C,P$260
  ))</f>
        <v>0</v>
      </c>
      <c r="Q231" s="10" cm="1">
        <f t="array" ref="Q231">SUM(
  SUMIFS(
    'PRM Resource Summary'!$E:$E,
    'PRM Resource Summary'!$A:$A,$D$220,
    'PRM Resource Summary'!$B:$B,TRANSPOSE(_xlfn._xlws.FILTER('Results Grouping'!$G$9:$G$322,('Results Grouping'!$H$9:$H$322=$D$219) * ('Results Grouping'!$I$9:$I$322=$D231),0)),
    'PRM Resource Summary'!$C:$C,Q$260
  ))</f>
        <v>0</v>
      </c>
      <c r="R231" s="10" cm="1">
        <f t="array" ref="R231">SUM(
  SUMIFS(
    'PRM Resource Summary'!$E:$E,
    'PRM Resource Summary'!$A:$A,$D$220,
    'PRM Resource Summary'!$B:$B,TRANSPOSE(_xlfn._xlws.FILTER('Results Grouping'!$G$9:$G$322,('Results Grouping'!$H$9:$H$322=$D$219) * ('Results Grouping'!$I$9:$I$322=$D231),0)),
    'PRM Resource Summary'!$C:$C,R$260
  ))</f>
        <v>0</v>
      </c>
      <c r="S231" s="10" cm="1">
        <f t="array" ref="S231">SUM(
  SUMIFS(
    'PRM Resource Summary'!$E:$E,
    'PRM Resource Summary'!$A:$A,$D$220,
    'PRM Resource Summary'!$B:$B,TRANSPOSE(_xlfn._xlws.FILTER('Results Grouping'!$G$9:$G$322,('Results Grouping'!$H$9:$H$322=$D$219) * ('Results Grouping'!$I$9:$I$322=$D231),0)),
    'PRM Resource Summary'!$C:$C,S$260
  ))</f>
        <v>0</v>
      </c>
      <c r="T231" s="10" cm="1">
        <f t="array" ref="T231">SUM(
  SUMIFS(
    'PRM Resource Summary'!$E:$E,
    'PRM Resource Summary'!$A:$A,$D$220,
    'PRM Resource Summary'!$B:$B,TRANSPOSE(_xlfn._xlws.FILTER('Results Grouping'!$G$9:$G$322,('Results Grouping'!$H$9:$H$322=$D$219) * ('Results Grouping'!$I$9:$I$322=$D231),0)),
    'PRM Resource Summary'!$C:$C,T$260
  ))</f>
        <v>0</v>
      </c>
      <c r="U231" s="10" cm="1">
        <f t="array" ref="U231">SUM(
  SUMIFS(
    'PRM Resource Summary'!$E:$E,
    'PRM Resource Summary'!$A:$A,$D$220,
    'PRM Resource Summary'!$B:$B,TRANSPOSE(_xlfn._xlws.FILTER('Results Grouping'!$G$9:$G$322,('Results Grouping'!$H$9:$H$322=$D$219) * ('Results Grouping'!$I$9:$I$322=$D231),0)),
    'PRM Resource Summary'!$C:$C,U$260
  ))</f>
        <v>0</v>
      </c>
      <c r="V231" s="10" cm="1">
        <f t="array" ref="V231">SUM(
  SUMIFS(
    'PRM Resource Summary'!$E:$E,
    'PRM Resource Summary'!$A:$A,$D$220,
    'PRM Resource Summary'!$B:$B,TRANSPOSE(_xlfn._xlws.FILTER('Results Grouping'!$G$9:$G$322,('Results Grouping'!$H$9:$H$322=$D$219) * ('Results Grouping'!$I$9:$I$322=$D231),0)),
    'PRM Resource Summary'!$C:$C,V$260
  ))</f>
        <v>0</v>
      </c>
      <c r="W231" s="10" cm="1">
        <f t="array" ref="W231">SUM(
  SUMIFS(
    'PRM Resource Summary'!$E:$E,
    'PRM Resource Summary'!$A:$A,$D$220,
    'PRM Resource Summary'!$B:$B,TRANSPOSE(_xlfn._xlws.FILTER('Results Grouping'!$G$9:$G$322,('Results Grouping'!$H$9:$H$322=$D$219) * ('Results Grouping'!$I$9:$I$322=$D231),0)),
    'PRM Resource Summary'!$C:$C,W$260
  ))</f>
        <v>0</v>
      </c>
      <c r="X231" s="10" cm="1">
        <f t="array" ref="X231">SUM(
  SUMIFS(
    'PRM Resource Summary'!$E:$E,
    'PRM Resource Summary'!$A:$A,$D$220,
    'PRM Resource Summary'!$B:$B,TRANSPOSE(_xlfn._xlws.FILTER('Results Grouping'!$G$9:$G$322,('Results Grouping'!$H$9:$H$322=$D$219) * ('Results Grouping'!$I$9:$I$322=$D231),0)),
    'PRM Resource Summary'!$C:$C,X$260
  ))</f>
        <v>0</v>
      </c>
      <c r="Y231" s="10" cm="1">
        <f t="array" ref="Y231">SUM(
  SUMIFS(
    'PRM Resource Summary'!$E:$E,
    'PRM Resource Summary'!$A:$A,$D$220,
    'PRM Resource Summary'!$B:$B,TRANSPOSE(_xlfn._xlws.FILTER('Results Grouping'!$G$9:$G$322,('Results Grouping'!$H$9:$H$322=$D$219) * ('Results Grouping'!$I$9:$I$322=$D231),0)),
    'PRM Resource Summary'!$C:$C,Y$260
  ))</f>
        <v>0</v>
      </c>
      <c r="Z231" s="10" cm="1">
        <f t="array" ref="Z231">SUM(
  SUMIFS(
    'PRM Resource Summary'!$E:$E,
    'PRM Resource Summary'!$A:$A,$D$220,
    'PRM Resource Summary'!$B:$B,TRANSPOSE(_xlfn._xlws.FILTER('Results Grouping'!$G$9:$G$322,('Results Grouping'!$H$9:$H$322=$D$219) * ('Results Grouping'!$I$9:$I$322=$D231),0)),
    'PRM Resource Summary'!$C:$C,Z$260
  ))</f>
        <v>0</v>
      </c>
      <c r="AA231" s="10" cm="1">
        <f t="array" ref="AA231">SUM(
  SUMIFS(
    'PRM Resource Summary'!$E:$E,
    'PRM Resource Summary'!$A:$A,$D$220,
    'PRM Resource Summary'!$B:$B,TRANSPOSE(_xlfn._xlws.FILTER('Results Grouping'!$G$9:$G$322,('Results Grouping'!$H$9:$H$322=$D$219) * ('Results Grouping'!$I$9:$I$322=$D231),0)),
    'PRM Resource Summary'!$C:$C,AA$260
  ))</f>
        <v>0</v>
      </c>
      <c r="AB231" s="10" cm="1">
        <f t="array" ref="AB231">SUM(
  SUMIFS(
    'PRM Resource Summary'!$E:$E,
    'PRM Resource Summary'!$A:$A,$D$220,
    'PRM Resource Summary'!$B:$B,TRANSPOSE(_xlfn._xlws.FILTER('Results Grouping'!$G$9:$G$322,('Results Grouping'!$H$9:$H$322=$D$219) * ('Results Grouping'!$I$9:$I$322=$D231),0)),
    'PRM Resource Summary'!$C:$C,AB$260
  ))</f>
        <v>0</v>
      </c>
      <c r="AC231" s="10" cm="1">
        <f t="array" ref="AC231">SUM(
  SUMIFS(
    'PRM Resource Summary'!$E:$E,
    'PRM Resource Summary'!$A:$A,$D$220,
    'PRM Resource Summary'!$B:$B,TRANSPOSE(_xlfn._xlws.FILTER('Results Grouping'!$G$9:$G$322,('Results Grouping'!$H$9:$H$322=$D$219) * ('Results Grouping'!$I$9:$I$322=$D231),0)),
    'PRM Resource Summary'!$C:$C,AC$260
  ))</f>
        <v>0</v>
      </c>
      <c r="AD231" s="10" cm="1">
        <f t="array" ref="AD231">SUM(
  SUMIFS(
    'PRM Resource Summary'!$E:$E,
    'PRM Resource Summary'!$A:$A,$D$220,
    'PRM Resource Summary'!$B:$B,TRANSPOSE(_xlfn._xlws.FILTER('Results Grouping'!$G$9:$G$322,('Results Grouping'!$H$9:$H$322=$D$219) * ('Results Grouping'!$I$9:$I$322=$D231),0)),
    'PRM Resource Summary'!$C:$C,AD$260
  ))</f>
        <v>605.91352264544446</v>
      </c>
      <c r="AH231" s="34"/>
    </row>
    <row r="232" spans="3:34" outlineLevel="1" x14ac:dyDescent="0.2">
      <c r="C232" s="8" t="s">
        <v>176</v>
      </c>
      <c r="D232" s="8" t="s">
        <v>123</v>
      </c>
      <c r="E232" s="10" cm="1">
        <f t="array" ref="E232">SUM(
  SUMIFS(
    'PRM Resource Summary'!$E:$E,
    'PRM Resource Summary'!$A:$A,$D$220,
    'PRM Resource Summary'!$B:$B,TRANSPOSE(_xlfn._xlws.FILTER('Results Grouping'!$G$9:$G$322,('Results Grouping'!$H$9:$H$322=$D$219) * ('Results Grouping'!$I$9:$I$322=$D232),0)),
    'PRM Resource Summary'!$C:$C,E$260
  ))</f>
        <v>0</v>
      </c>
      <c r="F232" s="10" cm="1">
        <f t="array" ref="F232">SUM(
  SUMIFS(
    'PRM Resource Summary'!$E:$E,
    'PRM Resource Summary'!$A:$A,$D$220,
    'PRM Resource Summary'!$B:$B,TRANSPOSE(_xlfn._xlws.FILTER('Results Grouping'!$G$9:$G$322,('Results Grouping'!$H$9:$H$322=$D$219) * ('Results Grouping'!$I$9:$I$322=$D232),0)),
    'PRM Resource Summary'!$C:$C,F$260
  ))</f>
        <v>0</v>
      </c>
      <c r="G232" s="10" cm="1">
        <f t="array" ref="G232">SUM(
  SUMIFS(
    'PRM Resource Summary'!$E:$E,
    'PRM Resource Summary'!$A:$A,$D$220,
    'PRM Resource Summary'!$B:$B,TRANSPOSE(_xlfn._xlws.FILTER('Results Grouping'!$G$9:$G$322,('Results Grouping'!$H$9:$H$322=$D$219) * ('Results Grouping'!$I$9:$I$322=$D232),0)),
    'PRM Resource Summary'!$C:$C,G$260
  ))</f>
        <v>0</v>
      </c>
      <c r="H232" s="10" cm="1">
        <f t="array" ref="H232">SUM(
  SUMIFS(
    'PRM Resource Summary'!$E:$E,
    'PRM Resource Summary'!$A:$A,$D$220,
    'PRM Resource Summary'!$B:$B,TRANSPOSE(_xlfn._xlws.FILTER('Results Grouping'!$G$9:$G$322,('Results Grouping'!$H$9:$H$322=$D$219) * ('Results Grouping'!$I$9:$I$322=$D232),0)),
    'PRM Resource Summary'!$C:$C,H$260
  ))</f>
        <v>0</v>
      </c>
      <c r="I232" s="10" cm="1">
        <f t="array" ref="I232">SUM(
  SUMIFS(
    'PRM Resource Summary'!$E:$E,
    'PRM Resource Summary'!$A:$A,$D$220,
    'PRM Resource Summary'!$B:$B,TRANSPOSE(_xlfn._xlws.FILTER('Results Grouping'!$G$9:$G$322,('Results Grouping'!$H$9:$H$322=$D$219) * ('Results Grouping'!$I$9:$I$322=$D232),0)),
    'PRM Resource Summary'!$C:$C,I$260
  ))</f>
        <v>0</v>
      </c>
      <c r="J232" s="10" cm="1">
        <f t="array" ref="J232">SUM(
  SUMIFS(
    'PRM Resource Summary'!$E:$E,
    'PRM Resource Summary'!$A:$A,$D$220,
    'PRM Resource Summary'!$B:$B,TRANSPOSE(_xlfn._xlws.FILTER('Results Grouping'!$G$9:$G$322,('Results Grouping'!$H$9:$H$322=$D$219) * ('Results Grouping'!$I$9:$I$322=$D232),0)),
    'PRM Resource Summary'!$C:$C,J$260
  ))</f>
        <v>0</v>
      </c>
      <c r="K232" s="10" cm="1">
        <f t="array" ref="K232">SUM(
  SUMIFS(
    'PRM Resource Summary'!$E:$E,
    'PRM Resource Summary'!$A:$A,$D$220,
    'PRM Resource Summary'!$B:$B,TRANSPOSE(_xlfn._xlws.FILTER('Results Grouping'!$G$9:$G$322,('Results Grouping'!$H$9:$H$322=$D$219) * ('Results Grouping'!$I$9:$I$322=$D232),0)),
    'PRM Resource Summary'!$C:$C,K$260
  ))</f>
        <v>0</v>
      </c>
      <c r="L232" s="10" cm="1">
        <f t="array" ref="L232">SUM(
  SUMIFS(
    'PRM Resource Summary'!$E:$E,
    'PRM Resource Summary'!$A:$A,$D$220,
    'PRM Resource Summary'!$B:$B,TRANSPOSE(_xlfn._xlws.FILTER('Results Grouping'!$G$9:$G$322,('Results Grouping'!$H$9:$H$322=$D$219) * ('Results Grouping'!$I$9:$I$322=$D232),0)),
    'PRM Resource Summary'!$C:$C,L$260
  ))</f>
        <v>0</v>
      </c>
      <c r="M232" s="10" cm="1">
        <f t="array" ref="M232">SUM(
  SUMIFS(
    'PRM Resource Summary'!$E:$E,
    'PRM Resource Summary'!$A:$A,$D$220,
    'PRM Resource Summary'!$B:$B,TRANSPOSE(_xlfn._xlws.FILTER('Results Grouping'!$G$9:$G$322,('Results Grouping'!$H$9:$H$322=$D$219) * ('Results Grouping'!$I$9:$I$322=$D232),0)),
    'PRM Resource Summary'!$C:$C,M$260
  ))</f>
        <v>0</v>
      </c>
      <c r="N232" s="10" cm="1">
        <f t="array" ref="N232">SUM(
  SUMIFS(
    'PRM Resource Summary'!$E:$E,
    'PRM Resource Summary'!$A:$A,$D$220,
    'PRM Resource Summary'!$B:$B,TRANSPOSE(_xlfn._xlws.FILTER('Results Grouping'!$G$9:$G$322,('Results Grouping'!$H$9:$H$322=$D$219) * ('Results Grouping'!$I$9:$I$322=$D232),0)),
    'PRM Resource Summary'!$C:$C,N$260
  ))</f>
        <v>0</v>
      </c>
      <c r="O232" s="10" cm="1">
        <f t="array" ref="O232">SUM(
  SUMIFS(
    'PRM Resource Summary'!$E:$E,
    'PRM Resource Summary'!$A:$A,$D$220,
    'PRM Resource Summary'!$B:$B,TRANSPOSE(_xlfn._xlws.FILTER('Results Grouping'!$G$9:$G$322,('Results Grouping'!$H$9:$H$322=$D$219) * ('Results Grouping'!$I$9:$I$322=$D232),0)),
    'PRM Resource Summary'!$C:$C,O$260
  ))</f>
        <v>0</v>
      </c>
      <c r="P232" s="10" cm="1">
        <f t="array" ref="P232">SUM(
  SUMIFS(
    'PRM Resource Summary'!$E:$E,
    'PRM Resource Summary'!$A:$A,$D$220,
    'PRM Resource Summary'!$B:$B,TRANSPOSE(_xlfn._xlws.FILTER('Results Grouping'!$G$9:$G$322,('Results Grouping'!$H$9:$H$322=$D$219) * ('Results Grouping'!$I$9:$I$322=$D232),0)),
    'PRM Resource Summary'!$C:$C,P$260
  ))</f>
        <v>0</v>
      </c>
      <c r="Q232" s="10" cm="1">
        <f t="array" ref="Q232">SUM(
  SUMIFS(
    'PRM Resource Summary'!$E:$E,
    'PRM Resource Summary'!$A:$A,$D$220,
    'PRM Resource Summary'!$B:$B,TRANSPOSE(_xlfn._xlws.FILTER('Results Grouping'!$G$9:$G$322,('Results Grouping'!$H$9:$H$322=$D$219) * ('Results Grouping'!$I$9:$I$322=$D232),0)),
    'PRM Resource Summary'!$C:$C,Q$260
  ))</f>
        <v>0</v>
      </c>
      <c r="R232" s="10" cm="1">
        <f t="array" ref="R232">SUM(
  SUMIFS(
    'PRM Resource Summary'!$E:$E,
    'PRM Resource Summary'!$A:$A,$D$220,
    'PRM Resource Summary'!$B:$B,TRANSPOSE(_xlfn._xlws.FILTER('Results Grouping'!$G$9:$G$322,('Results Grouping'!$H$9:$H$322=$D$219) * ('Results Grouping'!$I$9:$I$322=$D232),0)),
    'PRM Resource Summary'!$C:$C,R$260
  ))</f>
        <v>0</v>
      </c>
      <c r="S232" s="10" cm="1">
        <f t="array" ref="S232">SUM(
  SUMIFS(
    'PRM Resource Summary'!$E:$E,
    'PRM Resource Summary'!$A:$A,$D$220,
    'PRM Resource Summary'!$B:$B,TRANSPOSE(_xlfn._xlws.FILTER('Results Grouping'!$G$9:$G$322,('Results Grouping'!$H$9:$H$322=$D$219) * ('Results Grouping'!$I$9:$I$322=$D232),0)),
    'PRM Resource Summary'!$C:$C,S$260
  ))</f>
        <v>0</v>
      </c>
      <c r="T232" s="10" cm="1">
        <f t="array" ref="T232">SUM(
  SUMIFS(
    'PRM Resource Summary'!$E:$E,
    'PRM Resource Summary'!$A:$A,$D$220,
    'PRM Resource Summary'!$B:$B,TRANSPOSE(_xlfn._xlws.FILTER('Results Grouping'!$G$9:$G$322,('Results Grouping'!$H$9:$H$322=$D$219) * ('Results Grouping'!$I$9:$I$322=$D232),0)),
    'PRM Resource Summary'!$C:$C,T$260
  ))</f>
        <v>0</v>
      </c>
      <c r="U232" s="10" cm="1">
        <f t="array" ref="U232">SUM(
  SUMIFS(
    'PRM Resource Summary'!$E:$E,
    'PRM Resource Summary'!$A:$A,$D$220,
    'PRM Resource Summary'!$B:$B,TRANSPOSE(_xlfn._xlws.FILTER('Results Grouping'!$G$9:$G$322,('Results Grouping'!$H$9:$H$322=$D$219) * ('Results Grouping'!$I$9:$I$322=$D232),0)),
    'PRM Resource Summary'!$C:$C,U$260
  ))</f>
        <v>0</v>
      </c>
      <c r="V232" s="10" cm="1">
        <f t="array" ref="V232">SUM(
  SUMIFS(
    'PRM Resource Summary'!$E:$E,
    'PRM Resource Summary'!$A:$A,$D$220,
    'PRM Resource Summary'!$B:$B,TRANSPOSE(_xlfn._xlws.FILTER('Results Grouping'!$G$9:$G$322,('Results Grouping'!$H$9:$H$322=$D$219) * ('Results Grouping'!$I$9:$I$322=$D232),0)),
    'PRM Resource Summary'!$C:$C,V$260
  ))</f>
        <v>0</v>
      </c>
      <c r="W232" s="10" cm="1">
        <f t="array" ref="W232">SUM(
  SUMIFS(
    'PRM Resource Summary'!$E:$E,
    'PRM Resource Summary'!$A:$A,$D$220,
    'PRM Resource Summary'!$B:$B,TRANSPOSE(_xlfn._xlws.FILTER('Results Grouping'!$G$9:$G$322,('Results Grouping'!$H$9:$H$322=$D$219) * ('Results Grouping'!$I$9:$I$322=$D232),0)),
    'PRM Resource Summary'!$C:$C,W$260
  ))</f>
        <v>0</v>
      </c>
      <c r="X232" s="10" cm="1">
        <f t="array" ref="X232">SUM(
  SUMIFS(
    'PRM Resource Summary'!$E:$E,
    'PRM Resource Summary'!$A:$A,$D$220,
    'PRM Resource Summary'!$B:$B,TRANSPOSE(_xlfn._xlws.FILTER('Results Grouping'!$G$9:$G$322,('Results Grouping'!$H$9:$H$322=$D$219) * ('Results Grouping'!$I$9:$I$322=$D232),0)),
    'PRM Resource Summary'!$C:$C,X$260
  ))</f>
        <v>0</v>
      </c>
      <c r="Y232" s="10" cm="1">
        <f t="array" ref="Y232">SUM(
  SUMIFS(
    'PRM Resource Summary'!$E:$E,
    'PRM Resource Summary'!$A:$A,$D$220,
    'PRM Resource Summary'!$B:$B,TRANSPOSE(_xlfn._xlws.FILTER('Results Grouping'!$G$9:$G$322,('Results Grouping'!$H$9:$H$322=$D$219) * ('Results Grouping'!$I$9:$I$322=$D232),0)),
    'PRM Resource Summary'!$C:$C,Y$260
  ))</f>
        <v>0</v>
      </c>
      <c r="Z232" s="10" cm="1">
        <f t="array" ref="Z232">SUM(
  SUMIFS(
    'PRM Resource Summary'!$E:$E,
    'PRM Resource Summary'!$A:$A,$D$220,
    'PRM Resource Summary'!$B:$B,TRANSPOSE(_xlfn._xlws.FILTER('Results Grouping'!$G$9:$G$322,('Results Grouping'!$H$9:$H$322=$D$219) * ('Results Grouping'!$I$9:$I$322=$D232),0)),
    'PRM Resource Summary'!$C:$C,Z$260
  ))</f>
        <v>0</v>
      </c>
      <c r="AA232" s="10" cm="1">
        <f t="array" ref="AA232">SUM(
  SUMIFS(
    'PRM Resource Summary'!$E:$E,
    'PRM Resource Summary'!$A:$A,$D$220,
    'PRM Resource Summary'!$B:$B,TRANSPOSE(_xlfn._xlws.FILTER('Results Grouping'!$G$9:$G$322,('Results Grouping'!$H$9:$H$322=$D$219) * ('Results Grouping'!$I$9:$I$322=$D232),0)),
    'PRM Resource Summary'!$C:$C,AA$260
  ))</f>
        <v>0</v>
      </c>
      <c r="AB232" s="10" cm="1">
        <f t="array" ref="AB232">SUM(
  SUMIFS(
    'PRM Resource Summary'!$E:$E,
    'PRM Resource Summary'!$A:$A,$D$220,
    'PRM Resource Summary'!$B:$B,TRANSPOSE(_xlfn._xlws.FILTER('Results Grouping'!$G$9:$G$322,('Results Grouping'!$H$9:$H$322=$D$219) * ('Results Grouping'!$I$9:$I$322=$D232),0)),
    'PRM Resource Summary'!$C:$C,AB$260
  ))</f>
        <v>0</v>
      </c>
      <c r="AC232" s="10" cm="1">
        <f t="array" ref="AC232">SUM(
  SUMIFS(
    'PRM Resource Summary'!$E:$E,
    'PRM Resource Summary'!$A:$A,$D$220,
    'PRM Resource Summary'!$B:$B,TRANSPOSE(_xlfn._xlws.FILTER('Results Grouping'!$G$9:$G$322,('Results Grouping'!$H$9:$H$322=$D$219) * ('Results Grouping'!$I$9:$I$322=$D232),0)),
    'PRM Resource Summary'!$C:$C,AC$260
  ))</f>
        <v>0</v>
      </c>
      <c r="AD232" s="10" cm="1">
        <f t="array" ref="AD232">SUM(
  SUMIFS(
    'PRM Resource Summary'!$E:$E,
    'PRM Resource Summary'!$A:$A,$D$220,
    'PRM Resource Summary'!$B:$B,TRANSPOSE(_xlfn._xlws.FILTER('Results Grouping'!$G$9:$G$322,('Results Grouping'!$H$9:$H$322=$D$219) * ('Results Grouping'!$I$9:$I$322=$D232),0)),
    'PRM Resource Summary'!$C:$C,AD$260
  ))</f>
        <v>2635.704154</v>
      </c>
      <c r="AH232" s="34"/>
    </row>
    <row r="233" spans="3:34" outlineLevel="1" x14ac:dyDescent="0.2">
      <c r="C233" s="8" t="s">
        <v>176</v>
      </c>
      <c r="D233" s="8" t="s">
        <v>152</v>
      </c>
      <c r="E233" s="10" cm="1">
        <f t="array" ref="E233">SUM(
  SUMIFS(
    'PRM Resource Summary'!$E:$E,
    'PRM Resource Summary'!$A:$A,$D$220,
    'PRM Resource Summary'!$B:$B,TRANSPOSE(_xlfn._xlws.FILTER('Results Grouping'!$G$9:$G$322,('Results Grouping'!$H$9:$H$322=$D$219) * ('Results Grouping'!$I$9:$I$322=$D233),0)),
    'PRM Resource Summary'!$C:$C,E$260
  ))</f>
        <v>0</v>
      </c>
      <c r="F233" s="10" cm="1">
        <f t="array" ref="F233">SUM(
  SUMIFS(
    'PRM Resource Summary'!$E:$E,
    'PRM Resource Summary'!$A:$A,$D$220,
    'PRM Resource Summary'!$B:$B,TRANSPOSE(_xlfn._xlws.FILTER('Results Grouping'!$G$9:$G$322,('Results Grouping'!$H$9:$H$322=$D$219) * ('Results Grouping'!$I$9:$I$322=$D233),0)),
    'PRM Resource Summary'!$C:$C,F$260
  ))</f>
        <v>0</v>
      </c>
      <c r="G233" s="10" cm="1">
        <f t="array" ref="G233">SUM(
  SUMIFS(
    'PRM Resource Summary'!$E:$E,
    'PRM Resource Summary'!$A:$A,$D$220,
    'PRM Resource Summary'!$B:$B,TRANSPOSE(_xlfn._xlws.FILTER('Results Grouping'!$G$9:$G$322,('Results Grouping'!$H$9:$H$322=$D$219) * ('Results Grouping'!$I$9:$I$322=$D233),0)),
    'PRM Resource Summary'!$C:$C,G$260
  ))</f>
        <v>0</v>
      </c>
      <c r="H233" s="10" cm="1">
        <f t="array" ref="H233">SUM(
  SUMIFS(
    'PRM Resource Summary'!$E:$E,
    'PRM Resource Summary'!$A:$A,$D$220,
    'PRM Resource Summary'!$B:$B,TRANSPOSE(_xlfn._xlws.FILTER('Results Grouping'!$G$9:$G$322,('Results Grouping'!$H$9:$H$322=$D$219) * ('Results Grouping'!$I$9:$I$322=$D233),0)),
    'PRM Resource Summary'!$C:$C,H$260
  ))</f>
        <v>0</v>
      </c>
      <c r="I233" s="10" cm="1">
        <f t="array" ref="I233">SUM(
  SUMIFS(
    'PRM Resource Summary'!$E:$E,
    'PRM Resource Summary'!$A:$A,$D$220,
    'PRM Resource Summary'!$B:$B,TRANSPOSE(_xlfn._xlws.FILTER('Results Grouping'!$G$9:$G$322,('Results Grouping'!$H$9:$H$322=$D$219) * ('Results Grouping'!$I$9:$I$322=$D233),0)),
    'PRM Resource Summary'!$C:$C,I$260
  ))</f>
        <v>0</v>
      </c>
      <c r="J233" s="10" cm="1">
        <f t="array" ref="J233">SUM(
  SUMIFS(
    'PRM Resource Summary'!$E:$E,
    'PRM Resource Summary'!$A:$A,$D$220,
    'PRM Resource Summary'!$B:$B,TRANSPOSE(_xlfn._xlws.FILTER('Results Grouping'!$G$9:$G$322,('Results Grouping'!$H$9:$H$322=$D$219) * ('Results Grouping'!$I$9:$I$322=$D233),0)),
    'PRM Resource Summary'!$C:$C,J$260
  ))</f>
        <v>0</v>
      </c>
      <c r="K233" s="10" cm="1">
        <f t="array" ref="K233">SUM(
  SUMIFS(
    'PRM Resource Summary'!$E:$E,
    'PRM Resource Summary'!$A:$A,$D$220,
    'PRM Resource Summary'!$B:$B,TRANSPOSE(_xlfn._xlws.FILTER('Results Grouping'!$G$9:$G$322,('Results Grouping'!$H$9:$H$322=$D$219) * ('Results Grouping'!$I$9:$I$322=$D233),0)),
    'PRM Resource Summary'!$C:$C,K$260
  ))</f>
        <v>0</v>
      </c>
      <c r="L233" s="10" cm="1">
        <f t="array" ref="L233">SUM(
  SUMIFS(
    'PRM Resource Summary'!$E:$E,
    'PRM Resource Summary'!$A:$A,$D$220,
    'PRM Resource Summary'!$B:$B,TRANSPOSE(_xlfn._xlws.FILTER('Results Grouping'!$G$9:$G$322,('Results Grouping'!$H$9:$H$322=$D$219) * ('Results Grouping'!$I$9:$I$322=$D233),0)),
    'PRM Resource Summary'!$C:$C,L$260
  ))</f>
        <v>0</v>
      </c>
      <c r="M233" s="10" cm="1">
        <f t="array" ref="M233">SUM(
  SUMIFS(
    'PRM Resource Summary'!$E:$E,
    'PRM Resource Summary'!$A:$A,$D$220,
    'PRM Resource Summary'!$B:$B,TRANSPOSE(_xlfn._xlws.FILTER('Results Grouping'!$G$9:$G$322,('Results Grouping'!$H$9:$H$322=$D$219) * ('Results Grouping'!$I$9:$I$322=$D233),0)),
    'PRM Resource Summary'!$C:$C,M$260
  ))</f>
        <v>0</v>
      </c>
      <c r="N233" s="10" cm="1">
        <f t="array" ref="N233">SUM(
  SUMIFS(
    'PRM Resource Summary'!$E:$E,
    'PRM Resource Summary'!$A:$A,$D$220,
    'PRM Resource Summary'!$B:$B,TRANSPOSE(_xlfn._xlws.FILTER('Results Grouping'!$G$9:$G$322,('Results Grouping'!$H$9:$H$322=$D$219) * ('Results Grouping'!$I$9:$I$322=$D233),0)),
    'PRM Resource Summary'!$C:$C,N$260
  ))</f>
        <v>0</v>
      </c>
      <c r="O233" s="10" cm="1">
        <f t="array" ref="O233">SUM(
  SUMIFS(
    'PRM Resource Summary'!$E:$E,
    'PRM Resource Summary'!$A:$A,$D$220,
    'PRM Resource Summary'!$B:$B,TRANSPOSE(_xlfn._xlws.FILTER('Results Grouping'!$G$9:$G$322,('Results Grouping'!$H$9:$H$322=$D$219) * ('Results Grouping'!$I$9:$I$322=$D233),0)),
    'PRM Resource Summary'!$C:$C,O$260
  ))</f>
        <v>0</v>
      </c>
      <c r="P233" s="10" cm="1">
        <f t="array" ref="P233">SUM(
  SUMIFS(
    'PRM Resource Summary'!$E:$E,
    'PRM Resource Summary'!$A:$A,$D$220,
    'PRM Resource Summary'!$B:$B,TRANSPOSE(_xlfn._xlws.FILTER('Results Grouping'!$G$9:$G$322,('Results Grouping'!$H$9:$H$322=$D$219) * ('Results Grouping'!$I$9:$I$322=$D233),0)),
    'PRM Resource Summary'!$C:$C,P$260
  ))</f>
        <v>0</v>
      </c>
      <c r="Q233" s="10" cm="1">
        <f t="array" ref="Q233">SUM(
  SUMIFS(
    'PRM Resource Summary'!$E:$E,
    'PRM Resource Summary'!$A:$A,$D$220,
    'PRM Resource Summary'!$B:$B,TRANSPOSE(_xlfn._xlws.FILTER('Results Grouping'!$G$9:$G$322,('Results Grouping'!$H$9:$H$322=$D$219) * ('Results Grouping'!$I$9:$I$322=$D233),0)),
    'PRM Resource Summary'!$C:$C,Q$260
  ))</f>
        <v>0</v>
      </c>
      <c r="R233" s="10" cm="1">
        <f t="array" ref="R233">SUM(
  SUMIFS(
    'PRM Resource Summary'!$E:$E,
    'PRM Resource Summary'!$A:$A,$D$220,
    'PRM Resource Summary'!$B:$B,TRANSPOSE(_xlfn._xlws.FILTER('Results Grouping'!$G$9:$G$322,('Results Grouping'!$H$9:$H$322=$D$219) * ('Results Grouping'!$I$9:$I$322=$D233),0)),
    'PRM Resource Summary'!$C:$C,R$260
  ))</f>
        <v>0</v>
      </c>
      <c r="S233" s="10" cm="1">
        <f t="array" ref="S233">SUM(
  SUMIFS(
    'PRM Resource Summary'!$E:$E,
    'PRM Resource Summary'!$A:$A,$D$220,
    'PRM Resource Summary'!$B:$B,TRANSPOSE(_xlfn._xlws.FILTER('Results Grouping'!$G$9:$G$322,('Results Grouping'!$H$9:$H$322=$D$219) * ('Results Grouping'!$I$9:$I$322=$D233),0)),
    'PRM Resource Summary'!$C:$C,S$260
  ))</f>
        <v>0</v>
      </c>
      <c r="T233" s="10" cm="1">
        <f t="array" ref="T233">SUM(
  SUMIFS(
    'PRM Resource Summary'!$E:$E,
    'PRM Resource Summary'!$A:$A,$D$220,
    'PRM Resource Summary'!$B:$B,TRANSPOSE(_xlfn._xlws.FILTER('Results Grouping'!$G$9:$G$322,('Results Grouping'!$H$9:$H$322=$D$219) * ('Results Grouping'!$I$9:$I$322=$D233),0)),
    'PRM Resource Summary'!$C:$C,T$260
  ))</f>
        <v>0</v>
      </c>
      <c r="U233" s="10" cm="1">
        <f t="array" ref="U233">SUM(
  SUMIFS(
    'PRM Resource Summary'!$E:$E,
    'PRM Resource Summary'!$A:$A,$D$220,
    'PRM Resource Summary'!$B:$B,TRANSPOSE(_xlfn._xlws.FILTER('Results Grouping'!$G$9:$G$322,('Results Grouping'!$H$9:$H$322=$D$219) * ('Results Grouping'!$I$9:$I$322=$D233),0)),
    'PRM Resource Summary'!$C:$C,U$260
  ))</f>
        <v>0</v>
      </c>
      <c r="V233" s="10" cm="1">
        <f t="array" ref="V233">SUM(
  SUMIFS(
    'PRM Resource Summary'!$E:$E,
    'PRM Resource Summary'!$A:$A,$D$220,
    'PRM Resource Summary'!$B:$B,TRANSPOSE(_xlfn._xlws.FILTER('Results Grouping'!$G$9:$G$322,('Results Grouping'!$H$9:$H$322=$D$219) * ('Results Grouping'!$I$9:$I$322=$D233),0)),
    'PRM Resource Summary'!$C:$C,V$260
  ))</f>
        <v>0</v>
      </c>
      <c r="W233" s="10" cm="1">
        <f t="array" ref="W233">SUM(
  SUMIFS(
    'PRM Resource Summary'!$E:$E,
    'PRM Resource Summary'!$A:$A,$D$220,
    'PRM Resource Summary'!$B:$B,TRANSPOSE(_xlfn._xlws.FILTER('Results Grouping'!$G$9:$G$322,('Results Grouping'!$H$9:$H$322=$D$219) * ('Results Grouping'!$I$9:$I$322=$D233),0)),
    'PRM Resource Summary'!$C:$C,W$260
  ))</f>
        <v>0</v>
      </c>
      <c r="X233" s="10" cm="1">
        <f t="array" ref="X233">SUM(
  SUMIFS(
    'PRM Resource Summary'!$E:$E,
    'PRM Resource Summary'!$A:$A,$D$220,
    'PRM Resource Summary'!$B:$B,TRANSPOSE(_xlfn._xlws.FILTER('Results Grouping'!$G$9:$G$322,('Results Grouping'!$H$9:$H$322=$D$219) * ('Results Grouping'!$I$9:$I$322=$D233),0)),
    'PRM Resource Summary'!$C:$C,X$260
  ))</f>
        <v>0</v>
      </c>
      <c r="Y233" s="10" cm="1">
        <f t="array" ref="Y233">SUM(
  SUMIFS(
    'PRM Resource Summary'!$E:$E,
    'PRM Resource Summary'!$A:$A,$D$220,
    'PRM Resource Summary'!$B:$B,TRANSPOSE(_xlfn._xlws.FILTER('Results Grouping'!$G$9:$G$322,('Results Grouping'!$H$9:$H$322=$D$219) * ('Results Grouping'!$I$9:$I$322=$D233),0)),
    'PRM Resource Summary'!$C:$C,Y$260
  ))</f>
        <v>0</v>
      </c>
      <c r="Z233" s="10" cm="1">
        <f t="array" ref="Z233">SUM(
  SUMIFS(
    'PRM Resource Summary'!$E:$E,
    'PRM Resource Summary'!$A:$A,$D$220,
    'PRM Resource Summary'!$B:$B,TRANSPOSE(_xlfn._xlws.FILTER('Results Grouping'!$G$9:$G$322,('Results Grouping'!$H$9:$H$322=$D$219) * ('Results Grouping'!$I$9:$I$322=$D233),0)),
    'PRM Resource Summary'!$C:$C,Z$260
  ))</f>
        <v>0</v>
      </c>
      <c r="AA233" s="10" cm="1">
        <f t="array" ref="AA233">SUM(
  SUMIFS(
    'PRM Resource Summary'!$E:$E,
    'PRM Resource Summary'!$A:$A,$D$220,
    'PRM Resource Summary'!$B:$B,TRANSPOSE(_xlfn._xlws.FILTER('Results Grouping'!$G$9:$G$322,('Results Grouping'!$H$9:$H$322=$D$219) * ('Results Grouping'!$I$9:$I$322=$D233),0)),
    'PRM Resource Summary'!$C:$C,AA$260
  ))</f>
        <v>0</v>
      </c>
      <c r="AB233" s="10" cm="1">
        <f t="array" ref="AB233">SUM(
  SUMIFS(
    'PRM Resource Summary'!$E:$E,
    'PRM Resource Summary'!$A:$A,$D$220,
    'PRM Resource Summary'!$B:$B,TRANSPOSE(_xlfn._xlws.FILTER('Results Grouping'!$G$9:$G$322,('Results Grouping'!$H$9:$H$322=$D$219) * ('Results Grouping'!$I$9:$I$322=$D233),0)),
    'PRM Resource Summary'!$C:$C,AB$260
  ))</f>
        <v>0</v>
      </c>
      <c r="AC233" s="10" cm="1">
        <f t="array" ref="AC233">SUM(
  SUMIFS(
    'PRM Resource Summary'!$E:$E,
    'PRM Resource Summary'!$A:$A,$D$220,
    'PRM Resource Summary'!$B:$B,TRANSPOSE(_xlfn._xlws.FILTER('Results Grouping'!$G$9:$G$322,('Results Grouping'!$H$9:$H$322=$D$219) * ('Results Grouping'!$I$9:$I$322=$D233),0)),
    'PRM Resource Summary'!$C:$C,AC$260
  ))</f>
        <v>0</v>
      </c>
      <c r="AD233" s="10" cm="1">
        <f t="array" ref="AD233">SUM(
  SUMIFS(
    'PRM Resource Summary'!$E:$E,
    'PRM Resource Summary'!$A:$A,$D$220,
    'PRM Resource Summary'!$B:$B,TRANSPOSE(_xlfn._xlws.FILTER('Results Grouping'!$G$9:$G$322,('Results Grouping'!$H$9:$H$322=$D$219) * ('Results Grouping'!$I$9:$I$322=$D233),0)),
    'PRM Resource Summary'!$C:$C,AD$260
  ))</f>
        <v>1898.5</v>
      </c>
      <c r="AH233" s="34"/>
    </row>
    <row r="234" spans="3:34" outlineLevel="1" x14ac:dyDescent="0.2">
      <c r="C234" s="8" t="s">
        <v>177</v>
      </c>
      <c r="D234" s="8" t="s">
        <v>168</v>
      </c>
      <c r="E234" s="25" cm="1">
        <f t="array" ref="E234">_xlfn.MINIFS(
    ELCC_Facet_Value!$E:$E,
    ELCC_Facet_Value!$B:$B,$D$220,
    ELCC_Facet_Value!$C:$C,TRANSPOSE(_xlfn._xlws.FILTER('Results Grouping'!$G$9:$G$322,('Results Grouping'!$H$9:$H$322=$D$219) * ('Results Grouping'!$I$9:$I$322=$D234),0)),
    ELCC_Facet_Value!$A:$A,E$220
  )</f>
        <v>0</v>
      </c>
      <c r="F234" s="25" cm="1">
        <f t="array" ref="F234">_xlfn.MINIFS(
    ELCC_Facet_Value!$E:$E,
    ELCC_Facet_Value!$B:$B,$D$220,
    ELCC_Facet_Value!$C:$C,TRANSPOSE(_xlfn._xlws.FILTER('Results Grouping'!$G$9:$G$322,('Results Grouping'!$H$9:$H$322=$D$219) * ('Results Grouping'!$I$9:$I$322=$D234),0)),
    ELCC_Facet_Value!$A:$A,F$220
  )</f>
        <v>0</v>
      </c>
      <c r="G234" s="25" cm="1">
        <f t="array" ref="G234">_xlfn.MINIFS(
    ELCC_Facet_Value!$E:$E,
    ELCC_Facet_Value!$B:$B,$D$220,
    ELCC_Facet_Value!$C:$C,TRANSPOSE(_xlfn._xlws.FILTER('Results Grouping'!$G$9:$G$322,('Results Grouping'!$H$9:$H$322=$D$219) * ('Results Grouping'!$I$9:$I$322=$D234),0)),
    ELCC_Facet_Value!$A:$A,G$220
  )</f>
        <v>0</v>
      </c>
      <c r="H234" s="25" cm="1">
        <f t="array" ref="H234">_xlfn.MINIFS(
    ELCC_Facet_Value!$E:$E,
    ELCC_Facet_Value!$B:$B,$D$220,
    ELCC_Facet_Value!$C:$C,TRANSPOSE(_xlfn._xlws.FILTER('Results Grouping'!$G$9:$G$322,('Results Grouping'!$H$9:$H$322=$D$219) * ('Results Grouping'!$I$9:$I$322=$D234),0)),
    ELCC_Facet_Value!$A:$A,H$220
  )</f>
        <v>0</v>
      </c>
      <c r="I234" s="25" cm="1">
        <f t="array" ref="I234">_xlfn.MINIFS(
    ELCC_Facet_Value!$E:$E,
    ELCC_Facet_Value!$B:$B,$D$220,
    ELCC_Facet_Value!$C:$C,TRANSPOSE(_xlfn._xlws.FILTER('Results Grouping'!$G$9:$G$322,('Results Grouping'!$H$9:$H$322=$D$219) * ('Results Grouping'!$I$9:$I$322=$D234),0)),
    ELCC_Facet_Value!$A:$A,I$220
  )</f>
        <v>0</v>
      </c>
      <c r="J234" s="25" cm="1">
        <f t="array" ref="J234">_xlfn.MINIFS(
    ELCC_Facet_Value!$E:$E,
    ELCC_Facet_Value!$B:$B,$D$220,
    ELCC_Facet_Value!$C:$C,TRANSPOSE(_xlfn._xlws.FILTER('Results Grouping'!$G$9:$G$322,('Results Grouping'!$H$9:$H$322=$D$219) * ('Results Grouping'!$I$9:$I$322=$D234),0)),
    ELCC_Facet_Value!$A:$A,J$220
  )</f>
        <v>0</v>
      </c>
      <c r="K234" s="25" cm="1">
        <f t="array" ref="K234">_xlfn.MINIFS(
    ELCC_Facet_Value!$E:$E,
    ELCC_Facet_Value!$B:$B,$D$220,
    ELCC_Facet_Value!$C:$C,TRANSPOSE(_xlfn._xlws.FILTER('Results Grouping'!$G$9:$G$322,('Results Grouping'!$H$9:$H$322=$D$219) * ('Results Grouping'!$I$9:$I$322=$D234),0)),
    ELCC_Facet_Value!$A:$A,K$220
  )</f>
        <v>0</v>
      </c>
      <c r="L234" s="25" cm="1">
        <f t="array" ref="L234">_xlfn.MINIFS(
    ELCC_Facet_Value!$E:$E,
    ELCC_Facet_Value!$B:$B,$D$220,
    ELCC_Facet_Value!$C:$C,TRANSPOSE(_xlfn._xlws.FILTER('Results Grouping'!$G$9:$G$322,('Results Grouping'!$H$9:$H$322=$D$219) * ('Results Grouping'!$I$9:$I$322=$D234),0)),
    ELCC_Facet_Value!$A:$A,L$220
  )</f>
        <v>0</v>
      </c>
      <c r="M234" s="25" cm="1">
        <f t="array" ref="M234">_xlfn.MINIFS(
    ELCC_Facet_Value!$E:$E,
    ELCC_Facet_Value!$B:$B,$D$220,
    ELCC_Facet_Value!$C:$C,TRANSPOSE(_xlfn._xlws.FILTER('Results Grouping'!$G$9:$G$322,('Results Grouping'!$H$9:$H$322=$D$219) * ('Results Grouping'!$I$9:$I$322=$D234),0)),
    ELCC_Facet_Value!$A:$A,M$220
  )</f>
        <v>0</v>
      </c>
      <c r="N234" s="25" cm="1">
        <f t="array" ref="N234">_xlfn.MINIFS(
    ELCC_Facet_Value!$E:$E,
    ELCC_Facet_Value!$B:$B,$D$220,
    ELCC_Facet_Value!$C:$C,TRANSPOSE(_xlfn._xlws.FILTER('Results Grouping'!$G$9:$G$322,('Results Grouping'!$H$9:$H$322=$D$219) * ('Results Grouping'!$I$9:$I$322=$D234),0)),
    ELCC_Facet_Value!$A:$A,N$220
  )</f>
        <v>0</v>
      </c>
      <c r="O234" s="25" cm="1">
        <f t="array" ref="O234">_xlfn.MINIFS(
    ELCC_Facet_Value!$E:$E,
    ELCC_Facet_Value!$B:$B,$D$220,
    ELCC_Facet_Value!$C:$C,TRANSPOSE(_xlfn._xlws.FILTER('Results Grouping'!$G$9:$G$322,('Results Grouping'!$H$9:$H$322=$D$219) * ('Results Grouping'!$I$9:$I$322=$D234),0)),
    ELCC_Facet_Value!$A:$A,O$220
  )</f>
        <v>0</v>
      </c>
      <c r="P234" s="25" cm="1">
        <f t="array" ref="P234">_xlfn.MINIFS(
    ELCC_Facet_Value!$E:$E,
    ELCC_Facet_Value!$B:$B,$D$220,
    ELCC_Facet_Value!$C:$C,TRANSPOSE(_xlfn._xlws.FILTER('Results Grouping'!$G$9:$G$322,('Results Grouping'!$H$9:$H$322=$D$219) * ('Results Grouping'!$I$9:$I$322=$D234),0)),
    ELCC_Facet_Value!$A:$A,P$220
  )</f>
        <v>0</v>
      </c>
      <c r="Q234" s="25" cm="1">
        <f t="array" ref="Q234">_xlfn.MINIFS(
    ELCC_Facet_Value!$E:$E,
    ELCC_Facet_Value!$B:$B,$D$220,
    ELCC_Facet_Value!$C:$C,TRANSPOSE(_xlfn._xlws.FILTER('Results Grouping'!$G$9:$G$322,('Results Grouping'!$H$9:$H$322=$D$219) * ('Results Grouping'!$I$9:$I$322=$D234),0)),
    ELCC_Facet_Value!$A:$A,Q$220
  )</f>
        <v>0</v>
      </c>
      <c r="R234" s="25" cm="1">
        <f t="array" ref="R234">_xlfn.MINIFS(
    ELCC_Facet_Value!$E:$E,
    ELCC_Facet_Value!$B:$B,$D$220,
    ELCC_Facet_Value!$C:$C,TRANSPOSE(_xlfn._xlws.FILTER('Results Grouping'!$G$9:$G$322,('Results Grouping'!$H$9:$H$322=$D$219) * ('Results Grouping'!$I$9:$I$322=$D234),0)),
    ELCC_Facet_Value!$A:$A,R$220
  )</f>
        <v>0</v>
      </c>
      <c r="S234" s="25" cm="1">
        <f t="array" ref="S234">_xlfn.MINIFS(
    ELCC_Facet_Value!$E:$E,
    ELCC_Facet_Value!$B:$B,$D$220,
    ELCC_Facet_Value!$C:$C,TRANSPOSE(_xlfn._xlws.FILTER('Results Grouping'!$G$9:$G$322,('Results Grouping'!$H$9:$H$322=$D$219) * ('Results Grouping'!$I$9:$I$322=$D234),0)),
    ELCC_Facet_Value!$A:$A,S$220
  )</f>
        <v>0</v>
      </c>
      <c r="T234" s="25" cm="1">
        <f t="array" ref="T234">_xlfn.MINIFS(
    ELCC_Facet_Value!$E:$E,
    ELCC_Facet_Value!$B:$B,$D$220,
    ELCC_Facet_Value!$C:$C,TRANSPOSE(_xlfn._xlws.FILTER('Results Grouping'!$G$9:$G$322,('Results Grouping'!$H$9:$H$322=$D$219) * ('Results Grouping'!$I$9:$I$322=$D234),0)),
    ELCC_Facet_Value!$A:$A,T$220
  )</f>
        <v>0</v>
      </c>
      <c r="U234" s="25" cm="1">
        <f t="array" ref="U234">_xlfn.MINIFS(
    ELCC_Facet_Value!$E:$E,
    ELCC_Facet_Value!$B:$B,$D$220,
    ELCC_Facet_Value!$C:$C,TRANSPOSE(_xlfn._xlws.FILTER('Results Grouping'!$G$9:$G$322,('Results Grouping'!$H$9:$H$322=$D$219) * ('Results Grouping'!$I$9:$I$322=$D234),0)),
    ELCC_Facet_Value!$A:$A,U$220
  )</f>
        <v>0</v>
      </c>
      <c r="V234" s="25" cm="1">
        <f t="array" ref="V234">_xlfn.MINIFS(
    ELCC_Facet_Value!$E:$E,
    ELCC_Facet_Value!$B:$B,$D$220,
    ELCC_Facet_Value!$C:$C,TRANSPOSE(_xlfn._xlws.FILTER('Results Grouping'!$G$9:$G$322,('Results Grouping'!$H$9:$H$322=$D$219) * ('Results Grouping'!$I$9:$I$322=$D234),0)),
    ELCC_Facet_Value!$A:$A,V$220
  )</f>
        <v>0</v>
      </c>
      <c r="W234" s="25" cm="1">
        <f t="array" ref="W234">_xlfn.MINIFS(
    ELCC_Facet_Value!$E:$E,
    ELCC_Facet_Value!$B:$B,$D$220,
    ELCC_Facet_Value!$C:$C,TRANSPOSE(_xlfn._xlws.FILTER('Results Grouping'!$G$9:$G$322,('Results Grouping'!$H$9:$H$322=$D$219) * ('Results Grouping'!$I$9:$I$322=$D234),0)),
    ELCC_Facet_Value!$A:$A,W$220
  )</f>
        <v>0</v>
      </c>
      <c r="X234" s="25" cm="1">
        <f t="array" ref="X234">_xlfn.MINIFS(
    ELCC_Facet_Value!$E:$E,
    ELCC_Facet_Value!$B:$B,$D$220,
    ELCC_Facet_Value!$C:$C,TRANSPOSE(_xlfn._xlws.FILTER('Results Grouping'!$G$9:$G$322,('Results Grouping'!$H$9:$H$322=$D$219) * ('Results Grouping'!$I$9:$I$322=$D234),0)),
    ELCC_Facet_Value!$A:$A,X$220
  )</f>
        <v>0</v>
      </c>
      <c r="Y234" s="25" cm="1">
        <f t="array" ref="Y234">_xlfn.MINIFS(
    ELCC_Facet_Value!$E:$E,
    ELCC_Facet_Value!$B:$B,$D$220,
    ELCC_Facet_Value!$C:$C,TRANSPOSE(_xlfn._xlws.FILTER('Results Grouping'!$G$9:$G$322,('Results Grouping'!$H$9:$H$322=$D$219) * ('Results Grouping'!$I$9:$I$322=$D234),0)),
    ELCC_Facet_Value!$A:$A,Y$220
  )</f>
        <v>0</v>
      </c>
      <c r="Z234" s="25" cm="1">
        <f t="array" ref="Z234">_xlfn.MINIFS(
    ELCC_Facet_Value!$E:$E,
    ELCC_Facet_Value!$B:$B,$D$220,
    ELCC_Facet_Value!$C:$C,TRANSPOSE(_xlfn._xlws.FILTER('Results Grouping'!$G$9:$G$322,('Results Grouping'!$H$9:$H$322=$D$219) * ('Results Grouping'!$I$9:$I$322=$D234),0)),
    ELCC_Facet_Value!$A:$A,Z$220
  )</f>
        <v>0</v>
      </c>
      <c r="AA234" s="25" cm="1">
        <f t="array" ref="AA234">_xlfn.MINIFS(
    ELCC_Facet_Value!$E:$E,
    ELCC_Facet_Value!$B:$B,$D$220,
    ELCC_Facet_Value!$C:$C,TRANSPOSE(_xlfn._xlws.FILTER('Results Grouping'!$G$9:$G$322,('Results Grouping'!$H$9:$H$322=$D$219) * ('Results Grouping'!$I$9:$I$322=$D234),0)),
    ELCC_Facet_Value!$A:$A,AA$220
  )</f>
        <v>0</v>
      </c>
      <c r="AB234" s="25" cm="1">
        <f t="array" ref="AB234">_xlfn.MINIFS(
    ELCC_Facet_Value!$E:$E,
    ELCC_Facet_Value!$B:$B,$D$220,
    ELCC_Facet_Value!$C:$C,TRANSPOSE(_xlfn._xlws.FILTER('Results Grouping'!$G$9:$G$322,('Results Grouping'!$H$9:$H$322=$D$219) * ('Results Grouping'!$I$9:$I$322=$D234),0)),
    ELCC_Facet_Value!$A:$A,AB$220
  )</f>
        <v>0</v>
      </c>
      <c r="AC234" s="25" cm="1">
        <f t="array" ref="AC234">_xlfn.MINIFS(
    ELCC_Facet_Value!$E:$E,
    ELCC_Facet_Value!$B:$B,$D$220,
    ELCC_Facet_Value!$C:$C,TRANSPOSE(_xlfn._xlws.FILTER('Results Grouping'!$G$9:$G$322,('Results Grouping'!$H$9:$H$322=$D$219) * ('Results Grouping'!$I$9:$I$322=$D234),0)),
    ELCC_Facet_Value!$A:$A,AC$220
  )</f>
        <v>0</v>
      </c>
      <c r="AD234" s="25" cm="1">
        <f t="array" ref="AD234">_xlfn.MINIFS(
    ELCC_Facet_Value!$E:$E,
    ELCC_Facet_Value!$B:$B,$D$220,
    ELCC_Facet_Value!$C:$C,TRANSPOSE(_xlfn._xlws.FILTER('Results Grouping'!$G$9:$G$322,('Results Grouping'!$H$9:$H$322=$D$219) * ('Results Grouping'!$I$9:$I$322=$D234),0)),
    ELCC_Facet_Value!$A:$A,AD$220
  )</f>
        <v>11226.098728507868</v>
      </c>
      <c r="AH234" s="34"/>
    </row>
    <row r="235" spans="3:34" outlineLevel="1" x14ac:dyDescent="0.2">
      <c r="C235" s="8" t="s">
        <v>177</v>
      </c>
      <c r="D235" s="8" t="s">
        <v>151</v>
      </c>
      <c r="E235" s="25" cm="1">
        <f t="array" ref="E235">_xlfn.MINIFS(
    ELCC_Facet_Value!$E:$E,
    ELCC_Facet_Value!$B:$B,$D$220,
    ELCC_Facet_Value!$C:$C,TRANSPOSE(_xlfn._xlws.FILTER('Results Grouping'!$G$9:$G$322,('Results Grouping'!$H$9:$H$322=$D$219) * ('Results Grouping'!$I$9:$I$322=$D235),0)),
    ELCC_Facet_Value!$A:$A,E$220
  )</f>
        <v>0</v>
      </c>
      <c r="F235" s="25" cm="1">
        <f t="array" ref="F235">_xlfn.MINIFS(
    ELCC_Facet_Value!$E:$E,
    ELCC_Facet_Value!$B:$B,$D$220,
    ELCC_Facet_Value!$C:$C,TRANSPOSE(_xlfn._xlws.FILTER('Results Grouping'!$G$9:$G$322,('Results Grouping'!$H$9:$H$322=$D$219) * ('Results Grouping'!$I$9:$I$322=$D235),0)),
    ELCC_Facet_Value!$A:$A,F$220
  )</f>
        <v>0</v>
      </c>
      <c r="G235" s="25" cm="1">
        <f t="array" ref="G235">_xlfn.MINIFS(
    ELCC_Facet_Value!$E:$E,
    ELCC_Facet_Value!$B:$B,$D$220,
    ELCC_Facet_Value!$C:$C,TRANSPOSE(_xlfn._xlws.FILTER('Results Grouping'!$G$9:$G$322,('Results Grouping'!$H$9:$H$322=$D$219) * ('Results Grouping'!$I$9:$I$322=$D235),0)),
    ELCC_Facet_Value!$A:$A,G$220
  )</f>
        <v>0</v>
      </c>
      <c r="H235" s="25" cm="1">
        <f t="array" ref="H235">_xlfn.MINIFS(
    ELCC_Facet_Value!$E:$E,
    ELCC_Facet_Value!$B:$B,$D$220,
    ELCC_Facet_Value!$C:$C,TRANSPOSE(_xlfn._xlws.FILTER('Results Grouping'!$G$9:$G$322,('Results Grouping'!$H$9:$H$322=$D$219) * ('Results Grouping'!$I$9:$I$322=$D235),0)),
    ELCC_Facet_Value!$A:$A,H$220
  )</f>
        <v>0</v>
      </c>
      <c r="I235" s="25" cm="1">
        <f t="array" ref="I235">_xlfn.MINIFS(
    ELCC_Facet_Value!$E:$E,
    ELCC_Facet_Value!$B:$B,$D$220,
    ELCC_Facet_Value!$C:$C,TRANSPOSE(_xlfn._xlws.FILTER('Results Grouping'!$G$9:$G$322,('Results Grouping'!$H$9:$H$322=$D$219) * ('Results Grouping'!$I$9:$I$322=$D235),0)),
    ELCC_Facet_Value!$A:$A,I$220
  )</f>
        <v>0</v>
      </c>
      <c r="J235" s="25" cm="1">
        <f t="array" ref="J235">_xlfn.MINIFS(
    ELCC_Facet_Value!$E:$E,
    ELCC_Facet_Value!$B:$B,$D$220,
    ELCC_Facet_Value!$C:$C,TRANSPOSE(_xlfn._xlws.FILTER('Results Grouping'!$G$9:$G$322,('Results Grouping'!$H$9:$H$322=$D$219) * ('Results Grouping'!$I$9:$I$322=$D235),0)),
    ELCC_Facet_Value!$A:$A,J$220
  )</f>
        <v>0</v>
      </c>
      <c r="K235" s="25" cm="1">
        <f t="array" ref="K235">_xlfn.MINIFS(
    ELCC_Facet_Value!$E:$E,
    ELCC_Facet_Value!$B:$B,$D$220,
    ELCC_Facet_Value!$C:$C,TRANSPOSE(_xlfn._xlws.FILTER('Results Grouping'!$G$9:$G$322,('Results Grouping'!$H$9:$H$322=$D$219) * ('Results Grouping'!$I$9:$I$322=$D235),0)),
    ELCC_Facet_Value!$A:$A,K$220
  )</f>
        <v>0</v>
      </c>
      <c r="L235" s="25" cm="1">
        <f t="array" ref="L235">_xlfn.MINIFS(
    ELCC_Facet_Value!$E:$E,
    ELCC_Facet_Value!$B:$B,$D$220,
    ELCC_Facet_Value!$C:$C,TRANSPOSE(_xlfn._xlws.FILTER('Results Grouping'!$G$9:$G$322,('Results Grouping'!$H$9:$H$322=$D$219) * ('Results Grouping'!$I$9:$I$322=$D235),0)),
    ELCC_Facet_Value!$A:$A,L$220
  )</f>
        <v>0</v>
      </c>
      <c r="M235" s="25" cm="1">
        <f t="array" ref="M235">_xlfn.MINIFS(
    ELCC_Facet_Value!$E:$E,
    ELCC_Facet_Value!$B:$B,$D$220,
    ELCC_Facet_Value!$C:$C,TRANSPOSE(_xlfn._xlws.FILTER('Results Grouping'!$G$9:$G$322,('Results Grouping'!$H$9:$H$322=$D$219) * ('Results Grouping'!$I$9:$I$322=$D235),0)),
    ELCC_Facet_Value!$A:$A,M$220
  )</f>
        <v>0</v>
      </c>
      <c r="N235" s="25" cm="1">
        <f t="array" ref="N235">_xlfn.MINIFS(
    ELCC_Facet_Value!$E:$E,
    ELCC_Facet_Value!$B:$B,$D$220,
    ELCC_Facet_Value!$C:$C,TRANSPOSE(_xlfn._xlws.FILTER('Results Grouping'!$G$9:$G$322,('Results Grouping'!$H$9:$H$322=$D$219) * ('Results Grouping'!$I$9:$I$322=$D235),0)),
    ELCC_Facet_Value!$A:$A,N$220
  )</f>
        <v>0</v>
      </c>
      <c r="O235" s="25" cm="1">
        <f t="array" ref="O235">_xlfn.MINIFS(
    ELCC_Facet_Value!$E:$E,
    ELCC_Facet_Value!$B:$B,$D$220,
    ELCC_Facet_Value!$C:$C,TRANSPOSE(_xlfn._xlws.FILTER('Results Grouping'!$G$9:$G$322,('Results Grouping'!$H$9:$H$322=$D$219) * ('Results Grouping'!$I$9:$I$322=$D235),0)),
    ELCC_Facet_Value!$A:$A,O$220
  )</f>
        <v>0</v>
      </c>
      <c r="P235" s="25" cm="1">
        <f t="array" ref="P235">_xlfn.MINIFS(
    ELCC_Facet_Value!$E:$E,
    ELCC_Facet_Value!$B:$B,$D$220,
    ELCC_Facet_Value!$C:$C,TRANSPOSE(_xlfn._xlws.FILTER('Results Grouping'!$G$9:$G$322,('Results Grouping'!$H$9:$H$322=$D$219) * ('Results Grouping'!$I$9:$I$322=$D235),0)),
    ELCC_Facet_Value!$A:$A,P$220
  )</f>
        <v>0</v>
      </c>
      <c r="Q235" s="25" cm="1">
        <f t="array" ref="Q235">_xlfn.MINIFS(
    ELCC_Facet_Value!$E:$E,
    ELCC_Facet_Value!$B:$B,$D$220,
    ELCC_Facet_Value!$C:$C,TRANSPOSE(_xlfn._xlws.FILTER('Results Grouping'!$G$9:$G$322,('Results Grouping'!$H$9:$H$322=$D$219) * ('Results Grouping'!$I$9:$I$322=$D235),0)),
    ELCC_Facet_Value!$A:$A,Q$220
  )</f>
        <v>0</v>
      </c>
      <c r="R235" s="25" cm="1">
        <f t="array" ref="R235">_xlfn.MINIFS(
    ELCC_Facet_Value!$E:$E,
    ELCC_Facet_Value!$B:$B,$D$220,
    ELCC_Facet_Value!$C:$C,TRANSPOSE(_xlfn._xlws.FILTER('Results Grouping'!$G$9:$G$322,('Results Grouping'!$H$9:$H$322=$D$219) * ('Results Grouping'!$I$9:$I$322=$D235),0)),
    ELCC_Facet_Value!$A:$A,R$220
  )</f>
        <v>0</v>
      </c>
      <c r="S235" s="25" cm="1">
        <f t="array" ref="S235">_xlfn.MINIFS(
    ELCC_Facet_Value!$E:$E,
    ELCC_Facet_Value!$B:$B,$D$220,
    ELCC_Facet_Value!$C:$C,TRANSPOSE(_xlfn._xlws.FILTER('Results Grouping'!$G$9:$G$322,('Results Grouping'!$H$9:$H$322=$D$219) * ('Results Grouping'!$I$9:$I$322=$D235),0)),
    ELCC_Facet_Value!$A:$A,S$220
  )</f>
        <v>0</v>
      </c>
      <c r="T235" s="25" cm="1">
        <f t="array" ref="T235">_xlfn.MINIFS(
    ELCC_Facet_Value!$E:$E,
    ELCC_Facet_Value!$B:$B,$D$220,
    ELCC_Facet_Value!$C:$C,TRANSPOSE(_xlfn._xlws.FILTER('Results Grouping'!$G$9:$G$322,('Results Grouping'!$H$9:$H$322=$D$219) * ('Results Grouping'!$I$9:$I$322=$D235),0)),
    ELCC_Facet_Value!$A:$A,T$220
  )</f>
        <v>0</v>
      </c>
      <c r="U235" s="25" cm="1">
        <f t="array" ref="U235">_xlfn.MINIFS(
    ELCC_Facet_Value!$E:$E,
    ELCC_Facet_Value!$B:$B,$D$220,
    ELCC_Facet_Value!$C:$C,TRANSPOSE(_xlfn._xlws.FILTER('Results Grouping'!$G$9:$G$322,('Results Grouping'!$H$9:$H$322=$D$219) * ('Results Grouping'!$I$9:$I$322=$D235),0)),
    ELCC_Facet_Value!$A:$A,U$220
  )</f>
        <v>0</v>
      </c>
      <c r="V235" s="25" cm="1">
        <f t="array" ref="V235">_xlfn.MINIFS(
    ELCC_Facet_Value!$E:$E,
    ELCC_Facet_Value!$B:$B,$D$220,
    ELCC_Facet_Value!$C:$C,TRANSPOSE(_xlfn._xlws.FILTER('Results Grouping'!$G$9:$G$322,('Results Grouping'!$H$9:$H$322=$D$219) * ('Results Grouping'!$I$9:$I$322=$D235),0)),
    ELCC_Facet_Value!$A:$A,V$220
  )</f>
        <v>0</v>
      </c>
      <c r="W235" s="25" cm="1">
        <f t="array" ref="W235">_xlfn.MINIFS(
    ELCC_Facet_Value!$E:$E,
    ELCC_Facet_Value!$B:$B,$D$220,
    ELCC_Facet_Value!$C:$C,TRANSPOSE(_xlfn._xlws.FILTER('Results Grouping'!$G$9:$G$322,('Results Grouping'!$H$9:$H$322=$D$219) * ('Results Grouping'!$I$9:$I$322=$D235),0)),
    ELCC_Facet_Value!$A:$A,W$220
  )</f>
        <v>0</v>
      </c>
      <c r="X235" s="25" cm="1">
        <f t="array" ref="X235">_xlfn.MINIFS(
    ELCC_Facet_Value!$E:$E,
    ELCC_Facet_Value!$B:$B,$D$220,
    ELCC_Facet_Value!$C:$C,TRANSPOSE(_xlfn._xlws.FILTER('Results Grouping'!$G$9:$G$322,('Results Grouping'!$H$9:$H$322=$D$219) * ('Results Grouping'!$I$9:$I$322=$D235),0)),
    ELCC_Facet_Value!$A:$A,X$220
  )</f>
        <v>0</v>
      </c>
      <c r="Y235" s="25" cm="1">
        <f t="array" ref="Y235">_xlfn.MINIFS(
    ELCC_Facet_Value!$E:$E,
    ELCC_Facet_Value!$B:$B,$D$220,
    ELCC_Facet_Value!$C:$C,TRANSPOSE(_xlfn._xlws.FILTER('Results Grouping'!$G$9:$G$322,('Results Grouping'!$H$9:$H$322=$D$219) * ('Results Grouping'!$I$9:$I$322=$D235),0)),
    ELCC_Facet_Value!$A:$A,Y$220
  )</f>
        <v>0</v>
      </c>
      <c r="Z235" s="25" cm="1">
        <f t="array" ref="Z235">_xlfn.MINIFS(
    ELCC_Facet_Value!$E:$E,
    ELCC_Facet_Value!$B:$B,$D$220,
    ELCC_Facet_Value!$C:$C,TRANSPOSE(_xlfn._xlws.FILTER('Results Grouping'!$G$9:$G$322,('Results Grouping'!$H$9:$H$322=$D$219) * ('Results Grouping'!$I$9:$I$322=$D235),0)),
    ELCC_Facet_Value!$A:$A,Z$220
  )</f>
        <v>0</v>
      </c>
      <c r="AA235" s="25" cm="1">
        <f t="array" ref="AA235">_xlfn.MINIFS(
    ELCC_Facet_Value!$E:$E,
    ELCC_Facet_Value!$B:$B,$D$220,
    ELCC_Facet_Value!$C:$C,TRANSPOSE(_xlfn._xlws.FILTER('Results Grouping'!$G$9:$G$322,('Results Grouping'!$H$9:$H$322=$D$219) * ('Results Grouping'!$I$9:$I$322=$D235),0)),
    ELCC_Facet_Value!$A:$A,AA$220
  )</f>
        <v>0</v>
      </c>
      <c r="AB235" s="25" cm="1">
        <f t="array" ref="AB235">_xlfn.MINIFS(
    ELCC_Facet_Value!$E:$E,
    ELCC_Facet_Value!$B:$B,$D$220,
    ELCC_Facet_Value!$C:$C,TRANSPOSE(_xlfn._xlws.FILTER('Results Grouping'!$G$9:$G$322,('Results Grouping'!$H$9:$H$322=$D$219) * ('Results Grouping'!$I$9:$I$322=$D235),0)),
    ELCC_Facet_Value!$A:$A,AB$220
  )</f>
        <v>0</v>
      </c>
      <c r="AC235" s="25" cm="1">
        <f t="array" ref="AC235">_xlfn.MINIFS(
    ELCC_Facet_Value!$E:$E,
    ELCC_Facet_Value!$B:$B,$D$220,
    ELCC_Facet_Value!$C:$C,TRANSPOSE(_xlfn._xlws.FILTER('Results Grouping'!$G$9:$G$322,('Results Grouping'!$H$9:$H$322=$D$219) * ('Results Grouping'!$I$9:$I$322=$D235),0)),
    ELCC_Facet_Value!$A:$A,AC$220
  )</f>
        <v>0</v>
      </c>
      <c r="AD235" s="25" cm="1">
        <f t="array" ref="AD235">_xlfn.MINIFS(
    ELCC_Facet_Value!$E:$E,
    ELCC_Facet_Value!$B:$B,$D$220,
    ELCC_Facet_Value!$C:$C,TRANSPOSE(_xlfn._xlws.FILTER('Results Grouping'!$G$9:$G$322,('Results Grouping'!$H$9:$H$322=$D$219) * ('Results Grouping'!$I$9:$I$322=$D235),0)),
    ELCC_Facet_Value!$A:$A,AD$220
  )</f>
        <v>21350.586710330459</v>
      </c>
      <c r="AH235" s="34"/>
    </row>
    <row r="236" spans="3:34" ht="12.6" outlineLevel="1" thickBot="1" x14ac:dyDescent="0.25">
      <c r="C236" s="9" t="s">
        <v>298</v>
      </c>
      <c r="D236" s="9"/>
      <c r="E236" s="11">
        <f t="shared" ref="E236:AD236" si="209">SUM(E223:E235)</f>
        <v>0</v>
      </c>
      <c r="F236" s="11">
        <f t="shared" si="209"/>
        <v>0</v>
      </c>
      <c r="G236" s="11">
        <f t="shared" si="209"/>
        <v>0</v>
      </c>
      <c r="H236" s="11">
        <f t="shared" si="209"/>
        <v>0</v>
      </c>
      <c r="I236" s="11">
        <f t="shared" si="209"/>
        <v>0</v>
      </c>
      <c r="J236" s="11">
        <f t="shared" si="209"/>
        <v>0</v>
      </c>
      <c r="K236" s="11">
        <f t="shared" si="209"/>
        <v>0</v>
      </c>
      <c r="L236" s="11">
        <f t="shared" si="209"/>
        <v>0</v>
      </c>
      <c r="M236" s="11">
        <f t="shared" si="209"/>
        <v>0</v>
      </c>
      <c r="N236" s="11">
        <f t="shared" si="209"/>
        <v>0</v>
      </c>
      <c r="O236" s="11">
        <f t="shared" si="209"/>
        <v>0</v>
      </c>
      <c r="P236" s="11">
        <f t="shared" si="209"/>
        <v>0</v>
      </c>
      <c r="Q236" s="11">
        <f t="shared" si="209"/>
        <v>0</v>
      </c>
      <c r="R236" s="11">
        <f t="shared" si="209"/>
        <v>0</v>
      </c>
      <c r="S236" s="11">
        <f t="shared" si="209"/>
        <v>0</v>
      </c>
      <c r="T236" s="11">
        <f t="shared" si="209"/>
        <v>0</v>
      </c>
      <c r="U236" s="11">
        <f t="shared" si="209"/>
        <v>0</v>
      </c>
      <c r="V236" s="11">
        <f t="shared" si="209"/>
        <v>0</v>
      </c>
      <c r="W236" s="11">
        <f t="shared" si="209"/>
        <v>0</v>
      </c>
      <c r="X236" s="11">
        <f t="shared" si="209"/>
        <v>0</v>
      </c>
      <c r="Y236" s="11">
        <f t="shared" si="209"/>
        <v>0</v>
      </c>
      <c r="Z236" s="11">
        <f t="shared" si="209"/>
        <v>0</v>
      </c>
      <c r="AA236" s="11">
        <f t="shared" si="209"/>
        <v>0</v>
      </c>
      <c r="AB236" s="11">
        <f t="shared" si="209"/>
        <v>0</v>
      </c>
      <c r="AC236" s="11">
        <f t="shared" si="209"/>
        <v>0</v>
      </c>
      <c r="AD236" s="11">
        <f t="shared" si="209"/>
        <v>71742.120579873037</v>
      </c>
      <c r="AH236" s="34"/>
    </row>
    <row r="237" spans="3:34" ht="13.2" outlineLevel="1" thickTop="1" thickBot="1" x14ac:dyDescent="0.25">
      <c r="C237" s="9" t="s">
        <v>297</v>
      </c>
      <c r="D237" s="9"/>
      <c r="E237" s="11">
        <f t="shared" ref="E237:AD237" si="210">IFERROR((E236/E242)-1,0)</f>
        <v>0</v>
      </c>
      <c r="F237" s="11">
        <f t="shared" si="210"/>
        <v>0</v>
      </c>
      <c r="G237" s="11">
        <f t="shared" si="210"/>
        <v>0</v>
      </c>
      <c r="H237" s="11">
        <f t="shared" si="210"/>
        <v>0</v>
      </c>
      <c r="I237" s="11">
        <f t="shared" si="210"/>
        <v>0</v>
      </c>
      <c r="J237" s="11">
        <f t="shared" si="210"/>
        <v>0</v>
      </c>
      <c r="K237" s="11">
        <f t="shared" si="210"/>
        <v>0</v>
      </c>
      <c r="L237" s="11">
        <f t="shared" si="210"/>
        <v>0</v>
      </c>
      <c r="M237" s="11">
        <f t="shared" si="210"/>
        <v>0</v>
      </c>
      <c r="N237" s="11">
        <f t="shared" si="210"/>
        <v>0</v>
      </c>
      <c r="O237" s="11">
        <f t="shared" si="210"/>
        <v>0</v>
      </c>
      <c r="P237" s="11">
        <f t="shared" si="210"/>
        <v>0</v>
      </c>
      <c r="Q237" s="11">
        <f t="shared" si="210"/>
        <v>0</v>
      </c>
      <c r="R237" s="11">
        <f t="shared" si="210"/>
        <v>0</v>
      </c>
      <c r="S237" s="11">
        <f t="shared" si="210"/>
        <v>0</v>
      </c>
      <c r="T237" s="11">
        <f t="shared" si="210"/>
        <v>0</v>
      </c>
      <c r="U237" s="11">
        <f t="shared" si="210"/>
        <v>0</v>
      </c>
      <c r="V237" s="11">
        <f t="shared" si="210"/>
        <v>0</v>
      </c>
      <c r="W237" s="11">
        <f t="shared" si="210"/>
        <v>0</v>
      </c>
      <c r="X237" s="11">
        <f t="shared" si="210"/>
        <v>0</v>
      </c>
      <c r="Y237" s="11">
        <f t="shared" si="210"/>
        <v>0</v>
      </c>
      <c r="Z237" s="11">
        <f t="shared" si="210"/>
        <v>0</v>
      </c>
      <c r="AA237" s="11">
        <f t="shared" si="210"/>
        <v>0</v>
      </c>
      <c r="AB237" s="11">
        <f t="shared" si="210"/>
        <v>0</v>
      </c>
      <c r="AC237" s="11">
        <f t="shared" si="210"/>
        <v>0</v>
      </c>
      <c r="AD237" s="11">
        <f t="shared" si="210"/>
        <v>0</v>
      </c>
      <c r="AH237" s="34"/>
    </row>
    <row r="238" spans="3:34" ht="13.2" outlineLevel="1" thickTop="1" thickBot="1" x14ac:dyDescent="0.25">
      <c r="C238" s="9" t="s">
        <v>293</v>
      </c>
      <c r="D238" s="9"/>
      <c r="E238" s="23">
        <f>0.001 * ABS(SUMIFS('Policy Summary'!$E:$E,'Policy Summary'!$A:$A,$D$220,'Policy Summary'!$B:$B,E$222))</f>
        <v>0</v>
      </c>
      <c r="F238" s="23">
        <f>0.001 * ABS(SUMIFS('Policy Summary'!$E:$E,'Policy Summary'!$A:$A,$D$220,'Policy Summary'!$B:$B,F$222))</f>
        <v>0</v>
      </c>
      <c r="G238" s="23">
        <f>0.001 * ABS(SUMIFS('Policy Summary'!$E:$E,'Policy Summary'!$A:$A,$D$220,'Policy Summary'!$B:$B,G$222))</f>
        <v>0</v>
      </c>
      <c r="H238" s="23">
        <f>0.001 * ABS(SUMIFS('Policy Summary'!$E:$E,'Policy Summary'!$A:$A,$D$220,'Policy Summary'!$B:$B,H$222))</f>
        <v>0</v>
      </c>
      <c r="I238" s="23">
        <f>0.001 * ABS(SUMIFS('Policy Summary'!$E:$E,'Policy Summary'!$A:$A,$D$220,'Policy Summary'!$B:$B,I$222))</f>
        <v>0</v>
      </c>
      <c r="J238" s="23">
        <f>0.001 * ABS(SUMIFS('Policy Summary'!$E:$E,'Policy Summary'!$A:$A,$D$220,'Policy Summary'!$B:$B,J$222))</f>
        <v>0</v>
      </c>
      <c r="K238" s="23">
        <f>0.001 * ABS(SUMIFS('Policy Summary'!$E:$E,'Policy Summary'!$A:$A,$D$220,'Policy Summary'!$B:$B,K$222))</f>
        <v>0</v>
      </c>
      <c r="L238" s="23">
        <f>0.001 * ABS(SUMIFS('Policy Summary'!$E:$E,'Policy Summary'!$A:$A,$D$220,'Policy Summary'!$B:$B,L$222))</f>
        <v>0</v>
      </c>
      <c r="M238" s="23">
        <f>0.001 * ABS(SUMIFS('Policy Summary'!$E:$E,'Policy Summary'!$A:$A,$D$220,'Policy Summary'!$B:$B,M$222))</f>
        <v>0</v>
      </c>
      <c r="N238" s="23">
        <f>0.001 * ABS(SUMIFS('Policy Summary'!$E:$E,'Policy Summary'!$A:$A,$D$220,'Policy Summary'!$B:$B,N$222))</f>
        <v>0</v>
      </c>
      <c r="O238" s="23">
        <f>0.001 * ABS(SUMIFS('Policy Summary'!$E:$E,'Policy Summary'!$A:$A,$D$220,'Policy Summary'!$B:$B,O$222))</f>
        <v>0</v>
      </c>
      <c r="P238" s="23">
        <f>0.001 * ABS(SUMIFS('Policy Summary'!$E:$E,'Policy Summary'!$A:$A,$D$220,'Policy Summary'!$B:$B,P$222))</f>
        <v>0</v>
      </c>
      <c r="Q238" s="23">
        <f>0.001 * ABS(SUMIFS('Policy Summary'!$E:$E,'Policy Summary'!$A:$A,$D$220,'Policy Summary'!$B:$B,Q$222))</f>
        <v>0</v>
      </c>
      <c r="R238" s="23">
        <f>0.001 * ABS(SUMIFS('Policy Summary'!$E:$E,'Policy Summary'!$A:$A,$D$220,'Policy Summary'!$B:$B,R$222))</f>
        <v>0</v>
      </c>
      <c r="S238" s="23">
        <f>0.001 * ABS(SUMIFS('Policy Summary'!$E:$E,'Policy Summary'!$A:$A,$D$220,'Policy Summary'!$B:$B,S$222))</f>
        <v>0</v>
      </c>
      <c r="T238" s="23">
        <f>0.001 * ABS(SUMIFS('Policy Summary'!$E:$E,'Policy Summary'!$A:$A,$D$220,'Policy Summary'!$B:$B,T$222))</f>
        <v>0</v>
      </c>
      <c r="U238" s="23">
        <f>0.001 * ABS(SUMIFS('Policy Summary'!$E:$E,'Policy Summary'!$A:$A,$D$220,'Policy Summary'!$B:$B,U$222))</f>
        <v>0</v>
      </c>
      <c r="V238" s="23">
        <f>0.001 * ABS(SUMIFS('Policy Summary'!$E:$E,'Policy Summary'!$A:$A,$D$220,'Policy Summary'!$B:$B,V$222))</f>
        <v>0</v>
      </c>
      <c r="W238" s="23">
        <f>0.001 * ABS(SUMIFS('Policy Summary'!$E:$E,'Policy Summary'!$A:$A,$D$220,'Policy Summary'!$B:$B,W$222))</f>
        <v>0</v>
      </c>
      <c r="X238" s="23">
        <f>0.001 * ABS(SUMIFS('Policy Summary'!$E:$E,'Policy Summary'!$A:$A,$D$220,'Policy Summary'!$B:$B,X$222))</f>
        <v>0</v>
      </c>
      <c r="Y238" s="23">
        <f>0.001 * ABS(SUMIFS('Policy Summary'!$E:$E,'Policy Summary'!$A:$A,$D$220,'Policy Summary'!$B:$B,Y$222))</f>
        <v>0</v>
      </c>
      <c r="Z238" s="23">
        <f>0.001 * ABS(SUMIFS('Policy Summary'!$E:$E,'Policy Summary'!$A:$A,$D$220,'Policy Summary'!$B:$B,Z$222))</f>
        <v>0</v>
      </c>
      <c r="AA238" s="23">
        <f>0.001 * ABS(SUMIFS('Policy Summary'!$E:$E,'Policy Summary'!$A:$A,$D$220,'Policy Summary'!$B:$B,AA$222))</f>
        <v>0</v>
      </c>
      <c r="AB238" s="23">
        <f>0.001 * ABS(SUMIFS('Policy Summary'!$E:$E,'Policy Summary'!$A:$A,$D$220,'Policy Summary'!$B:$B,AB$222))</f>
        <v>0</v>
      </c>
      <c r="AC238" s="23">
        <f>0.001 * ABS(SUMIFS('Policy Summary'!$E:$E,'Policy Summary'!$A:$A,$D$220,'Policy Summary'!$B:$B,AC$222))</f>
        <v>0</v>
      </c>
      <c r="AD238" s="23">
        <f>0.001 * ABS(SUMIFS('Policy Summary'!$E:$E,'Policy Summary'!$A:$A,$D$220,'Policy Summary'!$B:$B,AD$222))</f>
        <v>96.780912983800363</v>
      </c>
      <c r="AH238" s="34"/>
    </row>
    <row r="239" spans="3:34" ht="12" outlineLevel="1" thickTop="1" x14ac:dyDescent="0.2">
      <c r="AH239" s="34"/>
    </row>
    <row r="240" spans="3:34" ht="13.2" outlineLevel="1" x14ac:dyDescent="0.2">
      <c r="E240" s="2" t="s">
        <v>183</v>
      </c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H240" s="34"/>
    </row>
    <row r="241" spans="2:34" outlineLevel="1" x14ac:dyDescent="0.2">
      <c r="E241" s="7">
        <v>43831</v>
      </c>
      <c r="F241" s="7">
        <f>EDATE(E241,12)</f>
        <v>44197</v>
      </c>
      <c r="G241" s="7">
        <f t="shared" ref="G241:AC241" si="211">EDATE(F241,12)</f>
        <v>44562</v>
      </c>
      <c r="H241" s="7">
        <f t="shared" si="211"/>
        <v>44927</v>
      </c>
      <c r="I241" s="7">
        <f t="shared" si="211"/>
        <v>45292</v>
      </c>
      <c r="J241" s="7">
        <f t="shared" si="211"/>
        <v>45658</v>
      </c>
      <c r="K241" s="7">
        <f t="shared" si="211"/>
        <v>46023</v>
      </c>
      <c r="L241" s="7">
        <f t="shared" si="211"/>
        <v>46388</v>
      </c>
      <c r="M241" s="7">
        <f t="shared" si="211"/>
        <v>46753</v>
      </c>
      <c r="N241" s="7">
        <f t="shared" si="211"/>
        <v>47119</v>
      </c>
      <c r="O241" s="7">
        <f t="shared" si="211"/>
        <v>47484</v>
      </c>
      <c r="P241" s="7">
        <f t="shared" si="211"/>
        <v>47849</v>
      </c>
      <c r="Q241" s="7">
        <f t="shared" si="211"/>
        <v>48214</v>
      </c>
      <c r="R241" s="7">
        <f t="shared" si="211"/>
        <v>48580</v>
      </c>
      <c r="S241" s="7">
        <f t="shared" si="211"/>
        <v>48945</v>
      </c>
      <c r="T241" s="7">
        <f t="shared" si="211"/>
        <v>49310</v>
      </c>
      <c r="U241" s="7">
        <f t="shared" si="211"/>
        <v>49675</v>
      </c>
      <c r="V241" s="7">
        <f t="shared" si="211"/>
        <v>50041</v>
      </c>
      <c r="W241" s="7">
        <f t="shared" si="211"/>
        <v>50406</v>
      </c>
      <c r="X241" s="7">
        <f t="shared" si="211"/>
        <v>50771</v>
      </c>
      <c r="Y241" s="7">
        <f t="shared" si="211"/>
        <v>51136</v>
      </c>
      <c r="Z241" s="7">
        <f t="shared" si="211"/>
        <v>51502</v>
      </c>
      <c r="AA241" s="7">
        <f t="shared" si="211"/>
        <v>51867</v>
      </c>
      <c r="AB241" s="7">
        <f t="shared" si="211"/>
        <v>52232</v>
      </c>
      <c r="AC241" s="7">
        <f t="shared" si="211"/>
        <v>52597</v>
      </c>
      <c r="AD241" s="7">
        <f>EDATE(AC241,12)</f>
        <v>52963</v>
      </c>
      <c r="AH241" s="34"/>
    </row>
    <row r="242" spans="2:34" outlineLevel="1" x14ac:dyDescent="0.2">
      <c r="D242" s="8" t="s">
        <v>182</v>
      </c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H242" s="34"/>
    </row>
    <row r="243" spans="2:34" outlineLevel="1" x14ac:dyDescent="0.2">
      <c r="D243" s="8" t="s">
        <v>185</v>
      </c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H243" s="34"/>
    </row>
    <row r="244" spans="2:34" outlineLevel="1" x14ac:dyDescent="0.2">
      <c r="D244" s="8" t="s">
        <v>186</v>
      </c>
      <c r="E244" s="10">
        <f>SUMIFS('Policy Summary'!$D:$D,'Policy Summary'!$A:$A,$D$220,'Policy Summary'!$B:$B,E$222)</f>
        <v>0</v>
      </c>
      <c r="F244" s="10">
        <f>SUMIFS('Policy Summary'!$D:$D,'Policy Summary'!$A:$A,$D$220,'Policy Summary'!$B:$B,F$222)</f>
        <v>0</v>
      </c>
      <c r="G244" s="10">
        <f>SUMIFS('Policy Summary'!$D:$D,'Policy Summary'!$A:$A,$D$220,'Policy Summary'!$B:$B,G$222)</f>
        <v>0</v>
      </c>
      <c r="H244" s="10">
        <f>SUMIFS('Policy Summary'!$D:$D,'Policy Summary'!$A:$A,$D$220,'Policy Summary'!$B:$B,H$222)</f>
        <v>0</v>
      </c>
      <c r="I244" s="10">
        <f>SUMIFS('Policy Summary'!$D:$D,'Policy Summary'!$A:$A,$D$220,'Policy Summary'!$B:$B,I$222)</f>
        <v>0</v>
      </c>
      <c r="J244" s="10">
        <f>SUMIFS('Policy Summary'!$D:$D,'Policy Summary'!$A:$A,$D$220,'Policy Summary'!$B:$B,J$222)</f>
        <v>0</v>
      </c>
      <c r="K244" s="10">
        <f>SUMIFS('Policy Summary'!$D:$D,'Policy Summary'!$A:$A,$D$220,'Policy Summary'!$B:$B,K$222)</f>
        <v>0</v>
      </c>
      <c r="L244" s="10">
        <f>SUMIFS('Policy Summary'!$D:$D,'Policy Summary'!$A:$A,$D$220,'Policy Summary'!$B:$B,L$222)</f>
        <v>0</v>
      </c>
      <c r="M244" s="10">
        <f>SUMIFS('Policy Summary'!$D:$D,'Policy Summary'!$A:$A,$D$220,'Policy Summary'!$B:$B,M$222)</f>
        <v>0</v>
      </c>
      <c r="N244" s="10">
        <f>SUMIFS('Policy Summary'!$D:$D,'Policy Summary'!$A:$A,$D$220,'Policy Summary'!$B:$B,N$222)</f>
        <v>0</v>
      </c>
      <c r="O244" s="10">
        <f>SUMIFS('Policy Summary'!$D:$D,'Policy Summary'!$A:$A,$D$220,'Policy Summary'!$B:$B,O$222)</f>
        <v>0</v>
      </c>
      <c r="P244" s="10">
        <f>SUMIFS('Policy Summary'!$D:$D,'Policy Summary'!$A:$A,$D$220,'Policy Summary'!$B:$B,P$222)</f>
        <v>0</v>
      </c>
      <c r="Q244" s="10">
        <f>SUMIFS('Policy Summary'!$D:$D,'Policy Summary'!$A:$A,$D$220,'Policy Summary'!$B:$B,Q$222)</f>
        <v>0</v>
      </c>
      <c r="R244" s="10">
        <f>SUMIFS('Policy Summary'!$D:$D,'Policy Summary'!$A:$A,$D$220,'Policy Summary'!$B:$B,R$222)</f>
        <v>0</v>
      </c>
      <c r="S244" s="10">
        <f>SUMIFS('Policy Summary'!$D:$D,'Policy Summary'!$A:$A,$D$220,'Policy Summary'!$B:$B,S$222)</f>
        <v>0</v>
      </c>
      <c r="T244" s="10">
        <f>SUMIFS('Policy Summary'!$D:$D,'Policy Summary'!$A:$A,$D$220,'Policy Summary'!$B:$B,T$222)</f>
        <v>0</v>
      </c>
      <c r="U244" s="10">
        <f>SUMIFS('Policy Summary'!$D:$D,'Policy Summary'!$A:$A,$D$220,'Policy Summary'!$B:$B,U$222)</f>
        <v>0</v>
      </c>
      <c r="V244" s="10">
        <f>SUMIFS('Policy Summary'!$D:$D,'Policy Summary'!$A:$A,$D$220,'Policy Summary'!$B:$B,V$222)</f>
        <v>0</v>
      </c>
      <c r="W244" s="10">
        <f>SUMIFS('Policy Summary'!$D:$D,'Policy Summary'!$A:$A,$D$220,'Policy Summary'!$B:$B,W$222)</f>
        <v>0</v>
      </c>
      <c r="X244" s="10">
        <f>SUMIFS('Policy Summary'!$D:$D,'Policy Summary'!$A:$A,$D$220,'Policy Summary'!$B:$B,X$222)</f>
        <v>0</v>
      </c>
      <c r="Y244" s="10">
        <f>SUMIFS('Policy Summary'!$D:$D,'Policy Summary'!$A:$A,$D$220,'Policy Summary'!$B:$B,Y$222)</f>
        <v>0</v>
      </c>
      <c r="Z244" s="10">
        <f>SUMIFS('Policy Summary'!$D:$D,'Policy Summary'!$A:$A,$D$220,'Policy Summary'!$B:$B,Z$222)</f>
        <v>0</v>
      </c>
      <c r="AA244" s="10">
        <f>SUMIFS('Policy Summary'!$D:$D,'Policy Summary'!$A:$A,$D$220,'Policy Summary'!$B:$B,AA$222)</f>
        <v>0</v>
      </c>
      <c r="AB244" s="10">
        <f>SUMIFS('Policy Summary'!$D:$D,'Policy Summary'!$A:$A,$D$220,'Policy Summary'!$B:$B,AB$222)</f>
        <v>0</v>
      </c>
      <c r="AC244" s="10">
        <f>SUMIFS('Policy Summary'!$D:$D,'Policy Summary'!$A:$A,$D$220,'Policy Summary'!$B:$B,AC$222)</f>
        <v>0</v>
      </c>
      <c r="AD244" s="10">
        <f>SUMIFS('Policy Summary'!$D:$D,'Policy Summary'!$A:$A,$D$220,'Policy Summary'!$B:$B,AD$222)</f>
        <v>2577.5203120161041</v>
      </c>
      <c r="AH244" s="34"/>
    </row>
    <row r="245" spans="2:34" outlineLevel="1" x14ac:dyDescent="0.2">
      <c r="D245" s="8" t="s">
        <v>187</v>
      </c>
      <c r="E245" s="10">
        <f>SUMIFS('Policy Summary'!$C:$C,'Policy Summary'!$A:$A,$D$220,'Policy Summary'!$B:$B,E$222)</f>
        <v>0</v>
      </c>
      <c r="F245" s="10">
        <f>SUMIFS('Policy Summary'!$C:$C,'Policy Summary'!$A:$A,$D$220,'Policy Summary'!$B:$B,F$222)</f>
        <v>0</v>
      </c>
      <c r="G245" s="10">
        <f>SUMIFS('Policy Summary'!$C:$C,'Policy Summary'!$A:$A,$D$220,'Policy Summary'!$B:$B,G$222)</f>
        <v>0</v>
      </c>
      <c r="H245" s="10">
        <f>SUMIFS('Policy Summary'!$C:$C,'Policy Summary'!$A:$A,$D$220,'Policy Summary'!$B:$B,H$222)</f>
        <v>0</v>
      </c>
      <c r="I245" s="10">
        <f>SUMIFS('Policy Summary'!$C:$C,'Policy Summary'!$A:$A,$D$220,'Policy Summary'!$B:$B,I$222)</f>
        <v>0</v>
      </c>
      <c r="J245" s="10">
        <f>SUMIFS('Policy Summary'!$C:$C,'Policy Summary'!$A:$A,$D$220,'Policy Summary'!$B:$B,J$222)</f>
        <v>0</v>
      </c>
      <c r="K245" s="10">
        <f>SUMIFS('Policy Summary'!$C:$C,'Policy Summary'!$A:$A,$D$220,'Policy Summary'!$B:$B,K$222)</f>
        <v>0</v>
      </c>
      <c r="L245" s="10">
        <f>SUMIFS('Policy Summary'!$C:$C,'Policy Summary'!$A:$A,$D$220,'Policy Summary'!$B:$B,L$222)</f>
        <v>0</v>
      </c>
      <c r="M245" s="10">
        <f>SUMIFS('Policy Summary'!$C:$C,'Policy Summary'!$A:$A,$D$220,'Policy Summary'!$B:$B,M$222)</f>
        <v>0</v>
      </c>
      <c r="N245" s="10">
        <f>SUMIFS('Policy Summary'!$C:$C,'Policy Summary'!$A:$A,$D$220,'Policy Summary'!$B:$B,N$222)</f>
        <v>0</v>
      </c>
      <c r="O245" s="10">
        <f>SUMIFS('Policy Summary'!$C:$C,'Policy Summary'!$A:$A,$D$220,'Policy Summary'!$B:$B,O$222)</f>
        <v>0</v>
      </c>
      <c r="P245" s="10">
        <f>SUMIFS('Policy Summary'!$C:$C,'Policy Summary'!$A:$A,$D$220,'Policy Summary'!$B:$B,P$222)</f>
        <v>0</v>
      </c>
      <c r="Q245" s="10">
        <f>SUMIFS('Policy Summary'!$C:$C,'Policy Summary'!$A:$A,$D$220,'Policy Summary'!$B:$B,Q$222)</f>
        <v>0</v>
      </c>
      <c r="R245" s="10">
        <f>SUMIFS('Policy Summary'!$C:$C,'Policy Summary'!$A:$A,$D$220,'Policy Summary'!$B:$B,R$222)</f>
        <v>0</v>
      </c>
      <c r="S245" s="10">
        <f>SUMIFS('Policy Summary'!$C:$C,'Policy Summary'!$A:$A,$D$220,'Policy Summary'!$B:$B,S$222)</f>
        <v>0</v>
      </c>
      <c r="T245" s="10">
        <f>SUMIFS('Policy Summary'!$C:$C,'Policy Summary'!$A:$A,$D$220,'Policy Summary'!$B:$B,T$222)</f>
        <v>0</v>
      </c>
      <c r="U245" s="10">
        <f>SUMIFS('Policy Summary'!$C:$C,'Policy Summary'!$A:$A,$D$220,'Policy Summary'!$B:$B,U$222)</f>
        <v>0</v>
      </c>
      <c r="V245" s="10">
        <f>SUMIFS('Policy Summary'!$C:$C,'Policy Summary'!$A:$A,$D$220,'Policy Summary'!$B:$B,V$222)</f>
        <v>0</v>
      </c>
      <c r="W245" s="10">
        <f>SUMIFS('Policy Summary'!$C:$C,'Policy Summary'!$A:$A,$D$220,'Policy Summary'!$B:$B,W$222)</f>
        <v>0</v>
      </c>
      <c r="X245" s="10">
        <f>SUMIFS('Policy Summary'!$C:$C,'Policy Summary'!$A:$A,$D$220,'Policy Summary'!$B:$B,X$222)</f>
        <v>0</v>
      </c>
      <c r="Y245" s="10">
        <f>SUMIFS('Policy Summary'!$C:$C,'Policy Summary'!$A:$A,$D$220,'Policy Summary'!$B:$B,Y$222)</f>
        <v>0</v>
      </c>
      <c r="Z245" s="10">
        <f>SUMIFS('Policy Summary'!$C:$C,'Policy Summary'!$A:$A,$D$220,'Policy Summary'!$B:$B,Z$222)</f>
        <v>0</v>
      </c>
      <c r="AA245" s="10">
        <f>SUMIFS('Policy Summary'!$C:$C,'Policy Summary'!$A:$A,$D$220,'Policy Summary'!$B:$B,AA$222)</f>
        <v>0</v>
      </c>
      <c r="AB245" s="10">
        <f>SUMIFS('Policy Summary'!$C:$C,'Policy Summary'!$A:$A,$D$220,'Policy Summary'!$B:$B,AB$222)</f>
        <v>0</v>
      </c>
      <c r="AC245" s="10">
        <f>SUMIFS('Policy Summary'!$C:$C,'Policy Summary'!$A:$A,$D$220,'Policy Summary'!$B:$B,AC$222)</f>
        <v>0</v>
      </c>
      <c r="AD245" s="10">
        <f>SUMIFS('Policy Summary'!$C:$C,'Policy Summary'!$A:$A,$D$220,'Policy Summary'!$B:$B,AD$222)</f>
        <v>69164.600267856935</v>
      </c>
      <c r="AH245" s="34"/>
    </row>
    <row r="246" spans="2:34" outlineLevel="1" x14ac:dyDescent="0.2">
      <c r="AH246" s="34"/>
    </row>
    <row r="247" spans="2:34" ht="13.2" outlineLevel="1" x14ac:dyDescent="0.2">
      <c r="E247" s="2" t="s">
        <v>193</v>
      </c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H247" s="34" t="s">
        <v>422</v>
      </c>
    </row>
    <row r="248" spans="2:34" outlineLevel="1" x14ac:dyDescent="0.2">
      <c r="E248" s="7">
        <v>43831</v>
      </c>
      <c r="F248" s="7">
        <f>EDATE(E248,12)</f>
        <v>44197</v>
      </c>
      <c r="G248" s="7">
        <f t="shared" ref="G248:AC248" si="212">EDATE(F248,12)</f>
        <v>44562</v>
      </c>
      <c r="H248" s="7">
        <f t="shared" si="212"/>
        <v>44927</v>
      </c>
      <c r="I248" s="7">
        <f t="shared" si="212"/>
        <v>45292</v>
      </c>
      <c r="J248" s="7">
        <f t="shared" si="212"/>
        <v>45658</v>
      </c>
      <c r="K248" s="7">
        <f t="shared" si="212"/>
        <v>46023</v>
      </c>
      <c r="L248" s="7">
        <f t="shared" si="212"/>
        <v>46388</v>
      </c>
      <c r="M248" s="7">
        <f t="shared" si="212"/>
        <v>46753</v>
      </c>
      <c r="N248" s="7">
        <f t="shared" si="212"/>
        <v>47119</v>
      </c>
      <c r="O248" s="7">
        <f t="shared" si="212"/>
        <v>47484</v>
      </c>
      <c r="P248" s="7">
        <f t="shared" si="212"/>
        <v>47849</v>
      </c>
      <c r="Q248" s="7">
        <f t="shared" si="212"/>
        <v>48214</v>
      </c>
      <c r="R248" s="7">
        <f t="shared" si="212"/>
        <v>48580</v>
      </c>
      <c r="S248" s="7">
        <f t="shared" si="212"/>
        <v>48945</v>
      </c>
      <c r="T248" s="7">
        <f t="shared" si="212"/>
        <v>49310</v>
      </c>
      <c r="U248" s="7">
        <f t="shared" si="212"/>
        <v>49675</v>
      </c>
      <c r="V248" s="7">
        <f t="shared" si="212"/>
        <v>50041</v>
      </c>
      <c r="W248" s="7">
        <f t="shared" si="212"/>
        <v>50406</v>
      </c>
      <c r="X248" s="7">
        <f t="shared" si="212"/>
        <v>50771</v>
      </c>
      <c r="Y248" s="7">
        <f t="shared" si="212"/>
        <v>51136</v>
      </c>
      <c r="Z248" s="7">
        <f t="shared" si="212"/>
        <v>51502</v>
      </c>
      <c r="AA248" s="7">
        <f t="shared" si="212"/>
        <v>51867</v>
      </c>
      <c r="AB248" s="7">
        <f t="shared" si="212"/>
        <v>52232</v>
      </c>
      <c r="AC248" s="7">
        <f t="shared" si="212"/>
        <v>52597</v>
      </c>
      <c r="AD248" s="7">
        <f>EDATE(AC248,12)</f>
        <v>52963</v>
      </c>
      <c r="AH248" s="34" t="s">
        <v>422</v>
      </c>
    </row>
    <row r="249" spans="2:34" outlineLevel="1" x14ac:dyDescent="0.2">
      <c r="D249" s="8" t="s">
        <v>188</v>
      </c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H249" s="34" t="s">
        <v>422</v>
      </c>
    </row>
    <row r="250" spans="2:34" outlineLevel="1" x14ac:dyDescent="0.2">
      <c r="D250" s="8" t="s">
        <v>189</v>
      </c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H250" s="34" t="s">
        <v>422</v>
      </c>
    </row>
    <row r="251" spans="2:34" outlineLevel="1" x14ac:dyDescent="0.2">
      <c r="D251" s="8" t="s">
        <v>190</v>
      </c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H251" s="34" t="s">
        <v>422</v>
      </c>
    </row>
    <row r="252" spans="2:34" outlineLevel="1" x14ac:dyDescent="0.2">
      <c r="D252" s="8" t="s">
        <v>191</v>
      </c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H252" s="34" t="s">
        <v>422</v>
      </c>
    </row>
    <row r="253" spans="2:34" outlineLevel="1" x14ac:dyDescent="0.2">
      <c r="D253" s="8" t="s">
        <v>192</v>
      </c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H253" s="34" t="s">
        <v>422</v>
      </c>
    </row>
    <row r="254" spans="2:34" x14ac:dyDescent="0.2">
      <c r="AH254" s="34"/>
    </row>
    <row r="255" spans="2:34" x14ac:dyDescent="0.2">
      <c r="AH255" s="34"/>
    </row>
    <row r="256" spans="2:34" ht="18" thickBot="1" x14ac:dyDescent="0.25">
      <c r="B256" s="6" t="s">
        <v>447</v>
      </c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H256" s="34"/>
    </row>
    <row r="257" spans="3:34" outlineLevel="1" x14ac:dyDescent="0.2">
      <c r="C257" s="15" t="s">
        <v>173</v>
      </c>
      <c r="D257" s="15" t="s">
        <v>7</v>
      </c>
      <c r="AH257" s="34"/>
    </row>
    <row r="258" spans="3:34" outlineLevel="1" x14ac:dyDescent="0.2">
      <c r="C258" s="15" t="s">
        <v>213</v>
      </c>
      <c r="D258" s="15" t="s">
        <v>285</v>
      </c>
      <c r="AH258" s="34"/>
    </row>
    <row r="259" spans="3:34" ht="13.2" outlineLevel="1" x14ac:dyDescent="0.2">
      <c r="E259" s="2" t="s">
        <v>196</v>
      </c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H259" s="34"/>
    </row>
    <row r="260" spans="3:34" outlineLevel="1" x14ac:dyDescent="0.2">
      <c r="E260" s="7">
        <v>43831</v>
      </c>
      <c r="F260" s="7">
        <f>EDATE(E260,12)</f>
        <v>44197</v>
      </c>
      <c r="G260" s="7">
        <f t="shared" ref="G260:AC260" si="213">EDATE(F260,12)</f>
        <v>44562</v>
      </c>
      <c r="H260" s="7">
        <f t="shared" si="213"/>
        <v>44927</v>
      </c>
      <c r="I260" s="7">
        <f t="shared" si="213"/>
        <v>45292</v>
      </c>
      <c r="J260" s="7">
        <f t="shared" si="213"/>
        <v>45658</v>
      </c>
      <c r="K260" s="7">
        <f t="shared" si="213"/>
        <v>46023</v>
      </c>
      <c r="L260" s="7">
        <f t="shared" si="213"/>
        <v>46388</v>
      </c>
      <c r="M260" s="7">
        <f t="shared" si="213"/>
        <v>46753</v>
      </c>
      <c r="N260" s="7">
        <f t="shared" si="213"/>
        <v>47119</v>
      </c>
      <c r="O260" s="7">
        <f t="shared" si="213"/>
        <v>47484</v>
      </c>
      <c r="P260" s="7">
        <f t="shared" si="213"/>
        <v>47849</v>
      </c>
      <c r="Q260" s="7">
        <f t="shared" si="213"/>
        <v>48214</v>
      </c>
      <c r="R260" s="7">
        <f t="shared" si="213"/>
        <v>48580</v>
      </c>
      <c r="S260" s="7">
        <f t="shared" si="213"/>
        <v>48945</v>
      </c>
      <c r="T260" s="7">
        <f t="shared" si="213"/>
        <v>49310</v>
      </c>
      <c r="U260" s="7">
        <f t="shared" si="213"/>
        <v>49675</v>
      </c>
      <c r="V260" s="7">
        <f t="shared" si="213"/>
        <v>50041</v>
      </c>
      <c r="W260" s="7">
        <f t="shared" si="213"/>
        <v>50406</v>
      </c>
      <c r="X260" s="7">
        <f t="shared" si="213"/>
        <v>50771</v>
      </c>
      <c r="Y260" s="7">
        <f t="shared" si="213"/>
        <v>51136</v>
      </c>
      <c r="Z260" s="7">
        <f t="shared" si="213"/>
        <v>51502</v>
      </c>
      <c r="AA260" s="7">
        <f t="shared" si="213"/>
        <v>51867</v>
      </c>
      <c r="AB260" s="7">
        <f t="shared" si="213"/>
        <v>52232</v>
      </c>
      <c r="AC260" s="7">
        <f t="shared" si="213"/>
        <v>52597</v>
      </c>
      <c r="AD260" s="7">
        <f>EDATE(AC260,12)</f>
        <v>52963</v>
      </c>
      <c r="AH260" s="34"/>
    </row>
    <row r="261" spans="3:34" outlineLevel="1" x14ac:dyDescent="0.2">
      <c r="D261" s="8" t="s">
        <v>194</v>
      </c>
      <c r="E261" s="14" cm="1">
        <f t="array" ref="E261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Grouping'!$I$9:$I$322=$D261),0)),
    'Emissions Policy Resource'!$C:$C,E$260
  ))</f>
        <v>0</v>
      </c>
      <c r="F261" s="14" cm="1">
        <f t="array" ref="F261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Grouping'!$I$9:$I$322=$D261),0)),
    'Emissions Policy Resource'!$C:$C,F$260
  ))</f>
        <v>0</v>
      </c>
      <c r="G261" s="14" cm="1">
        <f t="array" ref="G261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Grouping'!$I$9:$I$322=$D261),0)),
    'Emissions Policy Resource'!$C:$C,G$260
  ))</f>
        <v>0</v>
      </c>
      <c r="H261" s="14" cm="1">
        <f t="array" ref="H261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Grouping'!$I$9:$I$322=$D261),0)),
    'Emissions Policy Resource'!$C:$C,H$260
  ))</f>
        <v>0</v>
      </c>
      <c r="I261" s="14" cm="1">
        <f t="array" ref="I261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Grouping'!$I$9:$I$322=$D261),0)),
    'Emissions Policy Resource'!$C:$C,I$260
  ))</f>
        <v>0</v>
      </c>
      <c r="J261" s="14" cm="1">
        <f t="array" ref="J261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Grouping'!$I$9:$I$322=$D261),0)),
    'Emissions Policy Resource'!$C:$C,J$260
  ))</f>
        <v>0</v>
      </c>
      <c r="K261" s="14" cm="1">
        <f t="array" ref="K261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Grouping'!$I$9:$I$322=$D261),0)),
    'Emissions Policy Resource'!$C:$C,K$260
  ))</f>
        <v>0</v>
      </c>
      <c r="L261" s="14" cm="1">
        <f t="array" ref="L261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Grouping'!$I$9:$I$322=$D261),0)),
    'Emissions Policy Resource'!$C:$C,L$260
  ))</f>
        <v>0</v>
      </c>
      <c r="M261" s="14" cm="1">
        <f t="array" ref="M261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Grouping'!$I$9:$I$322=$D261),0)),
    'Emissions Policy Resource'!$C:$C,M$260
  ))</f>
        <v>0</v>
      </c>
      <c r="N261" s="14" cm="1">
        <f t="array" ref="N261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Grouping'!$I$9:$I$322=$D261),0)),
    'Emissions Policy Resource'!$C:$C,N$260
  ))</f>
        <v>0</v>
      </c>
      <c r="O261" s="14" cm="1">
        <f t="array" ref="O261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Grouping'!$I$9:$I$322=$D261),0)),
    'Emissions Policy Resource'!$C:$C,O$260
  ))</f>
        <v>0</v>
      </c>
      <c r="P261" s="14" cm="1">
        <f t="array" ref="P261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Grouping'!$I$9:$I$322=$D261),0)),
    'Emissions Policy Resource'!$C:$C,P$260
  ))</f>
        <v>0</v>
      </c>
      <c r="Q261" s="14" cm="1">
        <f t="array" ref="Q261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Grouping'!$I$9:$I$322=$D261),0)),
    'Emissions Policy Resource'!$C:$C,Q$260
  ))</f>
        <v>0</v>
      </c>
      <c r="R261" s="14" cm="1">
        <f t="array" ref="R261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Grouping'!$I$9:$I$322=$D261),0)),
    'Emissions Policy Resource'!$C:$C,R$260
  ))</f>
        <v>0</v>
      </c>
      <c r="S261" s="14" cm="1">
        <f t="array" ref="S261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Grouping'!$I$9:$I$322=$D261),0)),
    'Emissions Policy Resource'!$C:$C,S$260
  ))</f>
        <v>0</v>
      </c>
      <c r="T261" s="14" cm="1">
        <f t="array" ref="T261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Grouping'!$I$9:$I$322=$D261),0)),
    'Emissions Policy Resource'!$C:$C,T$260
  ))</f>
        <v>0</v>
      </c>
      <c r="U261" s="14" cm="1">
        <f t="array" ref="U261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Grouping'!$I$9:$I$322=$D261),0)),
    'Emissions Policy Resource'!$C:$C,U$260
  ))</f>
        <v>0</v>
      </c>
      <c r="V261" s="14" cm="1">
        <f t="array" ref="V261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Grouping'!$I$9:$I$322=$D261),0)),
    'Emissions Policy Resource'!$C:$C,V$260
  ))</f>
        <v>0</v>
      </c>
      <c r="W261" s="14" cm="1">
        <f t="array" ref="W261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Grouping'!$I$9:$I$322=$D261),0)),
    'Emissions Policy Resource'!$C:$C,W$260
  ))</f>
        <v>0</v>
      </c>
      <c r="X261" s="14" cm="1">
        <f t="array" ref="X261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Grouping'!$I$9:$I$322=$D261),0)),
    'Emissions Policy Resource'!$C:$C,X$260
  ))</f>
        <v>0</v>
      </c>
      <c r="Y261" s="14" cm="1">
        <f t="array" ref="Y261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Grouping'!$I$9:$I$322=$D261),0)),
    'Emissions Policy Resource'!$C:$C,Y$260
  ))</f>
        <v>0</v>
      </c>
      <c r="Z261" s="14" cm="1">
        <f t="array" ref="Z261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Grouping'!$I$9:$I$322=$D261),0)),
    'Emissions Policy Resource'!$C:$C,Z$260
  ))</f>
        <v>0</v>
      </c>
      <c r="AA261" s="14" cm="1">
        <f t="array" ref="AA261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Grouping'!$I$9:$I$322=$D261),0)),
    'Emissions Policy Resource'!$C:$C,AA$260
  ))</f>
        <v>0</v>
      </c>
      <c r="AB261" s="14" cm="1">
        <f t="array" ref="AB261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Grouping'!$I$9:$I$322=$D261),0)),
    'Emissions Policy Resource'!$C:$C,AB$260
  ))</f>
        <v>0</v>
      </c>
      <c r="AC261" s="14" cm="1">
        <f t="array" ref="AC261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Grouping'!$I$9:$I$322=$D261),0)),
    'Emissions Policy Resource'!$C:$C,AC$260
  ))</f>
        <v>0</v>
      </c>
      <c r="AD261" s="14" cm="1">
        <f t="array" ref="AD261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Grouping'!$I$9:$I$322=$D261),0)),
    'Emissions Policy Resource'!$C:$C,AD$260
  ))</f>
        <v>0</v>
      </c>
      <c r="AH261" s="34"/>
    </row>
    <row r="262" spans="3:34" outlineLevel="1" x14ac:dyDescent="0.2">
      <c r="D262" s="8" t="s">
        <v>417</v>
      </c>
      <c r="E262" s="14" cm="1">
        <f t="array" ref="E262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Grouping'!$I$9:$I$322=$D262),0)),
    'Emissions Policy Resource'!$C:$C,E$260
  ))</f>
        <v>0</v>
      </c>
      <c r="F262" s="14" cm="1">
        <f t="array" ref="F262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Grouping'!$I$9:$I$322=$D262),0)),
    'Emissions Policy Resource'!$C:$C,F$260
  ))</f>
        <v>0</v>
      </c>
      <c r="G262" s="14" cm="1">
        <f t="array" ref="G262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Grouping'!$I$9:$I$322=$D262),0)),
    'Emissions Policy Resource'!$C:$C,G$260
  ))</f>
        <v>0</v>
      </c>
      <c r="H262" s="14" cm="1">
        <f t="array" ref="H262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Grouping'!$I$9:$I$322=$D262),0)),
    'Emissions Policy Resource'!$C:$C,H$260
  ))</f>
        <v>0</v>
      </c>
      <c r="I262" s="14" cm="1">
        <f t="array" ref="I262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Grouping'!$I$9:$I$322=$D262),0)),
    'Emissions Policy Resource'!$C:$C,I$260
  ))</f>
        <v>0</v>
      </c>
      <c r="J262" s="14" cm="1">
        <f t="array" ref="J262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Grouping'!$I$9:$I$322=$D262),0)),
    'Emissions Policy Resource'!$C:$C,J$260
  ))</f>
        <v>0</v>
      </c>
      <c r="K262" s="14" cm="1">
        <f t="array" ref="K262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Grouping'!$I$9:$I$322=$D262),0)),
    'Emissions Policy Resource'!$C:$C,K$260
  ))</f>
        <v>0</v>
      </c>
      <c r="L262" s="14" cm="1">
        <f t="array" ref="L262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Grouping'!$I$9:$I$322=$D262),0)),
    'Emissions Policy Resource'!$C:$C,L$260
  ))</f>
        <v>0</v>
      </c>
      <c r="M262" s="14" cm="1">
        <f t="array" ref="M262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Grouping'!$I$9:$I$322=$D262),0)),
    'Emissions Policy Resource'!$C:$C,M$260
  ))</f>
        <v>0</v>
      </c>
      <c r="N262" s="14" cm="1">
        <f t="array" ref="N262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Grouping'!$I$9:$I$322=$D262),0)),
    'Emissions Policy Resource'!$C:$C,N$260
  ))</f>
        <v>0</v>
      </c>
      <c r="O262" s="14" cm="1">
        <f t="array" ref="O262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Grouping'!$I$9:$I$322=$D262),0)),
    'Emissions Policy Resource'!$C:$C,O$260
  ))</f>
        <v>0</v>
      </c>
      <c r="P262" s="14" cm="1">
        <f t="array" ref="P262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Grouping'!$I$9:$I$322=$D262),0)),
    'Emissions Policy Resource'!$C:$C,P$260
  ))</f>
        <v>0</v>
      </c>
      <c r="Q262" s="14" cm="1">
        <f t="array" ref="Q262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Grouping'!$I$9:$I$322=$D262),0)),
    'Emissions Policy Resource'!$C:$C,Q$260
  ))</f>
        <v>0</v>
      </c>
      <c r="R262" s="14" cm="1">
        <f t="array" ref="R262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Grouping'!$I$9:$I$322=$D262),0)),
    'Emissions Policy Resource'!$C:$C,R$260
  ))</f>
        <v>0</v>
      </c>
      <c r="S262" s="14" cm="1">
        <f t="array" ref="S262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Grouping'!$I$9:$I$322=$D262),0)),
    'Emissions Policy Resource'!$C:$C,S$260
  ))</f>
        <v>0</v>
      </c>
      <c r="T262" s="14" cm="1">
        <f t="array" ref="T262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Grouping'!$I$9:$I$322=$D262),0)),
    'Emissions Policy Resource'!$C:$C,T$260
  ))</f>
        <v>0</v>
      </c>
      <c r="U262" s="14" cm="1">
        <f t="array" ref="U262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Grouping'!$I$9:$I$322=$D262),0)),
    'Emissions Policy Resource'!$C:$C,U$260
  ))</f>
        <v>0</v>
      </c>
      <c r="V262" s="14" cm="1">
        <f t="array" ref="V262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Grouping'!$I$9:$I$322=$D262),0)),
    'Emissions Policy Resource'!$C:$C,V$260
  ))</f>
        <v>0</v>
      </c>
      <c r="W262" s="14" cm="1">
        <f t="array" ref="W262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Grouping'!$I$9:$I$322=$D262),0)),
    'Emissions Policy Resource'!$C:$C,W$260
  ))</f>
        <v>0</v>
      </c>
      <c r="X262" s="14" cm="1">
        <f t="array" ref="X262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Grouping'!$I$9:$I$322=$D262),0)),
    'Emissions Policy Resource'!$C:$C,X$260
  ))</f>
        <v>0</v>
      </c>
      <c r="Y262" s="14" cm="1">
        <f t="array" ref="Y262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Grouping'!$I$9:$I$322=$D262),0)),
    'Emissions Policy Resource'!$C:$C,Y$260
  ))</f>
        <v>0</v>
      </c>
      <c r="Z262" s="14" cm="1">
        <f t="array" ref="Z262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Grouping'!$I$9:$I$322=$D262),0)),
    'Emissions Policy Resource'!$C:$C,Z$260
  ))</f>
        <v>0</v>
      </c>
      <c r="AA262" s="14" cm="1">
        <f t="array" ref="AA262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Grouping'!$I$9:$I$322=$D262),0)),
    'Emissions Policy Resource'!$C:$C,AA$260
  ))</f>
        <v>0</v>
      </c>
      <c r="AB262" s="14" cm="1">
        <f t="array" ref="AB262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Grouping'!$I$9:$I$322=$D262),0)),
    'Emissions Policy Resource'!$C:$C,AB$260
  ))</f>
        <v>0</v>
      </c>
      <c r="AC262" s="14" cm="1">
        <f t="array" ref="AC262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Grouping'!$I$9:$I$322=$D262),0)),
    'Emissions Policy Resource'!$C:$C,AC$260
  ))</f>
        <v>0</v>
      </c>
      <c r="AD262" s="14" cm="1">
        <f t="array" ref="AD262">0.000001 * SUM(
  SUMIFS(
    'Emissions Policy Resource'!$D:$D,
    'Emissions Policy Resource'!$A:$A,$D$258,
    'Emissions Policy Resource'!$B:$B,TRANSPOSE(_xlfn._xlws.FILTER('Results Grouping'!$G$9:$G$322,('Results Grouping'!$H$9:$H$322=$D$257) * ('Results Grouping'!$I$9:$I$322=$D262),0)),
    'Emissions Policy Resource'!$C:$C,AD$260
  ))</f>
        <v>5.7893034250351478</v>
      </c>
      <c r="AH262" s="34"/>
    </row>
    <row r="263" spans="3:34" outlineLevel="1" x14ac:dyDescent="0.2">
      <c r="D263" s="8" t="s">
        <v>195</v>
      </c>
      <c r="E263" s="26">
        <f>0.000001 * SUMIFS('Emissions Policy TxPath'!$D:$D,'Emissions Policy TxPath'!$A:$A,$D$258,'Emissions Policy TxPath'!$C:$C,E$260)</f>
        <v>0</v>
      </c>
      <c r="F263" s="26">
        <f>0.000001 * SUMIFS('Emissions Policy TxPath'!$D:$D,'Emissions Policy TxPath'!$A:$A,$D$258,'Emissions Policy TxPath'!$C:$C,F$260)</f>
        <v>0</v>
      </c>
      <c r="G263" s="26">
        <f>0.000001 * SUMIFS('Emissions Policy TxPath'!$D:$D,'Emissions Policy TxPath'!$A:$A,$D$258,'Emissions Policy TxPath'!$C:$C,G$260)</f>
        <v>0</v>
      </c>
      <c r="H263" s="26">
        <f>0.000001 * SUMIFS('Emissions Policy TxPath'!$D:$D,'Emissions Policy TxPath'!$A:$A,$D$258,'Emissions Policy TxPath'!$C:$C,H$260)</f>
        <v>0</v>
      </c>
      <c r="I263" s="26">
        <f>0.000001 * SUMIFS('Emissions Policy TxPath'!$D:$D,'Emissions Policy TxPath'!$A:$A,$D$258,'Emissions Policy TxPath'!$C:$C,I$260)</f>
        <v>0</v>
      </c>
      <c r="J263" s="26">
        <f>0.000001 * SUMIFS('Emissions Policy TxPath'!$D:$D,'Emissions Policy TxPath'!$A:$A,$D$258,'Emissions Policy TxPath'!$C:$C,J$260)</f>
        <v>0</v>
      </c>
      <c r="K263" s="26">
        <f>0.000001 * SUMIFS('Emissions Policy TxPath'!$D:$D,'Emissions Policy TxPath'!$A:$A,$D$258,'Emissions Policy TxPath'!$C:$C,K$260)</f>
        <v>0</v>
      </c>
      <c r="L263" s="26">
        <f>0.000001 * SUMIFS('Emissions Policy TxPath'!$D:$D,'Emissions Policy TxPath'!$A:$A,$D$258,'Emissions Policy TxPath'!$C:$C,L$260)</f>
        <v>0</v>
      </c>
      <c r="M263" s="26">
        <f>0.000001 * SUMIFS('Emissions Policy TxPath'!$D:$D,'Emissions Policy TxPath'!$A:$A,$D$258,'Emissions Policy TxPath'!$C:$C,M$260)</f>
        <v>0</v>
      </c>
      <c r="N263" s="26">
        <f>0.000001 * SUMIFS('Emissions Policy TxPath'!$D:$D,'Emissions Policy TxPath'!$A:$A,$D$258,'Emissions Policy TxPath'!$C:$C,N$260)</f>
        <v>0</v>
      </c>
      <c r="O263" s="26">
        <f>0.000001 * SUMIFS('Emissions Policy TxPath'!$D:$D,'Emissions Policy TxPath'!$A:$A,$D$258,'Emissions Policy TxPath'!$C:$C,O$260)</f>
        <v>0</v>
      </c>
      <c r="P263" s="26">
        <f>0.000001 * SUMIFS('Emissions Policy TxPath'!$D:$D,'Emissions Policy TxPath'!$A:$A,$D$258,'Emissions Policy TxPath'!$C:$C,P$260)</f>
        <v>0</v>
      </c>
      <c r="Q263" s="26">
        <f>0.000001 * SUMIFS('Emissions Policy TxPath'!$D:$D,'Emissions Policy TxPath'!$A:$A,$D$258,'Emissions Policy TxPath'!$C:$C,Q$260)</f>
        <v>0</v>
      </c>
      <c r="R263" s="26">
        <f>0.000001 * SUMIFS('Emissions Policy TxPath'!$D:$D,'Emissions Policy TxPath'!$A:$A,$D$258,'Emissions Policy TxPath'!$C:$C,R$260)</f>
        <v>0</v>
      </c>
      <c r="S263" s="26">
        <f>0.000001 * SUMIFS('Emissions Policy TxPath'!$D:$D,'Emissions Policy TxPath'!$A:$A,$D$258,'Emissions Policy TxPath'!$C:$C,S$260)</f>
        <v>0</v>
      </c>
      <c r="T263" s="26">
        <f>0.000001 * SUMIFS('Emissions Policy TxPath'!$D:$D,'Emissions Policy TxPath'!$A:$A,$D$258,'Emissions Policy TxPath'!$C:$C,T$260)</f>
        <v>0</v>
      </c>
      <c r="U263" s="26">
        <f>0.000001 * SUMIFS('Emissions Policy TxPath'!$D:$D,'Emissions Policy TxPath'!$A:$A,$D$258,'Emissions Policy TxPath'!$C:$C,U$260)</f>
        <v>0</v>
      </c>
      <c r="V263" s="26">
        <f>0.000001 * SUMIFS('Emissions Policy TxPath'!$D:$D,'Emissions Policy TxPath'!$A:$A,$D$258,'Emissions Policy TxPath'!$C:$C,V$260)</f>
        <v>0</v>
      </c>
      <c r="W263" s="26">
        <f>0.000001 * SUMIFS('Emissions Policy TxPath'!$D:$D,'Emissions Policy TxPath'!$A:$A,$D$258,'Emissions Policy TxPath'!$C:$C,W$260)</f>
        <v>0</v>
      </c>
      <c r="X263" s="26">
        <f>0.000001 * SUMIFS('Emissions Policy TxPath'!$D:$D,'Emissions Policy TxPath'!$A:$A,$D$258,'Emissions Policy TxPath'!$C:$C,X$260)</f>
        <v>0</v>
      </c>
      <c r="Y263" s="26">
        <f>0.000001 * SUMIFS('Emissions Policy TxPath'!$D:$D,'Emissions Policy TxPath'!$A:$A,$D$258,'Emissions Policy TxPath'!$C:$C,Y$260)</f>
        <v>0</v>
      </c>
      <c r="Z263" s="26">
        <f>0.000001 * SUMIFS('Emissions Policy TxPath'!$D:$D,'Emissions Policy TxPath'!$A:$A,$D$258,'Emissions Policy TxPath'!$C:$C,Z$260)</f>
        <v>0</v>
      </c>
      <c r="AA263" s="26">
        <f>0.000001 * SUMIFS('Emissions Policy TxPath'!$D:$D,'Emissions Policy TxPath'!$A:$A,$D$258,'Emissions Policy TxPath'!$C:$C,AA$260)</f>
        <v>0</v>
      </c>
      <c r="AB263" s="26">
        <f>0.000001 * SUMIFS('Emissions Policy TxPath'!$D:$D,'Emissions Policy TxPath'!$A:$A,$D$258,'Emissions Policy TxPath'!$C:$C,AB$260)</f>
        <v>0</v>
      </c>
      <c r="AC263" s="26">
        <f>0.000001 * SUMIFS('Emissions Policy TxPath'!$D:$D,'Emissions Policy TxPath'!$A:$A,$D$258,'Emissions Policy TxPath'!$C:$C,AC$260)</f>
        <v>0</v>
      </c>
      <c r="AD263" s="26">
        <f>0.000001 * SUMIFS('Emissions Policy TxPath'!$D:$D,'Emissions Policy TxPath'!$A:$A,$D$258,'Emissions Policy TxPath'!$C:$C,AD$260)</f>
        <v>6.4621595690569409</v>
      </c>
      <c r="AH263" s="34"/>
    </row>
    <row r="264" spans="3:34" ht="12.6" outlineLevel="1" thickBot="1" x14ac:dyDescent="0.25">
      <c r="D264" s="9" t="s">
        <v>139</v>
      </c>
      <c r="E264" s="17">
        <f t="shared" ref="E264:AD264" si="214">SUM(E261:E263)</f>
        <v>0</v>
      </c>
      <c r="F264" s="17">
        <f t="shared" si="214"/>
        <v>0</v>
      </c>
      <c r="G264" s="17">
        <f t="shared" si="214"/>
        <v>0</v>
      </c>
      <c r="H264" s="17">
        <f t="shared" si="214"/>
        <v>0</v>
      </c>
      <c r="I264" s="17">
        <f t="shared" si="214"/>
        <v>0</v>
      </c>
      <c r="J264" s="17">
        <f t="shared" si="214"/>
        <v>0</v>
      </c>
      <c r="K264" s="17">
        <f t="shared" si="214"/>
        <v>0</v>
      </c>
      <c r="L264" s="17">
        <f t="shared" si="214"/>
        <v>0</v>
      </c>
      <c r="M264" s="17">
        <f t="shared" si="214"/>
        <v>0</v>
      </c>
      <c r="N264" s="17">
        <f t="shared" si="214"/>
        <v>0</v>
      </c>
      <c r="O264" s="17">
        <f t="shared" si="214"/>
        <v>0</v>
      </c>
      <c r="P264" s="17">
        <f t="shared" si="214"/>
        <v>0</v>
      </c>
      <c r="Q264" s="17">
        <f t="shared" si="214"/>
        <v>0</v>
      </c>
      <c r="R264" s="17">
        <f t="shared" si="214"/>
        <v>0</v>
      </c>
      <c r="S264" s="17">
        <f t="shared" si="214"/>
        <v>0</v>
      </c>
      <c r="T264" s="17">
        <f t="shared" si="214"/>
        <v>0</v>
      </c>
      <c r="U264" s="17">
        <f t="shared" si="214"/>
        <v>0</v>
      </c>
      <c r="V264" s="17">
        <f t="shared" si="214"/>
        <v>0</v>
      </c>
      <c r="W264" s="17">
        <f t="shared" si="214"/>
        <v>0</v>
      </c>
      <c r="X264" s="17">
        <f t="shared" si="214"/>
        <v>0</v>
      </c>
      <c r="Y264" s="17">
        <f t="shared" si="214"/>
        <v>0</v>
      </c>
      <c r="Z264" s="17">
        <f t="shared" si="214"/>
        <v>0</v>
      </c>
      <c r="AA264" s="17">
        <f t="shared" si="214"/>
        <v>0</v>
      </c>
      <c r="AB264" s="17">
        <f t="shared" si="214"/>
        <v>0</v>
      </c>
      <c r="AC264" s="17">
        <f t="shared" si="214"/>
        <v>0</v>
      </c>
      <c r="AD264" s="17">
        <f t="shared" si="214"/>
        <v>12.251462994092089</v>
      </c>
      <c r="AH264" s="34"/>
    </row>
    <row r="265" spans="3:34" ht="13.2" outlineLevel="1" thickTop="1" thickBot="1" x14ac:dyDescent="0.25">
      <c r="D265" s="9" t="s">
        <v>296</v>
      </c>
      <c r="E265" s="13">
        <f>0.000001 * SUMIFS('Policy Summary'!$C:$C,'Policy Summary'!$A:$A,$D$258,'Policy Summary'!$B:$B,E$260)</f>
        <v>0</v>
      </c>
      <c r="F265" s="13">
        <f>0.000001 * SUMIFS('Policy Summary'!$C:$C,'Policy Summary'!$A:$A,$D$258,'Policy Summary'!$B:$B,F$260)</f>
        <v>0</v>
      </c>
      <c r="G265" s="13">
        <f>0.000001 * SUMIFS('Policy Summary'!$C:$C,'Policy Summary'!$A:$A,$D$258,'Policy Summary'!$B:$B,G$260)</f>
        <v>0</v>
      </c>
      <c r="H265" s="13">
        <f>0.000001 * SUMIFS('Policy Summary'!$C:$C,'Policy Summary'!$A:$A,$D$258,'Policy Summary'!$B:$B,H$260)</f>
        <v>0</v>
      </c>
      <c r="I265" s="13">
        <f>0.000001 * SUMIFS('Policy Summary'!$C:$C,'Policy Summary'!$A:$A,$D$258,'Policy Summary'!$B:$B,I$260)</f>
        <v>0</v>
      </c>
      <c r="J265" s="13">
        <f>0.000001 * SUMIFS('Policy Summary'!$C:$C,'Policy Summary'!$A:$A,$D$258,'Policy Summary'!$B:$B,J$260)</f>
        <v>0</v>
      </c>
      <c r="K265" s="13">
        <f>0.000001 * SUMIFS('Policy Summary'!$C:$C,'Policy Summary'!$A:$A,$D$258,'Policy Summary'!$B:$B,K$260)</f>
        <v>0</v>
      </c>
      <c r="L265" s="13">
        <f>0.000001 * SUMIFS('Policy Summary'!$C:$C,'Policy Summary'!$A:$A,$D$258,'Policy Summary'!$B:$B,L$260)</f>
        <v>0</v>
      </c>
      <c r="M265" s="13">
        <f>0.000001 * SUMIFS('Policy Summary'!$C:$C,'Policy Summary'!$A:$A,$D$258,'Policy Summary'!$B:$B,M$260)</f>
        <v>0</v>
      </c>
      <c r="N265" s="13">
        <f>0.000001 * SUMIFS('Policy Summary'!$C:$C,'Policy Summary'!$A:$A,$D$258,'Policy Summary'!$B:$B,N$260)</f>
        <v>0</v>
      </c>
      <c r="O265" s="13">
        <f>0.000001 * SUMIFS('Policy Summary'!$C:$C,'Policy Summary'!$A:$A,$D$258,'Policy Summary'!$B:$B,O$260)</f>
        <v>0</v>
      </c>
      <c r="P265" s="13">
        <f>0.000001 * SUMIFS('Policy Summary'!$C:$C,'Policy Summary'!$A:$A,$D$258,'Policy Summary'!$B:$B,P$260)</f>
        <v>0</v>
      </c>
      <c r="Q265" s="13">
        <f>0.000001 * SUMIFS('Policy Summary'!$C:$C,'Policy Summary'!$A:$A,$D$258,'Policy Summary'!$B:$B,Q$260)</f>
        <v>0</v>
      </c>
      <c r="R265" s="13">
        <f>0.000001 * SUMIFS('Policy Summary'!$C:$C,'Policy Summary'!$A:$A,$D$258,'Policy Summary'!$B:$B,R$260)</f>
        <v>0</v>
      </c>
      <c r="S265" s="13">
        <f>0.000001 * SUMIFS('Policy Summary'!$C:$C,'Policy Summary'!$A:$A,$D$258,'Policy Summary'!$B:$B,S$260)</f>
        <v>0</v>
      </c>
      <c r="T265" s="13">
        <f>0.000001 * SUMIFS('Policy Summary'!$C:$C,'Policy Summary'!$A:$A,$D$258,'Policy Summary'!$B:$B,T$260)</f>
        <v>0</v>
      </c>
      <c r="U265" s="13">
        <f>0.000001 * SUMIFS('Policy Summary'!$C:$C,'Policy Summary'!$A:$A,$D$258,'Policy Summary'!$B:$B,U$260)</f>
        <v>0</v>
      </c>
      <c r="V265" s="13">
        <f>0.000001 * SUMIFS('Policy Summary'!$C:$C,'Policy Summary'!$A:$A,$D$258,'Policy Summary'!$B:$B,V$260)</f>
        <v>0</v>
      </c>
      <c r="W265" s="13">
        <f>0.000001 * SUMIFS('Policy Summary'!$C:$C,'Policy Summary'!$A:$A,$D$258,'Policy Summary'!$B:$B,W$260)</f>
        <v>0</v>
      </c>
      <c r="X265" s="13">
        <f>0.000001 * SUMIFS('Policy Summary'!$C:$C,'Policy Summary'!$A:$A,$D$258,'Policy Summary'!$B:$B,X$260)</f>
        <v>0</v>
      </c>
      <c r="Y265" s="13">
        <f>0.000001 * SUMIFS('Policy Summary'!$C:$C,'Policy Summary'!$A:$A,$D$258,'Policy Summary'!$B:$B,Y$260)</f>
        <v>0</v>
      </c>
      <c r="Z265" s="13">
        <f>0.000001 * SUMIFS('Policy Summary'!$C:$C,'Policy Summary'!$A:$A,$D$258,'Policy Summary'!$B:$B,Z$260)</f>
        <v>0</v>
      </c>
      <c r="AA265" s="13">
        <f>0.000001 * SUMIFS('Policy Summary'!$C:$C,'Policy Summary'!$A:$A,$D$258,'Policy Summary'!$B:$B,AA$260)</f>
        <v>0</v>
      </c>
      <c r="AB265" s="13">
        <f>0.000001 * SUMIFS('Policy Summary'!$C:$C,'Policy Summary'!$A:$A,$D$258,'Policy Summary'!$B:$B,AB$260)</f>
        <v>0</v>
      </c>
      <c r="AC265" s="13">
        <f>0.000001 * SUMIFS('Policy Summary'!$C:$C,'Policy Summary'!$A:$A,$D$258,'Policy Summary'!$B:$B,AC$260)</f>
        <v>0</v>
      </c>
      <c r="AD265" s="13">
        <f>0.000001 * SUMIFS('Policy Summary'!$C:$C,'Policy Summary'!$A:$A,$D$258,'Policy Summary'!$B:$B,AD$260)</f>
        <v>12.25146299409209</v>
      </c>
      <c r="AH265" s="34"/>
    </row>
    <row r="266" spans="3:34" ht="13.2" outlineLevel="1" thickTop="1" thickBot="1" x14ac:dyDescent="0.25">
      <c r="D266" s="9" t="s">
        <v>292</v>
      </c>
      <c r="E266" s="23">
        <f>ABS(SUMIFS('Policy Summary'!$E:$E,'Policy Summary'!$A:$A,$D$258,'Policy Summary'!$B:$B,E$260))</f>
        <v>0</v>
      </c>
      <c r="F266" s="23">
        <f>ABS(SUMIFS('Policy Summary'!$E:$E,'Policy Summary'!$A:$A,$D$258,'Policy Summary'!$B:$B,F$260))</f>
        <v>0</v>
      </c>
      <c r="G266" s="23">
        <f>ABS(SUMIFS('Policy Summary'!$E:$E,'Policy Summary'!$A:$A,$D$258,'Policy Summary'!$B:$B,G$260))</f>
        <v>0</v>
      </c>
      <c r="H266" s="23">
        <f>ABS(SUMIFS('Policy Summary'!$E:$E,'Policy Summary'!$A:$A,$D$258,'Policy Summary'!$B:$B,H$260))</f>
        <v>0</v>
      </c>
      <c r="I266" s="23">
        <f>ABS(SUMIFS('Policy Summary'!$E:$E,'Policy Summary'!$A:$A,$D$258,'Policy Summary'!$B:$B,I$260))</f>
        <v>0</v>
      </c>
      <c r="J266" s="23">
        <f>ABS(SUMIFS('Policy Summary'!$E:$E,'Policy Summary'!$A:$A,$D$258,'Policy Summary'!$B:$B,J$260))</f>
        <v>0</v>
      </c>
      <c r="K266" s="23">
        <f>ABS(SUMIFS('Policy Summary'!$E:$E,'Policy Summary'!$A:$A,$D$258,'Policy Summary'!$B:$B,K$260))</f>
        <v>0</v>
      </c>
      <c r="L266" s="23">
        <f>ABS(SUMIFS('Policy Summary'!$E:$E,'Policy Summary'!$A:$A,$D$258,'Policy Summary'!$B:$B,L$260))</f>
        <v>0</v>
      </c>
      <c r="M266" s="23">
        <f>ABS(SUMIFS('Policy Summary'!$E:$E,'Policy Summary'!$A:$A,$D$258,'Policy Summary'!$B:$B,M$260))</f>
        <v>0</v>
      </c>
      <c r="N266" s="23">
        <f>ABS(SUMIFS('Policy Summary'!$E:$E,'Policy Summary'!$A:$A,$D$258,'Policy Summary'!$B:$B,N$260))</f>
        <v>0</v>
      </c>
      <c r="O266" s="23">
        <f>ABS(SUMIFS('Policy Summary'!$E:$E,'Policy Summary'!$A:$A,$D$258,'Policy Summary'!$B:$B,O$260))</f>
        <v>0</v>
      </c>
      <c r="P266" s="23">
        <f>ABS(SUMIFS('Policy Summary'!$E:$E,'Policy Summary'!$A:$A,$D$258,'Policy Summary'!$B:$B,P$260))</f>
        <v>0</v>
      </c>
      <c r="Q266" s="23">
        <f>ABS(SUMIFS('Policy Summary'!$E:$E,'Policy Summary'!$A:$A,$D$258,'Policy Summary'!$B:$B,Q$260))</f>
        <v>0</v>
      </c>
      <c r="R266" s="23">
        <f>ABS(SUMIFS('Policy Summary'!$E:$E,'Policy Summary'!$A:$A,$D$258,'Policy Summary'!$B:$B,R$260))</f>
        <v>0</v>
      </c>
      <c r="S266" s="23">
        <f>ABS(SUMIFS('Policy Summary'!$E:$E,'Policy Summary'!$A:$A,$D$258,'Policy Summary'!$B:$B,S$260))</f>
        <v>0</v>
      </c>
      <c r="T266" s="23">
        <f>ABS(SUMIFS('Policy Summary'!$E:$E,'Policy Summary'!$A:$A,$D$258,'Policy Summary'!$B:$B,T$260))</f>
        <v>0</v>
      </c>
      <c r="U266" s="23">
        <f>ABS(SUMIFS('Policy Summary'!$E:$E,'Policy Summary'!$A:$A,$D$258,'Policy Summary'!$B:$B,U$260))</f>
        <v>0</v>
      </c>
      <c r="V266" s="23">
        <f>ABS(SUMIFS('Policy Summary'!$E:$E,'Policy Summary'!$A:$A,$D$258,'Policy Summary'!$B:$B,V$260))</f>
        <v>0</v>
      </c>
      <c r="W266" s="23">
        <f>ABS(SUMIFS('Policy Summary'!$E:$E,'Policy Summary'!$A:$A,$D$258,'Policy Summary'!$B:$B,W$260))</f>
        <v>0</v>
      </c>
      <c r="X266" s="23">
        <f>ABS(SUMIFS('Policy Summary'!$E:$E,'Policy Summary'!$A:$A,$D$258,'Policy Summary'!$B:$B,X$260))</f>
        <v>0</v>
      </c>
      <c r="Y266" s="23">
        <f>ABS(SUMIFS('Policy Summary'!$E:$E,'Policy Summary'!$A:$A,$D$258,'Policy Summary'!$B:$B,Y$260))</f>
        <v>0</v>
      </c>
      <c r="Z266" s="23">
        <f>ABS(SUMIFS('Policy Summary'!$E:$E,'Policy Summary'!$A:$A,$D$258,'Policy Summary'!$B:$B,Z$260))</f>
        <v>0</v>
      </c>
      <c r="AA266" s="23">
        <f>ABS(SUMIFS('Policy Summary'!$E:$E,'Policy Summary'!$A:$A,$D$258,'Policy Summary'!$B:$B,AA$260))</f>
        <v>0</v>
      </c>
      <c r="AB266" s="23">
        <f>ABS(SUMIFS('Policy Summary'!$E:$E,'Policy Summary'!$A:$A,$D$258,'Policy Summary'!$B:$B,AB$260))</f>
        <v>0</v>
      </c>
      <c r="AC266" s="23">
        <f>ABS(SUMIFS('Policy Summary'!$E:$E,'Policy Summary'!$A:$A,$D$258,'Policy Summary'!$B:$B,AC$260))</f>
        <v>0</v>
      </c>
      <c r="AD266" s="23">
        <f>ABS(SUMIFS('Policy Summary'!$E:$E,'Policy Summary'!$A:$A,$D$258,'Policy Summary'!$B:$B,AD$260))</f>
        <v>93.630753867778736</v>
      </c>
      <c r="AH266" s="34"/>
    </row>
    <row r="267" spans="3:34" ht="12" outlineLevel="1" thickTop="1" x14ac:dyDescent="0.2">
      <c r="AH267" s="34"/>
    </row>
    <row r="268" spans="3:34" ht="13.2" outlineLevel="1" x14ac:dyDescent="0.2">
      <c r="E268" s="2" t="s">
        <v>197</v>
      </c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H268" s="34" t="s">
        <v>422</v>
      </c>
    </row>
    <row r="269" spans="3:34" outlineLevel="1" x14ac:dyDescent="0.2">
      <c r="E269" s="7">
        <v>43831</v>
      </c>
      <c r="F269" s="7">
        <f>EDATE(E269,12)</f>
        <v>44197</v>
      </c>
      <c r="G269" s="7">
        <f t="shared" ref="G269:AC269" si="215">EDATE(F269,12)</f>
        <v>44562</v>
      </c>
      <c r="H269" s="7">
        <f t="shared" si="215"/>
        <v>44927</v>
      </c>
      <c r="I269" s="7">
        <f t="shared" si="215"/>
        <v>45292</v>
      </c>
      <c r="J269" s="7">
        <f t="shared" si="215"/>
        <v>45658</v>
      </c>
      <c r="K269" s="7">
        <f t="shared" si="215"/>
        <v>46023</v>
      </c>
      <c r="L269" s="7">
        <f t="shared" si="215"/>
        <v>46388</v>
      </c>
      <c r="M269" s="7">
        <f t="shared" si="215"/>
        <v>46753</v>
      </c>
      <c r="N269" s="7">
        <f t="shared" si="215"/>
        <v>47119</v>
      </c>
      <c r="O269" s="7">
        <f t="shared" si="215"/>
        <v>47484</v>
      </c>
      <c r="P269" s="7">
        <f t="shared" si="215"/>
        <v>47849</v>
      </c>
      <c r="Q269" s="7">
        <f t="shared" si="215"/>
        <v>48214</v>
      </c>
      <c r="R269" s="7">
        <f t="shared" si="215"/>
        <v>48580</v>
      </c>
      <c r="S269" s="7">
        <f t="shared" si="215"/>
        <v>48945</v>
      </c>
      <c r="T269" s="7">
        <f t="shared" si="215"/>
        <v>49310</v>
      </c>
      <c r="U269" s="7">
        <f t="shared" si="215"/>
        <v>49675</v>
      </c>
      <c r="V269" s="7">
        <f t="shared" si="215"/>
        <v>50041</v>
      </c>
      <c r="W269" s="7">
        <f t="shared" si="215"/>
        <v>50406</v>
      </c>
      <c r="X269" s="7">
        <f t="shared" si="215"/>
        <v>50771</v>
      </c>
      <c r="Y269" s="7">
        <f t="shared" si="215"/>
        <v>51136</v>
      </c>
      <c r="Z269" s="7">
        <f t="shared" si="215"/>
        <v>51502</v>
      </c>
      <c r="AA269" s="7">
        <f t="shared" si="215"/>
        <v>51867</v>
      </c>
      <c r="AB269" s="7">
        <f t="shared" si="215"/>
        <v>52232</v>
      </c>
      <c r="AC269" s="7">
        <f t="shared" si="215"/>
        <v>52597</v>
      </c>
      <c r="AD269" s="7">
        <f>EDATE(AC269,12)</f>
        <v>52963</v>
      </c>
      <c r="AH269" s="34" t="s">
        <v>422</v>
      </c>
    </row>
    <row r="270" spans="3:34" outlineLevel="1" x14ac:dyDescent="0.2">
      <c r="D270" s="8" t="s">
        <v>247</v>
      </c>
      <c r="E270" s="19">
        <v>16.7766964847259</v>
      </c>
      <c r="F270" s="19">
        <v>17.647862784190899</v>
      </c>
      <c r="G270" s="19">
        <v>18.5471567294416</v>
      </c>
      <c r="H270" s="19">
        <v>19.517728333939498</v>
      </c>
      <c r="I270" s="19">
        <v>20.5285563034601</v>
      </c>
      <c r="J270" s="19">
        <v>21.6026553330314</v>
      </c>
      <c r="K270" s="19">
        <v>22.742330872598099</v>
      </c>
      <c r="L270" s="19">
        <v>23.949482277653399</v>
      </c>
      <c r="M270" s="19">
        <v>25.2247455241171</v>
      </c>
      <c r="N270" s="19">
        <v>26.5581059788204</v>
      </c>
      <c r="O270" s="19">
        <v>27.957596025791801</v>
      </c>
      <c r="P270" s="19">
        <v>29.437326375894099</v>
      </c>
      <c r="Q270" s="19">
        <v>30.995375402144099</v>
      </c>
      <c r="R270" s="19">
        <v>32.635888329402</v>
      </c>
      <c r="S270" s="19">
        <v>34.363229779611501</v>
      </c>
      <c r="T270" s="19">
        <v>36.181995383976101</v>
      </c>
      <c r="U270" s="19">
        <v>38.097024009739798</v>
      </c>
      <c r="V270" s="19">
        <v>40.113410634104099</v>
      </c>
      <c r="W270" s="19">
        <v>42.236519899530201</v>
      </c>
      <c r="X270" s="19">
        <v>44.472000386492503</v>
      </c>
      <c r="Y270" s="19">
        <v>46.825799641655301</v>
      </c>
      <c r="Z270" s="19">
        <v>49.304180001456103</v>
      </c>
      <c r="AA270" s="19">
        <v>51.913735253193501</v>
      </c>
      <c r="AB270" s="19">
        <v>54.661408177949099</v>
      </c>
      <c r="AC270" s="19">
        <v>57.554509022013903</v>
      </c>
      <c r="AD270" s="19">
        <v>60.600734945964597</v>
      </c>
      <c r="AH270" s="34" t="s">
        <v>422</v>
      </c>
    </row>
    <row r="271" spans="3:34" ht="12.6" outlineLevel="1" thickBot="1" x14ac:dyDescent="0.25">
      <c r="D271" s="9" t="s">
        <v>291</v>
      </c>
      <c r="E271" s="23">
        <f>E270+E266</f>
        <v>16.7766964847259</v>
      </c>
      <c r="F271" s="23">
        <f t="shared" ref="F271:AD271" si="216">F270+F266</f>
        <v>17.647862784190899</v>
      </c>
      <c r="G271" s="23">
        <f t="shared" si="216"/>
        <v>18.5471567294416</v>
      </c>
      <c r="H271" s="23">
        <f t="shared" si="216"/>
        <v>19.517728333939498</v>
      </c>
      <c r="I271" s="23">
        <f t="shared" si="216"/>
        <v>20.5285563034601</v>
      </c>
      <c r="J271" s="23">
        <f t="shared" si="216"/>
        <v>21.6026553330314</v>
      </c>
      <c r="K271" s="23">
        <f t="shared" si="216"/>
        <v>22.742330872598099</v>
      </c>
      <c r="L271" s="23">
        <f t="shared" si="216"/>
        <v>23.949482277653399</v>
      </c>
      <c r="M271" s="23">
        <f t="shared" si="216"/>
        <v>25.2247455241171</v>
      </c>
      <c r="N271" s="23">
        <f t="shared" si="216"/>
        <v>26.5581059788204</v>
      </c>
      <c r="O271" s="23">
        <f t="shared" si="216"/>
        <v>27.957596025791801</v>
      </c>
      <c r="P271" s="23">
        <f t="shared" si="216"/>
        <v>29.437326375894099</v>
      </c>
      <c r="Q271" s="23">
        <f t="shared" si="216"/>
        <v>30.995375402144099</v>
      </c>
      <c r="R271" s="23">
        <f t="shared" si="216"/>
        <v>32.635888329402</v>
      </c>
      <c r="S271" s="23">
        <f t="shared" si="216"/>
        <v>34.363229779611501</v>
      </c>
      <c r="T271" s="23">
        <f t="shared" si="216"/>
        <v>36.181995383976101</v>
      </c>
      <c r="U271" s="23">
        <f t="shared" si="216"/>
        <v>38.097024009739798</v>
      </c>
      <c r="V271" s="23">
        <f t="shared" si="216"/>
        <v>40.113410634104099</v>
      </c>
      <c r="W271" s="23">
        <f t="shared" si="216"/>
        <v>42.236519899530201</v>
      </c>
      <c r="X271" s="23">
        <f t="shared" si="216"/>
        <v>44.472000386492503</v>
      </c>
      <c r="Y271" s="23">
        <f t="shared" si="216"/>
        <v>46.825799641655301</v>
      </c>
      <c r="Z271" s="23">
        <f t="shared" si="216"/>
        <v>49.304180001456103</v>
      </c>
      <c r="AA271" s="23">
        <f t="shared" si="216"/>
        <v>51.913735253193501</v>
      </c>
      <c r="AB271" s="23">
        <f t="shared" si="216"/>
        <v>54.661408177949099</v>
      </c>
      <c r="AC271" s="23">
        <f t="shared" si="216"/>
        <v>57.554509022013903</v>
      </c>
      <c r="AD271" s="23">
        <f t="shared" si="216"/>
        <v>154.23148881374334</v>
      </c>
      <c r="AH271" s="34" t="s">
        <v>422</v>
      </c>
    </row>
    <row r="272" spans="3:34" ht="12" outlineLevel="1" thickTop="1" x14ac:dyDescent="0.2">
      <c r="AH272" s="34"/>
    </row>
    <row r="273" spans="3:34" outlineLevel="1" x14ac:dyDescent="0.2">
      <c r="C273" s="15" t="s">
        <v>173</v>
      </c>
      <c r="D273" s="15" t="s">
        <v>418</v>
      </c>
      <c r="AH273" s="34"/>
    </row>
    <row r="274" spans="3:34" outlineLevel="1" x14ac:dyDescent="0.2">
      <c r="C274" s="15" t="s">
        <v>213</v>
      </c>
      <c r="D274" s="15" t="s">
        <v>286</v>
      </c>
      <c r="AH274" s="34"/>
    </row>
    <row r="275" spans="3:34" ht="13.2" outlineLevel="1" x14ac:dyDescent="0.2">
      <c r="E275" s="2" t="s">
        <v>198</v>
      </c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H275" s="34"/>
    </row>
    <row r="276" spans="3:34" outlineLevel="1" x14ac:dyDescent="0.2">
      <c r="E276" s="7">
        <v>43831</v>
      </c>
      <c r="F276" s="7">
        <f>EDATE(E276,12)</f>
        <v>44197</v>
      </c>
      <c r="G276" s="7">
        <f t="shared" ref="G276:AC276" si="217">EDATE(F276,12)</f>
        <v>44562</v>
      </c>
      <c r="H276" s="7">
        <f t="shared" si="217"/>
        <v>44927</v>
      </c>
      <c r="I276" s="7">
        <f t="shared" si="217"/>
        <v>45292</v>
      </c>
      <c r="J276" s="7">
        <f t="shared" si="217"/>
        <v>45658</v>
      </c>
      <c r="K276" s="7">
        <f t="shared" si="217"/>
        <v>46023</v>
      </c>
      <c r="L276" s="7">
        <f t="shared" si="217"/>
        <v>46388</v>
      </c>
      <c r="M276" s="7">
        <f t="shared" si="217"/>
        <v>46753</v>
      </c>
      <c r="N276" s="7">
        <f t="shared" si="217"/>
        <v>47119</v>
      </c>
      <c r="O276" s="7">
        <f t="shared" si="217"/>
        <v>47484</v>
      </c>
      <c r="P276" s="7">
        <f t="shared" si="217"/>
        <v>47849</v>
      </c>
      <c r="Q276" s="7">
        <f t="shared" si="217"/>
        <v>48214</v>
      </c>
      <c r="R276" s="7">
        <f t="shared" si="217"/>
        <v>48580</v>
      </c>
      <c r="S276" s="7">
        <f t="shared" si="217"/>
        <v>48945</v>
      </c>
      <c r="T276" s="7">
        <f t="shared" si="217"/>
        <v>49310</v>
      </c>
      <c r="U276" s="7">
        <f t="shared" si="217"/>
        <v>49675</v>
      </c>
      <c r="V276" s="7">
        <f t="shared" si="217"/>
        <v>50041</v>
      </c>
      <c r="W276" s="7">
        <f t="shared" si="217"/>
        <v>50406</v>
      </c>
      <c r="X276" s="7">
        <f t="shared" si="217"/>
        <v>50771</v>
      </c>
      <c r="Y276" s="7">
        <f t="shared" si="217"/>
        <v>51136</v>
      </c>
      <c r="Z276" s="7">
        <f t="shared" si="217"/>
        <v>51502</v>
      </c>
      <c r="AA276" s="7">
        <f t="shared" si="217"/>
        <v>51867</v>
      </c>
      <c r="AB276" s="7">
        <f t="shared" si="217"/>
        <v>52232</v>
      </c>
      <c r="AC276" s="7">
        <f t="shared" si="217"/>
        <v>52597</v>
      </c>
      <c r="AD276" s="7">
        <f>EDATE(AC276,12)</f>
        <v>52963</v>
      </c>
      <c r="AH276" s="34"/>
    </row>
    <row r="277" spans="3:34" outlineLevel="1" x14ac:dyDescent="0.2">
      <c r="D277" s="8" t="s">
        <v>140</v>
      </c>
      <c r="E277" s="14" cm="1">
        <f t="array" ref="E277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Grouping'!$I$9:$I$322=$D277),0)),
    'Emissions Policy Resource'!$C:$C,E$260
  ))</f>
        <v>0</v>
      </c>
      <c r="F277" s="14" cm="1">
        <f t="array" ref="F277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Grouping'!$I$9:$I$322=$D277),0)),
    'Emissions Policy Resource'!$C:$C,F$260
  ))</f>
        <v>0</v>
      </c>
      <c r="G277" s="14" cm="1">
        <f t="array" ref="G277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Grouping'!$I$9:$I$322=$D277),0)),
    'Emissions Policy Resource'!$C:$C,G$260
  ))</f>
        <v>0</v>
      </c>
      <c r="H277" s="14" cm="1">
        <f t="array" ref="H277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Grouping'!$I$9:$I$322=$D277),0)),
    'Emissions Policy Resource'!$C:$C,H$260
  ))</f>
        <v>0</v>
      </c>
      <c r="I277" s="14" cm="1">
        <f t="array" ref="I277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Grouping'!$I$9:$I$322=$D277),0)),
    'Emissions Policy Resource'!$C:$C,I$260
  ))</f>
        <v>0</v>
      </c>
      <c r="J277" s="14" cm="1">
        <f t="array" ref="J277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Grouping'!$I$9:$I$322=$D277),0)),
    'Emissions Policy Resource'!$C:$C,J$260
  ))</f>
        <v>0</v>
      </c>
      <c r="K277" s="14" cm="1">
        <f t="array" ref="K277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Grouping'!$I$9:$I$322=$D277),0)),
    'Emissions Policy Resource'!$C:$C,K$260
  ))</f>
        <v>0</v>
      </c>
      <c r="L277" s="14" cm="1">
        <f t="array" ref="L277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Grouping'!$I$9:$I$322=$D277),0)),
    'Emissions Policy Resource'!$C:$C,L$260
  ))</f>
        <v>0</v>
      </c>
      <c r="M277" s="14" cm="1">
        <f t="array" ref="M277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Grouping'!$I$9:$I$322=$D277),0)),
    'Emissions Policy Resource'!$C:$C,M$260
  ))</f>
        <v>0</v>
      </c>
      <c r="N277" s="14" cm="1">
        <f t="array" ref="N277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Grouping'!$I$9:$I$322=$D277),0)),
    'Emissions Policy Resource'!$C:$C,N$260
  ))</f>
        <v>0</v>
      </c>
      <c r="O277" s="14" cm="1">
        <f t="array" ref="O277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Grouping'!$I$9:$I$322=$D277),0)),
    'Emissions Policy Resource'!$C:$C,O$260
  ))</f>
        <v>0</v>
      </c>
      <c r="P277" s="14" cm="1">
        <f t="array" ref="P277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Grouping'!$I$9:$I$322=$D277),0)),
    'Emissions Policy Resource'!$C:$C,P$260
  ))</f>
        <v>0</v>
      </c>
      <c r="Q277" s="14" cm="1">
        <f t="array" ref="Q277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Grouping'!$I$9:$I$322=$D277),0)),
    'Emissions Policy Resource'!$C:$C,Q$260
  ))</f>
        <v>0</v>
      </c>
      <c r="R277" s="14" cm="1">
        <f t="array" ref="R277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Grouping'!$I$9:$I$322=$D277),0)),
    'Emissions Policy Resource'!$C:$C,R$260
  ))</f>
        <v>0</v>
      </c>
      <c r="S277" s="14" cm="1">
        <f t="array" ref="S277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Grouping'!$I$9:$I$322=$D277),0)),
    'Emissions Policy Resource'!$C:$C,S$260
  ))</f>
        <v>0</v>
      </c>
      <c r="T277" s="14" cm="1">
        <f t="array" ref="T277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Grouping'!$I$9:$I$322=$D277),0)),
    'Emissions Policy Resource'!$C:$C,T$260
  ))</f>
        <v>0</v>
      </c>
      <c r="U277" s="14" cm="1">
        <f t="array" ref="U277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Grouping'!$I$9:$I$322=$D277),0)),
    'Emissions Policy Resource'!$C:$C,U$260
  ))</f>
        <v>0</v>
      </c>
      <c r="V277" s="14" cm="1">
        <f t="array" ref="V277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Grouping'!$I$9:$I$322=$D277),0)),
    'Emissions Policy Resource'!$C:$C,V$260
  ))</f>
        <v>0</v>
      </c>
      <c r="W277" s="14" cm="1">
        <f t="array" ref="W277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Grouping'!$I$9:$I$322=$D277),0)),
    'Emissions Policy Resource'!$C:$C,W$260
  ))</f>
        <v>0</v>
      </c>
      <c r="X277" s="14" cm="1">
        <f t="array" ref="X277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Grouping'!$I$9:$I$322=$D277),0)),
    'Emissions Policy Resource'!$C:$C,X$260
  ))</f>
        <v>0</v>
      </c>
      <c r="Y277" s="14" cm="1">
        <f t="array" ref="Y277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Grouping'!$I$9:$I$322=$D277),0)),
    'Emissions Policy Resource'!$C:$C,Y$260
  ))</f>
        <v>0</v>
      </c>
      <c r="Z277" s="14" cm="1">
        <f t="array" ref="Z277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Grouping'!$I$9:$I$322=$D277),0)),
    'Emissions Policy Resource'!$C:$C,Z$260
  ))</f>
        <v>0</v>
      </c>
      <c r="AA277" s="14" cm="1">
        <f t="array" ref="AA277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Grouping'!$I$9:$I$322=$D277),0)),
    'Emissions Policy Resource'!$C:$C,AA$260
  ))</f>
        <v>0</v>
      </c>
      <c r="AB277" s="14" cm="1">
        <f t="array" ref="AB277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Grouping'!$I$9:$I$322=$D277),0)),
    'Emissions Policy Resource'!$C:$C,AB$260
  ))</f>
        <v>0</v>
      </c>
      <c r="AC277" s="14" cm="1">
        <f t="array" ref="AC277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Grouping'!$I$9:$I$322=$D277),0)),
    'Emissions Policy Resource'!$C:$C,AC$260
  ))</f>
        <v>0</v>
      </c>
      <c r="AD277" s="14" cm="1">
        <f t="array" ref="AD277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Grouping'!$I$9:$I$322=$D277),0)),
    'Emissions Policy Resource'!$C:$C,AD$260
  ))</f>
        <v>0.32813039761291696</v>
      </c>
      <c r="AH277" s="34"/>
    </row>
    <row r="278" spans="3:34" outlineLevel="1" x14ac:dyDescent="0.2">
      <c r="D278" s="8" t="s">
        <v>128</v>
      </c>
      <c r="E278" s="26">
        <f t="shared" ref="E278:AD278" si="218">SUM(E261:E262)</f>
        <v>0</v>
      </c>
      <c r="F278" s="26">
        <f t="shared" si="218"/>
        <v>0</v>
      </c>
      <c r="G278" s="26">
        <f t="shared" si="218"/>
        <v>0</v>
      </c>
      <c r="H278" s="26">
        <f t="shared" si="218"/>
        <v>0</v>
      </c>
      <c r="I278" s="26">
        <f t="shared" si="218"/>
        <v>0</v>
      </c>
      <c r="J278" s="26">
        <f t="shared" si="218"/>
        <v>0</v>
      </c>
      <c r="K278" s="26">
        <f t="shared" si="218"/>
        <v>0</v>
      </c>
      <c r="L278" s="26">
        <f t="shared" si="218"/>
        <v>0</v>
      </c>
      <c r="M278" s="26">
        <f t="shared" si="218"/>
        <v>0</v>
      </c>
      <c r="N278" s="26">
        <f t="shared" si="218"/>
        <v>0</v>
      </c>
      <c r="O278" s="26">
        <f t="shared" si="218"/>
        <v>0</v>
      </c>
      <c r="P278" s="26">
        <f t="shared" si="218"/>
        <v>0</v>
      </c>
      <c r="Q278" s="26">
        <f t="shared" si="218"/>
        <v>0</v>
      </c>
      <c r="R278" s="26">
        <f t="shared" si="218"/>
        <v>0</v>
      </c>
      <c r="S278" s="26">
        <f t="shared" si="218"/>
        <v>0</v>
      </c>
      <c r="T278" s="26">
        <f t="shared" si="218"/>
        <v>0</v>
      </c>
      <c r="U278" s="26">
        <f t="shared" si="218"/>
        <v>0</v>
      </c>
      <c r="V278" s="26">
        <f t="shared" si="218"/>
        <v>0</v>
      </c>
      <c r="W278" s="26">
        <f t="shared" si="218"/>
        <v>0</v>
      </c>
      <c r="X278" s="26">
        <f t="shared" si="218"/>
        <v>0</v>
      </c>
      <c r="Y278" s="26">
        <f t="shared" si="218"/>
        <v>0</v>
      </c>
      <c r="Z278" s="26">
        <f t="shared" si="218"/>
        <v>0</v>
      </c>
      <c r="AA278" s="26">
        <f t="shared" si="218"/>
        <v>0</v>
      </c>
      <c r="AB278" s="26">
        <f t="shared" si="218"/>
        <v>0</v>
      </c>
      <c r="AC278" s="26">
        <f t="shared" si="218"/>
        <v>0</v>
      </c>
      <c r="AD278" s="26">
        <f t="shared" si="218"/>
        <v>5.7893034250351478</v>
      </c>
      <c r="AH278" s="34"/>
    </row>
    <row r="279" spans="3:34" outlineLevel="1" x14ac:dyDescent="0.2">
      <c r="D279" s="8" t="s">
        <v>141</v>
      </c>
      <c r="E279" s="14" cm="1">
        <f t="array" ref="E279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Grouping'!$I$9:$I$322=$D279),0)),
    'Emissions Policy Resource'!$C:$C,E$260
  ))</f>
        <v>0</v>
      </c>
      <c r="F279" s="14" cm="1">
        <f t="array" ref="F279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Grouping'!$I$9:$I$322=$D279),0)),
    'Emissions Policy Resource'!$C:$C,F$260
  ))</f>
        <v>0</v>
      </c>
      <c r="G279" s="14" cm="1">
        <f t="array" ref="G279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Grouping'!$I$9:$I$322=$D279),0)),
    'Emissions Policy Resource'!$C:$C,G$260
  ))</f>
        <v>0</v>
      </c>
      <c r="H279" s="14" cm="1">
        <f t="array" ref="H279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Grouping'!$I$9:$I$322=$D279),0)),
    'Emissions Policy Resource'!$C:$C,H$260
  ))</f>
        <v>0</v>
      </c>
      <c r="I279" s="14" cm="1">
        <f t="array" ref="I279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Grouping'!$I$9:$I$322=$D279),0)),
    'Emissions Policy Resource'!$C:$C,I$260
  ))</f>
        <v>0</v>
      </c>
      <c r="J279" s="14" cm="1">
        <f t="array" ref="J279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Grouping'!$I$9:$I$322=$D279),0)),
    'Emissions Policy Resource'!$C:$C,J$260
  ))</f>
        <v>0</v>
      </c>
      <c r="K279" s="14" cm="1">
        <f t="array" ref="K279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Grouping'!$I$9:$I$322=$D279),0)),
    'Emissions Policy Resource'!$C:$C,K$260
  ))</f>
        <v>0</v>
      </c>
      <c r="L279" s="14" cm="1">
        <f t="array" ref="L279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Grouping'!$I$9:$I$322=$D279),0)),
    'Emissions Policy Resource'!$C:$C,L$260
  ))</f>
        <v>0</v>
      </c>
      <c r="M279" s="14" cm="1">
        <f t="array" ref="M279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Grouping'!$I$9:$I$322=$D279),0)),
    'Emissions Policy Resource'!$C:$C,M$260
  ))</f>
        <v>0</v>
      </c>
      <c r="N279" s="14" cm="1">
        <f t="array" ref="N279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Grouping'!$I$9:$I$322=$D279),0)),
    'Emissions Policy Resource'!$C:$C,N$260
  ))</f>
        <v>0</v>
      </c>
      <c r="O279" s="14" cm="1">
        <f t="array" ref="O279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Grouping'!$I$9:$I$322=$D279),0)),
    'Emissions Policy Resource'!$C:$C,O$260
  ))</f>
        <v>0</v>
      </c>
      <c r="P279" s="14" cm="1">
        <f t="array" ref="P279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Grouping'!$I$9:$I$322=$D279),0)),
    'Emissions Policy Resource'!$C:$C,P$260
  ))</f>
        <v>0</v>
      </c>
      <c r="Q279" s="14" cm="1">
        <f t="array" ref="Q279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Grouping'!$I$9:$I$322=$D279),0)),
    'Emissions Policy Resource'!$C:$C,Q$260
  ))</f>
        <v>0</v>
      </c>
      <c r="R279" s="14" cm="1">
        <f t="array" ref="R279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Grouping'!$I$9:$I$322=$D279),0)),
    'Emissions Policy Resource'!$C:$C,R$260
  ))</f>
        <v>0</v>
      </c>
      <c r="S279" s="14" cm="1">
        <f t="array" ref="S279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Grouping'!$I$9:$I$322=$D279),0)),
    'Emissions Policy Resource'!$C:$C,S$260
  ))</f>
        <v>0</v>
      </c>
      <c r="T279" s="14" cm="1">
        <f t="array" ref="T279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Grouping'!$I$9:$I$322=$D279),0)),
    'Emissions Policy Resource'!$C:$C,T$260
  ))</f>
        <v>0</v>
      </c>
      <c r="U279" s="14" cm="1">
        <f t="array" ref="U279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Grouping'!$I$9:$I$322=$D279),0)),
    'Emissions Policy Resource'!$C:$C,U$260
  ))</f>
        <v>0</v>
      </c>
      <c r="V279" s="14" cm="1">
        <f t="array" ref="V279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Grouping'!$I$9:$I$322=$D279),0)),
    'Emissions Policy Resource'!$C:$C,V$260
  ))</f>
        <v>0</v>
      </c>
      <c r="W279" s="14" cm="1">
        <f t="array" ref="W279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Grouping'!$I$9:$I$322=$D279),0)),
    'Emissions Policy Resource'!$C:$C,W$260
  ))</f>
        <v>0</v>
      </c>
      <c r="X279" s="14" cm="1">
        <f t="array" ref="X279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Grouping'!$I$9:$I$322=$D279),0)),
    'Emissions Policy Resource'!$C:$C,X$260
  ))</f>
        <v>0</v>
      </c>
      <c r="Y279" s="14" cm="1">
        <f t="array" ref="Y279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Grouping'!$I$9:$I$322=$D279),0)),
    'Emissions Policy Resource'!$C:$C,Y$260
  ))</f>
        <v>0</v>
      </c>
      <c r="Z279" s="14" cm="1">
        <f t="array" ref="Z279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Grouping'!$I$9:$I$322=$D279),0)),
    'Emissions Policy Resource'!$C:$C,Z$260
  ))</f>
        <v>0</v>
      </c>
      <c r="AA279" s="14" cm="1">
        <f t="array" ref="AA279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Grouping'!$I$9:$I$322=$D279),0)),
    'Emissions Policy Resource'!$C:$C,AA$260
  ))</f>
        <v>0</v>
      </c>
      <c r="AB279" s="14" cm="1">
        <f t="array" ref="AB279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Grouping'!$I$9:$I$322=$D279),0)),
    'Emissions Policy Resource'!$C:$C,AB$260
  ))</f>
        <v>0</v>
      </c>
      <c r="AC279" s="14" cm="1">
        <f t="array" ref="AC279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Grouping'!$I$9:$I$322=$D279),0)),
    'Emissions Policy Resource'!$C:$C,AC$260
  ))</f>
        <v>0</v>
      </c>
      <c r="AD279" s="14" cm="1">
        <f t="array" ref="AD279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Grouping'!$I$9:$I$322=$D279),0)),
    'Emissions Policy Resource'!$C:$C,AD$260
  ))</f>
        <v>0</v>
      </c>
      <c r="AH279" s="34"/>
    </row>
    <row r="280" spans="3:34" outlineLevel="1" x14ac:dyDescent="0.2">
      <c r="D280" s="8" t="s">
        <v>142</v>
      </c>
      <c r="E280" s="14" cm="1">
        <f t="array" ref="E280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Grouping'!$I$9:$I$322=$D280),0)),
    'Emissions Policy Resource'!$C:$C,E$260
  ))</f>
        <v>0</v>
      </c>
      <c r="F280" s="14" cm="1">
        <f t="array" ref="F280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Grouping'!$I$9:$I$322=$D280),0)),
    'Emissions Policy Resource'!$C:$C,F$260
  ))</f>
        <v>0</v>
      </c>
      <c r="G280" s="14" cm="1">
        <f t="array" ref="G280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Grouping'!$I$9:$I$322=$D280),0)),
    'Emissions Policy Resource'!$C:$C,G$260
  ))</f>
        <v>0</v>
      </c>
      <c r="H280" s="14" cm="1">
        <f t="array" ref="H280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Grouping'!$I$9:$I$322=$D280),0)),
    'Emissions Policy Resource'!$C:$C,H$260
  ))</f>
        <v>0</v>
      </c>
      <c r="I280" s="14" cm="1">
        <f t="array" ref="I280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Grouping'!$I$9:$I$322=$D280),0)),
    'Emissions Policy Resource'!$C:$C,I$260
  ))</f>
        <v>0</v>
      </c>
      <c r="J280" s="14" cm="1">
        <f t="array" ref="J280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Grouping'!$I$9:$I$322=$D280),0)),
    'Emissions Policy Resource'!$C:$C,J$260
  ))</f>
        <v>0</v>
      </c>
      <c r="K280" s="14" cm="1">
        <f t="array" ref="K280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Grouping'!$I$9:$I$322=$D280),0)),
    'Emissions Policy Resource'!$C:$C,K$260
  ))</f>
        <v>0</v>
      </c>
      <c r="L280" s="14" cm="1">
        <f t="array" ref="L280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Grouping'!$I$9:$I$322=$D280),0)),
    'Emissions Policy Resource'!$C:$C,L$260
  ))</f>
        <v>0</v>
      </c>
      <c r="M280" s="14" cm="1">
        <f t="array" ref="M280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Grouping'!$I$9:$I$322=$D280),0)),
    'Emissions Policy Resource'!$C:$C,M$260
  ))</f>
        <v>0</v>
      </c>
      <c r="N280" s="14" cm="1">
        <f t="array" ref="N280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Grouping'!$I$9:$I$322=$D280),0)),
    'Emissions Policy Resource'!$C:$C,N$260
  ))</f>
        <v>0</v>
      </c>
      <c r="O280" s="14" cm="1">
        <f t="array" ref="O280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Grouping'!$I$9:$I$322=$D280),0)),
    'Emissions Policy Resource'!$C:$C,O$260
  ))</f>
        <v>0</v>
      </c>
      <c r="P280" s="14" cm="1">
        <f t="array" ref="P280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Grouping'!$I$9:$I$322=$D280),0)),
    'Emissions Policy Resource'!$C:$C,P$260
  ))</f>
        <v>0</v>
      </c>
      <c r="Q280" s="14" cm="1">
        <f t="array" ref="Q280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Grouping'!$I$9:$I$322=$D280),0)),
    'Emissions Policy Resource'!$C:$C,Q$260
  ))</f>
        <v>0</v>
      </c>
      <c r="R280" s="14" cm="1">
        <f t="array" ref="R280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Grouping'!$I$9:$I$322=$D280),0)),
    'Emissions Policy Resource'!$C:$C,R$260
  ))</f>
        <v>0</v>
      </c>
      <c r="S280" s="14" cm="1">
        <f t="array" ref="S280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Grouping'!$I$9:$I$322=$D280),0)),
    'Emissions Policy Resource'!$C:$C,S$260
  ))</f>
        <v>0</v>
      </c>
      <c r="T280" s="14" cm="1">
        <f t="array" ref="T280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Grouping'!$I$9:$I$322=$D280),0)),
    'Emissions Policy Resource'!$C:$C,T$260
  ))</f>
        <v>0</v>
      </c>
      <c r="U280" s="14" cm="1">
        <f t="array" ref="U280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Grouping'!$I$9:$I$322=$D280),0)),
    'Emissions Policy Resource'!$C:$C,U$260
  ))</f>
        <v>0</v>
      </c>
      <c r="V280" s="14" cm="1">
        <f t="array" ref="V280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Grouping'!$I$9:$I$322=$D280),0)),
    'Emissions Policy Resource'!$C:$C,V$260
  ))</f>
        <v>0</v>
      </c>
      <c r="W280" s="14" cm="1">
        <f t="array" ref="W280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Grouping'!$I$9:$I$322=$D280),0)),
    'Emissions Policy Resource'!$C:$C,W$260
  ))</f>
        <v>0</v>
      </c>
      <c r="X280" s="14" cm="1">
        <f t="array" ref="X280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Grouping'!$I$9:$I$322=$D280),0)),
    'Emissions Policy Resource'!$C:$C,X$260
  ))</f>
        <v>0</v>
      </c>
      <c r="Y280" s="14" cm="1">
        <f t="array" ref="Y280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Grouping'!$I$9:$I$322=$D280),0)),
    'Emissions Policy Resource'!$C:$C,Y$260
  ))</f>
        <v>0</v>
      </c>
      <c r="Z280" s="14" cm="1">
        <f t="array" ref="Z280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Grouping'!$I$9:$I$322=$D280),0)),
    'Emissions Policy Resource'!$C:$C,Z$260
  ))</f>
        <v>0</v>
      </c>
      <c r="AA280" s="14" cm="1">
        <f t="array" ref="AA280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Grouping'!$I$9:$I$322=$D280),0)),
    'Emissions Policy Resource'!$C:$C,AA$260
  ))</f>
        <v>0</v>
      </c>
      <c r="AB280" s="14" cm="1">
        <f t="array" ref="AB280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Grouping'!$I$9:$I$322=$D280),0)),
    'Emissions Policy Resource'!$C:$C,AB$260
  ))</f>
        <v>0</v>
      </c>
      <c r="AC280" s="14" cm="1">
        <f t="array" ref="AC280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Grouping'!$I$9:$I$322=$D280),0)),
    'Emissions Policy Resource'!$C:$C,AC$260
  ))</f>
        <v>0</v>
      </c>
      <c r="AD280" s="14" cm="1">
        <f t="array" ref="AD280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Grouping'!$I$9:$I$322=$D280),0)),
    'Emissions Policy Resource'!$C:$C,AD$260
  ))</f>
        <v>0.35945703390304101</v>
      </c>
      <c r="AH280" s="34"/>
    </row>
    <row r="281" spans="3:34" outlineLevel="1" x14ac:dyDescent="0.2">
      <c r="D281" s="8" t="s">
        <v>143</v>
      </c>
      <c r="E281" s="14" cm="1">
        <f t="array" ref="E281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Grouping'!$I$9:$I$322=$D281),0)),
    'Emissions Policy Resource'!$C:$C,E$260
  ))</f>
        <v>0</v>
      </c>
      <c r="F281" s="14" cm="1">
        <f t="array" ref="F281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Grouping'!$I$9:$I$322=$D281),0)),
    'Emissions Policy Resource'!$C:$C,F$260
  ))</f>
        <v>0</v>
      </c>
      <c r="G281" s="14" cm="1">
        <f t="array" ref="G281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Grouping'!$I$9:$I$322=$D281),0)),
    'Emissions Policy Resource'!$C:$C,G$260
  ))</f>
        <v>0</v>
      </c>
      <c r="H281" s="14" cm="1">
        <f t="array" ref="H281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Grouping'!$I$9:$I$322=$D281),0)),
    'Emissions Policy Resource'!$C:$C,H$260
  ))</f>
        <v>0</v>
      </c>
      <c r="I281" s="14" cm="1">
        <f t="array" ref="I281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Grouping'!$I$9:$I$322=$D281),0)),
    'Emissions Policy Resource'!$C:$C,I$260
  ))</f>
        <v>0</v>
      </c>
      <c r="J281" s="14" cm="1">
        <f t="array" ref="J281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Grouping'!$I$9:$I$322=$D281),0)),
    'Emissions Policy Resource'!$C:$C,J$260
  ))</f>
        <v>0</v>
      </c>
      <c r="K281" s="14" cm="1">
        <f t="array" ref="K281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Grouping'!$I$9:$I$322=$D281),0)),
    'Emissions Policy Resource'!$C:$C,K$260
  ))</f>
        <v>0</v>
      </c>
      <c r="L281" s="14" cm="1">
        <f t="array" ref="L281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Grouping'!$I$9:$I$322=$D281),0)),
    'Emissions Policy Resource'!$C:$C,L$260
  ))</f>
        <v>0</v>
      </c>
      <c r="M281" s="14" cm="1">
        <f t="array" ref="M281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Grouping'!$I$9:$I$322=$D281),0)),
    'Emissions Policy Resource'!$C:$C,M$260
  ))</f>
        <v>0</v>
      </c>
      <c r="N281" s="14" cm="1">
        <f t="array" ref="N281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Grouping'!$I$9:$I$322=$D281),0)),
    'Emissions Policy Resource'!$C:$C,N$260
  ))</f>
        <v>0</v>
      </c>
      <c r="O281" s="14" cm="1">
        <f t="array" ref="O281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Grouping'!$I$9:$I$322=$D281),0)),
    'Emissions Policy Resource'!$C:$C,O$260
  ))</f>
        <v>0</v>
      </c>
      <c r="P281" s="14" cm="1">
        <f t="array" ref="P281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Grouping'!$I$9:$I$322=$D281),0)),
    'Emissions Policy Resource'!$C:$C,P$260
  ))</f>
        <v>0</v>
      </c>
      <c r="Q281" s="14" cm="1">
        <f t="array" ref="Q281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Grouping'!$I$9:$I$322=$D281),0)),
    'Emissions Policy Resource'!$C:$C,Q$260
  ))</f>
        <v>0</v>
      </c>
      <c r="R281" s="14" cm="1">
        <f t="array" ref="R281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Grouping'!$I$9:$I$322=$D281),0)),
    'Emissions Policy Resource'!$C:$C,R$260
  ))</f>
        <v>0</v>
      </c>
      <c r="S281" s="14" cm="1">
        <f t="array" ref="S281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Grouping'!$I$9:$I$322=$D281),0)),
    'Emissions Policy Resource'!$C:$C,S$260
  ))</f>
        <v>0</v>
      </c>
      <c r="T281" s="14" cm="1">
        <f t="array" ref="T281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Grouping'!$I$9:$I$322=$D281),0)),
    'Emissions Policy Resource'!$C:$C,T$260
  ))</f>
        <v>0</v>
      </c>
      <c r="U281" s="14" cm="1">
        <f t="array" ref="U281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Grouping'!$I$9:$I$322=$D281),0)),
    'Emissions Policy Resource'!$C:$C,U$260
  ))</f>
        <v>0</v>
      </c>
      <c r="V281" s="14" cm="1">
        <f t="array" ref="V281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Grouping'!$I$9:$I$322=$D281),0)),
    'Emissions Policy Resource'!$C:$C,V$260
  ))</f>
        <v>0</v>
      </c>
      <c r="W281" s="14" cm="1">
        <f t="array" ref="W281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Grouping'!$I$9:$I$322=$D281),0)),
    'Emissions Policy Resource'!$C:$C,W$260
  ))</f>
        <v>0</v>
      </c>
      <c r="X281" s="14" cm="1">
        <f t="array" ref="X281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Grouping'!$I$9:$I$322=$D281),0)),
    'Emissions Policy Resource'!$C:$C,X$260
  ))</f>
        <v>0</v>
      </c>
      <c r="Y281" s="14" cm="1">
        <f t="array" ref="Y281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Grouping'!$I$9:$I$322=$D281),0)),
    'Emissions Policy Resource'!$C:$C,Y$260
  ))</f>
        <v>0</v>
      </c>
      <c r="Z281" s="14" cm="1">
        <f t="array" ref="Z281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Grouping'!$I$9:$I$322=$D281),0)),
    'Emissions Policy Resource'!$C:$C,Z$260
  ))</f>
        <v>0</v>
      </c>
      <c r="AA281" s="14" cm="1">
        <f t="array" ref="AA281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Grouping'!$I$9:$I$322=$D281),0)),
    'Emissions Policy Resource'!$C:$C,AA$260
  ))</f>
        <v>0</v>
      </c>
      <c r="AB281" s="14" cm="1">
        <f t="array" ref="AB281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Grouping'!$I$9:$I$322=$D281),0)),
    'Emissions Policy Resource'!$C:$C,AB$260
  ))</f>
        <v>0</v>
      </c>
      <c r="AC281" s="14" cm="1">
        <f t="array" ref="AC281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Grouping'!$I$9:$I$322=$D281),0)),
    'Emissions Policy Resource'!$C:$C,AC$260
  ))</f>
        <v>0</v>
      </c>
      <c r="AD281" s="14" cm="1">
        <f t="array" ref="AD281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Grouping'!$I$9:$I$322=$D281),0)),
    'Emissions Policy Resource'!$C:$C,AD$260
  ))</f>
        <v>54.354812611430134</v>
      </c>
      <c r="AH281" s="34"/>
    </row>
    <row r="282" spans="3:34" outlineLevel="1" x14ac:dyDescent="0.2">
      <c r="D282" s="8" t="s">
        <v>144</v>
      </c>
      <c r="E282" s="14" cm="1">
        <f t="array" ref="E282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Grouping'!$I$9:$I$322=$D282),0)),
    'Emissions Policy Resource'!$C:$C,E$260
  ))</f>
        <v>0</v>
      </c>
      <c r="F282" s="14" cm="1">
        <f t="array" ref="F282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Grouping'!$I$9:$I$322=$D282),0)),
    'Emissions Policy Resource'!$C:$C,F$260
  ))</f>
        <v>0</v>
      </c>
      <c r="G282" s="14" cm="1">
        <f t="array" ref="G282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Grouping'!$I$9:$I$322=$D282),0)),
    'Emissions Policy Resource'!$C:$C,G$260
  ))</f>
        <v>0</v>
      </c>
      <c r="H282" s="14" cm="1">
        <f t="array" ref="H282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Grouping'!$I$9:$I$322=$D282),0)),
    'Emissions Policy Resource'!$C:$C,H$260
  ))</f>
        <v>0</v>
      </c>
      <c r="I282" s="14" cm="1">
        <f t="array" ref="I282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Grouping'!$I$9:$I$322=$D282),0)),
    'Emissions Policy Resource'!$C:$C,I$260
  ))</f>
        <v>0</v>
      </c>
      <c r="J282" s="14" cm="1">
        <f t="array" ref="J282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Grouping'!$I$9:$I$322=$D282),0)),
    'Emissions Policy Resource'!$C:$C,J$260
  ))</f>
        <v>0</v>
      </c>
      <c r="K282" s="14" cm="1">
        <f t="array" ref="K282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Grouping'!$I$9:$I$322=$D282),0)),
    'Emissions Policy Resource'!$C:$C,K$260
  ))</f>
        <v>0</v>
      </c>
      <c r="L282" s="14" cm="1">
        <f t="array" ref="L282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Grouping'!$I$9:$I$322=$D282),0)),
    'Emissions Policy Resource'!$C:$C,L$260
  ))</f>
        <v>0</v>
      </c>
      <c r="M282" s="14" cm="1">
        <f t="array" ref="M282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Grouping'!$I$9:$I$322=$D282),0)),
    'Emissions Policy Resource'!$C:$C,M$260
  ))</f>
        <v>0</v>
      </c>
      <c r="N282" s="14" cm="1">
        <f t="array" ref="N282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Grouping'!$I$9:$I$322=$D282),0)),
    'Emissions Policy Resource'!$C:$C,N$260
  ))</f>
        <v>0</v>
      </c>
      <c r="O282" s="14" cm="1">
        <f t="array" ref="O282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Grouping'!$I$9:$I$322=$D282),0)),
    'Emissions Policy Resource'!$C:$C,O$260
  ))</f>
        <v>0</v>
      </c>
      <c r="P282" s="14" cm="1">
        <f t="array" ref="P282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Grouping'!$I$9:$I$322=$D282),0)),
    'Emissions Policy Resource'!$C:$C,P$260
  ))</f>
        <v>0</v>
      </c>
      <c r="Q282" s="14" cm="1">
        <f t="array" ref="Q282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Grouping'!$I$9:$I$322=$D282),0)),
    'Emissions Policy Resource'!$C:$C,Q$260
  ))</f>
        <v>0</v>
      </c>
      <c r="R282" s="14" cm="1">
        <f t="array" ref="R282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Grouping'!$I$9:$I$322=$D282),0)),
    'Emissions Policy Resource'!$C:$C,R$260
  ))</f>
        <v>0</v>
      </c>
      <c r="S282" s="14" cm="1">
        <f t="array" ref="S282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Grouping'!$I$9:$I$322=$D282),0)),
    'Emissions Policy Resource'!$C:$C,S$260
  ))</f>
        <v>0</v>
      </c>
      <c r="T282" s="14" cm="1">
        <f t="array" ref="T282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Grouping'!$I$9:$I$322=$D282),0)),
    'Emissions Policy Resource'!$C:$C,T$260
  ))</f>
        <v>0</v>
      </c>
      <c r="U282" s="14" cm="1">
        <f t="array" ref="U282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Grouping'!$I$9:$I$322=$D282),0)),
    'Emissions Policy Resource'!$C:$C,U$260
  ))</f>
        <v>0</v>
      </c>
      <c r="V282" s="14" cm="1">
        <f t="array" ref="V282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Grouping'!$I$9:$I$322=$D282),0)),
    'Emissions Policy Resource'!$C:$C,V$260
  ))</f>
        <v>0</v>
      </c>
      <c r="W282" s="14" cm="1">
        <f t="array" ref="W282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Grouping'!$I$9:$I$322=$D282),0)),
    'Emissions Policy Resource'!$C:$C,W$260
  ))</f>
        <v>0</v>
      </c>
      <c r="X282" s="14" cm="1">
        <f t="array" ref="X282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Grouping'!$I$9:$I$322=$D282),0)),
    'Emissions Policy Resource'!$C:$C,X$260
  ))</f>
        <v>0</v>
      </c>
      <c r="Y282" s="14" cm="1">
        <f t="array" ref="Y282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Grouping'!$I$9:$I$322=$D282),0)),
    'Emissions Policy Resource'!$C:$C,Y$260
  ))</f>
        <v>0</v>
      </c>
      <c r="Z282" s="14" cm="1">
        <f t="array" ref="Z282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Grouping'!$I$9:$I$322=$D282),0)),
    'Emissions Policy Resource'!$C:$C,Z$260
  ))</f>
        <v>0</v>
      </c>
      <c r="AA282" s="14" cm="1">
        <f t="array" ref="AA282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Grouping'!$I$9:$I$322=$D282),0)),
    'Emissions Policy Resource'!$C:$C,AA$260
  ))</f>
        <v>0</v>
      </c>
      <c r="AB282" s="14" cm="1">
        <f t="array" ref="AB282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Grouping'!$I$9:$I$322=$D282),0)),
    'Emissions Policy Resource'!$C:$C,AB$260
  ))</f>
        <v>0</v>
      </c>
      <c r="AC282" s="14" cm="1">
        <f t="array" ref="AC282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Grouping'!$I$9:$I$322=$D282),0)),
    'Emissions Policy Resource'!$C:$C,AC$260
  ))</f>
        <v>0</v>
      </c>
      <c r="AD282" s="14" cm="1">
        <f t="array" ref="AD282">0.000001 * SUM(
  SUMIFS(
    'Emissions Policy Resource'!$D:$D,
    'Emissions Policy Resource'!$A:$A,$D$274,
    'Emissions Policy Resource'!$B:$B,TRANSPOSE(_xlfn._xlws.FILTER('Results Grouping'!$G$9:$G$322,('Results Grouping'!$H$9:$H$322=$D$273) * ('Results Grouping'!$I$9:$I$322=$D282),0)),
    'Emissions Policy Resource'!$C:$C,AD$260
  ))</f>
        <v>72.97197850009448</v>
      </c>
      <c r="AH282" s="34"/>
    </row>
    <row r="283" spans="3:34" ht="12.6" outlineLevel="1" thickBot="1" x14ac:dyDescent="0.25">
      <c r="D283" s="9" t="s">
        <v>139</v>
      </c>
      <c r="E283" s="13">
        <f t="shared" ref="E283:AD283" si="219">SUM(E277:E282)</f>
        <v>0</v>
      </c>
      <c r="F283" s="13">
        <f t="shared" si="219"/>
        <v>0</v>
      </c>
      <c r="G283" s="13">
        <f t="shared" si="219"/>
        <v>0</v>
      </c>
      <c r="H283" s="13">
        <f t="shared" si="219"/>
        <v>0</v>
      </c>
      <c r="I283" s="13">
        <f t="shared" si="219"/>
        <v>0</v>
      </c>
      <c r="J283" s="13">
        <f t="shared" si="219"/>
        <v>0</v>
      </c>
      <c r="K283" s="13">
        <f t="shared" si="219"/>
        <v>0</v>
      </c>
      <c r="L283" s="13">
        <f t="shared" si="219"/>
        <v>0</v>
      </c>
      <c r="M283" s="13">
        <f t="shared" si="219"/>
        <v>0</v>
      </c>
      <c r="N283" s="13">
        <f t="shared" si="219"/>
        <v>0</v>
      </c>
      <c r="O283" s="13">
        <f t="shared" si="219"/>
        <v>0</v>
      </c>
      <c r="P283" s="13">
        <f t="shared" si="219"/>
        <v>0</v>
      </c>
      <c r="Q283" s="13">
        <f t="shared" si="219"/>
        <v>0</v>
      </c>
      <c r="R283" s="13">
        <f t="shared" si="219"/>
        <v>0</v>
      </c>
      <c r="S283" s="13">
        <f t="shared" si="219"/>
        <v>0</v>
      </c>
      <c r="T283" s="13">
        <f t="shared" si="219"/>
        <v>0</v>
      </c>
      <c r="U283" s="13">
        <f t="shared" si="219"/>
        <v>0</v>
      </c>
      <c r="V283" s="13">
        <f t="shared" si="219"/>
        <v>0</v>
      </c>
      <c r="W283" s="13">
        <f t="shared" si="219"/>
        <v>0</v>
      </c>
      <c r="X283" s="13">
        <f t="shared" si="219"/>
        <v>0</v>
      </c>
      <c r="Y283" s="13">
        <f t="shared" si="219"/>
        <v>0</v>
      </c>
      <c r="Z283" s="13">
        <f t="shared" si="219"/>
        <v>0</v>
      </c>
      <c r="AA283" s="13">
        <f t="shared" si="219"/>
        <v>0</v>
      </c>
      <c r="AB283" s="13">
        <f t="shared" si="219"/>
        <v>0</v>
      </c>
      <c r="AC283" s="13">
        <f t="shared" si="219"/>
        <v>0</v>
      </c>
      <c r="AD283" s="13">
        <f t="shared" si="219"/>
        <v>133.80368196807572</v>
      </c>
      <c r="AH283" s="34"/>
    </row>
    <row r="284" spans="3:34" ht="12" outlineLevel="1" thickTop="1" x14ac:dyDescent="0.2">
      <c r="AH284" s="34"/>
    </row>
    <row r="285" spans="3:34" ht="17.399999999999999" outlineLevel="1" thickBot="1" x14ac:dyDescent="0.25">
      <c r="D285" s="12" t="s">
        <v>310</v>
      </c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/>
      <c r="AD285" s="12"/>
      <c r="AE285" s="12"/>
      <c r="AF285" s="12"/>
      <c r="AH285" s="34" t="s">
        <v>422</v>
      </c>
    </row>
    <row r="286" spans="3:34" outlineLevel="2" x14ac:dyDescent="0.2">
      <c r="AH286" s="34" t="s">
        <v>422</v>
      </c>
    </row>
    <row r="287" spans="3:34" ht="13.2" outlineLevel="2" x14ac:dyDescent="0.2">
      <c r="E287" s="2" t="s">
        <v>301</v>
      </c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H287" s="34" t="s">
        <v>422</v>
      </c>
    </row>
    <row r="288" spans="3:34" outlineLevel="2" x14ac:dyDescent="0.2">
      <c r="E288" s="7">
        <v>43831</v>
      </c>
      <c r="F288" s="7">
        <f t="shared" ref="F288:AC288" si="220">EDATE(E288,12)</f>
        <v>44197</v>
      </c>
      <c r="G288" s="7">
        <f t="shared" si="220"/>
        <v>44562</v>
      </c>
      <c r="H288" s="7">
        <f t="shared" si="220"/>
        <v>44927</v>
      </c>
      <c r="I288" s="7">
        <f t="shared" si="220"/>
        <v>45292</v>
      </c>
      <c r="J288" s="7">
        <f t="shared" si="220"/>
        <v>45658</v>
      </c>
      <c r="K288" s="7">
        <f t="shared" si="220"/>
        <v>46023</v>
      </c>
      <c r="L288" s="7">
        <f t="shared" si="220"/>
        <v>46388</v>
      </c>
      <c r="M288" s="7">
        <f t="shared" si="220"/>
        <v>46753</v>
      </c>
      <c r="N288" s="7">
        <f t="shared" si="220"/>
        <v>47119</v>
      </c>
      <c r="O288" s="7">
        <f t="shared" si="220"/>
        <v>47484</v>
      </c>
      <c r="P288" s="7">
        <f t="shared" si="220"/>
        <v>47849</v>
      </c>
      <c r="Q288" s="7">
        <f t="shared" si="220"/>
        <v>48214</v>
      </c>
      <c r="R288" s="7">
        <f t="shared" si="220"/>
        <v>48580</v>
      </c>
      <c r="S288" s="7">
        <f t="shared" si="220"/>
        <v>48945</v>
      </c>
      <c r="T288" s="7">
        <f t="shared" si="220"/>
        <v>49310</v>
      </c>
      <c r="U288" s="7">
        <f t="shared" si="220"/>
        <v>49675</v>
      </c>
      <c r="V288" s="7">
        <f t="shared" si="220"/>
        <v>50041</v>
      </c>
      <c r="W288" s="7">
        <f t="shared" si="220"/>
        <v>50406</v>
      </c>
      <c r="X288" s="7">
        <f t="shared" si="220"/>
        <v>50771</v>
      </c>
      <c r="Y288" s="7">
        <f t="shared" si="220"/>
        <v>51136</v>
      </c>
      <c r="Z288" s="7">
        <f t="shared" si="220"/>
        <v>51502</v>
      </c>
      <c r="AA288" s="7">
        <f t="shared" si="220"/>
        <v>51867</v>
      </c>
      <c r="AB288" s="7">
        <f t="shared" si="220"/>
        <v>52232</v>
      </c>
      <c r="AC288" s="7">
        <f t="shared" si="220"/>
        <v>52597</v>
      </c>
      <c r="AD288" s="7">
        <f>EDATE(AC288,12)</f>
        <v>52963</v>
      </c>
      <c r="AH288" s="34" t="s">
        <v>422</v>
      </c>
    </row>
    <row r="289" spans="4:34" outlineLevel="2" x14ac:dyDescent="0.2">
      <c r="D289" s="8" t="s">
        <v>22</v>
      </c>
      <c r="E289" s="14">
        <f>0.000001 * SUM(
  SUMIFS(
    'Emissions Policy Resource'!$D:$D,
    'Emissions Policy Resource'!$A:$A,$D$258,
    'Emissions Policy Resource'!$B:$B,$D289,
    'Emissions Policy Resource'!$C:$C,E$260
  ))</f>
        <v>0</v>
      </c>
      <c r="F289" s="14">
        <f>0.000001 * SUM(
  SUMIFS(
    'Emissions Policy Resource'!$D:$D,
    'Emissions Policy Resource'!$A:$A,$D$258,
    'Emissions Policy Resource'!$B:$B,$D289,
    'Emissions Policy Resource'!$C:$C,F$260
  ))</f>
        <v>0</v>
      </c>
      <c r="G289" s="14">
        <f>0.000001 * SUM(
  SUMIFS(
    'Emissions Policy Resource'!$D:$D,
    'Emissions Policy Resource'!$A:$A,$D$258,
    'Emissions Policy Resource'!$B:$B,$D289,
    'Emissions Policy Resource'!$C:$C,G$260
  ))</f>
        <v>0</v>
      </c>
      <c r="H289" s="14">
        <f>0.000001 * SUM(
  SUMIFS(
    'Emissions Policy Resource'!$D:$D,
    'Emissions Policy Resource'!$A:$A,$D$258,
    'Emissions Policy Resource'!$B:$B,$D289,
    'Emissions Policy Resource'!$C:$C,H$260
  ))</f>
        <v>0</v>
      </c>
      <c r="I289" s="14">
        <f>0.000001 * SUM(
  SUMIFS(
    'Emissions Policy Resource'!$D:$D,
    'Emissions Policy Resource'!$A:$A,$D$258,
    'Emissions Policy Resource'!$B:$B,$D289,
    'Emissions Policy Resource'!$C:$C,I$260
  ))</f>
        <v>0</v>
      </c>
      <c r="J289" s="14">
        <f>0.000001 * SUM(
  SUMIFS(
    'Emissions Policy Resource'!$D:$D,
    'Emissions Policy Resource'!$A:$A,$D$258,
    'Emissions Policy Resource'!$B:$B,$D289,
    'Emissions Policy Resource'!$C:$C,J$260
  ))</f>
        <v>0</v>
      </c>
      <c r="K289" s="14">
        <f>0.000001 * SUM(
  SUMIFS(
    'Emissions Policy Resource'!$D:$D,
    'Emissions Policy Resource'!$A:$A,$D$258,
    'Emissions Policy Resource'!$B:$B,$D289,
    'Emissions Policy Resource'!$C:$C,K$260
  ))</f>
        <v>0</v>
      </c>
      <c r="L289" s="14">
        <f>0.000001 * SUM(
  SUMIFS(
    'Emissions Policy Resource'!$D:$D,
    'Emissions Policy Resource'!$A:$A,$D$258,
    'Emissions Policy Resource'!$B:$B,$D289,
    'Emissions Policy Resource'!$C:$C,L$260
  ))</f>
        <v>0</v>
      </c>
      <c r="M289" s="14">
        <f>0.000001 * SUM(
  SUMIFS(
    'Emissions Policy Resource'!$D:$D,
    'Emissions Policy Resource'!$A:$A,$D$258,
    'Emissions Policy Resource'!$B:$B,$D289,
    'Emissions Policy Resource'!$C:$C,M$260
  ))</f>
        <v>0</v>
      </c>
      <c r="N289" s="14">
        <f>0.000001 * SUM(
  SUMIFS(
    'Emissions Policy Resource'!$D:$D,
    'Emissions Policy Resource'!$A:$A,$D$258,
    'Emissions Policy Resource'!$B:$B,$D289,
    'Emissions Policy Resource'!$C:$C,N$260
  ))</f>
        <v>0</v>
      </c>
      <c r="O289" s="14">
        <f>0.000001 * SUM(
  SUMIFS(
    'Emissions Policy Resource'!$D:$D,
    'Emissions Policy Resource'!$A:$A,$D$258,
    'Emissions Policy Resource'!$B:$B,$D289,
    'Emissions Policy Resource'!$C:$C,O$260
  ))</f>
        <v>0</v>
      </c>
      <c r="P289" s="14">
        <f>0.000001 * SUM(
  SUMIFS(
    'Emissions Policy Resource'!$D:$D,
    'Emissions Policy Resource'!$A:$A,$D$258,
    'Emissions Policy Resource'!$B:$B,$D289,
    'Emissions Policy Resource'!$C:$C,P$260
  ))</f>
        <v>0</v>
      </c>
      <c r="Q289" s="14">
        <f>0.000001 * SUM(
  SUMIFS(
    'Emissions Policy Resource'!$D:$D,
    'Emissions Policy Resource'!$A:$A,$D$258,
    'Emissions Policy Resource'!$B:$B,$D289,
    'Emissions Policy Resource'!$C:$C,Q$260
  ))</f>
        <v>0</v>
      </c>
      <c r="R289" s="14">
        <f>0.000001 * SUM(
  SUMIFS(
    'Emissions Policy Resource'!$D:$D,
    'Emissions Policy Resource'!$A:$A,$D$258,
    'Emissions Policy Resource'!$B:$B,$D289,
    'Emissions Policy Resource'!$C:$C,R$260
  ))</f>
        <v>0</v>
      </c>
      <c r="S289" s="14">
        <f>0.000001 * SUM(
  SUMIFS(
    'Emissions Policy Resource'!$D:$D,
    'Emissions Policy Resource'!$A:$A,$D$258,
    'Emissions Policy Resource'!$B:$B,$D289,
    'Emissions Policy Resource'!$C:$C,S$260
  ))</f>
        <v>0</v>
      </c>
      <c r="T289" s="14">
        <f>0.000001 * SUM(
  SUMIFS(
    'Emissions Policy Resource'!$D:$D,
    'Emissions Policy Resource'!$A:$A,$D$258,
    'Emissions Policy Resource'!$B:$B,$D289,
    'Emissions Policy Resource'!$C:$C,T$260
  ))</f>
        <v>0</v>
      </c>
      <c r="U289" s="14">
        <f>0.000001 * SUM(
  SUMIFS(
    'Emissions Policy Resource'!$D:$D,
    'Emissions Policy Resource'!$A:$A,$D$258,
    'Emissions Policy Resource'!$B:$B,$D289,
    'Emissions Policy Resource'!$C:$C,U$260
  ))</f>
        <v>0</v>
      </c>
      <c r="V289" s="14">
        <f>0.000001 * SUM(
  SUMIFS(
    'Emissions Policy Resource'!$D:$D,
    'Emissions Policy Resource'!$A:$A,$D$258,
    'Emissions Policy Resource'!$B:$B,$D289,
    'Emissions Policy Resource'!$C:$C,V$260
  ))</f>
        <v>0</v>
      </c>
      <c r="W289" s="14">
        <f>0.000001 * SUM(
  SUMIFS(
    'Emissions Policy Resource'!$D:$D,
    'Emissions Policy Resource'!$A:$A,$D$258,
    'Emissions Policy Resource'!$B:$B,$D289,
    'Emissions Policy Resource'!$C:$C,W$260
  ))</f>
        <v>0</v>
      </c>
      <c r="X289" s="14">
        <f>0.000001 * SUM(
  SUMIFS(
    'Emissions Policy Resource'!$D:$D,
    'Emissions Policy Resource'!$A:$A,$D$258,
    'Emissions Policy Resource'!$B:$B,$D289,
    'Emissions Policy Resource'!$C:$C,X$260
  ))</f>
        <v>0</v>
      </c>
      <c r="Y289" s="14">
        <f>0.000001 * SUM(
  SUMIFS(
    'Emissions Policy Resource'!$D:$D,
    'Emissions Policy Resource'!$A:$A,$D$258,
    'Emissions Policy Resource'!$B:$B,$D289,
    'Emissions Policy Resource'!$C:$C,Y$260
  ))</f>
        <v>0</v>
      </c>
      <c r="Z289" s="14">
        <f>0.000001 * SUM(
  SUMIFS(
    'Emissions Policy Resource'!$D:$D,
    'Emissions Policy Resource'!$A:$A,$D$258,
    'Emissions Policy Resource'!$B:$B,$D289,
    'Emissions Policy Resource'!$C:$C,Z$260
  ))</f>
        <v>0</v>
      </c>
      <c r="AA289" s="14">
        <f>0.000001 * SUM(
  SUMIFS(
    'Emissions Policy Resource'!$D:$D,
    'Emissions Policy Resource'!$A:$A,$D$258,
    'Emissions Policy Resource'!$B:$B,$D289,
    'Emissions Policy Resource'!$C:$C,AA$260
  ))</f>
        <v>0</v>
      </c>
      <c r="AB289" s="14">
        <f>0.000001 * SUM(
  SUMIFS(
    'Emissions Policy Resource'!$D:$D,
    'Emissions Policy Resource'!$A:$A,$D$258,
    'Emissions Policy Resource'!$B:$B,$D289,
    'Emissions Policy Resource'!$C:$C,AB$260
  ))</f>
        <v>0</v>
      </c>
      <c r="AC289" s="14">
        <f>0.000001 * SUM(
  SUMIFS(
    'Emissions Policy Resource'!$D:$D,
    'Emissions Policy Resource'!$A:$A,$D$258,
    'Emissions Policy Resource'!$B:$B,$D289,
    'Emissions Policy Resource'!$C:$C,AC$260
  ))</f>
        <v>0</v>
      </c>
      <c r="AD289" s="14">
        <f>0.000001 * SUM(
  SUMIFS(
    'Emissions Policy Resource'!$D:$D,
    'Emissions Policy Resource'!$A:$A,$D$258,
    'Emissions Policy Resource'!$B:$B,$D289,
    'Emissions Policy Resource'!$C:$C,AD$260
  ))</f>
        <v>3.601874567847188</v>
      </c>
      <c r="AH289" s="34" t="s">
        <v>422</v>
      </c>
    </row>
    <row r="290" spans="4:34" outlineLevel="2" x14ac:dyDescent="0.2">
      <c r="D290" s="8" t="s">
        <v>23</v>
      </c>
      <c r="E290" s="14">
        <f>0.000001 * SUM(
  SUMIFS(
    'Emissions Policy Resource'!$D:$D,
    'Emissions Policy Resource'!$A:$A,$D$258,
    'Emissions Policy Resource'!$B:$B,$D290,
    'Emissions Policy Resource'!$C:$C,E$260
  ))</f>
        <v>0</v>
      </c>
      <c r="F290" s="14">
        <f>0.000001 * SUM(
  SUMIFS(
    'Emissions Policy Resource'!$D:$D,
    'Emissions Policy Resource'!$A:$A,$D$258,
    'Emissions Policy Resource'!$B:$B,$D290,
    'Emissions Policy Resource'!$C:$C,F$260
  ))</f>
        <v>0</v>
      </c>
      <c r="G290" s="14">
        <f>0.000001 * SUM(
  SUMIFS(
    'Emissions Policy Resource'!$D:$D,
    'Emissions Policy Resource'!$A:$A,$D$258,
    'Emissions Policy Resource'!$B:$B,$D290,
    'Emissions Policy Resource'!$C:$C,G$260
  ))</f>
        <v>0</v>
      </c>
      <c r="H290" s="14">
        <f>0.000001 * SUM(
  SUMIFS(
    'Emissions Policy Resource'!$D:$D,
    'Emissions Policy Resource'!$A:$A,$D$258,
    'Emissions Policy Resource'!$B:$B,$D290,
    'Emissions Policy Resource'!$C:$C,H$260
  ))</f>
        <v>0</v>
      </c>
      <c r="I290" s="14">
        <f>0.000001 * SUM(
  SUMIFS(
    'Emissions Policy Resource'!$D:$D,
    'Emissions Policy Resource'!$A:$A,$D$258,
    'Emissions Policy Resource'!$B:$B,$D290,
    'Emissions Policy Resource'!$C:$C,I$260
  ))</f>
        <v>0</v>
      </c>
      <c r="J290" s="14">
        <f>0.000001 * SUM(
  SUMIFS(
    'Emissions Policy Resource'!$D:$D,
    'Emissions Policy Resource'!$A:$A,$D$258,
    'Emissions Policy Resource'!$B:$B,$D290,
    'Emissions Policy Resource'!$C:$C,J$260
  ))</f>
        <v>0</v>
      </c>
      <c r="K290" s="14">
        <f>0.000001 * SUM(
  SUMIFS(
    'Emissions Policy Resource'!$D:$D,
    'Emissions Policy Resource'!$A:$A,$D$258,
    'Emissions Policy Resource'!$B:$B,$D290,
    'Emissions Policy Resource'!$C:$C,K$260
  ))</f>
        <v>0</v>
      </c>
      <c r="L290" s="14">
        <f>0.000001 * SUM(
  SUMIFS(
    'Emissions Policy Resource'!$D:$D,
    'Emissions Policy Resource'!$A:$A,$D$258,
    'Emissions Policy Resource'!$B:$B,$D290,
    'Emissions Policy Resource'!$C:$C,L$260
  ))</f>
        <v>0</v>
      </c>
      <c r="M290" s="14">
        <f>0.000001 * SUM(
  SUMIFS(
    'Emissions Policy Resource'!$D:$D,
    'Emissions Policy Resource'!$A:$A,$D$258,
    'Emissions Policy Resource'!$B:$B,$D290,
    'Emissions Policy Resource'!$C:$C,M$260
  ))</f>
        <v>0</v>
      </c>
      <c r="N290" s="14">
        <f>0.000001 * SUM(
  SUMIFS(
    'Emissions Policy Resource'!$D:$D,
    'Emissions Policy Resource'!$A:$A,$D$258,
    'Emissions Policy Resource'!$B:$B,$D290,
    'Emissions Policy Resource'!$C:$C,N$260
  ))</f>
        <v>0</v>
      </c>
      <c r="O290" s="14">
        <f>0.000001 * SUM(
  SUMIFS(
    'Emissions Policy Resource'!$D:$D,
    'Emissions Policy Resource'!$A:$A,$D$258,
    'Emissions Policy Resource'!$B:$B,$D290,
    'Emissions Policy Resource'!$C:$C,O$260
  ))</f>
        <v>0</v>
      </c>
      <c r="P290" s="14">
        <f>0.000001 * SUM(
  SUMIFS(
    'Emissions Policy Resource'!$D:$D,
    'Emissions Policy Resource'!$A:$A,$D$258,
    'Emissions Policy Resource'!$B:$B,$D290,
    'Emissions Policy Resource'!$C:$C,P$260
  ))</f>
        <v>0</v>
      </c>
      <c r="Q290" s="14">
        <f>0.000001 * SUM(
  SUMIFS(
    'Emissions Policy Resource'!$D:$D,
    'Emissions Policy Resource'!$A:$A,$D$258,
    'Emissions Policy Resource'!$B:$B,$D290,
    'Emissions Policy Resource'!$C:$C,Q$260
  ))</f>
        <v>0</v>
      </c>
      <c r="R290" s="14">
        <f>0.000001 * SUM(
  SUMIFS(
    'Emissions Policy Resource'!$D:$D,
    'Emissions Policy Resource'!$A:$A,$D$258,
    'Emissions Policy Resource'!$B:$B,$D290,
    'Emissions Policy Resource'!$C:$C,R$260
  ))</f>
        <v>0</v>
      </c>
      <c r="S290" s="14">
        <f>0.000001 * SUM(
  SUMIFS(
    'Emissions Policy Resource'!$D:$D,
    'Emissions Policy Resource'!$A:$A,$D$258,
    'Emissions Policy Resource'!$B:$B,$D290,
    'Emissions Policy Resource'!$C:$C,S$260
  ))</f>
        <v>0</v>
      </c>
      <c r="T290" s="14">
        <f>0.000001 * SUM(
  SUMIFS(
    'Emissions Policy Resource'!$D:$D,
    'Emissions Policy Resource'!$A:$A,$D$258,
    'Emissions Policy Resource'!$B:$B,$D290,
    'Emissions Policy Resource'!$C:$C,T$260
  ))</f>
        <v>0</v>
      </c>
      <c r="U290" s="14">
        <f>0.000001 * SUM(
  SUMIFS(
    'Emissions Policy Resource'!$D:$D,
    'Emissions Policy Resource'!$A:$A,$D$258,
    'Emissions Policy Resource'!$B:$B,$D290,
    'Emissions Policy Resource'!$C:$C,U$260
  ))</f>
        <v>0</v>
      </c>
      <c r="V290" s="14">
        <f>0.000001 * SUM(
  SUMIFS(
    'Emissions Policy Resource'!$D:$D,
    'Emissions Policy Resource'!$A:$A,$D$258,
    'Emissions Policy Resource'!$B:$B,$D290,
    'Emissions Policy Resource'!$C:$C,V$260
  ))</f>
        <v>0</v>
      </c>
      <c r="W290" s="14">
        <f>0.000001 * SUM(
  SUMIFS(
    'Emissions Policy Resource'!$D:$D,
    'Emissions Policy Resource'!$A:$A,$D$258,
    'Emissions Policy Resource'!$B:$B,$D290,
    'Emissions Policy Resource'!$C:$C,W$260
  ))</f>
        <v>0</v>
      </c>
      <c r="X290" s="14">
        <f>0.000001 * SUM(
  SUMIFS(
    'Emissions Policy Resource'!$D:$D,
    'Emissions Policy Resource'!$A:$A,$D$258,
    'Emissions Policy Resource'!$B:$B,$D290,
    'Emissions Policy Resource'!$C:$C,X$260
  ))</f>
        <v>0</v>
      </c>
      <c r="Y290" s="14">
        <f>0.000001 * SUM(
  SUMIFS(
    'Emissions Policy Resource'!$D:$D,
    'Emissions Policy Resource'!$A:$A,$D$258,
    'Emissions Policy Resource'!$B:$B,$D290,
    'Emissions Policy Resource'!$C:$C,Y$260
  ))</f>
        <v>0</v>
      </c>
      <c r="Z290" s="14">
        <f>0.000001 * SUM(
  SUMIFS(
    'Emissions Policy Resource'!$D:$D,
    'Emissions Policy Resource'!$A:$A,$D$258,
    'Emissions Policy Resource'!$B:$B,$D290,
    'Emissions Policy Resource'!$C:$C,Z$260
  ))</f>
        <v>0</v>
      </c>
      <c r="AA290" s="14">
        <f>0.000001 * SUM(
  SUMIFS(
    'Emissions Policy Resource'!$D:$D,
    'Emissions Policy Resource'!$A:$A,$D$258,
    'Emissions Policy Resource'!$B:$B,$D290,
    'Emissions Policy Resource'!$C:$C,AA$260
  ))</f>
        <v>0</v>
      </c>
      <c r="AB290" s="14">
        <f>0.000001 * SUM(
  SUMIFS(
    'Emissions Policy Resource'!$D:$D,
    'Emissions Policy Resource'!$A:$A,$D$258,
    'Emissions Policy Resource'!$B:$B,$D290,
    'Emissions Policy Resource'!$C:$C,AB$260
  ))</f>
        <v>0</v>
      </c>
      <c r="AC290" s="14">
        <f>0.000001 * SUM(
  SUMIFS(
    'Emissions Policy Resource'!$D:$D,
    'Emissions Policy Resource'!$A:$A,$D$258,
    'Emissions Policy Resource'!$B:$B,$D290,
    'Emissions Policy Resource'!$C:$C,AC$260
  ))</f>
        <v>0</v>
      </c>
      <c r="AD290" s="14">
        <f>0.000001 * SUM(
  SUMIFS(
    'Emissions Policy Resource'!$D:$D,
    'Emissions Policy Resource'!$A:$A,$D$258,
    'Emissions Policy Resource'!$B:$B,$D290,
    'Emissions Policy Resource'!$C:$C,AD$260
  ))</f>
        <v>0</v>
      </c>
      <c r="AH290" s="34" t="s">
        <v>422</v>
      </c>
    </row>
    <row r="291" spans="4:34" outlineLevel="2" x14ac:dyDescent="0.2">
      <c r="D291" s="8" t="s">
        <v>33</v>
      </c>
      <c r="E291" s="14">
        <f>0.000001 * SUM(
  SUMIFS(
    'Emissions Policy Resource'!$D:$D,
    'Emissions Policy Resource'!$A:$A,$D$258,
    'Emissions Policy Resource'!$B:$B,$D291,
    'Emissions Policy Resource'!$C:$C,E$260
  ))</f>
        <v>0</v>
      </c>
      <c r="F291" s="14">
        <f>0.000001 * SUM(
  SUMIFS(
    'Emissions Policy Resource'!$D:$D,
    'Emissions Policy Resource'!$A:$A,$D$258,
    'Emissions Policy Resource'!$B:$B,$D291,
    'Emissions Policy Resource'!$C:$C,F$260
  ))</f>
        <v>0</v>
      </c>
      <c r="G291" s="14">
        <f>0.000001 * SUM(
  SUMIFS(
    'Emissions Policy Resource'!$D:$D,
    'Emissions Policy Resource'!$A:$A,$D$258,
    'Emissions Policy Resource'!$B:$B,$D291,
    'Emissions Policy Resource'!$C:$C,G$260
  ))</f>
        <v>0</v>
      </c>
      <c r="H291" s="14">
        <f>0.000001 * SUM(
  SUMIFS(
    'Emissions Policy Resource'!$D:$D,
    'Emissions Policy Resource'!$A:$A,$D$258,
    'Emissions Policy Resource'!$B:$B,$D291,
    'Emissions Policy Resource'!$C:$C,H$260
  ))</f>
        <v>0</v>
      </c>
      <c r="I291" s="14">
        <f>0.000001 * SUM(
  SUMIFS(
    'Emissions Policy Resource'!$D:$D,
    'Emissions Policy Resource'!$A:$A,$D$258,
    'Emissions Policy Resource'!$B:$B,$D291,
    'Emissions Policy Resource'!$C:$C,I$260
  ))</f>
        <v>0</v>
      </c>
      <c r="J291" s="14">
        <f>0.000001 * SUM(
  SUMIFS(
    'Emissions Policy Resource'!$D:$D,
    'Emissions Policy Resource'!$A:$A,$D$258,
    'Emissions Policy Resource'!$B:$B,$D291,
    'Emissions Policy Resource'!$C:$C,J$260
  ))</f>
        <v>0</v>
      </c>
      <c r="K291" s="14">
        <f>0.000001 * SUM(
  SUMIFS(
    'Emissions Policy Resource'!$D:$D,
    'Emissions Policy Resource'!$A:$A,$D$258,
    'Emissions Policy Resource'!$B:$B,$D291,
    'Emissions Policy Resource'!$C:$C,K$260
  ))</f>
        <v>0</v>
      </c>
      <c r="L291" s="14">
        <f>0.000001 * SUM(
  SUMIFS(
    'Emissions Policy Resource'!$D:$D,
    'Emissions Policy Resource'!$A:$A,$D$258,
    'Emissions Policy Resource'!$B:$B,$D291,
    'Emissions Policy Resource'!$C:$C,L$260
  ))</f>
        <v>0</v>
      </c>
      <c r="M291" s="14">
        <f>0.000001 * SUM(
  SUMIFS(
    'Emissions Policy Resource'!$D:$D,
    'Emissions Policy Resource'!$A:$A,$D$258,
    'Emissions Policy Resource'!$B:$B,$D291,
    'Emissions Policy Resource'!$C:$C,M$260
  ))</f>
        <v>0</v>
      </c>
      <c r="N291" s="14">
        <f>0.000001 * SUM(
  SUMIFS(
    'Emissions Policy Resource'!$D:$D,
    'Emissions Policy Resource'!$A:$A,$D$258,
    'Emissions Policy Resource'!$B:$B,$D291,
    'Emissions Policy Resource'!$C:$C,N$260
  ))</f>
        <v>0</v>
      </c>
      <c r="O291" s="14">
        <f>0.000001 * SUM(
  SUMIFS(
    'Emissions Policy Resource'!$D:$D,
    'Emissions Policy Resource'!$A:$A,$D$258,
    'Emissions Policy Resource'!$B:$B,$D291,
    'Emissions Policy Resource'!$C:$C,O$260
  ))</f>
        <v>0</v>
      </c>
      <c r="P291" s="14">
        <f>0.000001 * SUM(
  SUMIFS(
    'Emissions Policy Resource'!$D:$D,
    'Emissions Policy Resource'!$A:$A,$D$258,
    'Emissions Policy Resource'!$B:$B,$D291,
    'Emissions Policy Resource'!$C:$C,P$260
  ))</f>
        <v>0</v>
      </c>
      <c r="Q291" s="14">
        <f>0.000001 * SUM(
  SUMIFS(
    'Emissions Policy Resource'!$D:$D,
    'Emissions Policy Resource'!$A:$A,$D$258,
    'Emissions Policy Resource'!$B:$B,$D291,
    'Emissions Policy Resource'!$C:$C,Q$260
  ))</f>
        <v>0</v>
      </c>
      <c r="R291" s="14">
        <f>0.000001 * SUM(
  SUMIFS(
    'Emissions Policy Resource'!$D:$D,
    'Emissions Policy Resource'!$A:$A,$D$258,
    'Emissions Policy Resource'!$B:$B,$D291,
    'Emissions Policy Resource'!$C:$C,R$260
  ))</f>
        <v>0</v>
      </c>
      <c r="S291" s="14">
        <f>0.000001 * SUM(
  SUMIFS(
    'Emissions Policy Resource'!$D:$D,
    'Emissions Policy Resource'!$A:$A,$D$258,
    'Emissions Policy Resource'!$B:$B,$D291,
    'Emissions Policy Resource'!$C:$C,S$260
  ))</f>
        <v>0</v>
      </c>
      <c r="T291" s="14">
        <f>0.000001 * SUM(
  SUMIFS(
    'Emissions Policy Resource'!$D:$D,
    'Emissions Policy Resource'!$A:$A,$D$258,
    'Emissions Policy Resource'!$B:$B,$D291,
    'Emissions Policy Resource'!$C:$C,T$260
  ))</f>
        <v>0</v>
      </c>
      <c r="U291" s="14">
        <f>0.000001 * SUM(
  SUMIFS(
    'Emissions Policy Resource'!$D:$D,
    'Emissions Policy Resource'!$A:$A,$D$258,
    'Emissions Policy Resource'!$B:$B,$D291,
    'Emissions Policy Resource'!$C:$C,U$260
  ))</f>
        <v>0</v>
      </c>
      <c r="V291" s="14">
        <f>0.000001 * SUM(
  SUMIFS(
    'Emissions Policy Resource'!$D:$D,
    'Emissions Policy Resource'!$A:$A,$D$258,
    'Emissions Policy Resource'!$B:$B,$D291,
    'Emissions Policy Resource'!$C:$C,V$260
  ))</f>
        <v>0</v>
      </c>
      <c r="W291" s="14">
        <f>0.000001 * SUM(
  SUMIFS(
    'Emissions Policy Resource'!$D:$D,
    'Emissions Policy Resource'!$A:$A,$D$258,
    'Emissions Policy Resource'!$B:$B,$D291,
    'Emissions Policy Resource'!$C:$C,W$260
  ))</f>
        <v>0</v>
      </c>
      <c r="X291" s="14">
        <f>0.000001 * SUM(
  SUMIFS(
    'Emissions Policy Resource'!$D:$D,
    'Emissions Policy Resource'!$A:$A,$D$258,
    'Emissions Policy Resource'!$B:$B,$D291,
    'Emissions Policy Resource'!$C:$C,X$260
  ))</f>
        <v>0</v>
      </c>
      <c r="Y291" s="14">
        <f>0.000001 * SUM(
  SUMIFS(
    'Emissions Policy Resource'!$D:$D,
    'Emissions Policy Resource'!$A:$A,$D$258,
    'Emissions Policy Resource'!$B:$B,$D291,
    'Emissions Policy Resource'!$C:$C,Y$260
  ))</f>
        <v>0</v>
      </c>
      <c r="Z291" s="14">
        <f>0.000001 * SUM(
  SUMIFS(
    'Emissions Policy Resource'!$D:$D,
    'Emissions Policy Resource'!$A:$A,$D$258,
    'Emissions Policy Resource'!$B:$B,$D291,
    'Emissions Policy Resource'!$C:$C,Z$260
  ))</f>
        <v>0</v>
      </c>
      <c r="AA291" s="14">
        <f>0.000001 * SUM(
  SUMIFS(
    'Emissions Policy Resource'!$D:$D,
    'Emissions Policy Resource'!$A:$A,$D$258,
    'Emissions Policy Resource'!$B:$B,$D291,
    'Emissions Policy Resource'!$C:$C,AA$260
  ))</f>
        <v>0</v>
      </c>
      <c r="AB291" s="14">
        <f>0.000001 * SUM(
  SUMIFS(
    'Emissions Policy Resource'!$D:$D,
    'Emissions Policy Resource'!$A:$A,$D$258,
    'Emissions Policy Resource'!$B:$B,$D291,
    'Emissions Policy Resource'!$C:$C,AB$260
  ))</f>
        <v>0</v>
      </c>
      <c r="AC291" s="14">
        <f>0.000001 * SUM(
  SUMIFS(
    'Emissions Policy Resource'!$D:$D,
    'Emissions Policy Resource'!$A:$A,$D$258,
    'Emissions Policy Resource'!$B:$B,$D291,
    'Emissions Policy Resource'!$C:$C,AC$260
  ))</f>
        <v>0</v>
      </c>
      <c r="AD291" s="14">
        <f>0.000001 * SUM(
  SUMIFS(
    'Emissions Policy Resource'!$D:$D,
    'Emissions Policy Resource'!$A:$A,$D$258,
    'Emissions Policy Resource'!$B:$B,$D291,
    'Emissions Policy Resource'!$C:$C,AD$260
  ))</f>
        <v>0</v>
      </c>
      <c r="AH291" s="34" t="s">
        <v>422</v>
      </c>
    </row>
    <row r="292" spans="4:34" outlineLevel="2" x14ac:dyDescent="0.2">
      <c r="D292" s="8" t="s">
        <v>34</v>
      </c>
      <c r="E292" s="14">
        <f>0.000001 * SUM(
  SUMIFS(
    'Emissions Policy Resource'!$D:$D,
    'Emissions Policy Resource'!$A:$A,$D$258,
    'Emissions Policy Resource'!$B:$B,$D292,
    'Emissions Policy Resource'!$C:$C,E$260
  ))</f>
        <v>0</v>
      </c>
      <c r="F292" s="14">
        <f>0.000001 * SUM(
  SUMIFS(
    'Emissions Policy Resource'!$D:$D,
    'Emissions Policy Resource'!$A:$A,$D$258,
    'Emissions Policy Resource'!$B:$B,$D292,
    'Emissions Policy Resource'!$C:$C,F$260
  ))</f>
        <v>0</v>
      </c>
      <c r="G292" s="14">
        <f>0.000001 * SUM(
  SUMIFS(
    'Emissions Policy Resource'!$D:$D,
    'Emissions Policy Resource'!$A:$A,$D$258,
    'Emissions Policy Resource'!$B:$B,$D292,
    'Emissions Policy Resource'!$C:$C,G$260
  ))</f>
        <v>0</v>
      </c>
      <c r="H292" s="14">
        <f>0.000001 * SUM(
  SUMIFS(
    'Emissions Policy Resource'!$D:$D,
    'Emissions Policy Resource'!$A:$A,$D$258,
    'Emissions Policy Resource'!$B:$B,$D292,
    'Emissions Policy Resource'!$C:$C,H$260
  ))</f>
        <v>0</v>
      </c>
      <c r="I292" s="14">
        <f>0.000001 * SUM(
  SUMIFS(
    'Emissions Policy Resource'!$D:$D,
    'Emissions Policy Resource'!$A:$A,$D$258,
    'Emissions Policy Resource'!$B:$B,$D292,
    'Emissions Policy Resource'!$C:$C,I$260
  ))</f>
        <v>0</v>
      </c>
      <c r="J292" s="14">
        <f>0.000001 * SUM(
  SUMIFS(
    'Emissions Policy Resource'!$D:$D,
    'Emissions Policy Resource'!$A:$A,$D$258,
    'Emissions Policy Resource'!$B:$B,$D292,
    'Emissions Policy Resource'!$C:$C,J$260
  ))</f>
        <v>0</v>
      </c>
      <c r="K292" s="14">
        <f>0.000001 * SUM(
  SUMIFS(
    'Emissions Policy Resource'!$D:$D,
    'Emissions Policy Resource'!$A:$A,$D$258,
    'Emissions Policy Resource'!$B:$B,$D292,
    'Emissions Policy Resource'!$C:$C,K$260
  ))</f>
        <v>0</v>
      </c>
      <c r="L292" s="14">
        <f>0.000001 * SUM(
  SUMIFS(
    'Emissions Policy Resource'!$D:$D,
    'Emissions Policy Resource'!$A:$A,$D$258,
    'Emissions Policy Resource'!$B:$B,$D292,
    'Emissions Policy Resource'!$C:$C,L$260
  ))</f>
        <v>0</v>
      </c>
      <c r="M292" s="14">
        <f>0.000001 * SUM(
  SUMIFS(
    'Emissions Policy Resource'!$D:$D,
    'Emissions Policy Resource'!$A:$A,$D$258,
    'Emissions Policy Resource'!$B:$B,$D292,
    'Emissions Policy Resource'!$C:$C,M$260
  ))</f>
        <v>0</v>
      </c>
      <c r="N292" s="14">
        <f>0.000001 * SUM(
  SUMIFS(
    'Emissions Policy Resource'!$D:$D,
    'Emissions Policy Resource'!$A:$A,$D$258,
    'Emissions Policy Resource'!$B:$B,$D292,
    'Emissions Policy Resource'!$C:$C,N$260
  ))</f>
        <v>0</v>
      </c>
      <c r="O292" s="14">
        <f>0.000001 * SUM(
  SUMIFS(
    'Emissions Policy Resource'!$D:$D,
    'Emissions Policy Resource'!$A:$A,$D$258,
    'Emissions Policy Resource'!$B:$B,$D292,
    'Emissions Policy Resource'!$C:$C,O$260
  ))</f>
        <v>0</v>
      </c>
      <c r="P292" s="14">
        <f>0.000001 * SUM(
  SUMIFS(
    'Emissions Policy Resource'!$D:$D,
    'Emissions Policy Resource'!$A:$A,$D$258,
    'Emissions Policy Resource'!$B:$B,$D292,
    'Emissions Policy Resource'!$C:$C,P$260
  ))</f>
        <v>0</v>
      </c>
      <c r="Q292" s="14">
        <f>0.000001 * SUM(
  SUMIFS(
    'Emissions Policy Resource'!$D:$D,
    'Emissions Policy Resource'!$A:$A,$D$258,
    'Emissions Policy Resource'!$B:$B,$D292,
    'Emissions Policy Resource'!$C:$C,Q$260
  ))</f>
        <v>0</v>
      </c>
      <c r="R292" s="14">
        <f>0.000001 * SUM(
  SUMIFS(
    'Emissions Policy Resource'!$D:$D,
    'Emissions Policy Resource'!$A:$A,$D$258,
    'Emissions Policy Resource'!$B:$B,$D292,
    'Emissions Policy Resource'!$C:$C,R$260
  ))</f>
        <v>0</v>
      </c>
      <c r="S292" s="14">
        <f>0.000001 * SUM(
  SUMIFS(
    'Emissions Policy Resource'!$D:$D,
    'Emissions Policy Resource'!$A:$A,$D$258,
    'Emissions Policy Resource'!$B:$B,$D292,
    'Emissions Policy Resource'!$C:$C,S$260
  ))</f>
        <v>0</v>
      </c>
      <c r="T292" s="14">
        <f>0.000001 * SUM(
  SUMIFS(
    'Emissions Policy Resource'!$D:$D,
    'Emissions Policy Resource'!$A:$A,$D$258,
    'Emissions Policy Resource'!$B:$B,$D292,
    'Emissions Policy Resource'!$C:$C,T$260
  ))</f>
        <v>0</v>
      </c>
      <c r="U292" s="14">
        <f>0.000001 * SUM(
  SUMIFS(
    'Emissions Policy Resource'!$D:$D,
    'Emissions Policy Resource'!$A:$A,$D$258,
    'Emissions Policy Resource'!$B:$B,$D292,
    'Emissions Policy Resource'!$C:$C,U$260
  ))</f>
        <v>0</v>
      </c>
      <c r="V292" s="14">
        <f>0.000001 * SUM(
  SUMIFS(
    'Emissions Policy Resource'!$D:$D,
    'Emissions Policy Resource'!$A:$A,$D$258,
    'Emissions Policy Resource'!$B:$B,$D292,
    'Emissions Policy Resource'!$C:$C,V$260
  ))</f>
        <v>0</v>
      </c>
      <c r="W292" s="14">
        <f>0.000001 * SUM(
  SUMIFS(
    'Emissions Policy Resource'!$D:$D,
    'Emissions Policy Resource'!$A:$A,$D$258,
    'Emissions Policy Resource'!$B:$B,$D292,
    'Emissions Policy Resource'!$C:$C,W$260
  ))</f>
        <v>0</v>
      </c>
      <c r="X292" s="14">
        <f>0.000001 * SUM(
  SUMIFS(
    'Emissions Policy Resource'!$D:$D,
    'Emissions Policy Resource'!$A:$A,$D$258,
    'Emissions Policy Resource'!$B:$B,$D292,
    'Emissions Policy Resource'!$C:$C,X$260
  ))</f>
        <v>0</v>
      </c>
      <c r="Y292" s="14">
        <f>0.000001 * SUM(
  SUMIFS(
    'Emissions Policy Resource'!$D:$D,
    'Emissions Policy Resource'!$A:$A,$D$258,
    'Emissions Policy Resource'!$B:$B,$D292,
    'Emissions Policy Resource'!$C:$C,Y$260
  ))</f>
        <v>0</v>
      </c>
      <c r="Z292" s="14">
        <f>0.000001 * SUM(
  SUMIFS(
    'Emissions Policy Resource'!$D:$D,
    'Emissions Policy Resource'!$A:$A,$D$258,
    'Emissions Policy Resource'!$B:$B,$D292,
    'Emissions Policy Resource'!$C:$C,Z$260
  ))</f>
        <v>0</v>
      </c>
      <c r="AA292" s="14">
        <f>0.000001 * SUM(
  SUMIFS(
    'Emissions Policy Resource'!$D:$D,
    'Emissions Policy Resource'!$A:$A,$D$258,
    'Emissions Policy Resource'!$B:$B,$D292,
    'Emissions Policy Resource'!$C:$C,AA$260
  ))</f>
        <v>0</v>
      </c>
      <c r="AB292" s="14">
        <f>0.000001 * SUM(
  SUMIFS(
    'Emissions Policy Resource'!$D:$D,
    'Emissions Policy Resource'!$A:$A,$D$258,
    'Emissions Policy Resource'!$B:$B,$D292,
    'Emissions Policy Resource'!$C:$C,AB$260
  ))</f>
        <v>0</v>
      </c>
      <c r="AC292" s="14">
        <f>0.000001 * SUM(
  SUMIFS(
    'Emissions Policy Resource'!$D:$D,
    'Emissions Policy Resource'!$A:$A,$D$258,
    'Emissions Policy Resource'!$B:$B,$D292,
    'Emissions Policy Resource'!$C:$C,AC$260
  ))</f>
        <v>0</v>
      </c>
      <c r="AD292" s="14">
        <f>0.000001 * SUM(
  SUMIFS(
    'Emissions Policy Resource'!$D:$D,
    'Emissions Policy Resource'!$A:$A,$D$258,
    'Emissions Policy Resource'!$B:$B,$D292,
    'Emissions Policy Resource'!$C:$C,AD$260
  ))</f>
        <v>0</v>
      </c>
      <c r="AH292" s="34" t="s">
        <v>422</v>
      </c>
    </row>
    <row r="293" spans="4:34" outlineLevel="2" x14ac:dyDescent="0.2">
      <c r="D293" s="8" t="s">
        <v>16</v>
      </c>
      <c r="E293" s="14">
        <f>0.000001 * SUM(
  SUMIFS(
    'Emissions Policy Resource'!$D:$D,
    'Emissions Policy Resource'!$A:$A,$D$258,
    'Emissions Policy Resource'!$B:$B,$D293,
    'Emissions Policy Resource'!$C:$C,E$260
  ))</f>
        <v>0</v>
      </c>
      <c r="F293" s="14">
        <f>0.000001 * SUM(
  SUMIFS(
    'Emissions Policy Resource'!$D:$D,
    'Emissions Policy Resource'!$A:$A,$D$258,
    'Emissions Policy Resource'!$B:$B,$D293,
    'Emissions Policy Resource'!$C:$C,F$260
  ))</f>
        <v>0</v>
      </c>
      <c r="G293" s="14">
        <f>0.000001 * SUM(
  SUMIFS(
    'Emissions Policy Resource'!$D:$D,
    'Emissions Policy Resource'!$A:$A,$D$258,
    'Emissions Policy Resource'!$B:$B,$D293,
    'Emissions Policy Resource'!$C:$C,G$260
  ))</f>
        <v>0</v>
      </c>
      <c r="H293" s="14">
        <f>0.000001 * SUM(
  SUMIFS(
    'Emissions Policy Resource'!$D:$D,
    'Emissions Policy Resource'!$A:$A,$D$258,
    'Emissions Policy Resource'!$B:$B,$D293,
    'Emissions Policy Resource'!$C:$C,H$260
  ))</f>
        <v>0</v>
      </c>
      <c r="I293" s="14">
        <f>0.000001 * SUM(
  SUMIFS(
    'Emissions Policy Resource'!$D:$D,
    'Emissions Policy Resource'!$A:$A,$D$258,
    'Emissions Policy Resource'!$B:$B,$D293,
    'Emissions Policy Resource'!$C:$C,I$260
  ))</f>
        <v>0</v>
      </c>
      <c r="J293" s="14">
        <f>0.000001 * SUM(
  SUMIFS(
    'Emissions Policy Resource'!$D:$D,
    'Emissions Policy Resource'!$A:$A,$D$258,
    'Emissions Policy Resource'!$B:$B,$D293,
    'Emissions Policy Resource'!$C:$C,J$260
  ))</f>
        <v>0</v>
      </c>
      <c r="K293" s="14">
        <f>0.000001 * SUM(
  SUMIFS(
    'Emissions Policy Resource'!$D:$D,
    'Emissions Policy Resource'!$A:$A,$D$258,
    'Emissions Policy Resource'!$B:$B,$D293,
    'Emissions Policy Resource'!$C:$C,K$260
  ))</f>
        <v>0</v>
      </c>
      <c r="L293" s="14">
        <f>0.000001 * SUM(
  SUMIFS(
    'Emissions Policy Resource'!$D:$D,
    'Emissions Policy Resource'!$A:$A,$D$258,
    'Emissions Policy Resource'!$B:$B,$D293,
    'Emissions Policy Resource'!$C:$C,L$260
  ))</f>
        <v>0</v>
      </c>
      <c r="M293" s="14">
        <f>0.000001 * SUM(
  SUMIFS(
    'Emissions Policy Resource'!$D:$D,
    'Emissions Policy Resource'!$A:$A,$D$258,
    'Emissions Policy Resource'!$B:$B,$D293,
    'Emissions Policy Resource'!$C:$C,M$260
  ))</f>
        <v>0</v>
      </c>
      <c r="N293" s="14">
        <f>0.000001 * SUM(
  SUMIFS(
    'Emissions Policy Resource'!$D:$D,
    'Emissions Policy Resource'!$A:$A,$D$258,
    'Emissions Policy Resource'!$B:$B,$D293,
    'Emissions Policy Resource'!$C:$C,N$260
  ))</f>
        <v>0</v>
      </c>
      <c r="O293" s="14">
        <f>0.000001 * SUM(
  SUMIFS(
    'Emissions Policy Resource'!$D:$D,
    'Emissions Policy Resource'!$A:$A,$D$258,
    'Emissions Policy Resource'!$B:$B,$D293,
    'Emissions Policy Resource'!$C:$C,O$260
  ))</f>
        <v>0</v>
      </c>
      <c r="P293" s="14">
        <f>0.000001 * SUM(
  SUMIFS(
    'Emissions Policy Resource'!$D:$D,
    'Emissions Policy Resource'!$A:$A,$D$258,
    'Emissions Policy Resource'!$B:$B,$D293,
    'Emissions Policy Resource'!$C:$C,P$260
  ))</f>
        <v>0</v>
      </c>
      <c r="Q293" s="14">
        <f>0.000001 * SUM(
  SUMIFS(
    'Emissions Policy Resource'!$D:$D,
    'Emissions Policy Resource'!$A:$A,$D$258,
    'Emissions Policy Resource'!$B:$B,$D293,
    'Emissions Policy Resource'!$C:$C,Q$260
  ))</f>
        <v>0</v>
      </c>
      <c r="R293" s="14">
        <f>0.000001 * SUM(
  SUMIFS(
    'Emissions Policy Resource'!$D:$D,
    'Emissions Policy Resource'!$A:$A,$D$258,
    'Emissions Policy Resource'!$B:$B,$D293,
    'Emissions Policy Resource'!$C:$C,R$260
  ))</f>
        <v>0</v>
      </c>
      <c r="S293" s="14">
        <f>0.000001 * SUM(
  SUMIFS(
    'Emissions Policy Resource'!$D:$D,
    'Emissions Policy Resource'!$A:$A,$D$258,
    'Emissions Policy Resource'!$B:$B,$D293,
    'Emissions Policy Resource'!$C:$C,S$260
  ))</f>
        <v>0</v>
      </c>
      <c r="T293" s="14">
        <f>0.000001 * SUM(
  SUMIFS(
    'Emissions Policy Resource'!$D:$D,
    'Emissions Policy Resource'!$A:$A,$D$258,
    'Emissions Policy Resource'!$B:$B,$D293,
    'Emissions Policy Resource'!$C:$C,T$260
  ))</f>
        <v>0</v>
      </c>
      <c r="U293" s="14">
        <f>0.000001 * SUM(
  SUMIFS(
    'Emissions Policy Resource'!$D:$D,
    'Emissions Policy Resource'!$A:$A,$D$258,
    'Emissions Policy Resource'!$B:$B,$D293,
    'Emissions Policy Resource'!$C:$C,U$260
  ))</f>
        <v>0</v>
      </c>
      <c r="V293" s="14">
        <f>0.000001 * SUM(
  SUMIFS(
    'Emissions Policy Resource'!$D:$D,
    'Emissions Policy Resource'!$A:$A,$D$258,
    'Emissions Policy Resource'!$B:$B,$D293,
    'Emissions Policy Resource'!$C:$C,V$260
  ))</f>
        <v>0</v>
      </c>
      <c r="W293" s="14">
        <f>0.000001 * SUM(
  SUMIFS(
    'Emissions Policy Resource'!$D:$D,
    'Emissions Policy Resource'!$A:$A,$D$258,
    'Emissions Policy Resource'!$B:$B,$D293,
    'Emissions Policy Resource'!$C:$C,W$260
  ))</f>
        <v>0</v>
      </c>
      <c r="X293" s="14">
        <f>0.000001 * SUM(
  SUMIFS(
    'Emissions Policy Resource'!$D:$D,
    'Emissions Policy Resource'!$A:$A,$D$258,
    'Emissions Policy Resource'!$B:$B,$D293,
    'Emissions Policy Resource'!$C:$C,X$260
  ))</f>
        <v>0</v>
      </c>
      <c r="Y293" s="14">
        <f>0.000001 * SUM(
  SUMIFS(
    'Emissions Policy Resource'!$D:$D,
    'Emissions Policy Resource'!$A:$A,$D$258,
    'Emissions Policy Resource'!$B:$B,$D293,
    'Emissions Policy Resource'!$C:$C,Y$260
  ))</f>
        <v>0</v>
      </c>
      <c r="Z293" s="14">
        <f>0.000001 * SUM(
  SUMIFS(
    'Emissions Policy Resource'!$D:$D,
    'Emissions Policy Resource'!$A:$A,$D$258,
    'Emissions Policy Resource'!$B:$B,$D293,
    'Emissions Policy Resource'!$C:$C,Z$260
  ))</f>
        <v>0</v>
      </c>
      <c r="AA293" s="14">
        <f>0.000001 * SUM(
  SUMIFS(
    'Emissions Policy Resource'!$D:$D,
    'Emissions Policy Resource'!$A:$A,$D$258,
    'Emissions Policy Resource'!$B:$B,$D293,
    'Emissions Policy Resource'!$C:$C,AA$260
  ))</f>
        <v>0</v>
      </c>
      <c r="AB293" s="14">
        <f>0.000001 * SUM(
  SUMIFS(
    'Emissions Policy Resource'!$D:$D,
    'Emissions Policy Resource'!$A:$A,$D$258,
    'Emissions Policy Resource'!$B:$B,$D293,
    'Emissions Policy Resource'!$C:$C,AB$260
  ))</f>
        <v>0</v>
      </c>
      <c r="AC293" s="14">
        <f>0.000001 * SUM(
  SUMIFS(
    'Emissions Policy Resource'!$D:$D,
    'Emissions Policy Resource'!$A:$A,$D$258,
    'Emissions Policy Resource'!$B:$B,$D293,
    'Emissions Policy Resource'!$C:$C,AC$260
  ))</f>
        <v>0</v>
      </c>
      <c r="AD293" s="14">
        <f>0.000001 * SUM(
  SUMIFS(
    'Emissions Policy Resource'!$D:$D,
    'Emissions Policy Resource'!$A:$A,$D$258,
    'Emissions Policy Resource'!$B:$B,$D293,
    'Emissions Policy Resource'!$C:$C,AD$260
  ))</f>
        <v>2.1874288571879599</v>
      </c>
      <c r="AH293" s="34" t="s">
        <v>422</v>
      </c>
    </row>
    <row r="294" spans="4:34" outlineLevel="2" x14ac:dyDescent="0.2">
      <c r="D294" s="8" t="s">
        <v>17</v>
      </c>
      <c r="E294" s="14">
        <f>0.000001 * SUM(
  SUMIFS(
    'Emissions Policy Resource'!$D:$D,
    'Emissions Policy Resource'!$A:$A,$D$258,
    'Emissions Policy Resource'!$B:$B,$D294,
    'Emissions Policy Resource'!$C:$C,E$260
  ))</f>
        <v>0</v>
      </c>
      <c r="F294" s="14">
        <f>0.000001 * SUM(
  SUMIFS(
    'Emissions Policy Resource'!$D:$D,
    'Emissions Policy Resource'!$A:$A,$D$258,
    'Emissions Policy Resource'!$B:$B,$D294,
    'Emissions Policy Resource'!$C:$C,F$260
  ))</f>
        <v>0</v>
      </c>
      <c r="G294" s="14">
        <f>0.000001 * SUM(
  SUMIFS(
    'Emissions Policy Resource'!$D:$D,
    'Emissions Policy Resource'!$A:$A,$D$258,
    'Emissions Policy Resource'!$B:$B,$D294,
    'Emissions Policy Resource'!$C:$C,G$260
  ))</f>
        <v>0</v>
      </c>
      <c r="H294" s="14">
        <f>0.000001 * SUM(
  SUMIFS(
    'Emissions Policy Resource'!$D:$D,
    'Emissions Policy Resource'!$A:$A,$D$258,
    'Emissions Policy Resource'!$B:$B,$D294,
    'Emissions Policy Resource'!$C:$C,H$260
  ))</f>
        <v>0</v>
      </c>
      <c r="I294" s="14">
        <f>0.000001 * SUM(
  SUMIFS(
    'Emissions Policy Resource'!$D:$D,
    'Emissions Policy Resource'!$A:$A,$D$258,
    'Emissions Policy Resource'!$B:$B,$D294,
    'Emissions Policy Resource'!$C:$C,I$260
  ))</f>
        <v>0</v>
      </c>
      <c r="J294" s="14">
        <f>0.000001 * SUM(
  SUMIFS(
    'Emissions Policy Resource'!$D:$D,
    'Emissions Policy Resource'!$A:$A,$D$258,
    'Emissions Policy Resource'!$B:$B,$D294,
    'Emissions Policy Resource'!$C:$C,J$260
  ))</f>
        <v>0</v>
      </c>
      <c r="K294" s="14">
        <f>0.000001 * SUM(
  SUMIFS(
    'Emissions Policy Resource'!$D:$D,
    'Emissions Policy Resource'!$A:$A,$D$258,
    'Emissions Policy Resource'!$B:$B,$D294,
    'Emissions Policy Resource'!$C:$C,K$260
  ))</f>
        <v>0</v>
      </c>
      <c r="L294" s="14">
        <f>0.000001 * SUM(
  SUMIFS(
    'Emissions Policy Resource'!$D:$D,
    'Emissions Policy Resource'!$A:$A,$D$258,
    'Emissions Policy Resource'!$B:$B,$D294,
    'Emissions Policy Resource'!$C:$C,L$260
  ))</f>
        <v>0</v>
      </c>
      <c r="M294" s="14">
        <f>0.000001 * SUM(
  SUMIFS(
    'Emissions Policy Resource'!$D:$D,
    'Emissions Policy Resource'!$A:$A,$D$258,
    'Emissions Policy Resource'!$B:$B,$D294,
    'Emissions Policy Resource'!$C:$C,M$260
  ))</f>
        <v>0</v>
      </c>
      <c r="N294" s="14">
        <f>0.000001 * SUM(
  SUMIFS(
    'Emissions Policy Resource'!$D:$D,
    'Emissions Policy Resource'!$A:$A,$D$258,
    'Emissions Policy Resource'!$B:$B,$D294,
    'Emissions Policy Resource'!$C:$C,N$260
  ))</f>
        <v>0</v>
      </c>
      <c r="O294" s="14">
        <f>0.000001 * SUM(
  SUMIFS(
    'Emissions Policy Resource'!$D:$D,
    'Emissions Policy Resource'!$A:$A,$D$258,
    'Emissions Policy Resource'!$B:$B,$D294,
    'Emissions Policy Resource'!$C:$C,O$260
  ))</f>
        <v>0</v>
      </c>
      <c r="P294" s="14">
        <f>0.000001 * SUM(
  SUMIFS(
    'Emissions Policy Resource'!$D:$D,
    'Emissions Policy Resource'!$A:$A,$D$258,
    'Emissions Policy Resource'!$B:$B,$D294,
    'Emissions Policy Resource'!$C:$C,P$260
  ))</f>
        <v>0</v>
      </c>
      <c r="Q294" s="14">
        <f>0.000001 * SUM(
  SUMIFS(
    'Emissions Policy Resource'!$D:$D,
    'Emissions Policy Resource'!$A:$A,$D$258,
    'Emissions Policy Resource'!$B:$B,$D294,
    'Emissions Policy Resource'!$C:$C,Q$260
  ))</f>
        <v>0</v>
      </c>
      <c r="R294" s="14">
        <f>0.000001 * SUM(
  SUMIFS(
    'Emissions Policy Resource'!$D:$D,
    'Emissions Policy Resource'!$A:$A,$D$258,
    'Emissions Policy Resource'!$B:$B,$D294,
    'Emissions Policy Resource'!$C:$C,R$260
  ))</f>
        <v>0</v>
      </c>
      <c r="S294" s="14">
        <f>0.000001 * SUM(
  SUMIFS(
    'Emissions Policy Resource'!$D:$D,
    'Emissions Policy Resource'!$A:$A,$D$258,
    'Emissions Policy Resource'!$B:$B,$D294,
    'Emissions Policy Resource'!$C:$C,S$260
  ))</f>
        <v>0</v>
      </c>
      <c r="T294" s="14">
        <f>0.000001 * SUM(
  SUMIFS(
    'Emissions Policy Resource'!$D:$D,
    'Emissions Policy Resource'!$A:$A,$D$258,
    'Emissions Policy Resource'!$B:$B,$D294,
    'Emissions Policy Resource'!$C:$C,T$260
  ))</f>
        <v>0</v>
      </c>
      <c r="U294" s="14">
        <f>0.000001 * SUM(
  SUMIFS(
    'Emissions Policy Resource'!$D:$D,
    'Emissions Policy Resource'!$A:$A,$D$258,
    'Emissions Policy Resource'!$B:$B,$D294,
    'Emissions Policy Resource'!$C:$C,U$260
  ))</f>
        <v>0</v>
      </c>
      <c r="V294" s="14">
        <f>0.000001 * SUM(
  SUMIFS(
    'Emissions Policy Resource'!$D:$D,
    'Emissions Policy Resource'!$A:$A,$D$258,
    'Emissions Policy Resource'!$B:$B,$D294,
    'Emissions Policy Resource'!$C:$C,V$260
  ))</f>
        <v>0</v>
      </c>
      <c r="W294" s="14">
        <f>0.000001 * SUM(
  SUMIFS(
    'Emissions Policy Resource'!$D:$D,
    'Emissions Policy Resource'!$A:$A,$D$258,
    'Emissions Policy Resource'!$B:$B,$D294,
    'Emissions Policy Resource'!$C:$C,W$260
  ))</f>
        <v>0</v>
      </c>
      <c r="X294" s="14">
        <f>0.000001 * SUM(
  SUMIFS(
    'Emissions Policy Resource'!$D:$D,
    'Emissions Policy Resource'!$A:$A,$D$258,
    'Emissions Policy Resource'!$B:$B,$D294,
    'Emissions Policy Resource'!$C:$C,X$260
  ))</f>
        <v>0</v>
      </c>
      <c r="Y294" s="14">
        <f>0.000001 * SUM(
  SUMIFS(
    'Emissions Policy Resource'!$D:$D,
    'Emissions Policy Resource'!$A:$A,$D$258,
    'Emissions Policy Resource'!$B:$B,$D294,
    'Emissions Policy Resource'!$C:$C,Y$260
  ))</f>
        <v>0</v>
      </c>
      <c r="Z294" s="14">
        <f>0.000001 * SUM(
  SUMIFS(
    'Emissions Policy Resource'!$D:$D,
    'Emissions Policy Resource'!$A:$A,$D$258,
    'Emissions Policy Resource'!$B:$B,$D294,
    'Emissions Policy Resource'!$C:$C,Z$260
  ))</f>
        <v>0</v>
      </c>
      <c r="AA294" s="14">
        <f>0.000001 * SUM(
  SUMIFS(
    'Emissions Policy Resource'!$D:$D,
    'Emissions Policy Resource'!$A:$A,$D$258,
    'Emissions Policy Resource'!$B:$B,$D294,
    'Emissions Policy Resource'!$C:$C,AA$260
  ))</f>
        <v>0</v>
      </c>
      <c r="AB294" s="14">
        <f>0.000001 * SUM(
  SUMIFS(
    'Emissions Policy Resource'!$D:$D,
    'Emissions Policy Resource'!$A:$A,$D$258,
    'Emissions Policy Resource'!$B:$B,$D294,
    'Emissions Policy Resource'!$C:$C,AB$260
  ))</f>
        <v>0</v>
      </c>
      <c r="AC294" s="14">
        <f>0.000001 * SUM(
  SUMIFS(
    'Emissions Policy Resource'!$D:$D,
    'Emissions Policy Resource'!$A:$A,$D$258,
    'Emissions Policy Resource'!$B:$B,$D294,
    'Emissions Policy Resource'!$C:$C,AC$260
  ))</f>
        <v>0</v>
      </c>
      <c r="AD294" s="14">
        <f>0.000001 * SUM(
  SUMIFS(
    'Emissions Policy Resource'!$D:$D,
    'Emissions Policy Resource'!$A:$A,$D$258,
    'Emissions Policy Resource'!$B:$B,$D294,
    'Emissions Policy Resource'!$C:$C,AD$260
  ))</f>
        <v>0</v>
      </c>
      <c r="AH294" s="34" t="s">
        <v>422</v>
      </c>
    </row>
    <row r="295" spans="4:34" outlineLevel="2" x14ac:dyDescent="0.2">
      <c r="D295" s="8" t="s">
        <v>35</v>
      </c>
      <c r="E295" s="14">
        <f>0.000001 * SUM(
  SUMIFS(
    'Emissions Policy Resource'!$D:$D,
    'Emissions Policy Resource'!$A:$A,$D$258,
    'Emissions Policy Resource'!$B:$B,$D295,
    'Emissions Policy Resource'!$C:$C,E$260
  ))</f>
        <v>0</v>
      </c>
      <c r="F295" s="14">
        <f>0.000001 * SUM(
  SUMIFS(
    'Emissions Policy Resource'!$D:$D,
    'Emissions Policy Resource'!$A:$A,$D$258,
    'Emissions Policy Resource'!$B:$B,$D295,
    'Emissions Policy Resource'!$C:$C,F$260
  ))</f>
        <v>0</v>
      </c>
      <c r="G295" s="14">
        <f>0.000001 * SUM(
  SUMIFS(
    'Emissions Policy Resource'!$D:$D,
    'Emissions Policy Resource'!$A:$A,$D$258,
    'Emissions Policy Resource'!$B:$B,$D295,
    'Emissions Policy Resource'!$C:$C,G$260
  ))</f>
        <v>0</v>
      </c>
      <c r="H295" s="14">
        <f>0.000001 * SUM(
  SUMIFS(
    'Emissions Policy Resource'!$D:$D,
    'Emissions Policy Resource'!$A:$A,$D$258,
    'Emissions Policy Resource'!$B:$B,$D295,
    'Emissions Policy Resource'!$C:$C,H$260
  ))</f>
        <v>0</v>
      </c>
      <c r="I295" s="14">
        <f>0.000001 * SUM(
  SUMIFS(
    'Emissions Policy Resource'!$D:$D,
    'Emissions Policy Resource'!$A:$A,$D$258,
    'Emissions Policy Resource'!$B:$B,$D295,
    'Emissions Policy Resource'!$C:$C,I$260
  ))</f>
        <v>0</v>
      </c>
      <c r="J295" s="14">
        <f>0.000001 * SUM(
  SUMIFS(
    'Emissions Policy Resource'!$D:$D,
    'Emissions Policy Resource'!$A:$A,$D$258,
    'Emissions Policy Resource'!$B:$B,$D295,
    'Emissions Policy Resource'!$C:$C,J$260
  ))</f>
        <v>0</v>
      </c>
      <c r="K295" s="14">
        <f>0.000001 * SUM(
  SUMIFS(
    'Emissions Policy Resource'!$D:$D,
    'Emissions Policy Resource'!$A:$A,$D$258,
    'Emissions Policy Resource'!$B:$B,$D295,
    'Emissions Policy Resource'!$C:$C,K$260
  ))</f>
        <v>0</v>
      </c>
      <c r="L295" s="14">
        <f>0.000001 * SUM(
  SUMIFS(
    'Emissions Policy Resource'!$D:$D,
    'Emissions Policy Resource'!$A:$A,$D$258,
    'Emissions Policy Resource'!$B:$B,$D295,
    'Emissions Policy Resource'!$C:$C,L$260
  ))</f>
        <v>0</v>
      </c>
      <c r="M295" s="14">
        <f>0.000001 * SUM(
  SUMIFS(
    'Emissions Policy Resource'!$D:$D,
    'Emissions Policy Resource'!$A:$A,$D$258,
    'Emissions Policy Resource'!$B:$B,$D295,
    'Emissions Policy Resource'!$C:$C,M$260
  ))</f>
        <v>0</v>
      </c>
      <c r="N295" s="14">
        <f>0.000001 * SUM(
  SUMIFS(
    'Emissions Policy Resource'!$D:$D,
    'Emissions Policy Resource'!$A:$A,$D$258,
    'Emissions Policy Resource'!$B:$B,$D295,
    'Emissions Policy Resource'!$C:$C,N$260
  ))</f>
        <v>0</v>
      </c>
      <c r="O295" s="14">
        <f>0.000001 * SUM(
  SUMIFS(
    'Emissions Policy Resource'!$D:$D,
    'Emissions Policy Resource'!$A:$A,$D$258,
    'Emissions Policy Resource'!$B:$B,$D295,
    'Emissions Policy Resource'!$C:$C,O$260
  ))</f>
        <v>0</v>
      </c>
      <c r="P295" s="14">
        <f>0.000001 * SUM(
  SUMIFS(
    'Emissions Policy Resource'!$D:$D,
    'Emissions Policy Resource'!$A:$A,$D$258,
    'Emissions Policy Resource'!$B:$B,$D295,
    'Emissions Policy Resource'!$C:$C,P$260
  ))</f>
        <v>0</v>
      </c>
      <c r="Q295" s="14">
        <f>0.000001 * SUM(
  SUMIFS(
    'Emissions Policy Resource'!$D:$D,
    'Emissions Policy Resource'!$A:$A,$D$258,
    'Emissions Policy Resource'!$B:$B,$D295,
    'Emissions Policy Resource'!$C:$C,Q$260
  ))</f>
        <v>0</v>
      </c>
      <c r="R295" s="14">
        <f>0.000001 * SUM(
  SUMIFS(
    'Emissions Policy Resource'!$D:$D,
    'Emissions Policy Resource'!$A:$A,$D$258,
    'Emissions Policy Resource'!$B:$B,$D295,
    'Emissions Policy Resource'!$C:$C,R$260
  ))</f>
        <v>0</v>
      </c>
      <c r="S295" s="14">
        <f>0.000001 * SUM(
  SUMIFS(
    'Emissions Policy Resource'!$D:$D,
    'Emissions Policy Resource'!$A:$A,$D$258,
    'Emissions Policy Resource'!$B:$B,$D295,
    'Emissions Policy Resource'!$C:$C,S$260
  ))</f>
        <v>0</v>
      </c>
      <c r="T295" s="14">
        <f>0.000001 * SUM(
  SUMIFS(
    'Emissions Policy Resource'!$D:$D,
    'Emissions Policy Resource'!$A:$A,$D$258,
    'Emissions Policy Resource'!$B:$B,$D295,
    'Emissions Policy Resource'!$C:$C,T$260
  ))</f>
        <v>0</v>
      </c>
      <c r="U295" s="14">
        <f>0.000001 * SUM(
  SUMIFS(
    'Emissions Policy Resource'!$D:$D,
    'Emissions Policy Resource'!$A:$A,$D$258,
    'Emissions Policy Resource'!$B:$B,$D295,
    'Emissions Policy Resource'!$C:$C,U$260
  ))</f>
        <v>0</v>
      </c>
      <c r="V295" s="14">
        <f>0.000001 * SUM(
  SUMIFS(
    'Emissions Policy Resource'!$D:$D,
    'Emissions Policy Resource'!$A:$A,$D$258,
    'Emissions Policy Resource'!$B:$B,$D295,
    'Emissions Policy Resource'!$C:$C,V$260
  ))</f>
        <v>0</v>
      </c>
      <c r="W295" s="14">
        <f>0.000001 * SUM(
  SUMIFS(
    'Emissions Policy Resource'!$D:$D,
    'Emissions Policy Resource'!$A:$A,$D$258,
    'Emissions Policy Resource'!$B:$B,$D295,
    'Emissions Policy Resource'!$C:$C,W$260
  ))</f>
        <v>0</v>
      </c>
      <c r="X295" s="14">
        <f>0.000001 * SUM(
  SUMIFS(
    'Emissions Policy Resource'!$D:$D,
    'Emissions Policy Resource'!$A:$A,$D$258,
    'Emissions Policy Resource'!$B:$B,$D295,
    'Emissions Policy Resource'!$C:$C,X$260
  ))</f>
        <v>0</v>
      </c>
      <c r="Y295" s="14">
        <f>0.000001 * SUM(
  SUMIFS(
    'Emissions Policy Resource'!$D:$D,
    'Emissions Policy Resource'!$A:$A,$D$258,
    'Emissions Policy Resource'!$B:$B,$D295,
    'Emissions Policy Resource'!$C:$C,Y$260
  ))</f>
        <v>0</v>
      </c>
      <c r="Z295" s="14">
        <f>0.000001 * SUM(
  SUMIFS(
    'Emissions Policy Resource'!$D:$D,
    'Emissions Policy Resource'!$A:$A,$D$258,
    'Emissions Policy Resource'!$B:$B,$D295,
    'Emissions Policy Resource'!$C:$C,Z$260
  ))</f>
        <v>0</v>
      </c>
      <c r="AA295" s="14">
        <f>0.000001 * SUM(
  SUMIFS(
    'Emissions Policy Resource'!$D:$D,
    'Emissions Policy Resource'!$A:$A,$D$258,
    'Emissions Policy Resource'!$B:$B,$D295,
    'Emissions Policy Resource'!$C:$C,AA$260
  ))</f>
        <v>0</v>
      </c>
      <c r="AB295" s="14">
        <f>0.000001 * SUM(
  SUMIFS(
    'Emissions Policy Resource'!$D:$D,
    'Emissions Policy Resource'!$A:$A,$D$258,
    'Emissions Policy Resource'!$B:$B,$D295,
    'Emissions Policy Resource'!$C:$C,AB$260
  ))</f>
        <v>0</v>
      </c>
      <c r="AC295" s="14">
        <f>0.000001 * SUM(
  SUMIFS(
    'Emissions Policy Resource'!$D:$D,
    'Emissions Policy Resource'!$A:$A,$D$258,
    'Emissions Policy Resource'!$B:$B,$D295,
    'Emissions Policy Resource'!$C:$C,AC$260
  ))</f>
        <v>0</v>
      </c>
      <c r="AD295" s="14">
        <f>0.000001 * SUM(
  SUMIFS(
    'Emissions Policy Resource'!$D:$D,
    'Emissions Policy Resource'!$A:$A,$D$258,
    'Emissions Policy Resource'!$B:$B,$D295,
    'Emissions Policy Resource'!$C:$C,AD$260
  ))</f>
        <v>0</v>
      </c>
      <c r="AH295" s="34" t="s">
        <v>422</v>
      </c>
    </row>
    <row r="296" spans="4:34" outlineLevel="2" x14ac:dyDescent="0.2">
      <c r="D296" s="8" t="s">
        <v>25</v>
      </c>
      <c r="E296" s="14">
        <f>0.000001 * SUM(
  SUMIFS(
    'Emissions Policy Resource'!$D:$D,
    'Emissions Policy Resource'!$A:$A,$D$258,
    'Emissions Policy Resource'!$B:$B,$D296,
    'Emissions Policy Resource'!$C:$C,E$260
  ))</f>
        <v>0</v>
      </c>
      <c r="F296" s="14">
        <f>0.000001 * SUM(
  SUMIFS(
    'Emissions Policy Resource'!$D:$D,
    'Emissions Policy Resource'!$A:$A,$D$258,
    'Emissions Policy Resource'!$B:$B,$D296,
    'Emissions Policy Resource'!$C:$C,F$260
  ))</f>
        <v>0</v>
      </c>
      <c r="G296" s="14">
        <f>0.000001 * SUM(
  SUMIFS(
    'Emissions Policy Resource'!$D:$D,
    'Emissions Policy Resource'!$A:$A,$D$258,
    'Emissions Policy Resource'!$B:$B,$D296,
    'Emissions Policy Resource'!$C:$C,G$260
  ))</f>
        <v>0</v>
      </c>
      <c r="H296" s="14">
        <f>0.000001 * SUM(
  SUMIFS(
    'Emissions Policy Resource'!$D:$D,
    'Emissions Policy Resource'!$A:$A,$D$258,
    'Emissions Policy Resource'!$B:$B,$D296,
    'Emissions Policy Resource'!$C:$C,H$260
  ))</f>
        <v>0</v>
      </c>
      <c r="I296" s="14">
        <f>0.000001 * SUM(
  SUMIFS(
    'Emissions Policy Resource'!$D:$D,
    'Emissions Policy Resource'!$A:$A,$D$258,
    'Emissions Policy Resource'!$B:$B,$D296,
    'Emissions Policy Resource'!$C:$C,I$260
  ))</f>
        <v>0</v>
      </c>
      <c r="J296" s="14">
        <f>0.000001 * SUM(
  SUMIFS(
    'Emissions Policy Resource'!$D:$D,
    'Emissions Policy Resource'!$A:$A,$D$258,
    'Emissions Policy Resource'!$B:$B,$D296,
    'Emissions Policy Resource'!$C:$C,J$260
  ))</f>
        <v>0</v>
      </c>
      <c r="K296" s="14">
        <f>0.000001 * SUM(
  SUMIFS(
    'Emissions Policy Resource'!$D:$D,
    'Emissions Policy Resource'!$A:$A,$D$258,
    'Emissions Policy Resource'!$B:$B,$D296,
    'Emissions Policy Resource'!$C:$C,K$260
  ))</f>
        <v>0</v>
      </c>
      <c r="L296" s="14">
        <f>0.000001 * SUM(
  SUMIFS(
    'Emissions Policy Resource'!$D:$D,
    'Emissions Policy Resource'!$A:$A,$D$258,
    'Emissions Policy Resource'!$B:$B,$D296,
    'Emissions Policy Resource'!$C:$C,L$260
  ))</f>
        <v>0</v>
      </c>
      <c r="M296" s="14">
        <f>0.000001 * SUM(
  SUMIFS(
    'Emissions Policy Resource'!$D:$D,
    'Emissions Policy Resource'!$A:$A,$D$258,
    'Emissions Policy Resource'!$B:$B,$D296,
    'Emissions Policy Resource'!$C:$C,M$260
  ))</f>
        <v>0</v>
      </c>
      <c r="N296" s="14">
        <f>0.000001 * SUM(
  SUMIFS(
    'Emissions Policy Resource'!$D:$D,
    'Emissions Policy Resource'!$A:$A,$D$258,
    'Emissions Policy Resource'!$B:$B,$D296,
    'Emissions Policy Resource'!$C:$C,N$260
  ))</f>
        <v>0</v>
      </c>
      <c r="O296" s="14">
        <f>0.000001 * SUM(
  SUMIFS(
    'Emissions Policy Resource'!$D:$D,
    'Emissions Policy Resource'!$A:$A,$D$258,
    'Emissions Policy Resource'!$B:$B,$D296,
    'Emissions Policy Resource'!$C:$C,O$260
  ))</f>
        <v>0</v>
      </c>
      <c r="P296" s="14">
        <f>0.000001 * SUM(
  SUMIFS(
    'Emissions Policy Resource'!$D:$D,
    'Emissions Policy Resource'!$A:$A,$D$258,
    'Emissions Policy Resource'!$B:$B,$D296,
    'Emissions Policy Resource'!$C:$C,P$260
  ))</f>
        <v>0</v>
      </c>
      <c r="Q296" s="14">
        <f>0.000001 * SUM(
  SUMIFS(
    'Emissions Policy Resource'!$D:$D,
    'Emissions Policy Resource'!$A:$A,$D$258,
    'Emissions Policy Resource'!$B:$B,$D296,
    'Emissions Policy Resource'!$C:$C,Q$260
  ))</f>
        <v>0</v>
      </c>
      <c r="R296" s="14">
        <f>0.000001 * SUM(
  SUMIFS(
    'Emissions Policy Resource'!$D:$D,
    'Emissions Policy Resource'!$A:$A,$D$258,
    'Emissions Policy Resource'!$B:$B,$D296,
    'Emissions Policy Resource'!$C:$C,R$260
  ))</f>
        <v>0</v>
      </c>
      <c r="S296" s="14">
        <f>0.000001 * SUM(
  SUMIFS(
    'Emissions Policy Resource'!$D:$D,
    'Emissions Policy Resource'!$A:$A,$D$258,
    'Emissions Policy Resource'!$B:$B,$D296,
    'Emissions Policy Resource'!$C:$C,S$260
  ))</f>
        <v>0</v>
      </c>
      <c r="T296" s="14">
        <f>0.000001 * SUM(
  SUMIFS(
    'Emissions Policy Resource'!$D:$D,
    'Emissions Policy Resource'!$A:$A,$D$258,
    'Emissions Policy Resource'!$B:$B,$D296,
    'Emissions Policy Resource'!$C:$C,T$260
  ))</f>
        <v>0</v>
      </c>
      <c r="U296" s="14">
        <f>0.000001 * SUM(
  SUMIFS(
    'Emissions Policy Resource'!$D:$D,
    'Emissions Policy Resource'!$A:$A,$D$258,
    'Emissions Policy Resource'!$B:$B,$D296,
    'Emissions Policy Resource'!$C:$C,U$260
  ))</f>
        <v>0</v>
      </c>
      <c r="V296" s="14">
        <f>0.000001 * SUM(
  SUMIFS(
    'Emissions Policy Resource'!$D:$D,
    'Emissions Policy Resource'!$A:$A,$D$258,
    'Emissions Policy Resource'!$B:$B,$D296,
    'Emissions Policy Resource'!$C:$C,V$260
  ))</f>
        <v>0</v>
      </c>
      <c r="W296" s="14">
        <f>0.000001 * SUM(
  SUMIFS(
    'Emissions Policy Resource'!$D:$D,
    'Emissions Policy Resource'!$A:$A,$D$258,
    'Emissions Policy Resource'!$B:$B,$D296,
    'Emissions Policy Resource'!$C:$C,W$260
  ))</f>
        <v>0</v>
      </c>
      <c r="X296" s="14">
        <f>0.000001 * SUM(
  SUMIFS(
    'Emissions Policy Resource'!$D:$D,
    'Emissions Policy Resource'!$A:$A,$D$258,
    'Emissions Policy Resource'!$B:$B,$D296,
    'Emissions Policy Resource'!$C:$C,X$260
  ))</f>
        <v>0</v>
      </c>
      <c r="Y296" s="14">
        <f>0.000001 * SUM(
  SUMIFS(
    'Emissions Policy Resource'!$D:$D,
    'Emissions Policy Resource'!$A:$A,$D$258,
    'Emissions Policy Resource'!$B:$B,$D296,
    'Emissions Policy Resource'!$C:$C,Y$260
  ))</f>
        <v>0</v>
      </c>
      <c r="Z296" s="14">
        <f>0.000001 * SUM(
  SUMIFS(
    'Emissions Policy Resource'!$D:$D,
    'Emissions Policy Resource'!$A:$A,$D$258,
    'Emissions Policy Resource'!$B:$B,$D296,
    'Emissions Policy Resource'!$C:$C,Z$260
  ))</f>
        <v>0</v>
      </c>
      <c r="AA296" s="14">
        <f>0.000001 * SUM(
  SUMIFS(
    'Emissions Policy Resource'!$D:$D,
    'Emissions Policy Resource'!$A:$A,$D$258,
    'Emissions Policy Resource'!$B:$B,$D296,
    'Emissions Policy Resource'!$C:$C,AA$260
  ))</f>
        <v>0</v>
      </c>
      <c r="AB296" s="14">
        <f>0.000001 * SUM(
  SUMIFS(
    'Emissions Policy Resource'!$D:$D,
    'Emissions Policy Resource'!$A:$A,$D$258,
    'Emissions Policy Resource'!$B:$B,$D296,
    'Emissions Policy Resource'!$C:$C,AB$260
  ))</f>
        <v>0</v>
      </c>
      <c r="AC296" s="14">
        <f>0.000001 * SUM(
  SUMIFS(
    'Emissions Policy Resource'!$D:$D,
    'Emissions Policy Resource'!$A:$A,$D$258,
    'Emissions Policy Resource'!$B:$B,$D296,
    'Emissions Policy Resource'!$C:$C,AC$260
  ))</f>
        <v>0</v>
      </c>
      <c r="AD296" s="14">
        <f>0.000001 * SUM(
  SUMIFS(
    'Emissions Policy Resource'!$D:$D,
    'Emissions Policy Resource'!$A:$A,$D$258,
    'Emissions Policy Resource'!$B:$B,$D296,
    'Emissions Policy Resource'!$C:$C,AD$260
  ))</f>
        <v>0</v>
      </c>
      <c r="AH296" s="34" t="s">
        <v>422</v>
      </c>
    </row>
    <row r="297" spans="4:34" outlineLevel="2" x14ac:dyDescent="0.2">
      <c r="D297" s="8" t="s">
        <v>49</v>
      </c>
      <c r="E297" s="14">
        <f>0.000001 * SUM(
  SUMIFS(
    'Emissions Policy Resource'!$D:$D,
    'Emissions Policy Resource'!$A:$A,$D$258,
    'Emissions Policy Resource'!$B:$B,$D297,
    'Emissions Policy Resource'!$C:$C,E$260
  ))</f>
        <v>0</v>
      </c>
      <c r="F297" s="14">
        <f>0.000001 * SUM(
  SUMIFS(
    'Emissions Policy Resource'!$D:$D,
    'Emissions Policy Resource'!$A:$A,$D$258,
    'Emissions Policy Resource'!$B:$B,$D297,
    'Emissions Policy Resource'!$C:$C,F$260
  ))</f>
        <v>0</v>
      </c>
      <c r="G297" s="14">
        <f>0.000001 * SUM(
  SUMIFS(
    'Emissions Policy Resource'!$D:$D,
    'Emissions Policy Resource'!$A:$A,$D$258,
    'Emissions Policy Resource'!$B:$B,$D297,
    'Emissions Policy Resource'!$C:$C,G$260
  ))</f>
        <v>0</v>
      </c>
      <c r="H297" s="14">
        <f>0.000001 * SUM(
  SUMIFS(
    'Emissions Policy Resource'!$D:$D,
    'Emissions Policy Resource'!$A:$A,$D$258,
    'Emissions Policy Resource'!$B:$B,$D297,
    'Emissions Policy Resource'!$C:$C,H$260
  ))</f>
        <v>0</v>
      </c>
      <c r="I297" s="14">
        <f>0.000001 * SUM(
  SUMIFS(
    'Emissions Policy Resource'!$D:$D,
    'Emissions Policy Resource'!$A:$A,$D$258,
    'Emissions Policy Resource'!$B:$B,$D297,
    'Emissions Policy Resource'!$C:$C,I$260
  ))</f>
        <v>0</v>
      </c>
      <c r="J297" s="14">
        <f>0.000001 * SUM(
  SUMIFS(
    'Emissions Policy Resource'!$D:$D,
    'Emissions Policy Resource'!$A:$A,$D$258,
    'Emissions Policy Resource'!$B:$B,$D297,
    'Emissions Policy Resource'!$C:$C,J$260
  ))</f>
        <v>0</v>
      </c>
      <c r="K297" s="14">
        <f>0.000001 * SUM(
  SUMIFS(
    'Emissions Policy Resource'!$D:$D,
    'Emissions Policy Resource'!$A:$A,$D$258,
    'Emissions Policy Resource'!$B:$B,$D297,
    'Emissions Policy Resource'!$C:$C,K$260
  ))</f>
        <v>0</v>
      </c>
      <c r="L297" s="14">
        <f>0.000001 * SUM(
  SUMIFS(
    'Emissions Policy Resource'!$D:$D,
    'Emissions Policy Resource'!$A:$A,$D$258,
    'Emissions Policy Resource'!$B:$B,$D297,
    'Emissions Policy Resource'!$C:$C,L$260
  ))</f>
        <v>0</v>
      </c>
      <c r="M297" s="14">
        <f>0.000001 * SUM(
  SUMIFS(
    'Emissions Policy Resource'!$D:$D,
    'Emissions Policy Resource'!$A:$A,$D$258,
    'Emissions Policy Resource'!$B:$B,$D297,
    'Emissions Policy Resource'!$C:$C,M$260
  ))</f>
        <v>0</v>
      </c>
      <c r="N297" s="14">
        <f>0.000001 * SUM(
  SUMIFS(
    'Emissions Policy Resource'!$D:$D,
    'Emissions Policy Resource'!$A:$A,$D$258,
    'Emissions Policy Resource'!$B:$B,$D297,
    'Emissions Policy Resource'!$C:$C,N$260
  ))</f>
        <v>0</v>
      </c>
      <c r="O297" s="14">
        <f>0.000001 * SUM(
  SUMIFS(
    'Emissions Policy Resource'!$D:$D,
    'Emissions Policy Resource'!$A:$A,$D$258,
    'Emissions Policy Resource'!$B:$B,$D297,
    'Emissions Policy Resource'!$C:$C,O$260
  ))</f>
        <v>0</v>
      </c>
      <c r="P297" s="14">
        <f>0.000001 * SUM(
  SUMIFS(
    'Emissions Policy Resource'!$D:$D,
    'Emissions Policy Resource'!$A:$A,$D$258,
    'Emissions Policy Resource'!$B:$B,$D297,
    'Emissions Policy Resource'!$C:$C,P$260
  ))</f>
        <v>0</v>
      </c>
      <c r="Q297" s="14">
        <f>0.000001 * SUM(
  SUMIFS(
    'Emissions Policy Resource'!$D:$D,
    'Emissions Policy Resource'!$A:$A,$D$258,
    'Emissions Policy Resource'!$B:$B,$D297,
    'Emissions Policy Resource'!$C:$C,Q$260
  ))</f>
        <v>0</v>
      </c>
      <c r="R297" s="14">
        <f>0.000001 * SUM(
  SUMIFS(
    'Emissions Policy Resource'!$D:$D,
    'Emissions Policy Resource'!$A:$A,$D$258,
    'Emissions Policy Resource'!$B:$B,$D297,
    'Emissions Policy Resource'!$C:$C,R$260
  ))</f>
        <v>0</v>
      </c>
      <c r="S297" s="14">
        <f>0.000001 * SUM(
  SUMIFS(
    'Emissions Policy Resource'!$D:$D,
    'Emissions Policy Resource'!$A:$A,$D$258,
    'Emissions Policy Resource'!$B:$B,$D297,
    'Emissions Policy Resource'!$C:$C,S$260
  ))</f>
        <v>0</v>
      </c>
      <c r="T297" s="14">
        <f>0.000001 * SUM(
  SUMIFS(
    'Emissions Policy Resource'!$D:$D,
    'Emissions Policy Resource'!$A:$A,$D$258,
    'Emissions Policy Resource'!$B:$B,$D297,
    'Emissions Policy Resource'!$C:$C,T$260
  ))</f>
        <v>0</v>
      </c>
      <c r="U297" s="14">
        <f>0.000001 * SUM(
  SUMIFS(
    'Emissions Policy Resource'!$D:$D,
    'Emissions Policy Resource'!$A:$A,$D$258,
    'Emissions Policy Resource'!$B:$B,$D297,
    'Emissions Policy Resource'!$C:$C,U$260
  ))</f>
        <v>0</v>
      </c>
      <c r="V297" s="14">
        <f>0.000001 * SUM(
  SUMIFS(
    'Emissions Policy Resource'!$D:$D,
    'Emissions Policy Resource'!$A:$A,$D$258,
    'Emissions Policy Resource'!$B:$B,$D297,
    'Emissions Policy Resource'!$C:$C,V$260
  ))</f>
        <v>0</v>
      </c>
      <c r="W297" s="14">
        <f>0.000001 * SUM(
  SUMIFS(
    'Emissions Policy Resource'!$D:$D,
    'Emissions Policy Resource'!$A:$A,$D$258,
    'Emissions Policy Resource'!$B:$B,$D297,
    'Emissions Policy Resource'!$C:$C,W$260
  ))</f>
        <v>0</v>
      </c>
      <c r="X297" s="14">
        <f>0.000001 * SUM(
  SUMIFS(
    'Emissions Policy Resource'!$D:$D,
    'Emissions Policy Resource'!$A:$A,$D$258,
    'Emissions Policy Resource'!$B:$B,$D297,
    'Emissions Policy Resource'!$C:$C,X$260
  ))</f>
        <v>0</v>
      </c>
      <c r="Y297" s="14">
        <f>0.000001 * SUM(
  SUMIFS(
    'Emissions Policy Resource'!$D:$D,
    'Emissions Policy Resource'!$A:$A,$D$258,
    'Emissions Policy Resource'!$B:$B,$D297,
    'Emissions Policy Resource'!$C:$C,Y$260
  ))</f>
        <v>0</v>
      </c>
      <c r="Z297" s="14">
        <f>0.000001 * SUM(
  SUMIFS(
    'Emissions Policy Resource'!$D:$D,
    'Emissions Policy Resource'!$A:$A,$D$258,
    'Emissions Policy Resource'!$B:$B,$D297,
    'Emissions Policy Resource'!$C:$C,Z$260
  ))</f>
        <v>0</v>
      </c>
      <c r="AA297" s="14">
        <f>0.000001 * SUM(
  SUMIFS(
    'Emissions Policy Resource'!$D:$D,
    'Emissions Policy Resource'!$A:$A,$D$258,
    'Emissions Policy Resource'!$B:$B,$D297,
    'Emissions Policy Resource'!$C:$C,AA$260
  ))</f>
        <v>0</v>
      </c>
      <c r="AB297" s="14">
        <f>0.000001 * SUM(
  SUMIFS(
    'Emissions Policy Resource'!$D:$D,
    'Emissions Policy Resource'!$A:$A,$D$258,
    'Emissions Policy Resource'!$B:$B,$D297,
    'Emissions Policy Resource'!$C:$C,AB$260
  ))</f>
        <v>0</v>
      </c>
      <c r="AC297" s="14">
        <f>0.000001 * SUM(
  SUMIFS(
    'Emissions Policy Resource'!$D:$D,
    'Emissions Policy Resource'!$A:$A,$D$258,
    'Emissions Policy Resource'!$B:$B,$D297,
    'Emissions Policy Resource'!$C:$C,AC$260
  ))</f>
        <v>0</v>
      </c>
      <c r="AD297" s="14">
        <f>0.000001 * SUM(
  SUMIFS(
    'Emissions Policy Resource'!$D:$D,
    'Emissions Policy Resource'!$A:$A,$D$258,
    'Emissions Policy Resource'!$B:$B,$D297,
    'Emissions Policy Resource'!$C:$C,AD$260
  ))</f>
        <v>0</v>
      </c>
      <c r="AH297" s="34" t="s">
        <v>422</v>
      </c>
    </row>
    <row r="298" spans="4:34" outlineLevel="2" x14ac:dyDescent="0.2">
      <c r="D298" s="8" t="s">
        <v>24</v>
      </c>
      <c r="E298" s="14">
        <f>0.000001 * SUM(
  SUMIFS(
    'Emissions Policy Resource'!$D:$D,
    'Emissions Policy Resource'!$A:$A,$D$258,
    'Emissions Policy Resource'!$B:$B,$D298,
    'Emissions Policy Resource'!$C:$C,E$260
  ))</f>
        <v>0</v>
      </c>
      <c r="F298" s="14">
        <f>0.000001 * SUM(
  SUMIFS(
    'Emissions Policy Resource'!$D:$D,
    'Emissions Policy Resource'!$A:$A,$D$258,
    'Emissions Policy Resource'!$B:$B,$D298,
    'Emissions Policy Resource'!$C:$C,F$260
  ))</f>
        <v>0</v>
      </c>
      <c r="G298" s="14">
        <f>0.000001 * SUM(
  SUMIFS(
    'Emissions Policy Resource'!$D:$D,
    'Emissions Policy Resource'!$A:$A,$D$258,
    'Emissions Policy Resource'!$B:$B,$D298,
    'Emissions Policy Resource'!$C:$C,G$260
  ))</f>
        <v>0</v>
      </c>
      <c r="H298" s="14">
        <f>0.000001 * SUM(
  SUMIFS(
    'Emissions Policy Resource'!$D:$D,
    'Emissions Policy Resource'!$A:$A,$D$258,
    'Emissions Policy Resource'!$B:$B,$D298,
    'Emissions Policy Resource'!$C:$C,H$260
  ))</f>
        <v>0</v>
      </c>
      <c r="I298" s="14">
        <f>0.000001 * SUM(
  SUMIFS(
    'Emissions Policy Resource'!$D:$D,
    'Emissions Policy Resource'!$A:$A,$D$258,
    'Emissions Policy Resource'!$B:$B,$D298,
    'Emissions Policy Resource'!$C:$C,I$260
  ))</f>
        <v>0</v>
      </c>
      <c r="J298" s="14">
        <f>0.000001 * SUM(
  SUMIFS(
    'Emissions Policy Resource'!$D:$D,
    'Emissions Policy Resource'!$A:$A,$D$258,
    'Emissions Policy Resource'!$B:$B,$D298,
    'Emissions Policy Resource'!$C:$C,J$260
  ))</f>
        <v>0</v>
      </c>
      <c r="K298" s="14">
        <f>0.000001 * SUM(
  SUMIFS(
    'Emissions Policy Resource'!$D:$D,
    'Emissions Policy Resource'!$A:$A,$D$258,
    'Emissions Policy Resource'!$B:$B,$D298,
    'Emissions Policy Resource'!$C:$C,K$260
  ))</f>
        <v>0</v>
      </c>
      <c r="L298" s="14">
        <f>0.000001 * SUM(
  SUMIFS(
    'Emissions Policy Resource'!$D:$D,
    'Emissions Policy Resource'!$A:$A,$D$258,
    'Emissions Policy Resource'!$B:$B,$D298,
    'Emissions Policy Resource'!$C:$C,L$260
  ))</f>
        <v>0</v>
      </c>
      <c r="M298" s="14">
        <f>0.000001 * SUM(
  SUMIFS(
    'Emissions Policy Resource'!$D:$D,
    'Emissions Policy Resource'!$A:$A,$D$258,
    'Emissions Policy Resource'!$B:$B,$D298,
    'Emissions Policy Resource'!$C:$C,M$260
  ))</f>
        <v>0</v>
      </c>
      <c r="N298" s="14">
        <f>0.000001 * SUM(
  SUMIFS(
    'Emissions Policy Resource'!$D:$D,
    'Emissions Policy Resource'!$A:$A,$D$258,
    'Emissions Policy Resource'!$B:$B,$D298,
    'Emissions Policy Resource'!$C:$C,N$260
  ))</f>
        <v>0</v>
      </c>
      <c r="O298" s="14">
        <f>0.000001 * SUM(
  SUMIFS(
    'Emissions Policy Resource'!$D:$D,
    'Emissions Policy Resource'!$A:$A,$D$258,
    'Emissions Policy Resource'!$B:$B,$D298,
    'Emissions Policy Resource'!$C:$C,O$260
  ))</f>
        <v>0</v>
      </c>
      <c r="P298" s="14">
        <f>0.000001 * SUM(
  SUMIFS(
    'Emissions Policy Resource'!$D:$D,
    'Emissions Policy Resource'!$A:$A,$D$258,
    'Emissions Policy Resource'!$B:$B,$D298,
    'Emissions Policy Resource'!$C:$C,P$260
  ))</f>
        <v>0</v>
      </c>
      <c r="Q298" s="14">
        <f>0.000001 * SUM(
  SUMIFS(
    'Emissions Policy Resource'!$D:$D,
    'Emissions Policy Resource'!$A:$A,$D$258,
    'Emissions Policy Resource'!$B:$B,$D298,
    'Emissions Policy Resource'!$C:$C,Q$260
  ))</f>
        <v>0</v>
      </c>
      <c r="R298" s="14">
        <f>0.000001 * SUM(
  SUMIFS(
    'Emissions Policy Resource'!$D:$D,
    'Emissions Policy Resource'!$A:$A,$D$258,
    'Emissions Policy Resource'!$B:$B,$D298,
    'Emissions Policy Resource'!$C:$C,R$260
  ))</f>
        <v>0</v>
      </c>
      <c r="S298" s="14">
        <f>0.000001 * SUM(
  SUMIFS(
    'Emissions Policy Resource'!$D:$D,
    'Emissions Policy Resource'!$A:$A,$D$258,
    'Emissions Policy Resource'!$B:$B,$D298,
    'Emissions Policy Resource'!$C:$C,S$260
  ))</f>
        <v>0</v>
      </c>
      <c r="T298" s="14">
        <f>0.000001 * SUM(
  SUMIFS(
    'Emissions Policy Resource'!$D:$D,
    'Emissions Policy Resource'!$A:$A,$D$258,
    'Emissions Policy Resource'!$B:$B,$D298,
    'Emissions Policy Resource'!$C:$C,T$260
  ))</f>
        <v>0</v>
      </c>
      <c r="U298" s="14">
        <f>0.000001 * SUM(
  SUMIFS(
    'Emissions Policy Resource'!$D:$D,
    'Emissions Policy Resource'!$A:$A,$D$258,
    'Emissions Policy Resource'!$B:$B,$D298,
    'Emissions Policy Resource'!$C:$C,U$260
  ))</f>
        <v>0</v>
      </c>
      <c r="V298" s="14">
        <f>0.000001 * SUM(
  SUMIFS(
    'Emissions Policy Resource'!$D:$D,
    'Emissions Policy Resource'!$A:$A,$D$258,
    'Emissions Policy Resource'!$B:$B,$D298,
    'Emissions Policy Resource'!$C:$C,V$260
  ))</f>
        <v>0</v>
      </c>
      <c r="W298" s="14">
        <f>0.000001 * SUM(
  SUMIFS(
    'Emissions Policy Resource'!$D:$D,
    'Emissions Policy Resource'!$A:$A,$D$258,
    'Emissions Policy Resource'!$B:$B,$D298,
    'Emissions Policy Resource'!$C:$C,W$260
  ))</f>
        <v>0</v>
      </c>
      <c r="X298" s="14">
        <f>0.000001 * SUM(
  SUMIFS(
    'Emissions Policy Resource'!$D:$D,
    'Emissions Policy Resource'!$A:$A,$D$258,
    'Emissions Policy Resource'!$B:$B,$D298,
    'Emissions Policy Resource'!$C:$C,X$260
  ))</f>
        <v>0</v>
      </c>
      <c r="Y298" s="14">
        <f>0.000001 * SUM(
  SUMIFS(
    'Emissions Policy Resource'!$D:$D,
    'Emissions Policy Resource'!$A:$A,$D$258,
    'Emissions Policy Resource'!$B:$B,$D298,
    'Emissions Policy Resource'!$C:$C,Y$260
  ))</f>
        <v>0</v>
      </c>
      <c r="Z298" s="14">
        <f>0.000001 * SUM(
  SUMIFS(
    'Emissions Policy Resource'!$D:$D,
    'Emissions Policy Resource'!$A:$A,$D$258,
    'Emissions Policy Resource'!$B:$B,$D298,
    'Emissions Policy Resource'!$C:$C,Z$260
  ))</f>
        <v>0</v>
      </c>
      <c r="AA298" s="14">
        <f>0.000001 * SUM(
  SUMIFS(
    'Emissions Policy Resource'!$D:$D,
    'Emissions Policy Resource'!$A:$A,$D$258,
    'Emissions Policy Resource'!$B:$B,$D298,
    'Emissions Policy Resource'!$C:$C,AA$260
  ))</f>
        <v>0</v>
      </c>
      <c r="AB298" s="14">
        <f>0.000001 * SUM(
  SUMIFS(
    'Emissions Policy Resource'!$D:$D,
    'Emissions Policy Resource'!$A:$A,$D$258,
    'Emissions Policy Resource'!$B:$B,$D298,
    'Emissions Policy Resource'!$C:$C,AB$260
  ))</f>
        <v>0</v>
      </c>
      <c r="AC298" s="14">
        <f>0.000001 * SUM(
  SUMIFS(
    'Emissions Policy Resource'!$D:$D,
    'Emissions Policy Resource'!$A:$A,$D$258,
    'Emissions Policy Resource'!$B:$B,$D298,
    'Emissions Policy Resource'!$C:$C,AC$260
  ))</f>
        <v>0</v>
      </c>
      <c r="AD298" s="14">
        <f>0.000001 * SUM(
  SUMIFS(
    'Emissions Policy Resource'!$D:$D,
    'Emissions Policy Resource'!$A:$A,$D$258,
    'Emissions Policy Resource'!$B:$B,$D298,
    'Emissions Policy Resource'!$C:$C,AD$260
  ))</f>
        <v>0</v>
      </c>
      <c r="AH298" s="34" t="s">
        <v>422</v>
      </c>
    </row>
    <row r="299" spans="4:34" ht="12.6" outlineLevel="2" thickBot="1" x14ac:dyDescent="0.25">
      <c r="D299" s="9" t="s">
        <v>163</v>
      </c>
      <c r="E299" s="13">
        <f t="shared" ref="E299" si="221">SUM(E289:E298)</f>
        <v>0</v>
      </c>
      <c r="F299" s="13">
        <f t="shared" ref="F299" si="222">SUM(F289:F298)</f>
        <v>0</v>
      </c>
      <c r="G299" s="13">
        <f t="shared" ref="G299" si="223">SUM(G289:G298)</f>
        <v>0</v>
      </c>
      <c r="H299" s="13">
        <f t="shared" ref="H299" si="224">SUM(H289:H298)</f>
        <v>0</v>
      </c>
      <c r="I299" s="13">
        <f t="shared" ref="I299" si="225">SUM(I289:I298)</f>
        <v>0</v>
      </c>
      <c r="J299" s="13">
        <f t="shared" ref="J299" si="226">SUM(J289:J298)</f>
        <v>0</v>
      </c>
      <c r="K299" s="13">
        <f t="shared" ref="K299" si="227">SUM(K289:K298)</f>
        <v>0</v>
      </c>
      <c r="L299" s="13">
        <f t="shared" ref="L299" si="228">SUM(L289:L298)</f>
        <v>0</v>
      </c>
      <c r="M299" s="13">
        <f t="shared" ref="M299" si="229">SUM(M289:M298)</f>
        <v>0</v>
      </c>
      <c r="N299" s="13">
        <f t="shared" ref="N299" si="230">SUM(N289:N298)</f>
        <v>0</v>
      </c>
      <c r="O299" s="13">
        <f t="shared" ref="O299" si="231">SUM(O289:O298)</f>
        <v>0</v>
      </c>
      <c r="P299" s="13">
        <f t="shared" ref="P299" si="232">SUM(P289:P298)</f>
        <v>0</v>
      </c>
      <c r="Q299" s="13">
        <f t="shared" ref="Q299" si="233">SUM(Q289:Q298)</f>
        <v>0</v>
      </c>
      <c r="R299" s="13">
        <f t="shared" ref="R299" si="234">SUM(R289:R298)</f>
        <v>0</v>
      </c>
      <c r="S299" s="13">
        <f t="shared" ref="S299" si="235">SUM(S289:S298)</f>
        <v>0</v>
      </c>
      <c r="T299" s="13">
        <f t="shared" ref="T299" si="236">SUM(T289:T298)</f>
        <v>0</v>
      </c>
      <c r="U299" s="13">
        <f t="shared" ref="U299" si="237">SUM(U289:U298)</f>
        <v>0</v>
      </c>
      <c r="V299" s="13">
        <f t="shared" ref="V299" si="238">SUM(V289:V298)</f>
        <v>0</v>
      </c>
      <c r="W299" s="13">
        <f t="shared" ref="W299" si="239">SUM(W289:W298)</f>
        <v>0</v>
      </c>
      <c r="X299" s="13">
        <f t="shared" ref="X299" si="240">SUM(X289:X298)</f>
        <v>0</v>
      </c>
      <c r="Y299" s="13">
        <f t="shared" ref="Y299" si="241">SUM(Y289:Y298)</f>
        <v>0</v>
      </c>
      <c r="Z299" s="13">
        <f t="shared" ref="Z299" si="242">SUM(Z289:Z298)</f>
        <v>0</v>
      </c>
      <c r="AA299" s="13">
        <f t="shared" ref="AA299" si="243">SUM(AA289:AA298)</f>
        <v>0</v>
      </c>
      <c r="AB299" s="13">
        <f t="shared" ref="AB299" si="244">SUM(AB289:AB298)</f>
        <v>0</v>
      </c>
      <c r="AC299" s="13">
        <f t="shared" ref="AC299" si="245">SUM(AC289:AC298)</f>
        <v>0</v>
      </c>
      <c r="AD299" s="13">
        <f t="shared" ref="AD299" si="246">SUM(AD289:AD298)</f>
        <v>5.7893034250351478</v>
      </c>
      <c r="AH299" s="34" t="s">
        <v>422</v>
      </c>
    </row>
    <row r="300" spans="4:34" ht="12" outlineLevel="2" thickTop="1" x14ac:dyDescent="0.2">
      <c r="AH300" s="34" t="s">
        <v>422</v>
      </c>
    </row>
    <row r="301" spans="4:34" ht="13.2" outlineLevel="2" x14ac:dyDescent="0.2">
      <c r="E301" s="2" t="s">
        <v>300</v>
      </c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H301" s="34" t="s">
        <v>422</v>
      </c>
    </row>
    <row r="302" spans="4:34" outlineLevel="2" x14ac:dyDescent="0.2">
      <c r="E302" s="7">
        <v>43831</v>
      </c>
      <c r="F302" s="7">
        <f t="shared" ref="F302:AC302" si="247">EDATE(E302,12)</f>
        <v>44197</v>
      </c>
      <c r="G302" s="7">
        <f t="shared" si="247"/>
        <v>44562</v>
      </c>
      <c r="H302" s="7">
        <f t="shared" si="247"/>
        <v>44927</v>
      </c>
      <c r="I302" s="7">
        <f t="shared" si="247"/>
        <v>45292</v>
      </c>
      <c r="J302" s="7">
        <f t="shared" si="247"/>
        <v>45658</v>
      </c>
      <c r="K302" s="7">
        <f t="shared" si="247"/>
        <v>46023</v>
      </c>
      <c r="L302" s="7">
        <f t="shared" si="247"/>
        <v>46388</v>
      </c>
      <c r="M302" s="7">
        <f t="shared" si="247"/>
        <v>46753</v>
      </c>
      <c r="N302" s="7">
        <f t="shared" si="247"/>
        <v>47119</v>
      </c>
      <c r="O302" s="7">
        <f t="shared" si="247"/>
        <v>47484</v>
      </c>
      <c r="P302" s="7">
        <f t="shared" si="247"/>
        <v>47849</v>
      </c>
      <c r="Q302" s="7">
        <f t="shared" si="247"/>
        <v>48214</v>
      </c>
      <c r="R302" s="7">
        <f t="shared" si="247"/>
        <v>48580</v>
      </c>
      <c r="S302" s="7">
        <f t="shared" si="247"/>
        <v>48945</v>
      </c>
      <c r="T302" s="7">
        <f t="shared" si="247"/>
        <v>49310</v>
      </c>
      <c r="U302" s="7">
        <f t="shared" si="247"/>
        <v>49675</v>
      </c>
      <c r="V302" s="7">
        <f t="shared" si="247"/>
        <v>50041</v>
      </c>
      <c r="W302" s="7">
        <f t="shared" si="247"/>
        <v>50406</v>
      </c>
      <c r="X302" s="7">
        <f t="shared" si="247"/>
        <v>50771</v>
      </c>
      <c r="Y302" s="7">
        <f t="shared" si="247"/>
        <v>51136</v>
      </c>
      <c r="Z302" s="7">
        <f t="shared" si="247"/>
        <v>51502</v>
      </c>
      <c r="AA302" s="7">
        <f t="shared" si="247"/>
        <v>51867</v>
      </c>
      <c r="AB302" s="7">
        <f t="shared" si="247"/>
        <v>52232</v>
      </c>
      <c r="AC302" s="7">
        <f t="shared" si="247"/>
        <v>52597</v>
      </c>
      <c r="AD302" s="7">
        <f>EDATE(AC302,12)</f>
        <v>52963</v>
      </c>
      <c r="AH302" s="34" t="s">
        <v>422</v>
      </c>
    </row>
    <row r="303" spans="4:34" outlineLevel="2" x14ac:dyDescent="0.2">
      <c r="D303" s="8" t="s">
        <v>22</v>
      </c>
      <c r="E303" s="29">
        <f t="shared" ref="E303:AD303" si="248">IFERROR(E289/E176,0)</f>
        <v>0</v>
      </c>
      <c r="F303" s="29">
        <f t="shared" si="248"/>
        <v>0</v>
      </c>
      <c r="G303" s="29">
        <f t="shared" si="248"/>
        <v>0</v>
      </c>
      <c r="H303" s="29">
        <f t="shared" si="248"/>
        <v>0</v>
      </c>
      <c r="I303" s="29">
        <f t="shared" si="248"/>
        <v>0</v>
      </c>
      <c r="J303" s="29">
        <f t="shared" si="248"/>
        <v>0</v>
      </c>
      <c r="K303" s="29">
        <f t="shared" si="248"/>
        <v>0</v>
      </c>
      <c r="L303" s="29">
        <f t="shared" si="248"/>
        <v>0</v>
      </c>
      <c r="M303" s="29">
        <f t="shared" si="248"/>
        <v>0</v>
      </c>
      <c r="N303" s="29">
        <f t="shared" si="248"/>
        <v>0</v>
      </c>
      <c r="O303" s="29">
        <f t="shared" si="248"/>
        <v>0</v>
      </c>
      <c r="P303" s="29">
        <f t="shared" si="248"/>
        <v>0</v>
      </c>
      <c r="Q303" s="29">
        <f t="shared" si="248"/>
        <v>0</v>
      </c>
      <c r="R303" s="29">
        <f t="shared" si="248"/>
        <v>0</v>
      </c>
      <c r="S303" s="29">
        <f t="shared" si="248"/>
        <v>0</v>
      </c>
      <c r="T303" s="29">
        <f t="shared" si="248"/>
        <v>0</v>
      </c>
      <c r="U303" s="29">
        <f t="shared" si="248"/>
        <v>0</v>
      </c>
      <c r="V303" s="29">
        <f t="shared" si="248"/>
        <v>0</v>
      </c>
      <c r="W303" s="29">
        <f t="shared" si="248"/>
        <v>0</v>
      </c>
      <c r="X303" s="29">
        <f t="shared" si="248"/>
        <v>0</v>
      </c>
      <c r="Y303" s="29">
        <f t="shared" si="248"/>
        <v>0</v>
      </c>
      <c r="Z303" s="29">
        <f t="shared" si="248"/>
        <v>0</v>
      </c>
      <c r="AA303" s="29">
        <f t="shared" si="248"/>
        <v>0</v>
      </c>
      <c r="AB303" s="29">
        <f t="shared" si="248"/>
        <v>0</v>
      </c>
      <c r="AC303" s="29">
        <f t="shared" si="248"/>
        <v>0</v>
      </c>
      <c r="AD303" s="29">
        <f t="shared" si="248"/>
        <v>0.39458212957403865</v>
      </c>
      <c r="AH303" s="34" t="s">
        <v>422</v>
      </c>
    </row>
    <row r="304" spans="4:34" outlineLevel="2" x14ac:dyDescent="0.2">
      <c r="D304" s="8" t="s">
        <v>23</v>
      </c>
      <c r="E304" s="29">
        <f t="shared" ref="E304:AD304" si="249">IFERROR(E290/E177,0)</f>
        <v>0</v>
      </c>
      <c r="F304" s="29">
        <f t="shared" si="249"/>
        <v>0</v>
      </c>
      <c r="G304" s="29">
        <f t="shared" si="249"/>
        <v>0</v>
      </c>
      <c r="H304" s="29">
        <f t="shared" si="249"/>
        <v>0</v>
      </c>
      <c r="I304" s="29">
        <f t="shared" si="249"/>
        <v>0</v>
      </c>
      <c r="J304" s="29">
        <f t="shared" si="249"/>
        <v>0</v>
      </c>
      <c r="K304" s="29">
        <f t="shared" si="249"/>
        <v>0</v>
      </c>
      <c r="L304" s="29">
        <f t="shared" si="249"/>
        <v>0</v>
      </c>
      <c r="M304" s="29">
        <f t="shared" si="249"/>
        <v>0</v>
      </c>
      <c r="N304" s="29">
        <f t="shared" si="249"/>
        <v>0</v>
      </c>
      <c r="O304" s="29">
        <f t="shared" si="249"/>
        <v>0</v>
      </c>
      <c r="P304" s="29">
        <f t="shared" si="249"/>
        <v>0</v>
      </c>
      <c r="Q304" s="29">
        <f t="shared" si="249"/>
        <v>0</v>
      </c>
      <c r="R304" s="29">
        <f t="shared" si="249"/>
        <v>0</v>
      </c>
      <c r="S304" s="29">
        <f t="shared" si="249"/>
        <v>0</v>
      </c>
      <c r="T304" s="29">
        <f t="shared" si="249"/>
        <v>0</v>
      </c>
      <c r="U304" s="29">
        <f t="shared" si="249"/>
        <v>0</v>
      </c>
      <c r="V304" s="29">
        <f t="shared" si="249"/>
        <v>0</v>
      </c>
      <c r="W304" s="29">
        <f t="shared" si="249"/>
        <v>0</v>
      </c>
      <c r="X304" s="29">
        <f t="shared" si="249"/>
        <v>0</v>
      </c>
      <c r="Y304" s="29">
        <f t="shared" si="249"/>
        <v>0</v>
      </c>
      <c r="Z304" s="29">
        <f t="shared" si="249"/>
        <v>0</v>
      </c>
      <c r="AA304" s="29">
        <f t="shared" si="249"/>
        <v>0</v>
      </c>
      <c r="AB304" s="29">
        <f t="shared" si="249"/>
        <v>0</v>
      </c>
      <c r="AC304" s="29">
        <f t="shared" si="249"/>
        <v>0</v>
      </c>
      <c r="AD304" s="29">
        <f t="shared" si="249"/>
        <v>0</v>
      </c>
      <c r="AH304" s="34" t="s">
        <v>422</v>
      </c>
    </row>
    <row r="305" spans="2:34" outlineLevel="2" x14ac:dyDescent="0.2">
      <c r="D305" s="8" t="s">
        <v>33</v>
      </c>
      <c r="E305" s="29">
        <f t="shared" ref="E305:AD305" si="250">IFERROR(E291/E178,0)</f>
        <v>0</v>
      </c>
      <c r="F305" s="29">
        <f t="shared" si="250"/>
        <v>0</v>
      </c>
      <c r="G305" s="29">
        <f t="shared" si="250"/>
        <v>0</v>
      </c>
      <c r="H305" s="29">
        <f t="shared" si="250"/>
        <v>0</v>
      </c>
      <c r="I305" s="29">
        <f t="shared" si="250"/>
        <v>0</v>
      </c>
      <c r="J305" s="29">
        <f t="shared" si="250"/>
        <v>0</v>
      </c>
      <c r="K305" s="29">
        <f t="shared" si="250"/>
        <v>0</v>
      </c>
      <c r="L305" s="29">
        <f t="shared" si="250"/>
        <v>0</v>
      </c>
      <c r="M305" s="29">
        <f t="shared" si="250"/>
        <v>0</v>
      </c>
      <c r="N305" s="29">
        <f t="shared" si="250"/>
        <v>0</v>
      </c>
      <c r="O305" s="29">
        <f t="shared" si="250"/>
        <v>0</v>
      </c>
      <c r="P305" s="29">
        <f t="shared" si="250"/>
        <v>0</v>
      </c>
      <c r="Q305" s="29">
        <f t="shared" si="250"/>
        <v>0</v>
      </c>
      <c r="R305" s="29">
        <f t="shared" si="250"/>
        <v>0</v>
      </c>
      <c r="S305" s="29">
        <f t="shared" si="250"/>
        <v>0</v>
      </c>
      <c r="T305" s="29">
        <f t="shared" si="250"/>
        <v>0</v>
      </c>
      <c r="U305" s="29">
        <f t="shared" si="250"/>
        <v>0</v>
      </c>
      <c r="V305" s="29">
        <f t="shared" si="250"/>
        <v>0</v>
      </c>
      <c r="W305" s="29">
        <f t="shared" si="250"/>
        <v>0</v>
      </c>
      <c r="X305" s="29">
        <f t="shared" si="250"/>
        <v>0</v>
      </c>
      <c r="Y305" s="29">
        <f t="shared" si="250"/>
        <v>0</v>
      </c>
      <c r="Z305" s="29">
        <f t="shared" si="250"/>
        <v>0</v>
      </c>
      <c r="AA305" s="29">
        <f t="shared" si="250"/>
        <v>0</v>
      </c>
      <c r="AB305" s="29">
        <f t="shared" si="250"/>
        <v>0</v>
      </c>
      <c r="AC305" s="29">
        <f t="shared" si="250"/>
        <v>0</v>
      </c>
      <c r="AD305" s="29">
        <f t="shared" si="250"/>
        <v>0</v>
      </c>
      <c r="AH305" s="34" t="s">
        <v>422</v>
      </c>
    </row>
    <row r="306" spans="2:34" outlineLevel="2" x14ac:dyDescent="0.2">
      <c r="D306" s="8" t="s">
        <v>34</v>
      </c>
      <c r="E306" s="29">
        <f t="shared" ref="E306:AD306" si="251">IFERROR(E292/E179,0)</f>
        <v>0</v>
      </c>
      <c r="F306" s="29">
        <f t="shared" si="251"/>
        <v>0</v>
      </c>
      <c r="G306" s="29">
        <f t="shared" si="251"/>
        <v>0</v>
      </c>
      <c r="H306" s="29">
        <f t="shared" si="251"/>
        <v>0</v>
      </c>
      <c r="I306" s="29">
        <f t="shared" si="251"/>
        <v>0</v>
      </c>
      <c r="J306" s="29">
        <f t="shared" si="251"/>
        <v>0</v>
      </c>
      <c r="K306" s="29">
        <f t="shared" si="251"/>
        <v>0</v>
      </c>
      <c r="L306" s="29">
        <f t="shared" si="251"/>
        <v>0</v>
      </c>
      <c r="M306" s="29">
        <f t="shared" si="251"/>
        <v>0</v>
      </c>
      <c r="N306" s="29">
        <f t="shared" si="251"/>
        <v>0</v>
      </c>
      <c r="O306" s="29">
        <f t="shared" si="251"/>
        <v>0</v>
      </c>
      <c r="P306" s="29">
        <f t="shared" si="251"/>
        <v>0</v>
      </c>
      <c r="Q306" s="29">
        <f t="shared" si="251"/>
        <v>0</v>
      </c>
      <c r="R306" s="29">
        <f t="shared" si="251"/>
        <v>0</v>
      </c>
      <c r="S306" s="29">
        <f t="shared" si="251"/>
        <v>0</v>
      </c>
      <c r="T306" s="29">
        <f t="shared" si="251"/>
        <v>0</v>
      </c>
      <c r="U306" s="29">
        <f t="shared" si="251"/>
        <v>0</v>
      </c>
      <c r="V306" s="29">
        <f t="shared" si="251"/>
        <v>0</v>
      </c>
      <c r="W306" s="29">
        <f t="shared" si="251"/>
        <v>0</v>
      </c>
      <c r="X306" s="29">
        <f t="shared" si="251"/>
        <v>0</v>
      </c>
      <c r="Y306" s="29">
        <f t="shared" si="251"/>
        <v>0</v>
      </c>
      <c r="Z306" s="29">
        <f t="shared" si="251"/>
        <v>0</v>
      </c>
      <c r="AA306" s="29">
        <f t="shared" si="251"/>
        <v>0</v>
      </c>
      <c r="AB306" s="29">
        <f t="shared" si="251"/>
        <v>0</v>
      </c>
      <c r="AC306" s="29">
        <f t="shared" si="251"/>
        <v>0</v>
      </c>
      <c r="AD306" s="29">
        <f t="shared" si="251"/>
        <v>0</v>
      </c>
      <c r="AH306" s="34" t="s">
        <v>422</v>
      </c>
    </row>
    <row r="307" spans="2:34" outlineLevel="2" x14ac:dyDescent="0.2">
      <c r="D307" s="8" t="s">
        <v>16</v>
      </c>
      <c r="E307" s="29">
        <f t="shared" ref="E307:AD307" si="252">IFERROR(E293/E180,0)</f>
        <v>0</v>
      </c>
      <c r="F307" s="29">
        <f t="shared" si="252"/>
        <v>0</v>
      </c>
      <c r="G307" s="29">
        <f t="shared" si="252"/>
        <v>0</v>
      </c>
      <c r="H307" s="29">
        <f t="shared" si="252"/>
        <v>0</v>
      </c>
      <c r="I307" s="29">
        <f t="shared" si="252"/>
        <v>0</v>
      </c>
      <c r="J307" s="29">
        <f t="shared" si="252"/>
        <v>0</v>
      </c>
      <c r="K307" s="29">
        <f t="shared" si="252"/>
        <v>0</v>
      </c>
      <c r="L307" s="29">
        <f t="shared" si="252"/>
        <v>0</v>
      </c>
      <c r="M307" s="29">
        <f t="shared" si="252"/>
        <v>0</v>
      </c>
      <c r="N307" s="29">
        <f t="shared" si="252"/>
        <v>0</v>
      </c>
      <c r="O307" s="29">
        <f t="shared" si="252"/>
        <v>0</v>
      </c>
      <c r="P307" s="29">
        <f t="shared" si="252"/>
        <v>0</v>
      </c>
      <c r="Q307" s="29">
        <f t="shared" si="252"/>
        <v>0</v>
      </c>
      <c r="R307" s="29">
        <f t="shared" si="252"/>
        <v>0</v>
      </c>
      <c r="S307" s="29">
        <f t="shared" si="252"/>
        <v>0</v>
      </c>
      <c r="T307" s="29">
        <f t="shared" si="252"/>
        <v>0</v>
      </c>
      <c r="U307" s="29">
        <f t="shared" si="252"/>
        <v>0</v>
      </c>
      <c r="V307" s="29">
        <f t="shared" si="252"/>
        <v>0</v>
      </c>
      <c r="W307" s="29">
        <f t="shared" si="252"/>
        <v>0</v>
      </c>
      <c r="X307" s="29">
        <f t="shared" si="252"/>
        <v>0</v>
      </c>
      <c r="Y307" s="29">
        <f t="shared" si="252"/>
        <v>0</v>
      </c>
      <c r="Z307" s="29">
        <f t="shared" si="252"/>
        <v>0</v>
      </c>
      <c r="AA307" s="29">
        <f t="shared" si="252"/>
        <v>0</v>
      </c>
      <c r="AB307" s="29">
        <f t="shared" si="252"/>
        <v>0</v>
      </c>
      <c r="AC307" s="29">
        <f t="shared" si="252"/>
        <v>0</v>
      </c>
      <c r="AD307" s="29">
        <f t="shared" si="252"/>
        <v>0.3819015899032806</v>
      </c>
      <c r="AH307" s="34" t="s">
        <v>422</v>
      </c>
    </row>
    <row r="308" spans="2:34" outlineLevel="2" x14ac:dyDescent="0.2">
      <c r="D308" s="8" t="s">
        <v>17</v>
      </c>
      <c r="E308" s="29">
        <f t="shared" ref="E308:AD308" si="253">IFERROR(E294/E181,0)</f>
        <v>0</v>
      </c>
      <c r="F308" s="29">
        <f t="shared" si="253"/>
        <v>0</v>
      </c>
      <c r="G308" s="29">
        <f t="shared" si="253"/>
        <v>0</v>
      </c>
      <c r="H308" s="29">
        <f t="shared" si="253"/>
        <v>0</v>
      </c>
      <c r="I308" s="29">
        <f t="shared" si="253"/>
        <v>0</v>
      </c>
      <c r="J308" s="29">
        <f t="shared" si="253"/>
        <v>0</v>
      </c>
      <c r="K308" s="29">
        <f t="shared" si="253"/>
        <v>0</v>
      </c>
      <c r="L308" s="29">
        <f t="shared" si="253"/>
        <v>0</v>
      </c>
      <c r="M308" s="29">
        <f t="shared" si="253"/>
        <v>0</v>
      </c>
      <c r="N308" s="29">
        <f t="shared" si="253"/>
        <v>0</v>
      </c>
      <c r="O308" s="29">
        <f t="shared" si="253"/>
        <v>0</v>
      </c>
      <c r="P308" s="29">
        <f t="shared" si="253"/>
        <v>0</v>
      </c>
      <c r="Q308" s="29">
        <f t="shared" si="253"/>
        <v>0</v>
      </c>
      <c r="R308" s="29">
        <f t="shared" si="253"/>
        <v>0</v>
      </c>
      <c r="S308" s="29">
        <f t="shared" si="253"/>
        <v>0</v>
      </c>
      <c r="T308" s="29">
        <f t="shared" si="253"/>
        <v>0</v>
      </c>
      <c r="U308" s="29">
        <f t="shared" si="253"/>
        <v>0</v>
      </c>
      <c r="V308" s="29">
        <f t="shared" si="253"/>
        <v>0</v>
      </c>
      <c r="W308" s="29">
        <f t="shared" si="253"/>
        <v>0</v>
      </c>
      <c r="X308" s="29">
        <f t="shared" si="253"/>
        <v>0</v>
      </c>
      <c r="Y308" s="29">
        <f t="shared" si="253"/>
        <v>0</v>
      </c>
      <c r="Z308" s="29">
        <f t="shared" si="253"/>
        <v>0</v>
      </c>
      <c r="AA308" s="29">
        <f t="shared" si="253"/>
        <v>0</v>
      </c>
      <c r="AB308" s="29">
        <f t="shared" si="253"/>
        <v>0</v>
      </c>
      <c r="AC308" s="29">
        <f t="shared" si="253"/>
        <v>0</v>
      </c>
      <c r="AD308" s="29">
        <f t="shared" si="253"/>
        <v>0</v>
      </c>
      <c r="AH308" s="34" t="s">
        <v>422</v>
      </c>
    </row>
    <row r="309" spans="2:34" outlineLevel="2" x14ac:dyDescent="0.2">
      <c r="D309" s="8" t="s">
        <v>35</v>
      </c>
      <c r="E309" s="29">
        <f t="shared" ref="E309:AD309" si="254">IFERROR(E295/E182,0)</f>
        <v>0</v>
      </c>
      <c r="F309" s="29">
        <f t="shared" si="254"/>
        <v>0</v>
      </c>
      <c r="G309" s="29">
        <f t="shared" si="254"/>
        <v>0</v>
      </c>
      <c r="H309" s="29">
        <f t="shared" si="254"/>
        <v>0</v>
      </c>
      <c r="I309" s="29">
        <f t="shared" si="254"/>
        <v>0</v>
      </c>
      <c r="J309" s="29">
        <f t="shared" si="254"/>
        <v>0</v>
      </c>
      <c r="K309" s="29">
        <f t="shared" si="254"/>
        <v>0</v>
      </c>
      <c r="L309" s="29">
        <f t="shared" si="254"/>
        <v>0</v>
      </c>
      <c r="M309" s="29">
        <f t="shared" si="254"/>
        <v>0</v>
      </c>
      <c r="N309" s="29">
        <f t="shared" si="254"/>
        <v>0</v>
      </c>
      <c r="O309" s="29">
        <f t="shared" si="254"/>
        <v>0</v>
      </c>
      <c r="P309" s="29">
        <f t="shared" si="254"/>
        <v>0</v>
      </c>
      <c r="Q309" s="29">
        <f t="shared" si="254"/>
        <v>0</v>
      </c>
      <c r="R309" s="29">
        <f t="shared" si="254"/>
        <v>0</v>
      </c>
      <c r="S309" s="29">
        <f t="shared" si="254"/>
        <v>0</v>
      </c>
      <c r="T309" s="29">
        <f t="shared" si="254"/>
        <v>0</v>
      </c>
      <c r="U309" s="29">
        <f t="shared" si="254"/>
        <v>0</v>
      </c>
      <c r="V309" s="29">
        <f t="shared" si="254"/>
        <v>0</v>
      </c>
      <c r="W309" s="29">
        <f t="shared" si="254"/>
        <v>0</v>
      </c>
      <c r="X309" s="29">
        <f t="shared" si="254"/>
        <v>0</v>
      </c>
      <c r="Y309" s="29">
        <f t="shared" si="254"/>
        <v>0</v>
      </c>
      <c r="Z309" s="29">
        <f t="shared" si="254"/>
        <v>0</v>
      </c>
      <c r="AA309" s="29">
        <f t="shared" si="254"/>
        <v>0</v>
      </c>
      <c r="AB309" s="29">
        <f t="shared" si="254"/>
        <v>0</v>
      </c>
      <c r="AC309" s="29">
        <f t="shared" si="254"/>
        <v>0</v>
      </c>
      <c r="AD309" s="29">
        <f t="shared" si="254"/>
        <v>0</v>
      </c>
      <c r="AH309" s="34" t="s">
        <v>422</v>
      </c>
    </row>
    <row r="310" spans="2:34" outlineLevel="2" x14ac:dyDescent="0.2">
      <c r="D310" s="8" t="s">
        <v>25</v>
      </c>
      <c r="E310" s="29">
        <f t="shared" ref="E310:AD310" si="255">IFERROR(E296/E183,0)</f>
        <v>0</v>
      </c>
      <c r="F310" s="29">
        <f t="shared" si="255"/>
        <v>0</v>
      </c>
      <c r="G310" s="29">
        <f t="shared" si="255"/>
        <v>0</v>
      </c>
      <c r="H310" s="29">
        <f t="shared" si="255"/>
        <v>0</v>
      </c>
      <c r="I310" s="29">
        <f t="shared" si="255"/>
        <v>0</v>
      </c>
      <c r="J310" s="29">
        <f t="shared" si="255"/>
        <v>0</v>
      </c>
      <c r="K310" s="29">
        <f t="shared" si="255"/>
        <v>0</v>
      </c>
      <c r="L310" s="29">
        <f t="shared" si="255"/>
        <v>0</v>
      </c>
      <c r="M310" s="29">
        <f t="shared" si="255"/>
        <v>0</v>
      </c>
      <c r="N310" s="29">
        <f t="shared" si="255"/>
        <v>0</v>
      </c>
      <c r="O310" s="29">
        <f t="shared" si="255"/>
        <v>0</v>
      </c>
      <c r="P310" s="29">
        <f t="shared" si="255"/>
        <v>0</v>
      </c>
      <c r="Q310" s="29">
        <f t="shared" si="255"/>
        <v>0</v>
      </c>
      <c r="R310" s="29">
        <f t="shared" si="255"/>
        <v>0</v>
      </c>
      <c r="S310" s="29">
        <f t="shared" si="255"/>
        <v>0</v>
      </c>
      <c r="T310" s="29">
        <f t="shared" si="255"/>
        <v>0</v>
      </c>
      <c r="U310" s="29">
        <f t="shared" si="255"/>
        <v>0</v>
      </c>
      <c r="V310" s="29">
        <f t="shared" si="255"/>
        <v>0</v>
      </c>
      <c r="W310" s="29">
        <f t="shared" si="255"/>
        <v>0</v>
      </c>
      <c r="X310" s="29">
        <f t="shared" si="255"/>
        <v>0</v>
      </c>
      <c r="Y310" s="29">
        <f t="shared" si="255"/>
        <v>0</v>
      </c>
      <c r="Z310" s="29">
        <f t="shared" si="255"/>
        <v>0</v>
      </c>
      <c r="AA310" s="29">
        <f t="shared" si="255"/>
        <v>0</v>
      </c>
      <c r="AB310" s="29">
        <f t="shared" si="255"/>
        <v>0</v>
      </c>
      <c r="AC310" s="29">
        <f t="shared" si="255"/>
        <v>0</v>
      </c>
      <c r="AD310" s="29">
        <f t="shared" si="255"/>
        <v>0</v>
      </c>
      <c r="AH310" s="34" t="s">
        <v>422</v>
      </c>
    </row>
    <row r="311" spans="2:34" outlineLevel="2" x14ac:dyDescent="0.2">
      <c r="D311" s="8" t="s">
        <v>49</v>
      </c>
      <c r="E311" s="29">
        <f t="shared" ref="E311:AD311" si="256">IFERROR(E297/E184,0)</f>
        <v>0</v>
      </c>
      <c r="F311" s="29">
        <f t="shared" si="256"/>
        <v>0</v>
      </c>
      <c r="G311" s="29">
        <f t="shared" si="256"/>
        <v>0</v>
      </c>
      <c r="H311" s="29">
        <f t="shared" si="256"/>
        <v>0</v>
      </c>
      <c r="I311" s="29">
        <f t="shared" si="256"/>
        <v>0</v>
      </c>
      <c r="J311" s="29">
        <f t="shared" si="256"/>
        <v>0</v>
      </c>
      <c r="K311" s="29">
        <f t="shared" si="256"/>
        <v>0</v>
      </c>
      <c r="L311" s="29">
        <f t="shared" si="256"/>
        <v>0</v>
      </c>
      <c r="M311" s="29">
        <f t="shared" si="256"/>
        <v>0</v>
      </c>
      <c r="N311" s="29">
        <f t="shared" si="256"/>
        <v>0</v>
      </c>
      <c r="O311" s="29">
        <f t="shared" si="256"/>
        <v>0</v>
      </c>
      <c r="P311" s="29">
        <f t="shared" si="256"/>
        <v>0</v>
      </c>
      <c r="Q311" s="29">
        <f t="shared" si="256"/>
        <v>0</v>
      </c>
      <c r="R311" s="29">
        <f t="shared" si="256"/>
        <v>0</v>
      </c>
      <c r="S311" s="29">
        <f t="shared" si="256"/>
        <v>0</v>
      </c>
      <c r="T311" s="29">
        <f t="shared" si="256"/>
        <v>0</v>
      </c>
      <c r="U311" s="29">
        <f t="shared" si="256"/>
        <v>0</v>
      </c>
      <c r="V311" s="29">
        <f t="shared" si="256"/>
        <v>0</v>
      </c>
      <c r="W311" s="29">
        <f t="shared" si="256"/>
        <v>0</v>
      </c>
      <c r="X311" s="29">
        <f t="shared" si="256"/>
        <v>0</v>
      </c>
      <c r="Y311" s="29">
        <f t="shared" si="256"/>
        <v>0</v>
      </c>
      <c r="Z311" s="29">
        <f t="shared" si="256"/>
        <v>0</v>
      </c>
      <c r="AA311" s="29">
        <f t="shared" si="256"/>
        <v>0</v>
      </c>
      <c r="AB311" s="29">
        <f t="shared" si="256"/>
        <v>0</v>
      </c>
      <c r="AC311" s="29">
        <f t="shared" si="256"/>
        <v>0</v>
      </c>
      <c r="AD311" s="29">
        <f t="shared" si="256"/>
        <v>0</v>
      </c>
      <c r="AH311" s="34" t="s">
        <v>422</v>
      </c>
    </row>
    <row r="312" spans="2:34" outlineLevel="2" x14ac:dyDescent="0.2">
      <c r="D312" s="8" t="s">
        <v>24</v>
      </c>
      <c r="E312" s="29">
        <f t="shared" ref="E312:AD312" si="257">IFERROR(E298/E185,0)</f>
        <v>0</v>
      </c>
      <c r="F312" s="29">
        <f t="shared" si="257"/>
        <v>0</v>
      </c>
      <c r="G312" s="29">
        <f t="shared" si="257"/>
        <v>0</v>
      </c>
      <c r="H312" s="29">
        <f t="shared" si="257"/>
        <v>0</v>
      </c>
      <c r="I312" s="29">
        <f t="shared" si="257"/>
        <v>0</v>
      </c>
      <c r="J312" s="29">
        <f t="shared" si="257"/>
        <v>0</v>
      </c>
      <c r="K312" s="29">
        <f t="shared" si="257"/>
        <v>0</v>
      </c>
      <c r="L312" s="29">
        <f t="shared" si="257"/>
        <v>0</v>
      </c>
      <c r="M312" s="29">
        <f t="shared" si="257"/>
        <v>0</v>
      </c>
      <c r="N312" s="29">
        <f t="shared" si="257"/>
        <v>0</v>
      </c>
      <c r="O312" s="29">
        <f t="shared" si="257"/>
        <v>0</v>
      </c>
      <c r="P312" s="29">
        <f t="shared" si="257"/>
        <v>0</v>
      </c>
      <c r="Q312" s="29">
        <f t="shared" si="257"/>
        <v>0</v>
      </c>
      <c r="R312" s="29">
        <f t="shared" si="257"/>
        <v>0</v>
      </c>
      <c r="S312" s="29">
        <f t="shared" si="257"/>
        <v>0</v>
      </c>
      <c r="T312" s="29">
        <f t="shared" si="257"/>
        <v>0</v>
      </c>
      <c r="U312" s="29">
        <f t="shared" si="257"/>
        <v>0</v>
      </c>
      <c r="V312" s="29">
        <f t="shared" si="257"/>
        <v>0</v>
      </c>
      <c r="W312" s="29">
        <f t="shared" si="257"/>
        <v>0</v>
      </c>
      <c r="X312" s="29">
        <f t="shared" si="257"/>
        <v>0</v>
      </c>
      <c r="Y312" s="29">
        <f t="shared" si="257"/>
        <v>0</v>
      </c>
      <c r="Z312" s="29">
        <f t="shared" si="257"/>
        <v>0</v>
      </c>
      <c r="AA312" s="29">
        <f t="shared" si="257"/>
        <v>0</v>
      </c>
      <c r="AB312" s="29">
        <f t="shared" si="257"/>
        <v>0</v>
      </c>
      <c r="AC312" s="29">
        <f t="shared" si="257"/>
        <v>0</v>
      </c>
      <c r="AD312" s="29">
        <f t="shared" si="257"/>
        <v>0</v>
      </c>
      <c r="AH312" s="34" t="s">
        <v>422</v>
      </c>
    </row>
    <row r="313" spans="2:34" ht="12.6" outlineLevel="2" thickBot="1" x14ac:dyDescent="0.25">
      <c r="D313" s="9" t="s">
        <v>163</v>
      </c>
      <c r="E313" s="30">
        <f t="shared" ref="E313:AD313" si="258">IFERROR(E299/E186,0)</f>
        <v>0</v>
      </c>
      <c r="F313" s="30">
        <f t="shared" si="258"/>
        <v>0</v>
      </c>
      <c r="G313" s="30">
        <f t="shared" si="258"/>
        <v>0</v>
      </c>
      <c r="H313" s="30">
        <f t="shared" si="258"/>
        <v>0</v>
      </c>
      <c r="I313" s="30">
        <f t="shared" si="258"/>
        <v>0</v>
      </c>
      <c r="J313" s="30">
        <f t="shared" si="258"/>
        <v>0</v>
      </c>
      <c r="K313" s="30">
        <f t="shared" si="258"/>
        <v>0</v>
      </c>
      <c r="L313" s="30">
        <f t="shared" si="258"/>
        <v>0</v>
      </c>
      <c r="M313" s="30">
        <f t="shared" si="258"/>
        <v>0</v>
      </c>
      <c r="N313" s="30">
        <f t="shared" si="258"/>
        <v>0</v>
      </c>
      <c r="O313" s="30">
        <f t="shared" si="258"/>
        <v>0</v>
      </c>
      <c r="P313" s="30">
        <f t="shared" si="258"/>
        <v>0</v>
      </c>
      <c r="Q313" s="30">
        <f t="shared" si="258"/>
        <v>0</v>
      </c>
      <c r="R313" s="30">
        <f t="shared" si="258"/>
        <v>0</v>
      </c>
      <c r="S313" s="30">
        <f t="shared" si="258"/>
        <v>0</v>
      </c>
      <c r="T313" s="30">
        <f t="shared" si="258"/>
        <v>0</v>
      </c>
      <c r="U313" s="30">
        <f t="shared" si="258"/>
        <v>0</v>
      </c>
      <c r="V313" s="30">
        <f t="shared" si="258"/>
        <v>0</v>
      </c>
      <c r="W313" s="30">
        <f t="shared" si="258"/>
        <v>0</v>
      </c>
      <c r="X313" s="30">
        <f t="shared" si="258"/>
        <v>0</v>
      </c>
      <c r="Y313" s="30">
        <f t="shared" si="258"/>
        <v>0</v>
      </c>
      <c r="Z313" s="30">
        <f t="shared" si="258"/>
        <v>0</v>
      </c>
      <c r="AA313" s="30">
        <f t="shared" si="258"/>
        <v>0</v>
      </c>
      <c r="AB313" s="30">
        <f t="shared" si="258"/>
        <v>0</v>
      </c>
      <c r="AC313" s="30">
        <f t="shared" si="258"/>
        <v>0</v>
      </c>
      <c r="AD313" s="30">
        <f t="shared" si="258"/>
        <v>0.38969316729073122</v>
      </c>
      <c r="AH313" s="34" t="s">
        <v>422</v>
      </c>
    </row>
    <row r="314" spans="2:34" ht="12" outlineLevel="1" thickTop="1" x14ac:dyDescent="0.2">
      <c r="AH314" s="34"/>
    </row>
    <row r="315" spans="2:34" x14ac:dyDescent="0.2">
      <c r="AH315" s="34"/>
    </row>
    <row r="316" spans="2:34" ht="18" thickBot="1" x14ac:dyDescent="0.25">
      <c r="B316" s="6" t="s">
        <v>199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H316" s="34"/>
    </row>
    <row r="317" spans="2:34" outlineLevel="1" x14ac:dyDescent="0.2">
      <c r="C317" s="15" t="s">
        <v>173</v>
      </c>
      <c r="D317" s="15"/>
      <c r="AH317" s="34"/>
    </row>
    <row r="318" spans="2:34" outlineLevel="1" x14ac:dyDescent="0.2">
      <c r="C318" s="15" t="s">
        <v>213</v>
      </c>
      <c r="D318" s="15" t="s">
        <v>287</v>
      </c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H318" s="34"/>
    </row>
    <row r="319" spans="2:34" ht="13.2" outlineLevel="1" x14ac:dyDescent="0.2">
      <c r="E319" s="2" t="s">
        <v>200</v>
      </c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H319" s="34"/>
    </row>
    <row r="320" spans="2:34" outlineLevel="1" x14ac:dyDescent="0.2">
      <c r="E320" s="7">
        <v>43831</v>
      </c>
      <c r="F320" s="7">
        <f>EDATE(E320,12)</f>
        <v>44197</v>
      </c>
      <c r="G320" s="7">
        <f t="shared" ref="G320:AC320" si="259">EDATE(F320,12)</f>
        <v>44562</v>
      </c>
      <c r="H320" s="7">
        <f t="shared" si="259"/>
        <v>44927</v>
      </c>
      <c r="I320" s="7">
        <f t="shared" si="259"/>
        <v>45292</v>
      </c>
      <c r="J320" s="7">
        <f t="shared" si="259"/>
        <v>45658</v>
      </c>
      <c r="K320" s="7">
        <f t="shared" si="259"/>
        <v>46023</v>
      </c>
      <c r="L320" s="7">
        <f t="shared" si="259"/>
        <v>46388</v>
      </c>
      <c r="M320" s="7">
        <f t="shared" si="259"/>
        <v>46753</v>
      </c>
      <c r="N320" s="7">
        <f t="shared" si="259"/>
        <v>47119</v>
      </c>
      <c r="O320" s="7">
        <f t="shared" si="259"/>
        <v>47484</v>
      </c>
      <c r="P320" s="7">
        <f t="shared" si="259"/>
        <v>47849</v>
      </c>
      <c r="Q320" s="7">
        <f t="shared" si="259"/>
        <v>48214</v>
      </c>
      <c r="R320" s="7">
        <f t="shared" si="259"/>
        <v>48580</v>
      </c>
      <c r="S320" s="7">
        <f t="shared" si="259"/>
        <v>48945</v>
      </c>
      <c r="T320" s="7">
        <f t="shared" si="259"/>
        <v>49310</v>
      </c>
      <c r="U320" s="7">
        <f t="shared" si="259"/>
        <v>49675</v>
      </c>
      <c r="V320" s="7">
        <f t="shared" si="259"/>
        <v>50041</v>
      </c>
      <c r="W320" s="7">
        <f t="shared" si="259"/>
        <v>50406</v>
      </c>
      <c r="X320" s="7">
        <f t="shared" si="259"/>
        <v>50771</v>
      </c>
      <c r="Y320" s="7">
        <f t="shared" si="259"/>
        <v>51136</v>
      </c>
      <c r="Z320" s="7">
        <f t="shared" si="259"/>
        <v>51502</v>
      </c>
      <c r="AA320" s="7">
        <f t="shared" si="259"/>
        <v>51867</v>
      </c>
      <c r="AB320" s="7">
        <f t="shared" si="259"/>
        <v>52232</v>
      </c>
      <c r="AC320" s="7">
        <f t="shared" si="259"/>
        <v>52597</v>
      </c>
      <c r="AD320" s="7">
        <f>EDATE(AC320,12)</f>
        <v>52963</v>
      </c>
      <c r="AH320" s="34"/>
    </row>
    <row r="321" spans="2:36" outlineLevel="1" x14ac:dyDescent="0.2">
      <c r="D321" s="8" t="s">
        <v>201</v>
      </c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H321" s="34"/>
      <c r="AJ321" t="s">
        <v>217</v>
      </c>
    </row>
    <row r="322" spans="2:36" outlineLevel="1" x14ac:dyDescent="0.2">
      <c r="D322" s="8" t="s">
        <v>203</v>
      </c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H322" s="34"/>
    </row>
    <row r="323" spans="2:36" outlineLevel="1" x14ac:dyDescent="0.2">
      <c r="D323" s="8" t="s">
        <v>202</v>
      </c>
      <c r="E323" s="19">
        <v>8.4187899498920409</v>
      </c>
      <c r="F323" s="19">
        <v>8.5285261768999998</v>
      </c>
      <c r="G323" s="19">
        <v>8.5285261768999998</v>
      </c>
      <c r="H323" s="19">
        <v>8.5285261768999998</v>
      </c>
      <c r="I323" s="19">
        <v>8.5285261768999998</v>
      </c>
      <c r="J323" s="19">
        <v>8.5285261768999998</v>
      </c>
      <c r="K323" s="19">
        <v>8.5285261768999998</v>
      </c>
      <c r="L323" s="19">
        <v>8.5285261768999998</v>
      </c>
      <c r="M323" s="19">
        <v>8.5285261768999998</v>
      </c>
      <c r="N323" s="19">
        <v>8.5285261768999998</v>
      </c>
      <c r="O323" s="19">
        <v>8.5285261768999998</v>
      </c>
      <c r="P323" s="19">
        <v>8.5285261768999998</v>
      </c>
      <c r="Q323" s="19">
        <v>8.5285261768999998</v>
      </c>
      <c r="R323" s="19">
        <v>8.5285261768999998</v>
      </c>
      <c r="S323" s="19">
        <v>8.5285261768999998</v>
      </c>
      <c r="T323" s="19">
        <v>8.5285261768999998</v>
      </c>
      <c r="U323" s="19">
        <v>8.5285261768999998</v>
      </c>
      <c r="V323" s="19">
        <v>8.5285261768999998</v>
      </c>
      <c r="W323" s="19">
        <v>8.5285261768999998</v>
      </c>
      <c r="X323" s="19">
        <v>8.5285261768999998</v>
      </c>
      <c r="Y323" s="19">
        <v>8.5285261768999998</v>
      </c>
      <c r="Z323" s="19">
        <v>8.5285261768999998</v>
      </c>
      <c r="AA323" s="19">
        <v>8.5285261768999998</v>
      </c>
      <c r="AB323" s="19">
        <v>8.5285261768999998</v>
      </c>
      <c r="AC323" s="19">
        <v>8.5285261768999998</v>
      </c>
      <c r="AD323" s="19">
        <v>8.5285261768999998</v>
      </c>
      <c r="AH323" s="34" t="s">
        <v>422</v>
      </c>
    </row>
    <row r="324" spans="2:36" ht="12.6" outlineLevel="1" thickBot="1" x14ac:dyDescent="0.25">
      <c r="D324" s="9" t="s">
        <v>249</v>
      </c>
      <c r="E324" s="13">
        <f>0.000001 * SUMIFS('Policy Summary'!$C:$C,'Policy Summary'!$A:$A,$D$318,'Policy Summary'!$B:$B,E$327)</f>
        <v>0</v>
      </c>
      <c r="F324" s="13">
        <f>0.000001 * SUMIFS('Policy Summary'!$C:$C,'Policy Summary'!$A:$A,$D$318,'Policy Summary'!$B:$B,F$327)</f>
        <v>0</v>
      </c>
      <c r="G324" s="13">
        <f>0.000001 * SUMIFS('Policy Summary'!$C:$C,'Policy Summary'!$A:$A,$D$318,'Policy Summary'!$B:$B,G$327)</f>
        <v>0</v>
      </c>
      <c r="H324" s="13">
        <f>0.000001 * SUMIFS('Policy Summary'!$C:$C,'Policy Summary'!$A:$A,$D$318,'Policy Summary'!$B:$B,H$327)</f>
        <v>0</v>
      </c>
      <c r="I324" s="13">
        <f>0.000001 * SUMIFS('Policy Summary'!$C:$C,'Policy Summary'!$A:$A,$D$318,'Policy Summary'!$B:$B,I$327)</f>
        <v>0</v>
      </c>
      <c r="J324" s="13">
        <f>0.000001 * SUMIFS('Policy Summary'!$C:$C,'Policy Summary'!$A:$A,$D$318,'Policy Summary'!$B:$B,J$327)</f>
        <v>0</v>
      </c>
      <c r="K324" s="13">
        <f>0.000001 * SUMIFS('Policy Summary'!$C:$C,'Policy Summary'!$A:$A,$D$318,'Policy Summary'!$B:$B,K$327)</f>
        <v>0</v>
      </c>
      <c r="L324" s="13">
        <f>0.000001 * SUMIFS('Policy Summary'!$C:$C,'Policy Summary'!$A:$A,$D$318,'Policy Summary'!$B:$B,L$327)</f>
        <v>0</v>
      </c>
      <c r="M324" s="13">
        <f>0.000001 * SUMIFS('Policy Summary'!$C:$C,'Policy Summary'!$A:$A,$D$318,'Policy Summary'!$B:$B,M$327)</f>
        <v>0</v>
      </c>
      <c r="N324" s="13">
        <f>0.000001 * SUMIFS('Policy Summary'!$C:$C,'Policy Summary'!$A:$A,$D$318,'Policy Summary'!$B:$B,N$327)</f>
        <v>0</v>
      </c>
      <c r="O324" s="13">
        <f>0.000001 * SUMIFS('Policy Summary'!$C:$C,'Policy Summary'!$A:$A,$D$318,'Policy Summary'!$B:$B,O$327)</f>
        <v>0</v>
      </c>
      <c r="P324" s="13">
        <f>0.000001 * SUMIFS('Policy Summary'!$C:$C,'Policy Summary'!$A:$A,$D$318,'Policy Summary'!$B:$B,P$327)</f>
        <v>0</v>
      </c>
      <c r="Q324" s="13">
        <f>0.000001 * SUMIFS('Policy Summary'!$C:$C,'Policy Summary'!$A:$A,$D$318,'Policy Summary'!$B:$B,Q$327)</f>
        <v>0</v>
      </c>
      <c r="R324" s="13">
        <f>0.000001 * SUMIFS('Policy Summary'!$C:$C,'Policy Summary'!$A:$A,$D$318,'Policy Summary'!$B:$B,R$327)</f>
        <v>0</v>
      </c>
      <c r="S324" s="13">
        <f>0.000001 * SUMIFS('Policy Summary'!$C:$C,'Policy Summary'!$A:$A,$D$318,'Policy Summary'!$B:$B,S$327)</f>
        <v>0</v>
      </c>
      <c r="T324" s="13">
        <f>0.000001 * SUMIFS('Policy Summary'!$C:$C,'Policy Summary'!$A:$A,$D$318,'Policy Summary'!$B:$B,T$327)</f>
        <v>0</v>
      </c>
      <c r="U324" s="13">
        <f>0.000001 * SUMIFS('Policy Summary'!$C:$C,'Policy Summary'!$A:$A,$D$318,'Policy Summary'!$B:$B,U$327)</f>
        <v>0</v>
      </c>
      <c r="V324" s="13">
        <f>0.000001 * SUMIFS('Policy Summary'!$C:$C,'Policy Summary'!$A:$A,$D$318,'Policy Summary'!$B:$B,V$327)</f>
        <v>0</v>
      </c>
      <c r="W324" s="13">
        <f>0.000001 * SUMIFS('Policy Summary'!$C:$C,'Policy Summary'!$A:$A,$D$318,'Policy Summary'!$B:$B,W$327)</f>
        <v>0</v>
      </c>
      <c r="X324" s="13">
        <f>0.000001 * SUMIFS('Policy Summary'!$C:$C,'Policy Summary'!$A:$A,$D$318,'Policy Summary'!$B:$B,X$327)</f>
        <v>0</v>
      </c>
      <c r="Y324" s="13">
        <f>0.000001 * SUMIFS('Policy Summary'!$C:$C,'Policy Summary'!$A:$A,$D$318,'Policy Summary'!$B:$B,Y$327)</f>
        <v>0</v>
      </c>
      <c r="Z324" s="13">
        <f>0.000001 * SUMIFS('Policy Summary'!$C:$C,'Policy Summary'!$A:$A,$D$318,'Policy Summary'!$B:$B,Z$327)</f>
        <v>0</v>
      </c>
      <c r="AA324" s="13">
        <f>0.000001 * SUMIFS('Policy Summary'!$C:$C,'Policy Summary'!$A:$A,$D$318,'Policy Summary'!$B:$B,AA$327)</f>
        <v>0</v>
      </c>
      <c r="AB324" s="13">
        <f>0.000001 * SUMIFS('Policy Summary'!$C:$C,'Policy Summary'!$A:$A,$D$318,'Policy Summary'!$B:$B,AB$327)</f>
        <v>0</v>
      </c>
      <c r="AC324" s="13">
        <f>0.000001 * SUMIFS('Policy Summary'!$C:$C,'Policy Summary'!$A:$A,$D$318,'Policy Summary'!$B:$B,AC$327)</f>
        <v>0</v>
      </c>
      <c r="AD324" s="13">
        <f>0.000001 * SUMIFS('Policy Summary'!$C:$C,'Policy Summary'!$A:$A,$D$318,'Policy Summary'!$B:$B,AD$327)</f>
        <v>229.16423882711624</v>
      </c>
      <c r="AH324" s="34"/>
    </row>
    <row r="325" spans="2:36" ht="12" outlineLevel="1" thickTop="1" x14ac:dyDescent="0.2">
      <c r="AH325" s="34"/>
    </row>
    <row r="326" spans="2:36" ht="13.2" outlineLevel="1" x14ac:dyDescent="0.2">
      <c r="E326" s="2" t="s">
        <v>220</v>
      </c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H326" s="34"/>
    </row>
    <row r="327" spans="2:36" outlineLevel="1" x14ac:dyDescent="0.2">
      <c r="E327" s="7">
        <v>43831</v>
      </c>
      <c r="F327" s="7">
        <f>EDATE(E327,12)</f>
        <v>44197</v>
      </c>
      <c r="G327" s="7">
        <f t="shared" ref="G327:AC327" si="260">EDATE(F327,12)</f>
        <v>44562</v>
      </c>
      <c r="H327" s="7">
        <f t="shared" si="260"/>
        <v>44927</v>
      </c>
      <c r="I327" s="7">
        <f t="shared" si="260"/>
        <v>45292</v>
      </c>
      <c r="J327" s="7">
        <f t="shared" si="260"/>
        <v>45658</v>
      </c>
      <c r="K327" s="7">
        <f t="shared" si="260"/>
        <v>46023</v>
      </c>
      <c r="L327" s="7">
        <f t="shared" si="260"/>
        <v>46388</v>
      </c>
      <c r="M327" s="7">
        <f t="shared" si="260"/>
        <v>46753</v>
      </c>
      <c r="N327" s="7">
        <f t="shared" si="260"/>
        <v>47119</v>
      </c>
      <c r="O327" s="7">
        <f t="shared" si="260"/>
        <v>47484</v>
      </c>
      <c r="P327" s="7">
        <f t="shared" si="260"/>
        <v>47849</v>
      </c>
      <c r="Q327" s="7">
        <f t="shared" si="260"/>
        <v>48214</v>
      </c>
      <c r="R327" s="7">
        <f t="shared" si="260"/>
        <v>48580</v>
      </c>
      <c r="S327" s="7">
        <f t="shared" si="260"/>
        <v>48945</v>
      </c>
      <c r="T327" s="7">
        <f t="shared" si="260"/>
        <v>49310</v>
      </c>
      <c r="U327" s="7">
        <f t="shared" si="260"/>
        <v>49675</v>
      </c>
      <c r="V327" s="7">
        <f t="shared" si="260"/>
        <v>50041</v>
      </c>
      <c r="W327" s="7">
        <f t="shared" si="260"/>
        <v>50406</v>
      </c>
      <c r="X327" s="7">
        <f t="shared" si="260"/>
        <v>50771</v>
      </c>
      <c r="Y327" s="7">
        <f t="shared" si="260"/>
        <v>51136</v>
      </c>
      <c r="Z327" s="7">
        <f t="shared" si="260"/>
        <v>51502</v>
      </c>
      <c r="AA327" s="7">
        <f t="shared" si="260"/>
        <v>51867</v>
      </c>
      <c r="AB327" s="7">
        <f t="shared" si="260"/>
        <v>52232</v>
      </c>
      <c r="AC327" s="7">
        <f t="shared" si="260"/>
        <v>52597</v>
      </c>
      <c r="AD327" s="7">
        <f>EDATE(AC327,12)</f>
        <v>52963</v>
      </c>
      <c r="AH327" s="34"/>
    </row>
    <row r="328" spans="2:36" outlineLevel="1" x14ac:dyDescent="0.2">
      <c r="C328" s="8" t="s">
        <v>208</v>
      </c>
      <c r="D328" s="8" t="s">
        <v>204</v>
      </c>
      <c r="E328" s="18">
        <v>0</v>
      </c>
      <c r="F328" s="18">
        <v>0</v>
      </c>
      <c r="G328" s="18">
        <v>0</v>
      </c>
      <c r="H328" s="18">
        <v>0</v>
      </c>
      <c r="I328" s="18">
        <v>4908.5389999999998</v>
      </c>
      <c r="J328" s="18">
        <v>10447.021000000001</v>
      </c>
      <c r="K328" s="18">
        <v>15707.105</v>
      </c>
      <c r="L328" s="18">
        <v>20211.437999999998</v>
      </c>
      <c r="M328" s="18">
        <v>24628.700239999998</v>
      </c>
      <c r="N328" s="18">
        <v>28965.381010000001</v>
      </c>
      <c r="O328" s="18">
        <v>0</v>
      </c>
      <c r="P328" s="18">
        <v>0</v>
      </c>
      <c r="Q328" s="18">
        <v>0</v>
      </c>
      <c r="R328" s="18">
        <v>0</v>
      </c>
      <c r="S328" s="18">
        <v>0</v>
      </c>
      <c r="T328" s="18">
        <v>0</v>
      </c>
      <c r="U328" s="18">
        <v>0</v>
      </c>
      <c r="V328" s="18">
        <v>0</v>
      </c>
      <c r="W328" s="18">
        <v>0</v>
      </c>
      <c r="X328" s="18">
        <v>0</v>
      </c>
      <c r="Y328" s="18">
        <v>0</v>
      </c>
      <c r="Z328" s="18">
        <v>0</v>
      </c>
      <c r="AA328" s="18">
        <v>0</v>
      </c>
      <c r="AB328" s="18">
        <v>0</v>
      </c>
      <c r="AC328" s="18">
        <v>0</v>
      </c>
      <c r="AD328" s="18">
        <v>0</v>
      </c>
      <c r="AH328" s="34" t="s">
        <v>422</v>
      </c>
    </row>
    <row r="329" spans="2:36" outlineLevel="1" x14ac:dyDescent="0.2">
      <c r="C329" s="8" t="s">
        <v>208</v>
      </c>
      <c r="D329" s="8" t="s">
        <v>205</v>
      </c>
      <c r="E329" s="28">
        <f>SUMIFS('Policy Summary'!$D:$D,'Policy Summary'!$A:$A,$D$318,'Policy Summary'!$B:$B,E$327)</f>
        <v>0</v>
      </c>
      <c r="F329" s="28">
        <f>SUMIFS('Policy Summary'!$D:$D,'Policy Summary'!$A:$A,$D$318,'Policy Summary'!$B:$B,F$327)</f>
        <v>0</v>
      </c>
      <c r="G329" s="28">
        <f>SUMIFS('Policy Summary'!$D:$D,'Policy Summary'!$A:$A,$D$318,'Policy Summary'!$B:$B,G$327)</f>
        <v>0</v>
      </c>
      <c r="H329" s="28">
        <f>SUMIFS('Policy Summary'!$D:$D,'Policy Summary'!$A:$A,$D$318,'Policy Summary'!$B:$B,H$327)</f>
        <v>0</v>
      </c>
      <c r="I329" s="28">
        <f>SUMIFS('Policy Summary'!$D:$D,'Policy Summary'!$A:$A,$D$318,'Policy Summary'!$B:$B,I$327)</f>
        <v>0</v>
      </c>
      <c r="J329" s="28">
        <f>SUMIFS('Policy Summary'!$D:$D,'Policy Summary'!$A:$A,$D$318,'Policy Summary'!$B:$B,J$327)</f>
        <v>0</v>
      </c>
      <c r="K329" s="28">
        <f>SUMIFS('Policy Summary'!$D:$D,'Policy Summary'!$A:$A,$D$318,'Policy Summary'!$B:$B,K$327)</f>
        <v>0</v>
      </c>
      <c r="L329" s="28">
        <f>SUMIFS('Policy Summary'!$D:$D,'Policy Summary'!$A:$A,$D$318,'Policy Summary'!$B:$B,L$327)</f>
        <v>0</v>
      </c>
      <c r="M329" s="28">
        <f>SUMIFS('Policy Summary'!$D:$D,'Policy Summary'!$A:$A,$D$318,'Policy Summary'!$B:$B,M$327)</f>
        <v>0</v>
      </c>
      <c r="N329" s="28">
        <f>SUMIFS('Policy Summary'!$D:$D,'Policy Summary'!$A:$A,$D$318,'Policy Summary'!$B:$B,N$327)</f>
        <v>0</v>
      </c>
      <c r="O329" s="28">
        <f>SUMIFS('Policy Summary'!$D:$D,'Policy Summary'!$A:$A,$D$318,'Policy Summary'!$B:$B,O$327)</f>
        <v>0</v>
      </c>
      <c r="P329" s="28">
        <f>SUMIFS('Policy Summary'!$D:$D,'Policy Summary'!$A:$A,$D$318,'Policy Summary'!$B:$B,P$327)</f>
        <v>0</v>
      </c>
      <c r="Q329" s="28">
        <f>SUMIFS('Policy Summary'!$D:$D,'Policy Summary'!$A:$A,$D$318,'Policy Summary'!$B:$B,Q$327)</f>
        <v>0</v>
      </c>
      <c r="R329" s="28">
        <f>SUMIFS('Policy Summary'!$D:$D,'Policy Summary'!$A:$A,$D$318,'Policy Summary'!$B:$B,R$327)</f>
        <v>0</v>
      </c>
      <c r="S329" s="28">
        <f>SUMIFS('Policy Summary'!$D:$D,'Policy Summary'!$A:$A,$D$318,'Policy Summary'!$B:$B,S$327)</f>
        <v>0</v>
      </c>
      <c r="T329" s="28">
        <f>SUMIFS('Policy Summary'!$D:$D,'Policy Summary'!$A:$A,$D$318,'Policy Summary'!$B:$B,T$327)</f>
        <v>0</v>
      </c>
      <c r="U329" s="28">
        <f>SUMIFS('Policy Summary'!$D:$D,'Policy Summary'!$A:$A,$D$318,'Policy Summary'!$B:$B,U$327)</f>
        <v>0</v>
      </c>
      <c r="V329" s="28">
        <f>SUMIFS('Policy Summary'!$D:$D,'Policy Summary'!$A:$A,$D$318,'Policy Summary'!$B:$B,V$327)</f>
        <v>0</v>
      </c>
      <c r="W329" s="28">
        <f>SUMIFS('Policy Summary'!$D:$D,'Policy Summary'!$A:$A,$D$318,'Policy Summary'!$B:$B,W$327)</f>
        <v>0</v>
      </c>
      <c r="X329" s="28">
        <f>SUMIFS('Policy Summary'!$D:$D,'Policy Summary'!$A:$A,$D$318,'Policy Summary'!$B:$B,X$327)</f>
        <v>0</v>
      </c>
      <c r="Y329" s="28">
        <f>SUMIFS('Policy Summary'!$D:$D,'Policy Summary'!$A:$A,$D$318,'Policy Summary'!$B:$B,Y$327)</f>
        <v>0</v>
      </c>
      <c r="Z329" s="28">
        <f>SUMIFS('Policy Summary'!$D:$D,'Policy Summary'!$A:$A,$D$318,'Policy Summary'!$B:$B,Z$327)</f>
        <v>0</v>
      </c>
      <c r="AA329" s="28">
        <f>SUMIFS('Policy Summary'!$D:$D,'Policy Summary'!$A:$A,$D$318,'Policy Summary'!$B:$B,AA$327)</f>
        <v>0</v>
      </c>
      <c r="AB329" s="28">
        <f>SUMIFS('Policy Summary'!$D:$D,'Policy Summary'!$A:$A,$D$318,'Policy Summary'!$B:$B,AB$327)</f>
        <v>0</v>
      </c>
      <c r="AC329" s="28">
        <f>SUMIFS('Policy Summary'!$D:$D,'Policy Summary'!$A:$A,$D$318,'Policy Summary'!$B:$B,AC$327)</f>
        <v>0</v>
      </c>
      <c r="AD329" s="28">
        <f>SUMIFS('Policy Summary'!$D:$D,'Policy Summary'!$A:$A,$D$318,'Policy Summary'!$B:$B,AD$327)</f>
        <v>0</v>
      </c>
      <c r="AH329" s="34"/>
      <c r="AJ329" t="s">
        <v>219</v>
      </c>
    </row>
    <row r="330" spans="2:36" outlineLevel="1" x14ac:dyDescent="0.2">
      <c r="C330" s="8" t="s">
        <v>209</v>
      </c>
      <c r="D330" s="8" t="s">
        <v>206</v>
      </c>
      <c r="E330" s="14">
        <f>0.000001 * SUM(
  SUMIFS(
    'Energy Policy Summary'!$D:$D,
    'Energy Policy Summary'!$A:$A,$D$318,
    'Energy Policy Summary'!$C:$C,E$327
  ))</f>
        <v>0</v>
      </c>
      <c r="F330" s="14">
        <f>0.000001 * SUM(
  SUMIFS(
    'Energy Policy Summary'!$D:$D,
    'Energy Policy Summary'!$A:$A,$D$318,
    'Energy Policy Summary'!$C:$C,F$327
  ))</f>
        <v>0</v>
      </c>
      <c r="G330" s="14">
        <f>0.000001 * SUM(
  SUMIFS(
    'Energy Policy Summary'!$D:$D,
    'Energy Policy Summary'!$A:$A,$D$318,
    'Energy Policy Summary'!$C:$C,G$327
  ))</f>
        <v>0</v>
      </c>
      <c r="H330" s="14">
        <f>0.000001 * SUM(
  SUMIFS(
    'Energy Policy Summary'!$D:$D,
    'Energy Policy Summary'!$A:$A,$D$318,
    'Energy Policy Summary'!$C:$C,H$327
  ))</f>
        <v>0</v>
      </c>
      <c r="I330" s="14">
        <f>0.000001 * SUM(
  SUMIFS(
    'Energy Policy Summary'!$D:$D,
    'Energy Policy Summary'!$A:$A,$D$318,
    'Energy Policy Summary'!$C:$C,I$327
  ))</f>
        <v>0</v>
      </c>
      <c r="J330" s="14">
        <f>0.000001 * SUM(
  SUMIFS(
    'Energy Policy Summary'!$D:$D,
    'Energy Policy Summary'!$A:$A,$D$318,
    'Energy Policy Summary'!$C:$C,J$327
  ))</f>
        <v>0</v>
      </c>
      <c r="K330" s="14">
        <f>0.000001 * SUM(
  SUMIFS(
    'Energy Policy Summary'!$D:$D,
    'Energy Policy Summary'!$A:$A,$D$318,
    'Energy Policy Summary'!$C:$C,K$327
  ))</f>
        <v>0</v>
      </c>
      <c r="L330" s="14">
        <f>0.000001 * SUM(
  SUMIFS(
    'Energy Policy Summary'!$D:$D,
    'Energy Policy Summary'!$A:$A,$D$318,
    'Energy Policy Summary'!$C:$C,L$327
  ))</f>
        <v>0</v>
      </c>
      <c r="M330" s="14">
        <f>0.000001 * SUM(
  SUMIFS(
    'Energy Policy Summary'!$D:$D,
    'Energy Policy Summary'!$A:$A,$D$318,
    'Energy Policy Summary'!$C:$C,M$327
  ))</f>
        <v>0</v>
      </c>
      <c r="N330" s="14">
        <f>0.000001 * SUM(
  SUMIFS(
    'Energy Policy Summary'!$D:$D,
    'Energy Policy Summary'!$A:$A,$D$318,
    'Energy Policy Summary'!$C:$C,N$327
  ))</f>
        <v>0</v>
      </c>
      <c r="O330" s="14">
        <f>0.000001 * SUM(
  SUMIFS(
    'Energy Policy Summary'!$D:$D,
    'Energy Policy Summary'!$A:$A,$D$318,
    'Energy Policy Summary'!$C:$C,O$327
  ))</f>
        <v>0</v>
      </c>
      <c r="P330" s="14">
        <f>0.000001 * SUM(
  SUMIFS(
    'Energy Policy Summary'!$D:$D,
    'Energy Policy Summary'!$A:$A,$D$318,
    'Energy Policy Summary'!$C:$C,P$327
  ))</f>
        <v>0</v>
      </c>
      <c r="Q330" s="14">
        <f>0.000001 * SUM(
  SUMIFS(
    'Energy Policy Summary'!$D:$D,
    'Energy Policy Summary'!$A:$A,$D$318,
    'Energy Policy Summary'!$C:$C,Q$327
  ))</f>
        <v>0</v>
      </c>
      <c r="R330" s="14">
        <f>0.000001 * SUM(
  SUMIFS(
    'Energy Policy Summary'!$D:$D,
    'Energy Policy Summary'!$A:$A,$D$318,
    'Energy Policy Summary'!$C:$C,R$327
  ))</f>
        <v>0</v>
      </c>
      <c r="S330" s="14">
        <f>0.000001 * SUM(
  SUMIFS(
    'Energy Policy Summary'!$D:$D,
    'Energy Policy Summary'!$A:$A,$D$318,
    'Energy Policy Summary'!$C:$C,S$327
  ))</f>
        <v>0</v>
      </c>
      <c r="T330" s="14">
        <f>0.000001 * SUM(
  SUMIFS(
    'Energy Policy Summary'!$D:$D,
    'Energy Policy Summary'!$A:$A,$D$318,
    'Energy Policy Summary'!$C:$C,T$327
  ))</f>
        <v>0</v>
      </c>
      <c r="U330" s="14">
        <f>0.000001 * SUM(
  SUMIFS(
    'Energy Policy Summary'!$D:$D,
    'Energy Policy Summary'!$A:$A,$D$318,
    'Energy Policy Summary'!$C:$C,U$327
  ))</f>
        <v>0</v>
      </c>
      <c r="V330" s="14">
        <f>0.000001 * SUM(
  SUMIFS(
    'Energy Policy Summary'!$D:$D,
    'Energy Policy Summary'!$A:$A,$D$318,
    'Energy Policy Summary'!$C:$C,V$327
  ))</f>
        <v>0</v>
      </c>
      <c r="W330" s="14">
        <f>0.000001 * SUM(
  SUMIFS(
    'Energy Policy Summary'!$D:$D,
    'Energy Policy Summary'!$A:$A,$D$318,
    'Energy Policy Summary'!$C:$C,W$327
  ))</f>
        <v>0</v>
      </c>
      <c r="X330" s="14">
        <f>0.000001 * SUM(
  SUMIFS(
    'Energy Policy Summary'!$D:$D,
    'Energy Policy Summary'!$A:$A,$D$318,
    'Energy Policy Summary'!$C:$C,X$327
  ))</f>
        <v>0</v>
      </c>
      <c r="Y330" s="14">
        <f>0.000001 * SUM(
  SUMIFS(
    'Energy Policy Summary'!$D:$D,
    'Energy Policy Summary'!$A:$A,$D$318,
    'Energy Policy Summary'!$C:$C,Y$327
  ))</f>
        <v>0</v>
      </c>
      <c r="Z330" s="14">
        <f>0.000001 * SUM(
  SUMIFS(
    'Energy Policy Summary'!$D:$D,
    'Energy Policy Summary'!$A:$A,$D$318,
    'Energy Policy Summary'!$C:$C,Z$327
  ))</f>
        <v>0</v>
      </c>
      <c r="AA330" s="14">
        <f>0.000001 * SUM(
  SUMIFS(
    'Energy Policy Summary'!$D:$D,
    'Energy Policy Summary'!$A:$A,$D$318,
    'Energy Policy Summary'!$C:$C,AA$327
  ))</f>
        <v>0</v>
      </c>
      <c r="AB330" s="14">
        <f>0.000001 * SUM(
  SUMIFS(
    'Energy Policy Summary'!$D:$D,
    'Energy Policy Summary'!$A:$A,$D$318,
    'Energy Policy Summary'!$C:$C,AB$327
  ))</f>
        <v>0</v>
      </c>
      <c r="AC330" s="14">
        <f>0.000001 * SUM(
  SUMIFS(
    'Energy Policy Summary'!$D:$D,
    'Energy Policy Summary'!$A:$A,$D$318,
    'Energy Policy Summary'!$C:$C,AC$327
  ))</f>
        <v>0</v>
      </c>
      <c r="AD330" s="14">
        <f>0.000001 * SUM(
  SUMIFS(
    'Energy Policy Summary'!$D:$D,
    'Energy Policy Summary'!$A:$A,$D$318,
    'Energy Policy Summary'!$C:$C,AD$327
  ))</f>
        <v>267.99920112435393</v>
      </c>
      <c r="AH330" s="34"/>
      <c r="AJ330" t="s">
        <v>216</v>
      </c>
    </row>
    <row r="331" spans="2:36" outlineLevel="1" x14ac:dyDescent="0.2">
      <c r="C331" s="8" t="s">
        <v>209</v>
      </c>
      <c r="D331" s="8" t="s">
        <v>207</v>
      </c>
      <c r="E331" s="25">
        <f>E161</f>
        <v>0</v>
      </c>
      <c r="F331" s="25">
        <f t="shared" ref="F331:AD331" si="261">F161</f>
        <v>0</v>
      </c>
      <c r="G331" s="25">
        <f t="shared" si="261"/>
        <v>0</v>
      </c>
      <c r="H331" s="25">
        <f t="shared" si="261"/>
        <v>0</v>
      </c>
      <c r="I331" s="25">
        <f t="shared" si="261"/>
        <v>0</v>
      </c>
      <c r="J331" s="25">
        <f t="shared" si="261"/>
        <v>0</v>
      </c>
      <c r="K331" s="25">
        <f t="shared" si="261"/>
        <v>0</v>
      </c>
      <c r="L331" s="25">
        <f t="shared" si="261"/>
        <v>0</v>
      </c>
      <c r="M331" s="25">
        <f t="shared" si="261"/>
        <v>0</v>
      </c>
      <c r="N331" s="25">
        <f t="shared" si="261"/>
        <v>0</v>
      </c>
      <c r="O331" s="25">
        <f t="shared" si="261"/>
        <v>0</v>
      </c>
      <c r="P331" s="25">
        <f t="shared" si="261"/>
        <v>0</v>
      </c>
      <c r="Q331" s="25">
        <f t="shared" si="261"/>
        <v>0</v>
      </c>
      <c r="R331" s="25">
        <f t="shared" si="261"/>
        <v>0</v>
      </c>
      <c r="S331" s="25">
        <f t="shared" si="261"/>
        <v>0</v>
      </c>
      <c r="T331" s="25">
        <f t="shared" si="261"/>
        <v>0</v>
      </c>
      <c r="U331" s="25">
        <f t="shared" si="261"/>
        <v>0</v>
      </c>
      <c r="V331" s="25">
        <f t="shared" si="261"/>
        <v>0</v>
      </c>
      <c r="W331" s="25">
        <f t="shared" si="261"/>
        <v>0</v>
      </c>
      <c r="X331" s="25">
        <f t="shared" si="261"/>
        <v>0</v>
      </c>
      <c r="Y331" s="25">
        <f t="shared" si="261"/>
        <v>0</v>
      </c>
      <c r="Z331" s="25">
        <f t="shared" si="261"/>
        <v>0</v>
      </c>
      <c r="AA331" s="25">
        <f t="shared" si="261"/>
        <v>0</v>
      </c>
      <c r="AB331" s="25">
        <f t="shared" si="261"/>
        <v>0</v>
      </c>
      <c r="AC331" s="25">
        <f t="shared" si="261"/>
        <v>0</v>
      </c>
      <c r="AD331" s="25">
        <f t="shared" si="261"/>
        <v>-13.224021373090448</v>
      </c>
      <c r="AH331" s="34"/>
      <c r="AJ331" t="s">
        <v>218</v>
      </c>
    </row>
    <row r="332" spans="2:36" ht="12.6" outlineLevel="1" thickBot="1" x14ac:dyDescent="0.25">
      <c r="C332" s="9" t="s">
        <v>295</v>
      </c>
      <c r="D332" s="9"/>
      <c r="E332" s="17">
        <f>SUM(E328:E330)</f>
        <v>0</v>
      </c>
      <c r="F332" s="17">
        <f t="shared" ref="F332:AD332" si="262">SUM(F328:F330)</f>
        <v>0</v>
      </c>
      <c r="G332" s="17">
        <f t="shared" si="262"/>
        <v>0</v>
      </c>
      <c r="H332" s="17">
        <f t="shared" si="262"/>
        <v>0</v>
      </c>
      <c r="I332" s="17">
        <f t="shared" si="262"/>
        <v>4908.5389999999998</v>
      </c>
      <c r="J332" s="17">
        <f t="shared" si="262"/>
        <v>10447.021000000001</v>
      </c>
      <c r="K332" s="17">
        <f t="shared" si="262"/>
        <v>15707.105</v>
      </c>
      <c r="L332" s="17">
        <f t="shared" si="262"/>
        <v>20211.437999999998</v>
      </c>
      <c r="M332" s="17">
        <f t="shared" si="262"/>
        <v>24628.700239999998</v>
      </c>
      <c r="N332" s="17">
        <f t="shared" si="262"/>
        <v>28965.381010000001</v>
      </c>
      <c r="O332" s="17">
        <f t="shared" si="262"/>
        <v>0</v>
      </c>
      <c r="P332" s="17">
        <f t="shared" si="262"/>
        <v>0</v>
      </c>
      <c r="Q332" s="17">
        <f t="shared" si="262"/>
        <v>0</v>
      </c>
      <c r="R332" s="17">
        <f t="shared" si="262"/>
        <v>0</v>
      </c>
      <c r="S332" s="17">
        <f t="shared" si="262"/>
        <v>0</v>
      </c>
      <c r="T332" s="17">
        <f t="shared" si="262"/>
        <v>0</v>
      </c>
      <c r="U332" s="17">
        <f t="shared" si="262"/>
        <v>0</v>
      </c>
      <c r="V332" s="17">
        <f t="shared" si="262"/>
        <v>0</v>
      </c>
      <c r="W332" s="17">
        <f t="shared" si="262"/>
        <v>0</v>
      </c>
      <c r="X332" s="17">
        <f t="shared" si="262"/>
        <v>0</v>
      </c>
      <c r="Y332" s="17">
        <f t="shared" si="262"/>
        <v>0</v>
      </c>
      <c r="Z332" s="17">
        <f t="shared" si="262"/>
        <v>0</v>
      </c>
      <c r="AA332" s="17">
        <f t="shared" si="262"/>
        <v>0</v>
      </c>
      <c r="AB332" s="17">
        <f t="shared" si="262"/>
        <v>0</v>
      </c>
      <c r="AC332" s="17">
        <f t="shared" si="262"/>
        <v>0</v>
      </c>
      <c r="AD332" s="17">
        <f t="shared" si="262"/>
        <v>267.99920112435393</v>
      </c>
      <c r="AH332" s="34"/>
    </row>
    <row r="333" spans="2:36" ht="13.2" outlineLevel="1" thickTop="1" thickBot="1" x14ac:dyDescent="0.25">
      <c r="C333" s="9" t="s">
        <v>294</v>
      </c>
      <c r="D333" s="9"/>
      <c r="E333" s="23">
        <f>ABS(SUMIFS('Policy Summary'!$E:$E,'Policy Summary'!$A:$A,$D$318,'Policy Summary'!$B:$B,E$327))</f>
        <v>0</v>
      </c>
      <c r="F333" s="23">
        <f>ABS(SUMIFS('Policy Summary'!$E:$E,'Policy Summary'!$A:$A,$D$318,'Policy Summary'!$B:$B,F$327))</f>
        <v>0</v>
      </c>
      <c r="G333" s="23">
        <f>ABS(SUMIFS('Policy Summary'!$E:$E,'Policy Summary'!$A:$A,$D$318,'Policy Summary'!$B:$B,G$327))</f>
        <v>0</v>
      </c>
      <c r="H333" s="23">
        <f>ABS(SUMIFS('Policy Summary'!$E:$E,'Policy Summary'!$A:$A,$D$318,'Policy Summary'!$B:$B,H$327))</f>
        <v>0</v>
      </c>
      <c r="I333" s="23">
        <f>ABS(SUMIFS('Policy Summary'!$E:$E,'Policy Summary'!$A:$A,$D$318,'Policy Summary'!$B:$B,I$327))</f>
        <v>0</v>
      </c>
      <c r="J333" s="23">
        <f>ABS(SUMIFS('Policy Summary'!$E:$E,'Policy Summary'!$A:$A,$D$318,'Policy Summary'!$B:$B,J$327))</f>
        <v>0</v>
      </c>
      <c r="K333" s="23">
        <f>ABS(SUMIFS('Policy Summary'!$E:$E,'Policy Summary'!$A:$A,$D$318,'Policy Summary'!$B:$B,K$327))</f>
        <v>0</v>
      </c>
      <c r="L333" s="23">
        <f>ABS(SUMIFS('Policy Summary'!$E:$E,'Policy Summary'!$A:$A,$D$318,'Policy Summary'!$B:$B,L$327))</f>
        <v>0</v>
      </c>
      <c r="M333" s="23">
        <f>ABS(SUMIFS('Policy Summary'!$E:$E,'Policy Summary'!$A:$A,$D$318,'Policy Summary'!$B:$B,M$327))</f>
        <v>0</v>
      </c>
      <c r="N333" s="23">
        <f>ABS(SUMIFS('Policy Summary'!$E:$E,'Policy Summary'!$A:$A,$D$318,'Policy Summary'!$B:$B,N$327))</f>
        <v>0</v>
      </c>
      <c r="O333" s="23">
        <f>ABS(SUMIFS('Policy Summary'!$E:$E,'Policy Summary'!$A:$A,$D$318,'Policy Summary'!$B:$B,O$327))</f>
        <v>0</v>
      </c>
      <c r="P333" s="23">
        <f>ABS(SUMIFS('Policy Summary'!$E:$E,'Policy Summary'!$A:$A,$D$318,'Policy Summary'!$B:$B,P$327))</f>
        <v>0</v>
      </c>
      <c r="Q333" s="23">
        <f>ABS(SUMIFS('Policy Summary'!$E:$E,'Policy Summary'!$A:$A,$D$318,'Policy Summary'!$B:$B,Q$327))</f>
        <v>0</v>
      </c>
      <c r="R333" s="23">
        <f>ABS(SUMIFS('Policy Summary'!$E:$E,'Policy Summary'!$A:$A,$D$318,'Policy Summary'!$B:$B,R$327))</f>
        <v>0</v>
      </c>
      <c r="S333" s="23">
        <f>ABS(SUMIFS('Policy Summary'!$E:$E,'Policy Summary'!$A:$A,$D$318,'Policy Summary'!$B:$B,S$327))</f>
        <v>0</v>
      </c>
      <c r="T333" s="23">
        <f>ABS(SUMIFS('Policy Summary'!$E:$E,'Policy Summary'!$A:$A,$D$318,'Policy Summary'!$B:$B,T$327))</f>
        <v>0</v>
      </c>
      <c r="U333" s="23">
        <f>ABS(SUMIFS('Policy Summary'!$E:$E,'Policy Summary'!$A:$A,$D$318,'Policy Summary'!$B:$B,U$327))</f>
        <v>0</v>
      </c>
      <c r="V333" s="23">
        <f>ABS(SUMIFS('Policy Summary'!$E:$E,'Policy Summary'!$A:$A,$D$318,'Policy Summary'!$B:$B,V$327))</f>
        <v>0</v>
      </c>
      <c r="W333" s="23">
        <f>ABS(SUMIFS('Policy Summary'!$E:$E,'Policy Summary'!$A:$A,$D$318,'Policy Summary'!$B:$B,W$327))</f>
        <v>0</v>
      </c>
      <c r="X333" s="23">
        <f>ABS(SUMIFS('Policy Summary'!$E:$E,'Policy Summary'!$A:$A,$D$318,'Policy Summary'!$B:$B,X$327))</f>
        <v>0</v>
      </c>
      <c r="Y333" s="23">
        <f>ABS(SUMIFS('Policy Summary'!$E:$E,'Policy Summary'!$A:$A,$D$318,'Policy Summary'!$B:$B,Y$327))</f>
        <v>0</v>
      </c>
      <c r="Z333" s="23">
        <f>ABS(SUMIFS('Policy Summary'!$E:$E,'Policy Summary'!$A:$A,$D$318,'Policy Summary'!$B:$B,Z$327))</f>
        <v>0</v>
      </c>
      <c r="AA333" s="23">
        <f>ABS(SUMIFS('Policy Summary'!$E:$E,'Policy Summary'!$A:$A,$D$318,'Policy Summary'!$B:$B,AA$327))</f>
        <v>0</v>
      </c>
      <c r="AB333" s="23">
        <f>ABS(SUMIFS('Policy Summary'!$E:$E,'Policy Summary'!$A:$A,$D$318,'Policy Summary'!$B:$B,AB$327))</f>
        <v>0</v>
      </c>
      <c r="AC333" s="23">
        <f>ABS(SUMIFS('Policy Summary'!$E:$E,'Policy Summary'!$A:$A,$D$318,'Policy Summary'!$B:$B,AC$327))</f>
        <v>0</v>
      </c>
      <c r="AD333" s="23">
        <f>ABS(SUMIFS('Policy Summary'!$E:$E,'Policy Summary'!$A:$A,$D$318,'Policy Summary'!$B:$B,AD$327))</f>
        <v>0</v>
      </c>
      <c r="AH333" s="34"/>
    </row>
    <row r="334" spans="2:36" ht="12" thickTop="1" x14ac:dyDescent="0.2">
      <c r="AH334" s="34"/>
    </row>
    <row r="335" spans="2:36" x14ac:dyDescent="0.2">
      <c r="AH335" s="34"/>
    </row>
    <row r="336" spans="2:36" ht="18" thickBot="1" x14ac:dyDescent="0.25">
      <c r="B336" s="6" t="s">
        <v>211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H336" s="34"/>
    </row>
    <row r="337" spans="3:34" outlineLevel="1" x14ac:dyDescent="0.2">
      <c r="C337" s="15" t="s">
        <v>173</v>
      </c>
      <c r="D337" s="15"/>
      <c r="AH337" s="34"/>
    </row>
    <row r="338" spans="3:34" outlineLevel="1" x14ac:dyDescent="0.2">
      <c r="C338" s="15" t="s">
        <v>248</v>
      </c>
      <c r="D338" s="15">
        <v>0.42799999999999999</v>
      </c>
      <c r="AH338" s="34"/>
    </row>
    <row r="339" spans="3:34" ht="13.2" outlineLevel="1" x14ac:dyDescent="0.2">
      <c r="E339" s="2" t="s">
        <v>243</v>
      </c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H339" s="34" t="s">
        <v>422</v>
      </c>
    </row>
    <row r="340" spans="3:34" outlineLevel="1" x14ac:dyDescent="0.2">
      <c r="E340" s="7">
        <v>43831</v>
      </c>
      <c r="F340" s="7">
        <f>EDATE(E340,12)</f>
        <v>44197</v>
      </c>
      <c r="G340" s="7">
        <f t="shared" ref="G340" si="263">EDATE(F340,12)</f>
        <v>44562</v>
      </c>
      <c r="H340" s="7">
        <f t="shared" ref="H340" si="264">EDATE(G340,12)</f>
        <v>44927</v>
      </c>
      <c r="I340" s="7">
        <f t="shared" ref="I340" si="265">EDATE(H340,12)</f>
        <v>45292</v>
      </c>
      <c r="J340" s="7">
        <f t="shared" ref="J340" si="266">EDATE(I340,12)</f>
        <v>45658</v>
      </c>
      <c r="K340" s="7">
        <f t="shared" ref="K340" si="267">EDATE(J340,12)</f>
        <v>46023</v>
      </c>
      <c r="L340" s="7">
        <f t="shared" ref="L340" si="268">EDATE(K340,12)</f>
        <v>46388</v>
      </c>
      <c r="M340" s="7">
        <f t="shared" ref="M340" si="269">EDATE(L340,12)</f>
        <v>46753</v>
      </c>
      <c r="N340" s="7">
        <f t="shared" ref="N340" si="270">EDATE(M340,12)</f>
        <v>47119</v>
      </c>
      <c r="O340" s="7">
        <f t="shared" ref="O340" si="271">EDATE(N340,12)</f>
        <v>47484</v>
      </c>
      <c r="P340" s="7">
        <f t="shared" ref="P340" si="272">EDATE(O340,12)</f>
        <v>47849</v>
      </c>
      <c r="Q340" s="7">
        <f t="shared" ref="Q340" si="273">EDATE(P340,12)</f>
        <v>48214</v>
      </c>
      <c r="R340" s="7">
        <f t="shared" ref="R340" si="274">EDATE(Q340,12)</f>
        <v>48580</v>
      </c>
      <c r="S340" s="7">
        <f t="shared" ref="S340" si="275">EDATE(R340,12)</f>
        <v>48945</v>
      </c>
      <c r="T340" s="7">
        <f t="shared" ref="T340" si="276">EDATE(S340,12)</f>
        <v>49310</v>
      </c>
      <c r="U340" s="7">
        <f t="shared" ref="U340" si="277">EDATE(T340,12)</f>
        <v>49675</v>
      </c>
      <c r="V340" s="7">
        <f t="shared" ref="V340" si="278">EDATE(U340,12)</f>
        <v>50041</v>
      </c>
      <c r="W340" s="7">
        <f t="shared" ref="W340" si="279">EDATE(V340,12)</f>
        <v>50406</v>
      </c>
      <c r="X340" s="7">
        <f t="shared" ref="X340" si="280">EDATE(W340,12)</f>
        <v>50771</v>
      </c>
      <c r="Y340" s="7">
        <f t="shared" ref="Y340" si="281">EDATE(X340,12)</f>
        <v>51136</v>
      </c>
      <c r="Z340" s="7">
        <f t="shared" ref="Z340" si="282">EDATE(Y340,12)</f>
        <v>51502</v>
      </c>
      <c r="AA340" s="7">
        <f t="shared" ref="AA340" si="283">EDATE(Z340,12)</f>
        <v>51867</v>
      </c>
      <c r="AB340" s="7">
        <f t="shared" ref="AB340" si="284">EDATE(AA340,12)</f>
        <v>52232</v>
      </c>
      <c r="AC340" s="7">
        <f t="shared" ref="AC340" si="285">EDATE(AB340,12)</f>
        <v>52597</v>
      </c>
      <c r="AD340" s="7">
        <f>EDATE(AC340,12)</f>
        <v>52963</v>
      </c>
      <c r="AH340" s="34" t="s">
        <v>422</v>
      </c>
    </row>
    <row r="341" spans="3:34" outlineLevel="1" x14ac:dyDescent="0.2">
      <c r="D341" s="8" t="s">
        <v>251</v>
      </c>
      <c r="E341" s="14">
        <f>0.000001 * SUMIFS('Transmission Summary'!$M:$M,'Transmission Summary'!$A:$A,$D341,'Transmission Summary'!$D:$D,E$340)</f>
        <v>0</v>
      </c>
      <c r="F341" s="14">
        <f>0.000001 * SUMIFS('Transmission Summary'!$M:$M,'Transmission Summary'!$A:$A,$D341,'Transmission Summary'!$D:$D,F$340)</f>
        <v>0</v>
      </c>
      <c r="G341" s="14">
        <f>0.000001 * SUMIFS('Transmission Summary'!$M:$M,'Transmission Summary'!$A:$A,$D341,'Transmission Summary'!$D:$D,G$340)</f>
        <v>0</v>
      </c>
      <c r="H341" s="14">
        <f>0.000001 * SUMIFS('Transmission Summary'!$M:$M,'Transmission Summary'!$A:$A,$D341,'Transmission Summary'!$D:$D,H$340)</f>
        <v>0</v>
      </c>
      <c r="I341" s="14">
        <f>0.000001 * SUMIFS('Transmission Summary'!$M:$M,'Transmission Summary'!$A:$A,$D341,'Transmission Summary'!$D:$D,I$340)</f>
        <v>0</v>
      </c>
      <c r="J341" s="14">
        <f>0.000001 * SUMIFS('Transmission Summary'!$M:$M,'Transmission Summary'!$A:$A,$D341,'Transmission Summary'!$D:$D,J$340)</f>
        <v>0</v>
      </c>
      <c r="K341" s="14">
        <f>0.000001 * SUMIFS('Transmission Summary'!$M:$M,'Transmission Summary'!$A:$A,$D341,'Transmission Summary'!$D:$D,K$340)</f>
        <v>0</v>
      </c>
      <c r="L341" s="14">
        <f>0.000001 * SUMIFS('Transmission Summary'!$M:$M,'Transmission Summary'!$A:$A,$D341,'Transmission Summary'!$D:$D,L$340)</f>
        <v>0</v>
      </c>
      <c r="M341" s="14">
        <f>0.000001 * SUMIFS('Transmission Summary'!$M:$M,'Transmission Summary'!$A:$A,$D341,'Transmission Summary'!$D:$D,M$340)</f>
        <v>0</v>
      </c>
      <c r="N341" s="14">
        <f>0.000001 * SUMIFS('Transmission Summary'!$M:$M,'Transmission Summary'!$A:$A,$D341,'Transmission Summary'!$D:$D,N$340)</f>
        <v>0</v>
      </c>
      <c r="O341" s="14">
        <f>0.000001 * SUMIFS('Transmission Summary'!$M:$M,'Transmission Summary'!$A:$A,$D341,'Transmission Summary'!$D:$D,O$340)</f>
        <v>0</v>
      </c>
      <c r="P341" s="14">
        <f>0.000001 * SUMIFS('Transmission Summary'!$M:$M,'Transmission Summary'!$A:$A,$D341,'Transmission Summary'!$D:$D,P$340)</f>
        <v>0</v>
      </c>
      <c r="Q341" s="14">
        <f>0.000001 * SUMIFS('Transmission Summary'!$M:$M,'Transmission Summary'!$A:$A,$D341,'Transmission Summary'!$D:$D,Q$340)</f>
        <v>0</v>
      </c>
      <c r="R341" s="14">
        <f>0.000001 * SUMIFS('Transmission Summary'!$M:$M,'Transmission Summary'!$A:$A,$D341,'Transmission Summary'!$D:$D,R$340)</f>
        <v>0</v>
      </c>
      <c r="S341" s="14">
        <f>0.000001 * SUMIFS('Transmission Summary'!$M:$M,'Transmission Summary'!$A:$A,$D341,'Transmission Summary'!$D:$D,S$340)</f>
        <v>0</v>
      </c>
      <c r="T341" s="14">
        <f>0.000001 * SUMIFS('Transmission Summary'!$M:$M,'Transmission Summary'!$A:$A,$D341,'Transmission Summary'!$D:$D,T$340)</f>
        <v>0</v>
      </c>
      <c r="U341" s="14">
        <f>0.000001 * SUMIFS('Transmission Summary'!$M:$M,'Transmission Summary'!$A:$A,$D341,'Transmission Summary'!$D:$D,U$340)</f>
        <v>0</v>
      </c>
      <c r="V341" s="14">
        <f>0.000001 * SUMIFS('Transmission Summary'!$M:$M,'Transmission Summary'!$A:$A,$D341,'Transmission Summary'!$D:$D,V$340)</f>
        <v>0</v>
      </c>
      <c r="W341" s="14">
        <f>0.000001 * SUMIFS('Transmission Summary'!$M:$M,'Transmission Summary'!$A:$A,$D341,'Transmission Summary'!$D:$D,W$340)</f>
        <v>0</v>
      </c>
      <c r="X341" s="14">
        <f>0.000001 * SUMIFS('Transmission Summary'!$M:$M,'Transmission Summary'!$A:$A,$D341,'Transmission Summary'!$D:$D,X$340)</f>
        <v>0</v>
      </c>
      <c r="Y341" s="14">
        <f>0.000001 * SUMIFS('Transmission Summary'!$M:$M,'Transmission Summary'!$A:$A,$D341,'Transmission Summary'!$D:$D,Y$340)</f>
        <v>0</v>
      </c>
      <c r="Z341" s="14">
        <f>0.000001 * SUMIFS('Transmission Summary'!$M:$M,'Transmission Summary'!$A:$A,$D341,'Transmission Summary'!$D:$D,Z$340)</f>
        <v>0</v>
      </c>
      <c r="AA341" s="14">
        <f>0.000001 * SUMIFS('Transmission Summary'!$M:$M,'Transmission Summary'!$A:$A,$D341,'Transmission Summary'!$D:$D,AA$340)</f>
        <v>0</v>
      </c>
      <c r="AB341" s="14">
        <f>0.000001 * SUMIFS('Transmission Summary'!$M:$M,'Transmission Summary'!$A:$A,$D341,'Transmission Summary'!$D:$D,AB$340)</f>
        <v>0</v>
      </c>
      <c r="AC341" s="14">
        <f>0.000001 * SUMIFS('Transmission Summary'!$M:$M,'Transmission Summary'!$A:$A,$D341,'Transmission Summary'!$D:$D,AC$340)</f>
        <v>0</v>
      </c>
      <c r="AD341" s="14">
        <f>0.000001 * SUMIFS('Transmission Summary'!$M:$M,'Transmission Summary'!$A:$A,$D341,'Transmission Summary'!$D:$D,AD$340)</f>
        <v>0.75505066219119699</v>
      </c>
      <c r="AH341" s="34" t="s">
        <v>422</v>
      </c>
    </row>
    <row r="342" spans="3:34" outlineLevel="1" x14ac:dyDescent="0.2">
      <c r="D342" s="8" t="s">
        <v>252</v>
      </c>
      <c r="E342" s="14">
        <f>0.000001 * SUMIFS('Transmission Summary'!$M:$M,'Transmission Summary'!$A:$A,$D342,'Transmission Summary'!$D:$D,E$340)</f>
        <v>0</v>
      </c>
      <c r="F342" s="14">
        <f>0.000001 * SUMIFS('Transmission Summary'!$M:$M,'Transmission Summary'!$A:$A,$D342,'Transmission Summary'!$D:$D,F$340)</f>
        <v>0</v>
      </c>
      <c r="G342" s="14">
        <f>0.000001 * SUMIFS('Transmission Summary'!$M:$M,'Transmission Summary'!$A:$A,$D342,'Transmission Summary'!$D:$D,G$340)</f>
        <v>0</v>
      </c>
      <c r="H342" s="14">
        <f>0.000001 * SUMIFS('Transmission Summary'!$M:$M,'Transmission Summary'!$A:$A,$D342,'Transmission Summary'!$D:$D,H$340)</f>
        <v>0</v>
      </c>
      <c r="I342" s="14">
        <f>0.000001 * SUMIFS('Transmission Summary'!$M:$M,'Transmission Summary'!$A:$A,$D342,'Transmission Summary'!$D:$D,I$340)</f>
        <v>0</v>
      </c>
      <c r="J342" s="14">
        <f>0.000001 * SUMIFS('Transmission Summary'!$M:$M,'Transmission Summary'!$A:$A,$D342,'Transmission Summary'!$D:$D,J$340)</f>
        <v>0</v>
      </c>
      <c r="K342" s="14">
        <f>0.000001 * SUMIFS('Transmission Summary'!$M:$M,'Transmission Summary'!$A:$A,$D342,'Transmission Summary'!$D:$D,K$340)</f>
        <v>0</v>
      </c>
      <c r="L342" s="14">
        <f>0.000001 * SUMIFS('Transmission Summary'!$M:$M,'Transmission Summary'!$A:$A,$D342,'Transmission Summary'!$D:$D,L$340)</f>
        <v>0</v>
      </c>
      <c r="M342" s="14">
        <f>0.000001 * SUMIFS('Transmission Summary'!$M:$M,'Transmission Summary'!$A:$A,$D342,'Transmission Summary'!$D:$D,M$340)</f>
        <v>0</v>
      </c>
      <c r="N342" s="14">
        <f>0.000001 * SUMIFS('Transmission Summary'!$M:$M,'Transmission Summary'!$A:$A,$D342,'Transmission Summary'!$D:$D,N$340)</f>
        <v>0</v>
      </c>
      <c r="O342" s="14">
        <f>0.000001 * SUMIFS('Transmission Summary'!$M:$M,'Transmission Summary'!$A:$A,$D342,'Transmission Summary'!$D:$D,O$340)</f>
        <v>0</v>
      </c>
      <c r="P342" s="14">
        <f>0.000001 * SUMIFS('Transmission Summary'!$M:$M,'Transmission Summary'!$A:$A,$D342,'Transmission Summary'!$D:$D,P$340)</f>
        <v>0</v>
      </c>
      <c r="Q342" s="14">
        <f>0.000001 * SUMIFS('Transmission Summary'!$M:$M,'Transmission Summary'!$A:$A,$D342,'Transmission Summary'!$D:$D,Q$340)</f>
        <v>0</v>
      </c>
      <c r="R342" s="14">
        <f>0.000001 * SUMIFS('Transmission Summary'!$M:$M,'Transmission Summary'!$A:$A,$D342,'Transmission Summary'!$D:$D,R$340)</f>
        <v>0</v>
      </c>
      <c r="S342" s="14">
        <f>0.000001 * SUMIFS('Transmission Summary'!$M:$M,'Transmission Summary'!$A:$A,$D342,'Transmission Summary'!$D:$D,S$340)</f>
        <v>0</v>
      </c>
      <c r="T342" s="14">
        <f>0.000001 * SUMIFS('Transmission Summary'!$M:$M,'Transmission Summary'!$A:$A,$D342,'Transmission Summary'!$D:$D,T$340)</f>
        <v>0</v>
      </c>
      <c r="U342" s="14">
        <f>0.000001 * SUMIFS('Transmission Summary'!$M:$M,'Transmission Summary'!$A:$A,$D342,'Transmission Summary'!$D:$D,U$340)</f>
        <v>0</v>
      </c>
      <c r="V342" s="14">
        <f>0.000001 * SUMIFS('Transmission Summary'!$M:$M,'Transmission Summary'!$A:$A,$D342,'Transmission Summary'!$D:$D,V$340)</f>
        <v>0</v>
      </c>
      <c r="W342" s="14">
        <f>0.000001 * SUMIFS('Transmission Summary'!$M:$M,'Transmission Summary'!$A:$A,$D342,'Transmission Summary'!$D:$D,W$340)</f>
        <v>0</v>
      </c>
      <c r="X342" s="14">
        <f>0.000001 * SUMIFS('Transmission Summary'!$M:$M,'Transmission Summary'!$A:$A,$D342,'Transmission Summary'!$D:$D,X$340)</f>
        <v>0</v>
      </c>
      <c r="Y342" s="14">
        <f>0.000001 * SUMIFS('Transmission Summary'!$M:$M,'Transmission Summary'!$A:$A,$D342,'Transmission Summary'!$D:$D,Y$340)</f>
        <v>0</v>
      </c>
      <c r="Z342" s="14">
        <f>0.000001 * SUMIFS('Transmission Summary'!$M:$M,'Transmission Summary'!$A:$A,$D342,'Transmission Summary'!$D:$D,Z$340)</f>
        <v>0</v>
      </c>
      <c r="AA342" s="14">
        <f>0.000001 * SUMIFS('Transmission Summary'!$M:$M,'Transmission Summary'!$A:$A,$D342,'Transmission Summary'!$D:$D,AA$340)</f>
        <v>0</v>
      </c>
      <c r="AB342" s="14">
        <f>0.000001 * SUMIFS('Transmission Summary'!$M:$M,'Transmission Summary'!$A:$A,$D342,'Transmission Summary'!$D:$D,AB$340)</f>
        <v>0</v>
      </c>
      <c r="AC342" s="14">
        <f>0.000001 * SUMIFS('Transmission Summary'!$M:$M,'Transmission Summary'!$A:$A,$D342,'Transmission Summary'!$D:$D,AC$340)</f>
        <v>0</v>
      </c>
      <c r="AD342" s="14">
        <f>0.000001 * SUMIFS('Transmission Summary'!$M:$M,'Transmission Summary'!$A:$A,$D342,'Transmission Summary'!$D:$D,AD$340)</f>
        <v>0.49176182946156766</v>
      </c>
      <c r="AH342" s="34" t="s">
        <v>422</v>
      </c>
    </row>
    <row r="343" spans="3:34" outlineLevel="1" x14ac:dyDescent="0.2">
      <c r="D343" s="8" t="s">
        <v>253</v>
      </c>
      <c r="E343" s="14">
        <f>0.000001 * SUMIFS('Transmission Summary'!$M:$M,'Transmission Summary'!$A:$A,$D343,'Transmission Summary'!$D:$D,E$340)</f>
        <v>0</v>
      </c>
      <c r="F343" s="14">
        <f>0.000001 * SUMIFS('Transmission Summary'!$M:$M,'Transmission Summary'!$A:$A,$D343,'Transmission Summary'!$D:$D,F$340)</f>
        <v>0</v>
      </c>
      <c r="G343" s="14">
        <f>0.000001 * SUMIFS('Transmission Summary'!$M:$M,'Transmission Summary'!$A:$A,$D343,'Transmission Summary'!$D:$D,G$340)</f>
        <v>0</v>
      </c>
      <c r="H343" s="14">
        <f>0.000001 * SUMIFS('Transmission Summary'!$M:$M,'Transmission Summary'!$A:$A,$D343,'Transmission Summary'!$D:$D,H$340)</f>
        <v>0</v>
      </c>
      <c r="I343" s="14">
        <f>0.000001 * SUMIFS('Transmission Summary'!$M:$M,'Transmission Summary'!$A:$A,$D343,'Transmission Summary'!$D:$D,I$340)</f>
        <v>0</v>
      </c>
      <c r="J343" s="14">
        <f>0.000001 * SUMIFS('Transmission Summary'!$M:$M,'Transmission Summary'!$A:$A,$D343,'Transmission Summary'!$D:$D,J$340)</f>
        <v>0</v>
      </c>
      <c r="K343" s="14">
        <f>0.000001 * SUMIFS('Transmission Summary'!$M:$M,'Transmission Summary'!$A:$A,$D343,'Transmission Summary'!$D:$D,K$340)</f>
        <v>0</v>
      </c>
      <c r="L343" s="14">
        <f>0.000001 * SUMIFS('Transmission Summary'!$M:$M,'Transmission Summary'!$A:$A,$D343,'Transmission Summary'!$D:$D,L$340)</f>
        <v>0</v>
      </c>
      <c r="M343" s="14">
        <f>0.000001 * SUMIFS('Transmission Summary'!$M:$M,'Transmission Summary'!$A:$A,$D343,'Transmission Summary'!$D:$D,M$340)</f>
        <v>0</v>
      </c>
      <c r="N343" s="14">
        <f>0.000001 * SUMIFS('Transmission Summary'!$M:$M,'Transmission Summary'!$A:$A,$D343,'Transmission Summary'!$D:$D,N$340)</f>
        <v>0</v>
      </c>
      <c r="O343" s="14">
        <f>0.000001 * SUMIFS('Transmission Summary'!$M:$M,'Transmission Summary'!$A:$A,$D343,'Transmission Summary'!$D:$D,O$340)</f>
        <v>0</v>
      </c>
      <c r="P343" s="14">
        <f>0.000001 * SUMIFS('Transmission Summary'!$M:$M,'Transmission Summary'!$A:$A,$D343,'Transmission Summary'!$D:$D,P$340)</f>
        <v>0</v>
      </c>
      <c r="Q343" s="14">
        <f>0.000001 * SUMIFS('Transmission Summary'!$M:$M,'Transmission Summary'!$A:$A,$D343,'Transmission Summary'!$D:$D,Q$340)</f>
        <v>0</v>
      </c>
      <c r="R343" s="14">
        <f>0.000001 * SUMIFS('Transmission Summary'!$M:$M,'Transmission Summary'!$A:$A,$D343,'Transmission Summary'!$D:$D,R$340)</f>
        <v>0</v>
      </c>
      <c r="S343" s="14">
        <f>0.000001 * SUMIFS('Transmission Summary'!$M:$M,'Transmission Summary'!$A:$A,$D343,'Transmission Summary'!$D:$D,S$340)</f>
        <v>0</v>
      </c>
      <c r="T343" s="14">
        <f>0.000001 * SUMIFS('Transmission Summary'!$M:$M,'Transmission Summary'!$A:$A,$D343,'Transmission Summary'!$D:$D,T$340)</f>
        <v>0</v>
      </c>
      <c r="U343" s="14">
        <f>0.000001 * SUMIFS('Transmission Summary'!$M:$M,'Transmission Summary'!$A:$A,$D343,'Transmission Summary'!$D:$D,U$340)</f>
        <v>0</v>
      </c>
      <c r="V343" s="14">
        <f>0.000001 * SUMIFS('Transmission Summary'!$M:$M,'Transmission Summary'!$A:$A,$D343,'Transmission Summary'!$D:$D,V$340)</f>
        <v>0</v>
      </c>
      <c r="W343" s="14">
        <f>0.000001 * SUMIFS('Transmission Summary'!$M:$M,'Transmission Summary'!$A:$A,$D343,'Transmission Summary'!$D:$D,W$340)</f>
        <v>0</v>
      </c>
      <c r="X343" s="14">
        <f>0.000001 * SUMIFS('Transmission Summary'!$M:$M,'Transmission Summary'!$A:$A,$D343,'Transmission Summary'!$D:$D,X$340)</f>
        <v>0</v>
      </c>
      <c r="Y343" s="14">
        <f>0.000001 * SUMIFS('Transmission Summary'!$M:$M,'Transmission Summary'!$A:$A,$D343,'Transmission Summary'!$D:$D,Y$340)</f>
        <v>0</v>
      </c>
      <c r="Z343" s="14">
        <f>0.000001 * SUMIFS('Transmission Summary'!$M:$M,'Transmission Summary'!$A:$A,$D343,'Transmission Summary'!$D:$D,Z$340)</f>
        <v>0</v>
      </c>
      <c r="AA343" s="14">
        <f>0.000001 * SUMIFS('Transmission Summary'!$M:$M,'Transmission Summary'!$A:$A,$D343,'Transmission Summary'!$D:$D,AA$340)</f>
        <v>0</v>
      </c>
      <c r="AB343" s="14">
        <f>0.000001 * SUMIFS('Transmission Summary'!$M:$M,'Transmission Summary'!$A:$A,$D343,'Transmission Summary'!$D:$D,AB$340)</f>
        <v>0</v>
      </c>
      <c r="AC343" s="14">
        <f>0.000001 * SUMIFS('Transmission Summary'!$M:$M,'Transmission Summary'!$A:$A,$D343,'Transmission Summary'!$D:$D,AC$340)</f>
        <v>0</v>
      </c>
      <c r="AD343" s="14">
        <f>0.000001 * SUMIFS('Transmission Summary'!$M:$M,'Transmission Summary'!$A:$A,$D343,'Transmission Summary'!$D:$D,AD$340)</f>
        <v>0.44327036517114765</v>
      </c>
      <c r="AH343" s="34" t="s">
        <v>422</v>
      </c>
    </row>
    <row r="344" spans="3:34" outlineLevel="1" x14ac:dyDescent="0.2">
      <c r="D344" s="8" t="s">
        <v>255</v>
      </c>
      <c r="E344" s="14">
        <f>0.000001 * SUMIFS('Transmission Summary'!$M:$M,'Transmission Summary'!$A:$A,$D344,'Transmission Summary'!$D:$D,E$340)</f>
        <v>0</v>
      </c>
      <c r="F344" s="14">
        <f>0.000001 * SUMIFS('Transmission Summary'!$M:$M,'Transmission Summary'!$A:$A,$D344,'Transmission Summary'!$D:$D,F$340)</f>
        <v>0</v>
      </c>
      <c r="G344" s="14">
        <f>0.000001 * SUMIFS('Transmission Summary'!$M:$M,'Transmission Summary'!$A:$A,$D344,'Transmission Summary'!$D:$D,G$340)</f>
        <v>0</v>
      </c>
      <c r="H344" s="14">
        <f>0.000001 * SUMIFS('Transmission Summary'!$M:$M,'Transmission Summary'!$A:$A,$D344,'Transmission Summary'!$D:$D,H$340)</f>
        <v>0</v>
      </c>
      <c r="I344" s="14">
        <f>0.000001 * SUMIFS('Transmission Summary'!$M:$M,'Transmission Summary'!$A:$A,$D344,'Transmission Summary'!$D:$D,I$340)</f>
        <v>0</v>
      </c>
      <c r="J344" s="14">
        <f>0.000001 * SUMIFS('Transmission Summary'!$M:$M,'Transmission Summary'!$A:$A,$D344,'Transmission Summary'!$D:$D,J$340)</f>
        <v>0</v>
      </c>
      <c r="K344" s="14">
        <f>0.000001 * SUMIFS('Transmission Summary'!$M:$M,'Transmission Summary'!$A:$A,$D344,'Transmission Summary'!$D:$D,K$340)</f>
        <v>0</v>
      </c>
      <c r="L344" s="14">
        <f>0.000001 * SUMIFS('Transmission Summary'!$M:$M,'Transmission Summary'!$A:$A,$D344,'Transmission Summary'!$D:$D,L$340)</f>
        <v>0</v>
      </c>
      <c r="M344" s="14">
        <f>0.000001 * SUMIFS('Transmission Summary'!$M:$M,'Transmission Summary'!$A:$A,$D344,'Transmission Summary'!$D:$D,M$340)</f>
        <v>0</v>
      </c>
      <c r="N344" s="14">
        <f>0.000001 * SUMIFS('Transmission Summary'!$M:$M,'Transmission Summary'!$A:$A,$D344,'Transmission Summary'!$D:$D,N$340)</f>
        <v>0</v>
      </c>
      <c r="O344" s="14">
        <f>0.000001 * SUMIFS('Transmission Summary'!$M:$M,'Transmission Summary'!$A:$A,$D344,'Transmission Summary'!$D:$D,O$340)</f>
        <v>0</v>
      </c>
      <c r="P344" s="14">
        <f>0.000001 * SUMIFS('Transmission Summary'!$M:$M,'Transmission Summary'!$A:$A,$D344,'Transmission Summary'!$D:$D,P$340)</f>
        <v>0</v>
      </c>
      <c r="Q344" s="14">
        <f>0.000001 * SUMIFS('Transmission Summary'!$M:$M,'Transmission Summary'!$A:$A,$D344,'Transmission Summary'!$D:$D,Q$340)</f>
        <v>0</v>
      </c>
      <c r="R344" s="14">
        <f>0.000001 * SUMIFS('Transmission Summary'!$M:$M,'Transmission Summary'!$A:$A,$D344,'Transmission Summary'!$D:$D,R$340)</f>
        <v>0</v>
      </c>
      <c r="S344" s="14">
        <f>0.000001 * SUMIFS('Transmission Summary'!$M:$M,'Transmission Summary'!$A:$A,$D344,'Transmission Summary'!$D:$D,S$340)</f>
        <v>0</v>
      </c>
      <c r="T344" s="14">
        <f>0.000001 * SUMIFS('Transmission Summary'!$M:$M,'Transmission Summary'!$A:$A,$D344,'Transmission Summary'!$D:$D,T$340)</f>
        <v>0</v>
      </c>
      <c r="U344" s="14">
        <f>0.000001 * SUMIFS('Transmission Summary'!$M:$M,'Transmission Summary'!$A:$A,$D344,'Transmission Summary'!$D:$D,U$340)</f>
        <v>0</v>
      </c>
      <c r="V344" s="14">
        <f>0.000001 * SUMIFS('Transmission Summary'!$M:$M,'Transmission Summary'!$A:$A,$D344,'Transmission Summary'!$D:$D,V$340)</f>
        <v>0</v>
      </c>
      <c r="W344" s="14">
        <f>0.000001 * SUMIFS('Transmission Summary'!$M:$M,'Transmission Summary'!$A:$A,$D344,'Transmission Summary'!$D:$D,W$340)</f>
        <v>0</v>
      </c>
      <c r="X344" s="14">
        <f>0.000001 * SUMIFS('Transmission Summary'!$M:$M,'Transmission Summary'!$A:$A,$D344,'Transmission Summary'!$D:$D,X$340)</f>
        <v>0</v>
      </c>
      <c r="Y344" s="14">
        <f>0.000001 * SUMIFS('Transmission Summary'!$M:$M,'Transmission Summary'!$A:$A,$D344,'Transmission Summary'!$D:$D,Y$340)</f>
        <v>0</v>
      </c>
      <c r="Z344" s="14">
        <f>0.000001 * SUMIFS('Transmission Summary'!$M:$M,'Transmission Summary'!$A:$A,$D344,'Transmission Summary'!$D:$D,Z$340)</f>
        <v>0</v>
      </c>
      <c r="AA344" s="14">
        <f>0.000001 * SUMIFS('Transmission Summary'!$M:$M,'Transmission Summary'!$A:$A,$D344,'Transmission Summary'!$D:$D,AA$340)</f>
        <v>0</v>
      </c>
      <c r="AB344" s="14">
        <f>0.000001 * SUMIFS('Transmission Summary'!$M:$M,'Transmission Summary'!$A:$A,$D344,'Transmission Summary'!$D:$D,AB$340)</f>
        <v>0</v>
      </c>
      <c r="AC344" s="14">
        <f>0.000001 * SUMIFS('Transmission Summary'!$M:$M,'Transmission Summary'!$A:$A,$D344,'Transmission Summary'!$D:$D,AC$340)</f>
        <v>0</v>
      </c>
      <c r="AD344" s="14">
        <f>0.000001 * SUMIFS('Transmission Summary'!$M:$M,'Transmission Summary'!$A:$A,$D344,'Transmission Summary'!$D:$D,AD$340)</f>
        <v>1.2497144383630858</v>
      </c>
      <c r="AH344" s="34" t="s">
        <v>422</v>
      </c>
    </row>
    <row r="345" spans="3:34" outlineLevel="1" x14ac:dyDescent="0.2">
      <c r="D345" s="8" t="s">
        <v>256</v>
      </c>
      <c r="E345" s="14">
        <f>0.000001 * SUMIFS('Transmission Summary'!$M:$M,'Transmission Summary'!$A:$A,$D345,'Transmission Summary'!$D:$D,E$340)</f>
        <v>0</v>
      </c>
      <c r="F345" s="14">
        <f>0.000001 * SUMIFS('Transmission Summary'!$M:$M,'Transmission Summary'!$A:$A,$D345,'Transmission Summary'!$D:$D,F$340)</f>
        <v>0</v>
      </c>
      <c r="G345" s="14">
        <f>0.000001 * SUMIFS('Transmission Summary'!$M:$M,'Transmission Summary'!$A:$A,$D345,'Transmission Summary'!$D:$D,G$340)</f>
        <v>0</v>
      </c>
      <c r="H345" s="14">
        <f>0.000001 * SUMIFS('Transmission Summary'!$M:$M,'Transmission Summary'!$A:$A,$D345,'Transmission Summary'!$D:$D,H$340)</f>
        <v>0</v>
      </c>
      <c r="I345" s="14">
        <f>0.000001 * SUMIFS('Transmission Summary'!$M:$M,'Transmission Summary'!$A:$A,$D345,'Transmission Summary'!$D:$D,I$340)</f>
        <v>0</v>
      </c>
      <c r="J345" s="14">
        <f>0.000001 * SUMIFS('Transmission Summary'!$M:$M,'Transmission Summary'!$A:$A,$D345,'Transmission Summary'!$D:$D,J$340)</f>
        <v>0</v>
      </c>
      <c r="K345" s="14">
        <f>0.000001 * SUMIFS('Transmission Summary'!$M:$M,'Transmission Summary'!$A:$A,$D345,'Transmission Summary'!$D:$D,K$340)</f>
        <v>0</v>
      </c>
      <c r="L345" s="14">
        <f>0.000001 * SUMIFS('Transmission Summary'!$M:$M,'Transmission Summary'!$A:$A,$D345,'Transmission Summary'!$D:$D,L$340)</f>
        <v>0</v>
      </c>
      <c r="M345" s="14">
        <f>0.000001 * SUMIFS('Transmission Summary'!$M:$M,'Transmission Summary'!$A:$A,$D345,'Transmission Summary'!$D:$D,M$340)</f>
        <v>0</v>
      </c>
      <c r="N345" s="14">
        <f>0.000001 * SUMIFS('Transmission Summary'!$M:$M,'Transmission Summary'!$A:$A,$D345,'Transmission Summary'!$D:$D,N$340)</f>
        <v>0</v>
      </c>
      <c r="O345" s="14">
        <f>0.000001 * SUMIFS('Transmission Summary'!$M:$M,'Transmission Summary'!$A:$A,$D345,'Transmission Summary'!$D:$D,O$340)</f>
        <v>0</v>
      </c>
      <c r="P345" s="14">
        <f>0.000001 * SUMIFS('Transmission Summary'!$M:$M,'Transmission Summary'!$A:$A,$D345,'Transmission Summary'!$D:$D,P$340)</f>
        <v>0</v>
      </c>
      <c r="Q345" s="14">
        <f>0.000001 * SUMIFS('Transmission Summary'!$M:$M,'Transmission Summary'!$A:$A,$D345,'Transmission Summary'!$D:$D,Q$340)</f>
        <v>0</v>
      </c>
      <c r="R345" s="14">
        <f>0.000001 * SUMIFS('Transmission Summary'!$M:$M,'Transmission Summary'!$A:$A,$D345,'Transmission Summary'!$D:$D,R$340)</f>
        <v>0</v>
      </c>
      <c r="S345" s="14">
        <f>0.000001 * SUMIFS('Transmission Summary'!$M:$M,'Transmission Summary'!$A:$A,$D345,'Transmission Summary'!$D:$D,S$340)</f>
        <v>0</v>
      </c>
      <c r="T345" s="14">
        <f>0.000001 * SUMIFS('Transmission Summary'!$M:$M,'Transmission Summary'!$A:$A,$D345,'Transmission Summary'!$D:$D,T$340)</f>
        <v>0</v>
      </c>
      <c r="U345" s="14">
        <f>0.000001 * SUMIFS('Transmission Summary'!$M:$M,'Transmission Summary'!$A:$A,$D345,'Transmission Summary'!$D:$D,U$340)</f>
        <v>0</v>
      </c>
      <c r="V345" s="14">
        <f>0.000001 * SUMIFS('Transmission Summary'!$M:$M,'Transmission Summary'!$A:$A,$D345,'Transmission Summary'!$D:$D,V$340)</f>
        <v>0</v>
      </c>
      <c r="W345" s="14">
        <f>0.000001 * SUMIFS('Transmission Summary'!$M:$M,'Transmission Summary'!$A:$A,$D345,'Transmission Summary'!$D:$D,W$340)</f>
        <v>0</v>
      </c>
      <c r="X345" s="14">
        <f>0.000001 * SUMIFS('Transmission Summary'!$M:$M,'Transmission Summary'!$A:$A,$D345,'Transmission Summary'!$D:$D,X$340)</f>
        <v>0</v>
      </c>
      <c r="Y345" s="14">
        <f>0.000001 * SUMIFS('Transmission Summary'!$M:$M,'Transmission Summary'!$A:$A,$D345,'Transmission Summary'!$D:$D,Y$340)</f>
        <v>0</v>
      </c>
      <c r="Z345" s="14">
        <f>0.000001 * SUMIFS('Transmission Summary'!$M:$M,'Transmission Summary'!$A:$A,$D345,'Transmission Summary'!$D:$D,Z$340)</f>
        <v>0</v>
      </c>
      <c r="AA345" s="14">
        <f>0.000001 * SUMIFS('Transmission Summary'!$M:$M,'Transmission Summary'!$A:$A,$D345,'Transmission Summary'!$D:$D,AA$340)</f>
        <v>0</v>
      </c>
      <c r="AB345" s="14">
        <f>0.000001 * SUMIFS('Transmission Summary'!$M:$M,'Transmission Summary'!$A:$A,$D345,'Transmission Summary'!$D:$D,AB$340)</f>
        <v>0</v>
      </c>
      <c r="AC345" s="14">
        <f>0.000001 * SUMIFS('Transmission Summary'!$M:$M,'Transmission Summary'!$A:$A,$D345,'Transmission Summary'!$D:$D,AC$340)</f>
        <v>0</v>
      </c>
      <c r="AD345" s="14">
        <f>0.000001 * SUMIFS('Transmission Summary'!$M:$M,'Transmission Summary'!$A:$A,$D345,'Transmission Summary'!$D:$D,AD$340)</f>
        <v>12.158706370833892</v>
      </c>
      <c r="AH345" s="34" t="s">
        <v>422</v>
      </c>
    </row>
    <row r="346" spans="3:34" ht="12.6" outlineLevel="1" thickBot="1" x14ac:dyDescent="0.25">
      <c r="D346" s="9" t="s">
        <v>139</v>
      </c>
      <c r="E346" s="13">
        <f t="shared" ref="E346" si="286">SUM(E341:E345)</f>
        <v>0</v>
      </c>
      <c r="F346" s="13">
        <f t="shared" ref="F346" si="287">SUM(F341:F345)</f>
        <v>0</v>
      </c>
      <c r="G346" s="13">
        <f t="shared" ref="G346" si="288">SUM(G341:G345)</f>
        <v>0</v>
      </c>
      <c r="H346" s="13">
        <f t="shared" ref="H346" si="289">SUM(H341:H345)</f>
        <v>0</v>
      </c>
      <c r="I346" s="13">
        <f t="shared" ref="I346" si="290">SUM(I341:I345)</f>
        <v>0</v>
      </c>
      <c r="J346" s="13">
        <f t="shared" ref="J346" si="291">SUM(J341:J345)</f>
        <v>0</v>
      </c>
      <c r="K346" s="13">
        <f t="shared" ref="K346" si="292">SUM(K341:K345)</f>
        <v>0</v>
      </c>
      <c r="L346" s="13">
        <f t="shared" ref="L346" si="293">SUM(L341:L345)</f>
        <v>0</v>
      </c>
      <c r="M346" s="13">
        <f t="shared" ref="M346" si="294">SUM(M341:M345)</f>
        <v>0</v>
      </c>
      <c r="N346" s="13">
        <f t="shared" ref="N346" si="295">SUM(N341:N345)</f>
        <v>0</v>
      </c>
      <c r="O346" s="13">
        <f t="shared" ref="O346" si="296">SUM(O341:O345)</f>
        <v>0</v>
      </c>
      <c r="P346" s="13">
        <f t="shared" ref="P346" si="297">SUM(P341:P345)</f>
        <v>0</v>
      </c>
      <c r="Q346" s="13">
        <f t="shared" ref="Q346" si="298">SUM(Q341:Q345)</f>
        <v>0</v>
      </c>
      <c r="R346" s="13">
        <f t="shared" ref="R346" si="299">SUM(R341:R345)</f>
        <v>0</v>
      </c>
      <c r="S346" s="13">
        <f t="shared" ref="S346" si="300">SUM(S341:S345)</f>
        <v>0</v>
      </c>
      <c r="T346" s="13">
        <f t="shared" ref="T346" si="301">SUM(T341:T345)</f>
        <v>0</v>
      </c>
      <c r="U346" s="13">
        <f t="shared" ref="U346" si="302">SUM(U341:U345)</f>
        <v>0</v>
      </c>
      <c r="V346" s="13">
        <f t="shared" ref="V346" si="303">SUM(V341:V345)</f>
        <v>0</v>
      </c>
      <c r="W346" s="13">
        <f t="shared" ref="W346" si="304">SUM(W341:W345)</f>
        <v>0</v>
      </c>
      <c r="X346" s="13">
        <f t="shared" ref="X346" si="305">SUM(X341:X345)</f>
        <v>0</v>
      </c>
      <c r="Y346" s="13">
        <f t="shared" ref="Y346" si="306">SUM(Y341:Y345)</f>
        <v>0</v>
      </c>
      <c r="Z346" s="13">
        <f t="shared" ref="Z346" si="307">SUM(Z341:Z345)</f>
        <v>0</v>
      </c>
      <c r="AA346" s="13">
        <f t="shared" ref="AA346" si="308">SUM(AA341:AA345)</f>
        <v>0</v>
      </c>
      <c r="AB346" s="13">
        <f t="shared" ref="AB346" si="309">SUM(AB341:AB345)</f>
        <v>0</v>
      </c>
      <c r="AC346" s="13">
        <f t="shared" ref="AC346" si="310">SUM(AC341:AC345)</f>
        <v>0</v>
      </c>
      <c r="AD346" s="13">
        <f t="shared" ref="AD346" si="311">SUM(AD341:AD345)</f>
        <v>15.098503666020889</v>
      </c>
      <c r="AH346" s="34" t="s">
        <v>422</v>
      </c>
    </row>
    <row r="347" spans="3:34" ht="12" outlineLevel="1" thickTop="1" x14ac:dyDescent="0.2">
      <c r="AH347" s="34" t="s">
        <v>422</v>
      </c>
    </row>
    <row r="348" spans="3:34" outlineLevel="1" x14ac:dyDescent="0.2">
      <c r="AH348" s="34" t="s">
        <v>422</v>
      </c>
    </row>
    <row r="349" spans="3:34" ht="13.2" outlineLevel="1" x14ac:dyDescent="0.2">
      <c r="E349" s="2" t="s">
        <v>244</v>
      </c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H349" s="34" t="s">
        <v>422</v>
      </c>
    </row>
    <row r="350" spans="3:34" outlineLevel="1" x14ac:dyDescent="0.2">
      <c r="E350" s="7">
        <v>43831</v>
      </c>
      <c r="F350" s="7">
        <f>EDATE(E350,12)</f>
        <v>44197</v>
      </c>
      <c r="G350" s="7">
        <f t="shared" ref="G350" si="312">EDATE(F350,12)</f>
        <v>44562</v>
      </c>
      <c r="H350" s="7">
        <f t="shared" ref="H350" si="313">EDATE(G350,12)</f>
        <v>44927</v>
      </c>
      <c r="I350" s="7">
        <f t="shared" ref="I350" si="314">EDATE(H350,12)</f>
        <v>45292</v>
      </c>
      <c r="J350" s="7">
        <f t="shared" ref="J350" si="315">EDATE(I350,12)</f>
        <v>45658</v>
      </c>
      <c r="K350" s="7">
        <f t="shared" ref="K350" si="316">EDATE(J350,12)</f>
        <v>46023</v>
      </c>
      <c r="L350" s="7">
        <f t="shared" ref="L350" si="317">EDATE(K350,12)</f>
        <v>46388</v>
      </c>
      <c r="M350" s="7">
        <f t="shared" ref="M350" si="318">EDATE(L350,12)</f>
        <v>46753</v>
      </c>
      <c r="N350" s="7">
        <f t="shared" ref="N350" si="319">EDATE(M350,12)</f>
        <v>47119</v>
      </c>
      <c r="O350" s="7">
        <f t="shared" ref="O350" si="320">EDATE(N350,12)</f>
        <v>47484</v>
      </c>
      <c r="P350" s="7">
        <f t="shared" ref="P350" si="321">EDATE(O350,12)</f>
        <v>47849</v>
      </c>
      <c r="Q350" s="7">
        <f t="shared" ref="Q350" si="322">EDATE(P350,12)</f>
        <v>48214</v>
      </c>
      <c r="R350" s="7">
        <f t="shared" ref="R350" si="323">EDATE(Q350,12)</f>
        <v>48580</v>
      </c>
      <c r="S350" s="7">
        <f t="shared" ref="S350" si="324">EDATE(R350,12)</f>
        <v>48945</v>
      </c>
      <c r="T350" s="7">
        <f t="shared" ref="T350" si="325">EDATE(S350,12)</f>
        <v>49310</v>
      </c>
      <c r="U350" s="7">
        <f t="shared" ref="U350" si="326">EDATE(T350,12)</f>
        <v>49675</v>
      </c>
      <c r="V350" s="7">
        <f t="shared" ref="V350" si="327">EDATE(U350,12)</f>
        <v>50041</v>
      </c>
      <c r="W350" s="7">
        <f t="shared" ref="W350" si="328">EDATE(V350,12)</f>
        <v>50406</v>
      </c>
      <c r="X350" s="7">
        <f t="shared" ref="X350" si="329">EDATE(W350,12)</f>
        <v>50771</v>
      </c>
      <c r="Y350" s="7">
        <f t="shared" ref="Y350" si="330">EDATE(X350,12)</f>
        <v>51136</v>
      </c>
      <c r="Z350" s="7">
        <f t="shared" ref="Z350" si="331">EDATE(Y350,12)</f>
        <v>51502</v>
      </c>
      <c r="AA350" s="7">
        <f t="shared" ref="AA350" si="332">EDATE(Z350,12)</f>
        <v>51867</v>
      </c>
      <c r="AB350" s="7">
        <f t="shared" ref="AB350" si="333">EDATE(AA350,12)</f>
        <v>52232</v>
      </c>
      <c r="AC350" s="7">
        <f t="shared" ref="AC350" si="334">EDATE(AB350,12)</f>
        <v>52597</v>
      </c>
      <c r="AD350" s="7">
        <f>EDATE(AC350,12)</f>
        <v>52963</v>
      </c>
      <c r="AH350" s="34" t="s">
        <v>422</v>
      </c>
    </row>
    <row r="351" spans="3:34" outlineLevel="1" x14ac:dyDescent="0.2">
      <c r="D351" s="8" t="s">
        <v>251</v>
      </c>
      <c r="E351" s="14">
        <f>0.000001 * SUMIFS('Transmission Summary'!$L:$L,'Transmission Summary'!$A:$A,$D351,'Transmission Summary'!$D:$D,E$340)</f>
        <v>0</v>
      </c>
      <c r="F351" s="14">
        <f>0.000001 * SUMIFS('Transmission Summary'!$L:$L,'Transmission Summary'!$A:$A,$D351,'Transmission Summary'!$D:$D,F$340)</f>
        <v>0</v>
      </c>
      <c r="G351" s="14">
        <f>0.000001 * SUMIFS('Transmission Summary'!$L:$L,'Transmission Summary'!$A:$A,$D351,'Transmission Summary'!$D:$D,G$340)</f>
        <v>0</v>
      </c>
      <c r="H351" s="14">
        <f>0.000001 * SUMIFS('Transmission Summary'!$L:$L,'Transmission Summary'!$A:$A,$D351,'Transmission Summary'!$D:$D,H$340)</f>
        <v>0</v>
      </c>
      <c r="I351" s="14">
        <f>0.000001 * SUMIFS('Transmission Summary'!$L:$L,'Transmission Summary'!$A:$A,$D351,'Transmission Summary'!$D:$D,I$340)</f>
        <v>0</v>
      </c>
      <c r="J351" s="14">
        <f>0.000001 * SUMIFS('Transmission Summary'!$L:$L,'Transmission Summary'!$A:$A,$D351,'Transmission Summary'!$D:$D,J$340)</f>
        <v>0</v>
      </c>
      <c r="K351" s="14">
        <f>0.000001 * SUMIFS('Transmission Summary'!$L:$L,'Transmission Summary'!$A:$A,$D351,'Transmission Summary'!$D:$D,K$340)</f>
        <v>0</v>
      </c>
      <c r="L351" s="14">
        <f>0.000001 * SUMIFS('Transmission Summary'!$L:$L,'Transmission Summary'!$A:$A,$D351,'Transmission Summary'!$D:$D,L$340)</f>
        <v>0</v>
      </c>
      <c r="M351" s="14">
        <f>0.000001 * SUMIFS('Transmission Summary'!$L:$L,'Transmission Summary'!$A:$A,$D351,'Transmission Summary'!$D:$D,M$340)</f>
        <v>0</v>
      </c>
      <c r="N351" s="14">
        <f>0.000001 * SUMIFS('Transmission Summary'!$L:$L,'Transmission Summary'!$A:$A,$D351,'Transmission Summary'!$D:$D,N$340)</f>
        <v>0</v>
      </c>
      <c r="O351" s="14">
        <f>0.000001 * SUMIFS('Transmission Summary'!$L:$L,'Transmission Summary'!$A:$A,$D351,'Transmission Summary'!$D:$D,O$340)</f>
        <v>0</v>
      </c>
      <c r="P351" s="14">
        <f>0.000001 * SUMIFS('Transmission Summary'!$L:$L,'Transmission Summary'!$A:$A,$D351,'Transmission Summary'!$D:$D,P$340)</f>
        <v>0</v>
      </c>
      <c r="Q351" s="14">
        <f>0.000001 * SUMIFS('Transmission Summary'!$L:$L,'Transmission Summary'!$A:$A,$D351,'Transmission Summary'!$D:$D,Q$340)</f>
        <v>0</v>
      </c>
      <c r="R351" s="14">
        <f>0.000001 * SUMIFS('Transmission Summary'!$L:$L,'Transmission Summary'!$A:$A,$D351,'Transmission Summary'!$D:$D,R$340)</f>
        <v>0</v>
      </c>
      <c r="S351" s="14">
        <f>0.000001 * SUMIFS('Transmission Summary'!$L:$L,'Transmission Summary'!$A:$A,$D351,'Transmission Summary'!$D:$D,S$340)</f>
        <v>0</v>
      </c>
      <c r="T351" s="14">
        <f>0.000001 * SUMIFS('Transmission Summary'!$L:$L,'Transmission Summary'!$A:$A,$D351,'Transmission Summary'!$D:$D,T$340)</f>
        <v>0</v>
      </c>
      <c r="U351" s="14">
        <f>0.000001 * SUMIFS('Transmission Summary'!$L:$L,'Transmission Summary'!$A:$A,$D351,'Transmission Summary'!$D:$D,U$340)</f>
        <v>0</v>
      </c>
      <c r="V351" s="14">
        <f>0.000001 * SUMIFS('Transmission Summary'!$L:$L,'Transmission Summary'!$A:$A,$D351,'Transmission Summary'!$D:$D,V$340)</f>
        <v>0</v>
      </c>
      <c r="W351" s="14">
        <f>0.000001 * SUMIFS('Transmission Summary'!$L:$L,'Transmission Summary'!$A:$A,$D351,'Transmission Summary'!$D:$D,W$340)</f>
        <v>0</v>
      </c>
      <c r="X351" s="14">
        <f>0.000001 * SUMIFS('Transmission Summary'!$L:$L,'Transmission Summary'!$A:$A,$D351,'Transmission Summary'!$D:$D,X$340)</f>
        <v>0</v>
      </c>
      <c r="Y351" s="14">
        <f>0.000001 * SUMIFS('Transmission Summary'!$L:$L,'Transmission Summary'!$A:$A,$D351,'Transmission Summary'!$D:$D,Y$340)</f>
        <v>0</v>
      </c>
      <c r="Z351" s="14">
        <f>0.000001 * SUMIFS('Transmission Summary'!$L:$L,'Transmission Summary'!$A:$A,$D351,'Transmission Summary'!$D:$D,Z$340)</f>
        <v>0</v>
      </c>
      <c r="AA351" s="14">
        <f>0.000001 * SUMIFS('Transmission Summary'!$L:$L,'Transmission Summary'!$A:$A,$D351,'Transmission Summary'!$D:$D,AA$340)</f>
        <v>0</v>
      </c>
      <c r="AB351" s="14">
        <f>0.000001 * SUMIFS('Transmission Summary'!$L:$L,'Transmission Summary'!$A:$A,$D351,'Transmission Summary'!$D:$D,AB$340)</f>
        <v>0</v>
      </c>
      <c r="AC351" s="14">
        <f>0.000001 * SUMIFS('Transmission Summary'!$L:$L,'Transmission Summary'!$A:$A,$D351,'Transmission Summary'!$D:$D,AC$340)</f>
        <v>0</v>
      </c>
      <c r="AD351" s="14">
        <f>0.000001 * SUMIFS('Transmission Summary'!$L:$L,'Transmission Summary'!$A:$A,$D351,'Transmission Summary'!$D:$D,AD$340)</f>
        <v>0.74822250364876408</v>
      </c>
      <c r="AH351" s="34" t="s">
        <v>422</v>
      </c>
    </row>
    <row r="352" spans="3:34" outlineLevel="1" x14ac:dyDescent="0.2">
      <c r="D352" s="8" t="s">
        <v>252</v>
      </c>
      <c r="E352" s="14">
        <f>0.000001 * SUMIFS('Transmission Summary'!$L:$L,'Transmission Summary'!$A:$A,$D352,'Transmission Summary'!$D:$D,E$340)</f>
        <v>0</v>
      </c>
      <c r="F352" s="14">
        <f>0.000001 * SUMIFS('Transmission Summary'!$L:$L,'Transmission Summary'!$A:$A,$D352,'Transmission Summary'!$D:$D,F$340)</f>
        <v>0</v>
      </c>
      <c r="G352" s="14">
        <f>0.000001 * SUMIFS('Transmission Summary'!$L:$L,'Transmission Summary'!$A:$A,$D352,'Transmission Summary'!$D:$D,G$340)</f>
        <v>0</v>
      </c>
      <c r="H352" s="14">
        <f>0.000001 * SUMIFS('Transmission Summary'!$L:$L,'Transmission Summary'!$A:$A,$D352,'Transmission Summary'!$D:$D,H$340)</f>
        <v>0</v>
      </c>
      <c r="I352" s="14">
        <f>0.000001 * SUMIFS('Transmission Summary'!$L:$L,'Transmission Summary'!$A:$A,$D352,'Transmission Summary'!$D:$D,I$340)</f>
        <v>0</v>
      </c>
      <c r="J352" s="14">
        <f>0.000001 * SUMIFS('Transmission Summary'!$L:$L,'Transmission Summary'!$A:$A,$D352,'Transmission Summary'!$D:$D,J$340)</f>
        <v>0</v>
      </c>
      <c r="K352" s="14">
        <f>0.000001 * SUMIFS('Transmission Summary'!$L:$L,'Transmission Summary'!$A:$A,$D352,'Transmission Summary'!$D:$D,K$340)</f>
        <v>0</v>
      </c>
      <c r="L352" s="14">
        <f>0.000001 * SUMIFS('Transmission Summary'!$L:$L,'Transmission Summary'!$A:$A,$D352,'Transmission Summary'!$D:$D,L$340)</f>
        <v>0</v>
      </c>
      <c r="M352" s="14">
        <f>0.000001 * SUMIFS('Transmission Summary'!$L:$L,'Transmission Summary'!$A:$A,$D352,'Transmission Summary'!$D:$D,M$340)</f>
        <v>0</v>
      </c>
      <c r="N352" s="14">
        <f>0.000001 * SUMIFS('Transmission Summary'!$L:$L,'Transmission Summary'!$A:$A,$D352,'Transmission Summary'!$D:$D,N$340)</f>
        <v>0</v>
      </c>
      <c r="O352" s="14">
        <f>0.000001 * SUMIFS('Transmission Summary'!$L:$L,'Transmission Summary'!$A:$A,$D352,'Transmission Summary'!$D:$D,O$340)</f>
        <v>0</v>
      </c>
      <c r="P352" s="14">
        <f>0.000001 * SUMIFS('Transmission Summary'!$L:$L,'Transmission Summary'!$A:$A,$D352,'Transmission Summary'!$D:$D,P$340)</f>
        <v>0</v>
      </c>
      <c r="Q352" s="14">
        <f>0.000001 * SUMIFS('Transmission Summary'!$L:$L,'Transmission Summary'!$A:$A,$D352,'Transmission Summary'!$D:$D,Q$340)</f>
        <v>0</v>
      </c>
      <c r="R352" s="14">
        <f>0.000001 * SUMIFS('Transmission Summary'!$L:$L,'Transmission Summary'!$A:$A,$D352,'Transmission Summary'!$D:$D,R$340)</f>
        <v>0</v>
      </c>
      <c r="S352" s="14">
        <f>0.000001 * SUMIFS('Transmission Summary'!$L:$L,'Transmission Summary'!$A:$A,$D352,'Transmission Summary'!$D:$D,S$340)</f>
        <v>0</v>
      </c>
      <c r="T352" s="14">
        <f>0.000001 * SUMIFS('Transmission Summary'!$L:$L,'Transmission Summary'!$A:$A,$D352,'Transmission Summary'!$D:$D,T$340)</f>
        <v>0</v>
      </c>
      <c r="U352" s="14">
        <f>0.000001 * SUMIFS('Transmission Summary'!$L:$L,'Transmission Summary'!$A:$A,$D352,'Transmission Summary'!$D:$D,U$340)</f>
        <v>0</v>
      </c>
      <c r="V352" s="14">
        <f>0.000001 * SUMIFS('Transmission Summary'!$L:$L,'Transmission Summary'!$A:$A,$D352,'Transmission Summary'!$D:$D,V$340)</f>
        <v>0</v>
      </c>
      <c r="W352" s="14">
        <f>0.000001 * SUMIFS('Transmission Summary'!$L:$L,'Transmission Summary'!$A:$A,$D352,'Transmission Summary'!$D:$D,W$340)</f>
        <v>0</v>
      </c>
      <c r="X352" s="14">
        <f>0.000001 * SUMIFS('Transmission Summary'!$L:$L,'Transmission Summary'!$A:$A,$D352,'Transmission Summary'!$D:$D,X$340)</f>
        <v>0</v>
      </c>
      <c r="Y352" s="14">
        <f>0.000001 * SUMIFS('Transmission Summary'!$L:$L,'Transmission Summary'!$A:$A,$D352,'Transmission Summary'!$D:$D,Y$340)</f>
        <v>0</v>
      </c>
      <c r="Z352" s="14">
        <f>0.000001 * SUMIFS('Transmission Summary'!$L:$L,'Transmission Summary'!$A:$A,$D352,'Transmission Summary'!$D:$D,Z$340)</f>
        <v>0</v>
      </c>
      <c r="AA352" s="14">
        <f>0.000001 * SUMIFS('Transmission Summary'!$L:$L,'Transmission Summary'!$A:$A,$D352,'Transmission Summary'!$D:$D,AA$340)</f>
        <v>0</v>
      </c>
      <c r="AB352" s="14">
        <f>0.000001 * SUMIFS('Transmission Summary'!$L:$L,'Transmission Summary'!$A:$A,$D352,'Transmission Summary'!$D:$D,AB$340)</f>
        <v>0</v>
      </c>
      <c r="AC352" s="14">
        <f>0.000001 * SUMIFS('Transmission Summary'!$L:$L,'Transmission Summary'!$A:$A,$D352,'Transmission Summary'!$D:$D,AC$340)</f>
        <v>0</v>
      </c>
      <c r="AD352" s="14">
        <f>0.000001 * SUMIFS('Transmission Summary'!$L:$L,'Transmission Summary'!$A:$A,$D352,'Transmission Summary'!$D:$D,AD$340)</f>
        <v>0.11712835400378382</v>
      </c>
      <c r="AH352" s="34" t="s">
        <v>422</v>
      </c>
    </row>
    <row r="353" spans="4:34" outlineLevel="1" x14ac:dyDescent="0.2">
      <c r="D353" s="8" t="s">
        <v>253</v>
      </c>
      <c r="E353" s="14">
        <f>0.000001 * SUMIFS('Transmission Summary'!$L:$L,'Transmission Summary'!$A:$A,$D353,'Transmission Summary'!$D:$D,E$340)</f>
        <v>0</v>
      </c>
      <c r="F353" s="14">
        <f>0.000001 * SUMIFS('Transmission Summary'!$L:$L,'Transmission Summary'!$A:$A,$D353,'Transmission Summary'!$D:$D,F$340)</f>
        <v>0</v>
      </c>
      <c r="G353" s="14">
        <f>0.000001 * SUMIFS('Transmission Summary'!$L:$L,'Transmission Summary'!$A:$A,$D353,'Transmission Summary'!$D:$D,G$340)</f>
        <v>0</v>
      </c>
      <c r="H353" s="14">
        <f>0.000001 * SUMIFS('Transmission Summary'!$L:$L,'Transmission Summary'!$A:$A,$D353,'Transmission Summary'!$D:$D,H$340)</f>
        <v>0</v>
      </c>
      <c r="I353" s="14">
        <f>0.000001 * SUMIFS('Transmission Summary'!$L:$L,'Transmission Summary'!$A:$A,$D353,'Transmission Summary'!$D:$D,I$340)</f>
        <v>0</v>
      </c>
      <c r="J353" s="14">
        <f>0.000001 * SUMIFS('Transmission Summary'!$L:$L,'Transmission Summary'!$A:$A,$D353,'Transmission Summary'!$D:$D,J$340)</f>
        <v>0</v>
      </c>
      <c r="K353" s="14">
        <f>0.000001 * SUMIFS('Transmission Summary'!$L:$L,'Transmission Summary'!$A:$A,$D353,'Transmission Summary'!$D:$D,K$340)</f>
        <v>0</v>
      </c>
      <c r="L353" s="14">
        <f>0.000001 * SUMIFS('Transmission Summary'!$L:$L,'Transmission Summary'!$A:$A,$D353,'Transmission Summary'!$D:$D,L$340)</f>
        <v>0</v>
      </c>
      <c r="M353" s="14">
        <f>0.000001 * SUMIFS('Transmission Summary'!$L:$L,'Transmission Summary'!$A:$A,$D353,'Transmission Summary'!$D:$D,M$340)</f>
        <v>0</v>
      </c>
      <c r="N353" s="14">
        <f>0.000001 * SUMIFS('Transmission Summary'!$L:$L,'Transmission Summary'!$A:$A,$D353,'Transmission Summary'!$D:$D,N$340)</f>
        <v>0</v>
      </c>
      <c r="O353" s="14">
        <f>0.000001 * SUMIFS('Transmission Summary'!$L:$L,'Transmission Summary'!$A:$A,$D353,'Transmission Summary'!$D:$D,O$340)</f>
        <v>0</v>
      </c>
      <c r="P353" s="14">
        <f>0.000001 * SUMIFS('Transmission Summary'!$L:$L,'Transmission Summary'!$A:$A,$D353,'Transmission Summary'!$D:$D,P$340)</f>
        <v>0</v>
      </c>
      <c r="Q353" s="14">
        <f>0.000001 * SUMIFS('Transmission Summary'!$L:$L,'Transmission Summary'!$A:$A,$D353,'Transmission Summary'!$D:$D,Q$340)</f>
        <v>0</v>
      </c>
      <c r="R353" s="14">
        <f>0.000001 * SUMIFS('Transmission Summary'!$L:$L,'Transmission Summary'!$A:$A,$D353,'Transmission Summary'!$D:$D,R$340)</f>
        <v>0</v>
      </c>
      <c r="S353" s="14">
        <f>0.000001 * SUMIFS('Transmission Summary'!$L:$L,'Transmission Summary'!$A:$A,$D353,'Transmission Summary'!$D:$D,S$340)</f>
        <v>0</v>
      </c>
      <c r="T353" s="14">
        <f>0.000001 * SUMIFS('Transmission Summary'!$L:$L,'Transmission Summary'!$A:$A,$D353,'Transmission Summary'!$D:$D,T$340)</f>
        <v>0</v>
      </c>
      <c r="U353" s="14">
        <f>0.000001 * SUMIFS('Transmission Summary'!$L:$L,'Transmission Summary'!$A:$A,$D353,'Transmission Summary'!$D:$D,U$340)</f>
        <v>0</v>
      </c>
      <c r="V353" s="14">
        <f>0.000001 * SUMIFS('Transmission Summary'!$L:$L,'Transmission Summary'!$A:$A,$D353,'Transmission Summary'!$D:$D,V$340)</f>
        <v>0</v>
      </c>
      <c r="W353" s="14">
        <f>0.000001 * SUMIFS('Transmission Summary'!$L:$L,'Transmission Summary'!$A:$A,$D353,'Transmission Summary'!$D:$D,W$340)</f>
        <v>0</v>
      </c>
      <c r="X353" s="14">
        <f>0.000001 * SUMIFS('Transmission Summary'!$L:$L,'Transmission Summary'!$A:$A,$D353,'Transmission Summary'!$D:$D,X$340)</f>
        <v>0</v>
      </c>
      <c r="Y353" s="14">
        <f>0.000001 * SUMIFS('Transmission Summary'!$L:$L,'Transmission Summary'!$A:$A,$D353,'Transmission Summary'!$D:$D,Y$340)</f>
        <v>0</v>
      </c>
      <c r="Z353" s="14">
        <f>0.000001 * SUMIFS('Transmission Summary'!$L:$L,'Transmission Summary'!$A:$A,$D353,'Transmission Summary'!$D:$D,Z$340)</f>
        <v>0</v>
      </c>
      <c r="AA353" s="14">
        <f>0.000001 * SUMIFS('Transmission Summary'!$L:$L,'Transmission Summary'!$A:$A,$D353,'Transmission Summary'!$D:$D,AA$340)</f>
        <v>0</v>
      </c>
      <c r="AB353" s="14">
        <f>0.000001 * SUMIFS('Transmission Summary'!$L:$L,'Transmission Summary'!$A:$A,$D353,'Transmission Summary'!$D:$D,AB$340)</f>
        <v>0</v>
      </c>
      <c r="AC353" s="14">
        <f>0.000001 * SUMIFS('Transmission Summary'!$L:$L,'Transmission Summary'!$A:$A,$D353,'Transmission Summary'!$D:$D,AC$340)</f>
        <v>0</v>
      </c>
      <c r="AD353" s="14">
        <f>0.000001 * SUMIFS('Transmission Summary'!$L:$L,'Transmission Summary'!$A:$A,$D353,'Transmission Summary'!$D:$D,AD$340)</f>
        <v>2.2031817941158489</v>
      </c>
      <c r="AH353" s="34" t="s">
        <v>422</v>
      </c>
    </row>
    <row r="354" spans="4:34" outlineLevel="1" x14ac:dyDescent="0.2">
      <c r="D354" s="8" t="s">
        <v>255</v>
      </c>
      <c r="E354" s="14">
        <f>0.000001 * SUMIFS('Transmission Summary'!$L:$L,'Transmission Summary'!$A:$A,$D354,'Transmission Summary'!$D:$D,E$340)</f>
        <v>0</v>
      </c>
      <c r="F354" s="14">
        <f>0.000001 * SUMIFS('Transmission Summary'!$L:$L,'Transmission Summary'!$A:$A,$D354,'Transmission Summary'!$D:$D,F$340)</f>
        <v>0</v>
      </c>
      <c r="G354" s="14">
        <f>0.000001 * SUMIFS('Transmission Summary'!$L:$L,'Transmission Summary'!$A:$A,$D354,'Transmission Summary'!$D:$D,G$340)</f>
        <v>0</v>
      </c>
      <c r="H354" s="14">
        <f>0.000001 * SUMIFS('Transmission Summary'!$L:$L,'Transmission Summary'!$A:$A,$D354,'Transmission Summary'!$D:$D,H$340)</f>
        <v>0</v>
      </c>
      <c r="I354" s="14">
        <f>0.000001 * SUMIFS('Transmission Summary'!$L:$L,'Transmission Summary'!$A:$A,$D354,'Transmission Summary'!$D:$D,I$340)</f>
        <v>0</v>
      </c>
      <c r="J354" s="14">
        <f>0.000001 * SUMIFS('Transmission Summary'!$L:$L,'Transmission Summary'!$A:$A,$D354,'Transmission Summary'!$D:$D,J$340)</f>
        <v>0</v>
      </c>
      <c r="K354" s="14">
        <f>0.000001 * SUMIFS('Transmission Summary'!$L:$L,'Transmission Summary'!$A:$A,$D354,'Transmission Summary'!$D:$D,K$340)</f>
        <v>0</v>
      </c>
      <c r="L354" s="14">
        <f>0.000001 * SUMIFS('Transmission Summary'!$L:$L,'Transmission Summary'!$A:$A,$D354,'Transmission Summary'!$D:$D,L$340)</f>
        <v>0</v>
      </c>
      <c r="M354" s="14">
        <f>0.000001 * SUMIFS('Transmission Summary'!$L:$L,'Transmission Summary'!$A:$A,$D354,'Transmission Summary'!$D:$D,M$340)</f>
        <v>0</v>
      </c>
      <c r="N354" s="14">
        <f>0.000001 * SUMIFS('Transmission Summary'!$L:$L,'Transmission Summary'!$A:$A,$D354,'Transmission Summary'!$D:$D,N$340)</f>
        <v>0</v>
      </c>
      <c r="O354" s="14">
        <f>0.000001 * SUMIFS('Transmission Summary'!$L:$L,'Transmission Summary'!$A:$A,$D354,'Transmission Summary'!$D:$D,O$340)</f>
        <v>0</v>
      </c>
      <c r="P354" s="14">
        <f>0.000001 * SUMIFS('Transmission Summary'!$L:$L,'Transmission Summary'!$A:$A,$D354,'Transmission Summary'!$D:$D,P$340)</f>
        <v>0</v>
      </c>
      <c r="Q354" s="14">
        <f>0.000001 * SUMIFS('Transmission Summary'!$L:$L,'Transmission Summary'!$A:$A,$D354,'Transmission Summary'!$D:$D,Q$340)</f>
        <v>0</v>
      </c>
      <c r="R354" s="14">
        <f>0.000001 * SUMIFS('Transmission Summary'!$L:$L,'Transmission Summary'!$A:$A,$D354,'Transmission Summary'!$D:$D,R$340)</f>
        <v>0</v>
      </c>
      <c r="S354" s="14">
        <f>0.000001 * SUMIFS('Transmission Summary'!$L:$L,'Transmission Summary'!$A:$A,$D354,'Transmission Summary'!$D:$D,S$340)</f>
        <v>0</v>
      </c>
      <c r="T354" s="14">
        <f>0.000001 * SUMIFS('Transmission Summary'!$L:$L,'Transmission Summary'!$A:$A,$D354,'Transmission Summary'!$D:$D,T$340)</f>
        <v>0</v>
      </c>
      <c r="U354" s="14">
        <f>0.000001 * SUMIFS('Transmission Summary'!$L:$L,'Transmission Summary'!$A:$A,$D354,'Transmission Summary'!$D:$D,U$340)</f>
        <v>0</v>
      </c>
      <c r="V354" s="14">
        <f>0.000001 * SUMIFS('Transmission Summary'!$L:$L,'Transmission Summary'!$A:$A,$D354,'Transmission Summary'!$D:$D,V$340)</f>
        <v>0</v>
      </c>
      <c r="W354" s="14">
        <f>0.000001 * SUMIFS('Transmission Summary'!$L:$L,'Transmission Summary'!$A:$A,$D354,'Transmission Summary'!$D:$D,W$340)</f>
        <v>0</v>
      </c>
      <c r="X354" s="14">
        <f>0.000001 * SUMIFS('Transmission Summary'!$L:$L,'Transmission Summary'!$A:$A,$D354,'Transmission Summary'!$D:$D,X$340)</f>
        <v>0</v>
      </c>
      <c r="Y354" s="14">
        <f>0.000001 * SUMIFS('Transmission Summary'!$L:$L,'Transmission Summary'!$A:$A,$D354,'Transmission Summary'!$D:$D,Y$340)</f>
        <v>0</v>
      </c>
      <c r="Z354" s="14">
        <f>0.000001 * SUMIFS('Transmission Summary'!$L:$L,'Transmission Summary'!$A:$A,$D354,'Transmission Summary'!$D:$D,Z$340)</f>
        <v>0</v>
      </c>
      <c r="AA354" s="14">
        <f>0.000001 * SUMIFS('Transmission Summary'!$L:$L,'Transmission Summary'!$A:$A,$D354,'Transmission Summary'!$D:$D,AA$340)</f>
        <v>0</v>
      </c>
      <c r="AB354" s="14">
        <f>0.000001 * SUMIFS('Transmission Summary'!$L:$L,'Transmission Summary'!$A:$A,$D354,'Transmission Summary'!$D:$D,AB$340)</f>
        <v>0</v>
      </c>
      <c r="AC354" s="14">
        <f>0.000001 * SUMIFS('Transmission Summary'!$L:$L,'Transmission Summary'!$A:$A,$D354,'Transmission Summary'!$D:$D,AC$340)</f>
        <v>0</v>
      </c>
      <c r="AD354" s="14">
        <f>0.000001 * SUMIFS('Transmission Summary'!$L:$L,'Transmission Summary'!$A:$A,$D354,'Transmission Summary'!$D:$D,AD$340)</f>
        <v>5.1894323528925419</v>
      </c>
      <c r="AH354" s="34" t="s">
        <v>422</v>
      </c>
    </row>
    <row r="355" spans="4:34" outlineLevel="1" x14ac:dyDescent="0.2">
      <c r="D355" s="8" t="s">
        <v>256</v>
      </c>
      <c r="E355" s="14">
        <f>0.000001 * SUMIFS('Transmission Summary'!$L:$L,'Transmission Summary'!$A:$A,$D355,'Transmission Summary'!$D:$D,E$340)</f>
        <v>0</v>
      </c>
      <c r="F355" s="14">
        <f>0.000001 * SUMIFS('Transmission Summary'!$L:$L,'Transmission Summary'!$A:$A,$D355,'Transmission Summary'!$D:$D,F$340)</f>
        <v>0</v>
      </c>
      <c r="G355" s="14">
        <f>0.000001 * SUMIFS('Transmission Summary'!$L:$L,'Transmission Summary'!$A:$A,$D355,'Transmission Summary'!$D:$D,G$340)</f>
        <v>0</v>
      </c>
      <c r="H355" s="14">
        <f>0.000001 * SUMIFS('Transmission Summary'!$L:$L,'Transmission Summary'!$A:$A,$D355,'Transmission Summary'!$D:$D,H$340)</f>
        <v>0</v>
      </c>
      <c r="I355" s="14">
        <f>0.000001 * SUMIFS('Transmission Summary'!$L:$L,'Transmission Summary'!$A:$A,$D355,'Transmission Summary'!$D:$D,I$340)</f>
        <v>0</v>
      </c>
      <c r="J355" s="14">
        <f>0.000001 * SUMIFS('Transmission Summary'!$L:$L,'Transmission Summary'!$A:$A,$D355,'Transmission Summary'!$D:$D,J$340)</f>
        <v>0</v>
      </c>
      <c r="K355" s="14">
        <f>0.000001 * SUMIFS('Transmission Summary'!$L:$L,'Transmission Summary'!$A:$A,$D355,'Transmission Summary'!$D:$D,K$340)</f>
        <v>0</v>
      </c>
      <c r="L355" s="14">
        <f>0.000001 * SUMIFS('Transmission Summary'!$L:$L,'Transmission Summary'!$A:$A,$D355,'Transmission Summary'!$D:$D,L$340)</f>
        <v>0</v>
      </c>
      <c r="M355" s="14">
        <f>0.000001 * SUMIFS('Transmission Summary'!$L:$L,'Transmission Summary'!$A:$A,$D355,'Transmission Summary'!$D:$D,M$340)</f>
        <v>0</v>
      </c>
      <c r="N355" s="14">
        <f>0.000001 * SUMIFS('Transmission Summary'!$L:$L,'Transmission Summary'!$A:$A,$D355,'Transmission Summary'!$D:$D,N$340)</f>
        <v>0</v>
      </c>
      <c r="O355" s="14">
        <f>0.000001 * SUMIFS('Transmission Summary'!$L:$L,'Transmission Summary'!$A:$A,$D355,'Transmission Summary'!$D:$D,O$340)</f>
        <v>0</v>
      </c>
      <c r="P355" s="14">
        <f>0.000001 * SUMIFS('Transmission Summary'!$L:$L,'Transmission Summary'!$A:$A,$D355,'Transmission Summary'!$D:$D,P$340)</f>
        <v>0</v>
      </c>
      <c r="Q355" s="14">
        <f>0.000001 * SUMIFS('Transmission Summary'!$L:$L,'Transmission Summary'!$A:$A,$D355,'Transmission Summary'!$D:$D,Q$340)</f>
        <v>0</v>
      </c>
      <c r="R355" s="14">
        <f>0.000001 * SUMIFS('Transmission Summary'!$L:$L,'Transmission Summary'!$A:$A,$D355,'Transmission Summary'!$D:$D,R$340)</f>
        <v>0</v>
      </c>
      <c r="S355" s="14">
        <f>0.000001 * SUMIFS('Transmission Summary'!$L:$L,'Transmission Summary'!$A:$A,$D355,'Transmission Summary'!$D:$D,S$340)</f>
        <v>0</v>
      </c>
      <c r="T355" s="14">
        <f>0.000001 * SUMIFS('Transmission Summary'!$L:$L,'Transmission Summary'!$A:$A,$D355,'Transmission Summary'!$D:$D,T$340)</f>
        <v>0</v>
      </c>
      <c r="U355" s="14">
        <f>0.000001 * SUMIFS('Transmission Summary'!$L:$L,'Transmission Summary'!$A:$A,$D355,'Transmission Summary'!$D:$D,U$340)</f>
        <v>0</v>
      </c>
      <c r="V355" s="14">
        <f>0.000001 * SUMIFS('Transmission Summary'!$L:$L,'Transmission Summary'!$A:$A,$D355,'Transmission Summary'!$D:$D,V$340)</f>
        <v>0</v>
      </c>
      <c r="W355" s="14">
        <f>0.000001 * SUMIFS('Transmission Summary'!$L:$L,'Transmission Summary'!$A:$A,$D355,'Transmission Summary'!$D:$D,W$340)</f>
        <v>0</v>
      </c>
      <c r="X355" s="14">
        <f>0.000001 * SUMIFS('Transmission Summary'!$L:$L,'Transmission Summary'!$A:$A,$D355,'Transmission Summary'!$D:$D,X$340)</f>
        <v>0</v>
      </c>
      <c r="Y355" s="14">
        <f>0.000001 * SUMIFS('Transmission Summary'!$L:$L,'Transmission Summary'!$A:$A,$D355,'Transmission Summary'!$D:$D,Y$340)</f>
        <v>0</v>
      </c>
      <c r="Z355" s="14">
        <f>0.000001 * SUMIFS('Transmission Summary'!$L:$L,'Transmission Summary'!$A:$A,$D355,'Transmission Summary'!$D:$D,Z$340)</f>
        <v>0</v>
      </c>
      <c r="AA355" s="14">
        <f>0.000001 * SUMIFS('Transmission Summary'!$L:$L,'Transmission Summary'!$A:$A,$D355,'Transmission Summary'!$D:$D,AA$340)</f>
        <v>0</v>
      </c>
      <c r="AB355" s="14">
        <f>0.000001 * SUMIFS('Transmission Summary'!$L:$L,'Transmission Summary'!$A:$A,$D355,'Transmission Summary'!$D:$D,AB$340)</f>
        <v>0</v>
      </c>
      <c r="AC355" s="14">
        <f>0.000001 * SUMIFS('Transmission Summary'!$L:$L,'Transmission Summary'!$A:$A,$D355,'Transmission Summary'!$D:$D,AC$340)</f>
        <v>0</v>
      </c>
      <c r="AD355" s="14">
        <f>0.000001 * SUMIFS('Transmission Summary'!$L:$L,'Transmission Summary'!$A:$A,$D355,'Transmission Summary'!$D:$D,AD$340)</f>
        <v>10.859719972149847</v>
      </c>
      <c r="AH355" s="34" t="s">
        <v>422</v>
      </c>
    </row>
    <row r="356" spans="4:34" ht="12.6" outlineLevel="1" thickBot="1" x14ac:dyDescent="0.25">
      <c r="D356" s="9" t="s">
        <v>139</v>
      </c>
      <c r="E356" s="13">
        <f t="shared" ref="E356:AD356" si="335">SUM(E351:E355)</f>
        <v>0</v>
      </c>
      <c r="F356" s="13">
        <f t="shared" si="335"/>
        <v>0</v>
      </c>
      <c r="G356" s="13">
        <f t="shared" si="335"/>
        <v>0</v>
      </c>
      <c r="H356" s="13">
        <f t="shared" si="335"/>
        <v>0</v>
      </c>
      <c r="I356" s="13">
        <f t="shared" si="335"/>
        <v>0</v>
      </c>
      <c r="J356" s="13">
        <f t="shared" si="335"/>
        <v>0</v>
      </c>
      <c r="K356" s="13">
        <f t="shared" si="335"/>
        <v>0</v>
      </c>
      <c r="L356" s="13">
        <f t="shared" si="335"/>
        <v>0</v>
      </c>
      <c r="M356" s="13">
        <f t="shared" si="335"/>
        <v>0</v>
      </c>
      <c r="N356" s="13">
        <f t="shared" si="335"/>
        <v>0</v>
      </c>
      <c r="O356" s="13">
        <f t="shared" si="335"/>
        <v>0</v>
      </c>
      <c r="P356" s="13">
        <f t="shared" si="335"/>
        <v>0</v>
      </c>
      <c r="Q356" s="13">
        <f t="shared" si="335"/>
        <v>0</v>
      </c>
      <c r="R356" s="13">
        <f t="shared" si="335"/>
        <v>0</v>
      </c>
      <c r="S356" s="13">
        <f t="shared" si="335"/>
        <v>0</v>
      </c>
      <c r="T356" s="13">
        <f t="shared" si="335"/>
        <v>0</v>
      </c>
      <c r="U356" s="13">
        <f t="shared" si="335"/>
        <v>0</v>
      </c>
      <c r="V356" s="13">
        <f t="shared" si="335"/>
        <v>0</v>
      </c>
      <c r="W356" s="13">
        <f t="shared" si="335"/>
        <v>0</v>
      </c>
      <c r="X356" s="13">
        <f t="shared" si="335"/>
        <v>0</v>
      </c>
      <c r="Y356" s="13">
        <f t="shared" si="335"/>
        <v>0</v>
      </c>
      <c r="Z356" s="13">
        <f t="shared" si="335"/>
        <v>0</v>
      </c>
      <c r="AA356" s="13">
        <f t="shared" si="335"/>
        <v>0</v>
      </c>
      <c r="AB356" s="13">
        <f t="shared" si="335"/>
        <v>0</v>
      </c>
      <c r="AC356" s="13">
        <f t="shared" si="335"/>
        <v>0</v>
      </c>
      <c r="AD356" s="13">
        <f t="shared" si="335"/>
        <v>19.117684976810786</v>
      </c>
      <c r="AH356" s="34" t="s">
        <v>422</v>
      </c>
    </row>
    <row r="357" spans="4:34" ht="12" outlineLevel="1" thickTop="1" x14ac:dyDescent="0.2">
      <c r="AH357" s="34" t="s">
        <v>422</v>
      </c>
    </row>
    <row r="358" spans="4:34" ht="13.2" outlineLevel="1" x14ac:dyDescent="0.2">
      <c r="E358" s="2" t="s">
        <v>245</v>
      </c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F358" s="2"/>
      <c r="AH358" s="34" t="s">
        <v>422</v>
      </c>
    </row>
    <row r="359" spans="4:34" outlineLevel="1" x14ac:dyDescent="0.2">
      <c r="E359" s="7">
        <v>43831</v>
      </c>
      <c r="F359" s="7">
        <f>EDATE(E359,12)</f>
        <v>44197</v>
      </c>
      <c r="G359" s="7">
        <f t="shared" ref="G359" si="336">EDATE(F359,12)</f>
        <v>44562</v>
      </c>
      <c r="H359" s="7">
        <f t="shared" ref="H359" si="337">EDATE(G359,12)</f>
        <v>44927</v>
      </c>
      <c r="I359" s="7">
        <f t="shared" ref="I359" si="338">EDATE(H359,12)</f>
        <v>45292</v>
      </c>
      <c r="J359" s="7">
        <f t="shared" ref="J359" si="339">EDATE(I359,12)</f>
        <v>45658</v>
      </c>
      <c r="K359" s="7">
        <f t="shared" ref="K359" si="340">EDATE(J359,12)</f>
        <v>46023</v>
      </c>
      <c r="L359" s="7">
        <f t="shared" ref="L359" si="341">EDATE(K359,12)</f>
        <v>46388</v>
      </c>
      <c r="M359" s="7">
        <f t="shared" ref="M359" si="342">EDATE(L359,12)</f>
        <v>46753</v>
      </c>
      <c r="N359" s="7">
        <f t="shared" ref="N359" si="343">EDATE(M359,12)</f>
        <v>47119</v>
      </c>
      <c r="O359" s="7">
        <f t="shared" ref="O359" si="344">EDATE(N359,12)</f>
        <v>47484</v>
      </c>
      <c r="P359" s="7">
        <f t="shared" ref="P359" si="345">EDATE(O359,12)</f>
        <v>47849</v>
      </c>
      <c r="Q359" s="7">
        <f t="shared" ref="Q359" si="346">EDATE(P359,12)</f>
        <v>48214</v>
      </c>
      <c r="R359" s="7">
        <f t="shared" ref="R359" si="347">EDATE(Q359,12)</f>
        <v>48580</v>
      </c>
      <c r="S359" s="7">
        <f t="shared" ref="S359" si="348">EDATE(R359,12)</f>
        <v>48945</v>
      </c>
      <c r="T359" s="7">
        <f t="shared" ref="T359" si="349">EDATE(S359,12)</f>
        <v>49310</v>
      </c>
      <c r="U359" s="7">
        <f t="shared" ref="U359" si="350">EDATE(T359,12)</f>
        <v>49675</v>
      </c>
      <c r="V359" s="7">
        <f t="shared" ref="V359" si="351">EDATE(U359,12)</f>
        <v>50041</v>
      </c>
      <c r="W359" s="7">
        <f t="shared" ref="W359" si="352">EDATE(V359,12)</f>
        <v>50406</v>
      </c>
      <c r="X359" s="7">
        <f t="shared" ref="X359" si="353">EDATE(W359,12)</f>
        <v>50771</v>
      </c>
      <c r="Y359" s="7">
        <f t="shared" ref="Y359" si="354">EDATE(X359,12)</f>
        <v>51136</v>
      </c>
      <c r="Z359" s="7">
        <f t="shared" ref="Z359" si="355">EDATE(Y359,12)</f>
        <v>51502</v>
      </c>
      <c r="AA359" s="7">
        <f t="shared" ref="AA359" si="356">EDATE(Z359,12)</f>
        <v>51867</v>
      </c>
      <c r="AB359" s="7">
        <f t="shared" ref="AB359" si="357">EDATE(AA359,12)</f>
        <v>52232</v>
      </c>
      <c r="AC359" s="7">
        <f t="shared" ref="AC359" si="358">EDATE(AB359,12)</f>
        <v>52597</v>
      </c>
      <c r="AD359" s="7">
        <f>EDATE(AC359,12)</f>
        <v>52963</v>
      </c>
      <c r="AF359" s="7" t="s">
        <v>616</v>
      </c>
      <c r="AH359" s="34" t="s">
        <v>422</v>
      </c>
    </row>
    <row r="360" spans="4:34" outlineLevel="1" x14ac:dyDescent="0.2">
      <c r="D360" s="8" t="s">
        <v>251</v>
      </c>
      <c r="E360" s="14">
        <f>0.000001 * SUMIFS('Transmission Summary'!$I:$I,'Transmission Summary'!$A:$A,$D360,'Transmission Summary'!$D:$D,E$340)</f>
        <v>0</v>
      </c>
      <c r="F360" s="14">
        <f>0.000001 * SUMIFS('Transmission Summary'!$I:$I,'Transmission Summary'!$A:$A,$D360,'Transmission Summary'!$D:$D,F$340)</f>
        <v>0</v>
      </c>
      <c r="G360" s="14">
        <f>0.000001 * SUMIFS('Transmission Summary'!$I:$I,'Transmission Summary'!$A:$A,$D360,'Transmission Summary'!$D:$D,G$340)</f>
        <v>0</v>
      </c>
      <c r="H360" s="14">
        <f>0.000001 * SUMIFS('Transmission Summary'!$I:$I,'Transmission Summary'!$A:$A,$D360,'Transmission Summary'!$D:$D,H$340)</f>
        <v>0</v>
      </c>
      <c r="I360" s="14">
        <f>0.000001 * SUMIFS('Transmission Summary'!$I:$I,'Transmission Summary'!$A:$A,$D360,'Transmission Summary'!$D:$D,I$340)</f>
        <v>0</v>
      </c>
      <c r="J360" s="14">
        <f>0.000001 * SUMIFS('Transmission Summary'!$I:$I,'Transmission Summary'!$A:$A,$D360,'Transmission Summary'!$D:$D,J$340)</f>
        <v>0</v>
      </c>
      <c r="K360" s="14">
        <f>0.000001 * SUMIFS('Transmission Summary'!$I:$I,'Transmission Summary'!$A:$A,$D360,'Transmission Summary'!$D:$D,K$340)</f>
        <v>0</v>
      </c>
      <c r="L360" s="14">
        <f>0.000001 * SUMIFS('Transmission Summary'!$I:$I,'Transmission Summary'!$A:$A,$D360,'Transmission Summary'!$D:$D,L$340)</f>
        <v>0</v>
      </c>
      <c r="M360" s="14">
        <f>0.000001 * SUMIFS('Transmission Summary'!$I:$I,'Transmission Summary'!$A:$A,$D360,'Transmission Summary'!$D:$D,M$340)</f>
        <v>0</v>
      </c>
      <c r="N360" s="14">
        <f>0.000001 * SUMIFS('Transmission Summary'!$I:$I,'Transmission Summary'!$A:$A,$D360,'Transmission Summary'!$D:$D,N$340)</f>
        <v>0</v>
      </c>
      <c r="O360" s="14">
        <f>0.000001 * SUMIFS('Transmission Summary'!$I:$I,'Transmission Summary'!$A:$A,$D360,'Transmission Summary'!$D:$D,O$340)</f>
        <v>0</v>
      </c>
      <c r="P360" s="14">
        <f>0.000001 * SUMIFS('Transmission Summary'!$I:$I,'Transmission Summary'!$A:$A,$D360,'Transmission Summary'!$D:$D,P$340)</f>
        <v>0</v>
      </c>
      <c r="Q360" s="14">
        <f>0.000001 * SUMIFS('Transmission Summary'!$I:$I,'Transmission Summary'!$A:$A,$D360,'Transmission Summary'!$D:$D,Q$340)</f>
        <v>0</v>
      </c>
      <c r="R360" s="14">
        <f>0.000001 * SUMIFS('Transmission Summary'!$I:$I,'Transmission Summary'!$A:$A,$D360,'Transmission Summary'!$D:$D,R$340)</f>
        <v>0</v>
      </c>
      <c r="S360" s="14">
        <f>0.000001 * SUMIFS('Transmission Summary'!$I:$I,'Transmission Summary'!$A:$A,$D360,'Transmission Summary'!$D:$D,S$340)</f>
        <v>0</v>
      </c>
      <c r="T360" s="14">
        <f>0.000001 * SUMIFS('Transmission Summary'!$I:$I,'Transmission Summary'!$A:$A,$D360,'Transmission Summary'!$D:$D,T$340)</f>
        <v>0</v>
      </c>
      <c r="U360" s="14">
        <f>0.000001 * SUMIFS('Transmission Summary'!$I:$I,'Transmission Summary'!$A:$A,$D360,'Transmission Summary'!$D:$D,U$340)</f>
        <v>0</v>
      </c>
      <c r="V360" s="14">
        <f>0.000001 * SUMIFS('Transmission Summary'!$I:$I,'Transmission Summary'!$A:$A,$D360,'Transmission Summary'!$D:$D,V$340)</f>
        <v>0</v>
      </c>
      <c r="W360" s="14">
        <f>0.000001 * SUMIFS('Transmission Summary'!$I:$I,'Transmission Summary'!$A:$A,$D360,'Transmission Summary'!$D:$D,W$340)</f>
        <v>0</v>
      </c>
      <c r="X360" s="14">
        <f>0.000001 * SUMIFS('Transmission Summary'!$I:$I,'Transmission Summary'!$A:$A,$D360,'Transmission Summary'!$D:$D,X$340)</f>
        <v>0</v>
      </c>
      <c r="Y360" s="14">
        <f>0.000001 * SUMIFS('Transmission Summary'!$I:$I,'Transmission Summary'!$A:$A,$D360,'Transmission Summary'!$D:$D,Y$340)</f>
        <v>0</v>
      </c>
      <c r="Z360" s="14">
        <f>0.000001 * SUMIFS('Transmission Summary'!$I:$I,'Transmission Summary'!$A:$A,$D360,'Transmission Summary'!$D:$D,Z$340)</f>
        <v>0</v>
      </c>
      <c r="AA360" s="14">
        <f>0.000001 * SUMIFS('Transmission Summary'!$I:$I,'Transmission Summary'!$A:$A,$D360,'Transmission Summary'!$D:$D,AA$340)</f>
        <v>0</v>
      </c>
      <c r="AB360" s="14">
        <f>0.000001 * SUMIFS('Transmission Summary'!$I:$I,'Transmission Summary'!$A:$A,$D360,'Transmission Summary'!$D:$D,AB$340)</f>
        <v>0</v>
      </c>
      <c r="AC360" s="14">
        <f>0.000001 * SUMIFS('Transmission Summary'!$I:$I,'Transmission Summary'!$A:$A,$D360,'Transmission Summary'!$D:$D,AC$340)</f>
        <v>0</v>
      </c>
      <c r="AD360" s="14">
        <f>0.000001 * SUMIFS('Transmission Summary'!$I:$I,'Transmission Summary'!$A:$A,$D360,'Transmission Summary'!$D:$D,AD$340)</f>
        <v>19.004750479782629</v>
      </c>
      <c r="AF360" s="14">
        <f t="shared" ref="AF360:AF365" si="359">SUMPRODUCT($E$400:$AD$400,$E360:$AD360)</f>
        <v>73.436855328525411</v>
      </c>
      <c r="AH360" s="34" t="s">
        <v>422</v>
      </c>
    </row>
    <row r="361" spans="4:34" outlineLevel="1" x14ac:dyDescent="0.2">
      <c r="D361" s="8" t="s">
        <v>252</v>
      </c>
      <c r="E361" s="14">
        <f>0.000001 * SUMIFS('Transmission Summary'!$I:$I,'Transmission Summary'!$A:$A,$D361,'Transmission Summary'!$D:$D,E$340)</f>
        <v>0</v>
      </c>
      <c r="F361" s="14">
        <f>0.000001 * SUMIFS('Transmission Summary'!$I:$I,'Transmission Summary'!$A:$A,$D361,'Transmission Summary'!$D:$D,F$340)</f>
        <v>0</v>
      </c>
      <c r="G361" s="14">
        <f>0.000001 * SUMIFS('Transmission Summary'!$I:$I,'Transmission Summary'!$A:$A,$D361,'Transmission Summary'!$D:$D,G$340)</f>
        <v>0</v>
      </c>
      <c r="H361" s="14">
        <f>0.000001 * SUMIFS('Transmission Summary'!$I:$I,'Transmission Summary'!$A:$A,$D361,'Transmission Summary'!$D:$D,H$340)</f>
        <v>0</v>
      </c>
      <c r="I361" s="14">
        <f>0.000001 * SUMIFS('Transmission Summary'!$I:$I,'Transmission Summary'!$A:$A,$D361,'Transmission Summary'!$D:$D,I$340)</f>
        <v>0</v>
      </c>
      <c r="J361" s="14">
        <f>0.000001 * SUMIFS('Transmission Summary'!$I:$I,'Transmission Summary'!$A:$A,$D361,'Transmission Summary'!$D:$D,J$340)</f>
        <v>0</v>
      </c>
      <c r="K361" s="14">
        <f>0.000001 * SUMIFS('Transmission Summary'!$I:$I,'Transmission Summary'!$A:$A,$D361,'Transmission Summary'!$D:$D,K$340)</f>
        <v>0</v>
      </c>
      <c r="L361" s="14">
        <f>0.000001 * SUMIFS('Transmission Summary'!$I:$I,'Transmission Summary'!$A:$A,$D361,'Transmission Summary'!$D:$D,L$340)</f>
        <v>0</v>
      </c>
      <c r="M361" s="14">
        <f>0.000001 * SUMIFS('Transmission Summary'!$I:$I,'Transmission Summary'!$A:$A,$D361,'Transmission Summary'!$D:$D,M$340)</f>
        <v>0</v>
      </c>
      <c r="N361" s="14">
        <f>0.000001 * SUMIFS('Transmission Summary'!$I:$I,'Transmission Summary'!$A:$A,$D361,'Transmission Summary'!$D:$D,N$340)</f>
        <v>0</v>
      </c>
      <c r="O361" s="14">
        <f>0.000001 * SUMIFS('Transmission Summary'!$I:$I,'Transmission Summary'!$A:$A,$D361,'Transmission Summary'!$D:$D,O$340)</f>
        <v>0</v>
      </c>
      <c r="P361" s="14">
        <f>0.000001 * SUMIFS('Transmission Summary'!$I:$I,'Transmission Summary'!$A:$A,$D361,'Transmission Summary'!$D:$D,P$340)</f>
        <v>0</v>
      </c>
      <c r="Q361" s="14">
        <f>0.000001 * SUMIFS('Transmission Summary'!$I:$I,'Transmission Summary'!$A:$A,$D361,'Transmission Summary'!$D:$D,Q$340)</f>
        <v>0</v>
      </c>
      <c r="R361" s="14">
        <f>0.000001 * SUMIFS('Transmission Summary'!$I:$I,'Transmission Summary'!$A:$A,$D361,'Transmission Summary'!$D:$D,R$340)</f>
        <v>0</v>
      </c>
      <c r="S361" s="14">
        <f>0.000001 * SUMIFS('Transmission Summary'!$I:$I,'Transmission Summary'!$A:$A,$D361,'Transmission Summary'!$D:$D,S$340)</f>
        <v>0</v>
      </c>
      <c r="T361" s="14">
        <f>0.000001 * SUMIFS('Transmission Summary'!$I:$I,'Transmission Summary'!$A:$A,$D361,'Transmission Summary'!$D:$D,T$340)</f>
        <v>0</v>
      </c>
      <c r="U361" s="14">
        <f>0.000001 * SUMIFS('Transmission Summary'!$I:$I,'Transmission Summary'!$A:$A,$D361,'Transmission Summary'!$D:$D,U$340)</f>
        <v>0</v>
      </c>
      <c r="V361" s="14">
        <f>0.000001 * SUMIFS('Transmission Summary'!$I:$I,'Transmission Summary'!$A:$A,$D361,'Transmission Summary'!$D:$D,V$340)</f>
        <v>0</v>
      </c>
      <c r="W361" s="14">
        <f>0.000001 * SUMIFS('Transmission Summary'!$I:$I,'Transmission Summary'!$A:$A,$D361,'Transmission Summary'!$D:$D,W$340)</f>
        <v>0</v>
      </c>
      <c r="X361" s="14">
        <f>0.000001 * SUMIFS('Transmission Summary'!$I:$I,'Transmission Summary'!$A:$A,$D361,'Transmission Summary'!$D:$D,X$340)</f>
        <v>0</v>
      </c>
      <c r="Y361" s="14">
        <f>0.000001 * SUMIFS('Transmission Summary'!$I:$I,'Transmission Summary'!$A:$A,$D361,'Transmission Summary'!$D:$D,Y$340)</f>
        <v>0</v>
      </c>
      <c r="Z361" s="14">
        <f>0.000001 * SUMIFS('Transmission Summary'!$I:$I,'Transmission Summary'!$A:$A,$D361,'Transmission Summary'!$D:$D,Z$340)</f>
        <v>0</v>
      </c>
      <c r="AA361" s="14">
        <f>0.000001 * SUMIFS('Transmission Summary'!$I:$I,'Transmission Summary'!$A:$A,$D361,'Transmission Summary'!$D:$D,AA$340)</f>
        <v>0</v>
      </c>
      <c r="AB361" s="14">
        <f>0.000001 * SUMIFS('Transmission Summary'!$I:$I,'Transmission Summary'!$A:$A,$D361,'Transmission Summary'!$D:$D,AB$340)</f>
        <v>0</v>
      </c>
      <c r="AC361" s="14">
        <f>0.000001 * SUMIFS('Transmission Summary'!$I:$I,'Transmission Summary'!$A:$A,$D361,'Transmission Summary'!$D:$D,AC$340)</f>
        <v>0</v>
      </c>
      <c r="AD361" s="14">
        <f>0.000001 * SUMIFS('Transmission Summary'!$I:$I,'Transmission Summary'!$A:$A,$D361,'Transmission Summary'!$D:$D,AD$340)</f>
        <v>27.256538002937468</v>
      </c>
      <c r="AF361" s="14">
        <f t="shared" si="359"/>
        <v>105.32284758000506</v>
      </c>
      <c r="AH361" s="34" t="s">
        <v>422</v>
      </c>
    </row>
    <row r="362" spans="4:34" outlineLevel="1" x14ac:dyDescent="0.2">
      <c r="D362" s="8" t="s">
        <v>253</v>
      </c>
      <c r="E362" s="14">
        <f>0.000001 * SUMIFS('Transmission Summary'!$I:$I,'Transmission Summary'!$A:$A,$D362,'Transmission Summary'!$D:$D,E$340)</f>
        <v>0</v>
      </c>
      <c r="F362" s="14">
        <f>0.000001 * SUMIFS('Transmission Summary'!$I:$I,'Transmission Summary'!$A:$A,$D362,'Transmission Summary'!$D:$D,F$340)</f>
        <v>0</v>
      </c>
      <c r="G362" s="14">
        <f>0.000001 * SUMIFS('Transmission Summary'!$I:$I,'Transmission Summary'!$A:$A,$D362,'Transmission Summary'!$D:$D,G$340)</f>
        <v>0</v>
      </c>
      <c r="H362" s="14">
        <f>0.000001 * SUMIFS('Transmission Summary'!$I:$I,'Transmission Summary'!$A:$A,$D362,'Transmission Summary'!$D:$D,H$340)</f>
        <v>0</v>
      </c>
      <c r="I362" s="14">
        <f>0.000001 * SUMIFS('Transmission Summary'!$I:$I,'Transmission Summary'!$A:$A,$D362,'Transmission Summary'!$D:$D,I$340)</f>
        <v>0</v>
      </c>
      <c r="J362" s="14">
        <f>0.000001 * SUMIFS('Transmission Summary'!$I:$I,'Transmission Summary'!$A:$A,$D362,'Transmission Summary'!$D:$D,J$340)</f>
        <v>0</v>
      </c>
      <c r="K362" s="14">
        <f>0.000001 * SUMIFS('Transmission Summary'!$I:$I,'Transmission Summary'!$A:$A,$D362,'Transmission Summary'!$D:$D,K$340)</f>
        <v>0</v>
      </c>
      <c r="L362" s="14">
        <f>0.000001 * SUMIFS('Transmission Summary'!$I:$I,'Transmission Summary'!$A:$A,$D362,'Transmission Summary'!$D:$D,L$340)</f>
        <v>0</v>
      </c>
      <c r="M362" s="14">
        <f>0.000001 * SUMIFS('Transmission Summary'!$I:$I,'Transmission Summary'!$A:$A,$D362,'Transmission Summary'!$D:$D,M$340)</f>
        <v>0</v>
      </c>
      <c r="N362" s="14">
        <f>0.000001 * SUMIFS('Transmission Summary'!$I:$I,'Transmission Summary'!$A:$A,$D362,'Transmission Summary'!$D:$D,N$340)</f>
        <v>0</v>
      </c>
      <c r="O362" s="14">
        <f>0.000001 * SUMIFS('Transmission Summary'!$I:$I,'Transmission Summary'!$A:$A,$D362,'Transmission Summary'!$D:$D,O$340)</f>
        <v>0</v>
      </c>
      <c r="P362" s="14">
        <f>0.000001 * SUMIFS('Transmission Summary'!$I:$I,'Transmission Summary'!$A:$A,$D362,'Transmission Summary'!$D:$D,P$340)</f>
        <v>0</v>
      </c>
      <c r="Q362" s="14">
        <f>0.000001 * SUMIFS('Transmission Summary'!$I:$I,'Transmission Summary'!$A:$A,$D362,'Transmission Summary'!$D:$D,Q$340)</f>
        <v>0</v>
      </c>
      <c r="R362" s="14">
        <f>0.000001 * SUMIFS('Transmission Summary'!$I:$I,'Transmission Summary'!$A:$A,$D362,'Transmission Summary'!$D:$D,R$340)</f>
        <v>0</v>
      </c>
      <c r="S362" s="14">
        <f>0.000001 * SUMIFS('Transmission Summary'!$I:$I,'Transmission Summary'!$A:$A,$D362,'Transmission Summary'!$D:$D,S$340)</f>
        <v>0</v>
      </c>
      <c r="T362" s="14">
        <f>0.000001 * SUMIFS('Transmission Summary'!$I:$I,'Transmission Summary'!$A:$A,$D362,'Transmission Summary'!$D:$D,T$340)</f>
        <v>0</v>
      </c>
      <c r="U362" s="14">
        <f>0.000001 * SUMIFS('Transmission Summary'!$I:$I,'Transmission Summary'!$A:$A,$D362,'Transmission Summary'!$D:$D,U$340)</f>
        <v>0</v>
      </c>
      <c r="V362" s="14">
        <f>0.000001 * SUMIFS('Transmission Summary'!$I:$I,'Transmission Summary'!$A:$A,$D362,'Transmission Summary'!$D:$D,V$340)</f>
        <v>0</v>
      </c>
      <c r="W362" s="14">
        <f>0.000001 * SUMIFS('Transmission Summary'!$I:$I,'Transmission Summary'!$A:$A,$D362,'Transmission Summary'!$D:$D,W$340)</f>
        <v>0</v>
      </c>
      <c r="X362" s="14">
        <f>0.000001 * SUMIFS('Transmission Summary'!$I:$I,'Transmission Summary'!$A:$A,$D362,'Transmission Summary'!$D:$D,X$340)</f>
        <v>0</v>
      </c>
      <c r="Y362" s="14">
        <f>0.000001 * SUMIFS('Transmission Summary'!$I:$I,'Transmission Summary'!$A:$A,$D362,'Transmission Summary'!$D:$D,Y$340)</f>
        <v>0</v>
      </c>
      <c r="Z362" s="14">
        <f>0.000001 * SUMIFS('Transmission Summary'!$I:$I,'Transmission Summary'!$A:$A,$D362,'Transmission Summary'!$D:$D,Z$340)</f>
        <v>0</v>
      </c>
      <c r="AA362" s="14">
        <f>0.000001 * SUMIFS('Transmission Summary'!$I:$I,'Transmission Summary'!$A:$A,$D362,'Transmission Summary'!$D:$D,AA$340)</f>
        <v>0</v>
      </c>
      <c r="AB362" s="14">
        <f>0.000001 * SUMIFS('Transmission Summary'!$I:$I,'Transmission Summary'!$A:$A,$D362,'Transmission Summary'!$D:$D,AB$340)</f>
        <v>0</v>
      </c>
      <c r="AC362" s="14">
        <f>0.000001 * SUMIFS('Transmission Summary'!$I:$I,'Transmission Summary'!$A:$A,$D362,'Transmission Summary'!$D:$D,AC$340)</f>
        <v>0</v>
      </c>
      <c r="AD362" s="14">
        <f>0.000001 * SUMIFS('Transmission Summary'!$I:$I,'Transmission Summary'!$A:$A,$D362,'Transmission Summary'!$D:$D,AD$340)</f>
        <v>19.912679408938601</v>
      </c>
      <c r="AF362" s="14">
        <f t="shared" si="359"/>
        <v>76.945212120157052</v>
      </c>
      <c r="AH362" s="34" t="s">
        <v>422</v>
      </c>
    </row>
    <row r="363" spans="4:34" outlineLevel="1" x14ac:dyDescent="0.2">
      <c r="D363" s="8" t="s">
        <v>255</v>
      </c>
      <c r="E363" s="14">
        <f>0.000001 * SUMIFS('Transmission Summary'!$I:$I,'Transmission Summary'!$A:$A,$D363,'Transmission Summary'!$D:$D,E$340)</f>
        <v>0</v>
      </c>
      <c r="F363" s="14">
        <f>0.000001 * SUMIFS('Transmission Summary'!$I:$I,'Transmission Summary'!$A:$A,$D363,'Transmission Summary'!$D:$D,F$340)</f>
        <v>0</v>
      </c>
      <c r="G363" s="14">
        <f>0.000001 * SUMIFS('Transmission Summary'!$I:$I,'Transmission Summary'!$A:$A,$D363,'Transmission Summary'!$D:$D,G$340)</f>
        <v>0</v>
      </c>
      <c r="H363" s="14">
        <f>0.000001 * SUMIFS('Transmission Summary'!$I:$I,'Transmission Summary'!$A:$A,$D363,'Transmission Summary'!$D:$D,H$340)</f>
        <v>0</v>
      </c>
      <c r="I363" s="14">
        <f>0.000001 * SUMIFS('Transmission Summary'!$I:$I,'Transmission Summary'!$A:$A,$D363,'Transmission Summary'!$D:$D,I$340)</f>
        <v>0</v>
      </c>
      <c r="J363" s="14">
        <f>0.000001 * SUMIFS('Transmission Summary'!$I:$I,'Transmission Summary'!$A:$A,$D363,'Transmission Summary'!$D:$D,J$340)</f>
        <v>0</v>
      </c>
      <c r="K363" s="14">
        <f>0.000001 * SUMIFS('Transmission Summary'!$I:$I,'Transmission Summary'!$A:$A,$D363,'Transmission Summary'!$D:$D,K$340)</f>
        <v>0</v>
      </c>
      <c r="L363" s="14">
        <f>0.000001 * SUMIFS('Transmission Summary'!$I:$I,'Transmission Summary'!$A:$A,$D363,'Transmission Summary'!$D:$D,L$340)</f>
        <v>0</v>
      </c>
      <c r="M363" s="14">
        <f>0.000001 * SUMIFS('Transmission Summary'!$I:$I,'Transmission Summary'!$A:$A,$D363,'Transmission Summary'!$D:$D,M$340)</f>
        <v>0</v>
      </c>
      <c r="N363" s="14">
        <f>0.000001 * SUMIFS('Transmission Summary'!$I:$I,'Transmission Summary'!$A:$A,$D363,'Transmission Summary'!$D:$D,N$340)</f>
        <v>0</v>
      </c>
      <c r="O363" s="14">
        <f>0.000001 * SUMIFS('Transmission Summary'!$I:$I,'Transmission Summary'!$A:$A,$D363,'Transmission Summary'!$D:$D,O$340)</f>
        <v>0</v>
      </c>
      <c r="P363" s="14">
        <f>0.000001 * SUMIFS('Transmission Summary'!$I:$I,'Transmission Summary'!$A:$A,$D363,'Transmission Summary'!$D:$D,P$340)</f>
        <v>0</v>
      </c>
      <c r="Q363" s="14">
        <f>0.000001 * SUMIFS('Transmission Summary'!$I:$I,'Transmission Summary'!$A:$A,$D363,'Transmission Summary'!$D:$D,Q$340)</f>
        <v>0</v>
      </c>
      <c r="R363" s="14">
        <f>0.000001 * SUMIFS('Transmission Summary'!$I:$I,'Transmission Summary'!$A:$A,$D363,'Transmission Summary'!$D:$D,R$340)</f>
        <v>0</v>
      </c>
      <c r="S363" s="14">
        <f>0.000001 * SUMIFS('Transmission Summary'!$I:$I,'Transmission Summary'!$A:$A,$D363,'Transmission Summary'!$D:$D,S$340)</f>
        <v>0</v>
      </c>
      <c r="T363" s="14">
        <f>0.000001 * SUMIFS('Transmission Summary'!$I:$I,'Transmission Summary'!$A:$A,$D363,'Transmission Summary'!$D:$D,T$340)</f>
        <v>0</v>
      </c>
      <c r="U363" s="14">
        <f>0.000001 * SUMIFS('Transmission Summary'!$I:$I,'Transmission Summary'!$A:$A,$D363,'Transmission Summary'!$D:$D,U$340)</f>
        <v>0</v>
      </c>
      <c r="V363" s="14">
        <f>0.000001 * SUMIFS('Transmission Summary'!$I:$I,'Transmission Summary'!$A:$A,$D363,'Transmission Summary'!$D:$D,V$340)</f>
        <v>0</v>
      </c>
      <c r="W363" s="14">
        <f>0.000001 * SUMIFS('Transmission Summary'!$I:$I,'Transmission Summary'!$A:$A,$D363,'Transmission Summary'!$D:$D,W$340)</f>
        <v>0</v>
      </c>
      <c r="X363" s="14">
        <f>0.000001 * SUMIFS('Transmission Summary'!$I:$I,'Transmission Summary'!$A:$A,$D363,'Transmission Summary'!$D:$D,X$340)</f>
        <v>0</v>
      </c>
      <c r="Y363" s="14">
        <f>0.000001 * SUMIFS('Transmission Summary'!$I:$I,'Transmission Summary'!$A:$A,$D363,'Transmission Summary'!$D:$D,Y$340)</f>
        <v>0</v>
      </c>
      <c r="Z363" s="14">
        <f>0.000001 * SUMIFS('Transmission Summary'!$I:$I,'Transmission Summary'!$A:$A,$D363,'Transmission Summary'!$D:$D,Z$340)</f>
        <v>0</v>
      </c>
      <c r="AA363" s="14">
        <f>0.000001 * SUMIFS('Transmission Summary'!$I:$I,'Transmission Summary'!$A:$A,$D363,'Transmission Summary'!$D:$D,AA$340)</f>
        <v>0</v>
      </c>
      <c r="AB363" s="14">
        <f>0.000001 * SUMIFS('Transmission Summary'!$I:$I,'Transmission Summary'!$A:$A,$D363,'Transmission Summary'!$D:$D,AB$340)</f>
        <v>0</v>
      </c>
      <c r="AC363" s="14">
        <f>0.000001 * SUMIFS('Transmission Summary'!$I:$I,'Transmission Summary'!$A:$A,$D363,'Transmission Summary'!$D:$D,AC$340)</f>
        <v>0</v>
      </c>
      <c r="AD363" s="14">
        <f>0.000001 * SUMIFS('Transmission Summary'!$I:$I,'Transmission Summary'!$A:$A,$D363,'Transmission Summary'!$D:$D,AD$340)</f>
        <v>38.377333758206547</v>
      </c>
      <c r="AF363" s="14">
        <f t="shared" si="359"/>
        <v>148.29506496778714</v>
      </c>
      <c r="AH363" s="34" t="s">
        <v>422</v>
      </c>
    </row>
    <row r="364" spans="4:34" outlineLevel="1" x14ac:dyDescent="0.2">
      <c r="D364" s="8" t="s">
        <v>256</v>
      </c>
      <c r="E364" s="14">
        <f>0.000001 * SUMIFS('Transmission Summary'!$I:$I,'Transmission Summary'!$A:$A,$D364,'Transmission Summary'!$D:$D,E$340)</f>
        <v>0</v>
      </c>
      <c r="F364" s="14">
        <f>0.000001 * SUMIFS('Transmission Summary'!$I:$I,'Transmission Summary'!$A:$A,$D364,'Transmission Summary'!$D:$D,F$340)</f>
        <v>0</v>
      </c>
      <c r="G364" s="14">
        <f>0.000001 * SUMIFS('Transmission Summary'!$I:$I,'Transmission Summary'!$A:$A,$D364,'Transmission Summary'!$D:$D,G$340)</f>
        <v>0</v>
      </c>
      <c r="H364" s="14">
        <f>0.000001 * SUMIFS('Transmission Summary'!$I:$I,'Transmission Summary'!$A:$A,$D364,'Transmission Summary'!$D:$D,H$340)</f>
        <v>0</v>
      </c>
      <c r="I364" s="14">
        <f>0.000001 * SUMIFS('Transmission Summary'!$I:$I,'Transmission Summary'!$A:$A,$D364,'Transmission Summary'!$D:$D,I$340)</f>
        <v>0</v>
      </c>
      <c r="J364" s="14">
        <f>0.000001 * SUMIFS('Transmission Summary'!$I:$I,'Transmission Summary'!$A:$A,$D364,'Transmission Summary'!$D:$D,J$340)</f>
        <v>0</v>
      </c>
      <c r="K364" s="14">
        <f>0.000001 * SUMIFS('Transmission Summary'!$I:$I,'Transmission Summary'!$A:$A,$D364,'Transmission Summary'!$D:$D,K$340)</f>
        <v>0</v>
      </c>
      <c r="L364" s="14">
        <f>0.000001 * SUMIFS('Transmission Summary'!$I:$I,'Transmission Summary'!$A:$A,$D364,'Transmission Summary'!$D:$D,L$340)</f>
        <v>0</v>
      </c>
      <c r="M364" s="14">
        <f>0.000001 * SUMIFS('Transmission Summary'!$I:$I,'Transmission Summary'!$A:$A,$D364,'Transmission Summary'!$D:$D,M$340)</f>
        <v>0</v>
      </c>
      <c r="N364" s="14">
        <f>0.000001 * SUMIFS('Transmission Summary'!$I:$I,'Transmission Summary'!$A:$A,$D364,'Transmission Summary'!$D:$D,N$340)</f>
        <v>0</v>
      </c>
      <c r="O364" s="14">
        <f>0.000001 * SUMIFS('Transmission Summary'!$I:$I,'Transmission Summary'!$A:$A,$D364,'Transmission Summary'!$D:$D,O$340)</f>
        <v>0</v>
      </c>
      <c r="P364" s="14">
        <f>0.000001 * SUMIFS('Transmission Summary'!$I:$I,'Transmission Summary'!$A:$A,$D364,'Transmission Summary'!$D:$D,P$340)</f>
        <v>0</v>
      </c>
      <c r="Q364" s="14">
        <f>0.000001 * SUMIFS('Transmission Summary'!$I:$I,'Transmission Summary'!$A:$A,$D364,'Transmission Summary'!$D:$D,Q$340)</f>
        <v>0</v>
      </c>
      <c r="R364" s="14">
        <f>0.000001 * SUMIFS('Transmission Summary'!$I:$I,'Transmission Summary'!$A:$A,$D364,'Transmission Summary'!$D:$D,R$340)</f>
        <v>0</v>
      </c>
      <c r="S364" s="14">
        <f>0.000001 * SUMIFS('Transmission Summary'!$I:$I,'Transmission Summary'!$A:$A,$D364,'Transmission Summary'!$D:$D,S$340)</f>
        <v>0</v>
      </c>
      <c r="T364" s="14">
        <f>0.000001 * SUMIFS('Transmission Summary'!$I:$I,'Transmission Summary'!$A:$A,$D364,'Transmission Summary'!$D:$D,T$340)</f>
        <v>0</v>
      </c>
      <c r="U364" s="14">
        <f>0.000001 * SUMIFS('Transmission Summary'!$I:$I,'Transmission Summary'!$A:$A,$D364,'Transmission Summary'!$D:$D,U$340)</f>
        <v>0</v>
      </c>
      <c r="V364" s="14">
        <f>0.000001 * SUMIFS('Transmission Summary'!$I:$I,'Transmission Summary'!$A:$A,$D364,'Transmission Summary'!$D:$D,V$340)</f>
        <v>0</v>
      </c>
      <c r="W364" s="14">
        <f>0.000001 * SUMIFS('Transmission Summary'!$I:$I,'Transmission Summary'!$A:$A,$D364,'Transmission Summary'!$D:$D,W$340)</f>
        <v>0</v>
      </c>
      <c r="X364" s="14">
        <f>0.000001 * SUMIFS('Transmission Summary'!$I:$I,'Transmission Summary'!$A:$A,$D364,'Transmission Summary'!$D:$D,X$340)</f>
        <v>0</v>
      </c>
      <c r="Y364" s="14">
        <f>0.000001 * SUMIFS('Transmission Summary'!$I:$I,'Transmission Summary'!$A:$A,$D364,'Transmission Summary'!$D:$D,Y$340)</f>
        <v>0</v>
      </c>
      <c r="Z364" s="14">
        <f>0.000001 * SUMIFS('Transmission Summary'!$I:$I,'Transmission Summary'!$A:$A,$D364,'Transmission Summary'!$D:$D,Z$340)</f>
        <v>0</v>
      </c>
      <c r="AA364" s="14">
        <f>0.000001 * SUMIFS('Transmission Summary'!$I:$I,'Transmission Summary'!$A:$A,$D364,'Transmission Summary'!$D:$D,AA$340)</f>
        <v>0</v>
      </c>
      <c r="AB364" s="14">
        <f>0.000001 * SUMIFS('Transmission Summary'!$I:$I,'Transmission Summary'!$A:$A,$D364,'Transmission Summary'!$D:$D,AB$340)</f>
        <v>0</v>
      </c>
      <c r="AC364" s="14">
        <f>0.000001 * SUMIFS('Transmission Summary'!$I:$I,'Transmission Summary'!$A:$A,$D364,'Transmission Summary'!$D:$D,AC$340)</f>
        <v>0</v>
      </c>
      <c r="AD364" s="14">
        <f>0.000001 * SUMIFS('Transmission Summary'!$I:$I,'Transmission Summary'!$A:$A,$D364,'Transmission Summary'!$D:$D,AD$340)</f>
        <v>409.05482787728374</v>
      </c>
      <c r="AF364" s="14">
        <f t="shared" si="359"/>
        <v>1580.6416531601069</v>
      </c>
      <c r="AH364" s="34" t="s">
        <v>422</v>
      </c>
    </row>
    <row r="365" spans="4:34" ht="12.6" outlineLevel="1" thickBot="1" x14ac:dyDescent="0.25">
      <c r="D365" s="9" t="s">
        <v>139</v>
      </c>
      <c r="E365" s="13">
        <f t="shared" ref="E365" si="360">SUM(E360:E364)</f>
        <v>0</v>
      </c>
      <c r="F365" s="13">
        <f t="shared" ref="F365" si="361">SUM(F360:F364)</f>
        <v>0</v>
      </c>
      <c r="G365" s="13">
        <f t="shared" ref="G365" si="362">SUM(G360:G364)</f>
        <v>0</v>
      </c>
      <c r="H365" s="13">
        <f t="shared" ref="H365" si="363">SUM(H360:H364)</f>
        <v>0</v>
      </c>
      <c r="I365" s="13">
        <f t="shared" ref="I365" si="364">SUM(I360:I364)</f>
        <v>0</v>
      </c>
      <c r="J365" s="13">
        <f t="shared" ref="J365" si="365">SUM(J360:J364)</f>
        <v>0</v>
      </c>
      <c r="K365" s="13">
        <f t="shared" ref="K365" si="366">SUM(K360:K364)</f>
        <v>0</v>
      </c>
      <c r="L365" s="13">
        <f t="shared" ref="L365" si="367">SUM(L360:L364)</f>
        <v>0</v>
      </c>
      <c r="M365" s="13">
        <f t="shared" ref="M365" si="368">SUM(M360:M364)</f>
        <v>0</v>
      </c>
      <c r="N365" s="13">
        <f t="shared" ref="N365" si="369">SUM(N360:N364)</f>
        <v>0</v>
      </c>
      <c r="O365" s="13">
        <f t="shared" ref="O365" si="370">SUM(O360:O364)</f>
        <v>0</v>
      </c>
      <c r="P365" s="13">
        <f t="shared" ref="P365" si="371">SUM(P360:P364)</f>
        <v>0</v>
      </c>
      <c r="Q365" s="13">
        <f t="shared" ref="Q365" si="372">SUM(Q360:Q364)</f>
        <v>0</v>
      </c>
      <c r="R365" s="13">
        <f t="shared" ref="R365" si="373">SUM(R360:R364)</f>
        <v>0</v>
      </c>
      <c r="S365" s="13">
        <f t="shared" ref="S365" si="374">SUM(S360:S364)</f>
        <v>0</v>
      </c>
      <c r="T365" s="13">
        <f t="shared" ref="T365" si="375">SUM(T360:T364)</f>
        <v>0</v>
      </c>
      <c r="U365" s="13">
        <f t="shared" ref="U365" si="376">SUM(U360:U364)</f>
        <v>0</v>
      </c>
      <c r="V365" s="13">
        <f t="shared" ref="V365" si="377">SUM(V360:V364)</f>
        <v>0</v>
      </c>
      <c r="W365" s="13">
        <f t="shared" ref="W365" si="378">SUM(W360:W364)</f>
        <v>0</v>
      </c>
      <c r="X365" s="13">
        <f t="shared" ref="X365" si="379">SUM(X360:X364)</f>
        <v>0</v>
      </c>
      <c r="Y365" s="13">
        <f t="shared" ref="Y365" si="380">SUM(Y360:Y364)</f>
        <v>0</v>
      </c>
      <c r="Z365" s="13">
        <f t="shared" ref="Z365" si="381">SUM(Z360:Z364)</f>
        <v>0</v>
      </c>
      <c r="AA365" s="13">
        <f t="shared" ref="AA365" si="382">SUM(AA360:AA364)</f>
        <v>0</v>
      </c>
      <c r="AB365" s="13">
        <f t="shared" ref="AB365" si="383">SUM(AB360:AB364)</f>
        <v>0</v>
      </c>
      <c r="AC365" s="13">
        <f t="shared" ref="AC365" si="384">SUM(AC360:AC364)</f>
        <v>0</v>
      </c>
      <c r="AD365" s="13">
        <f t="shared" ref="AD365" si="385">SUM(AD360:AD364)</f>
        <v>513.60612952714894</v>
      </c>
      <c r="AF365" s="13">
        <f t="shared" si="359"/>
        <v>1984.6416331565813</v>
      </c>
      <c r="AH365" s="34" t="s">
        <v>422</v>
      </c>
    </row>
    <row r="366" spans="4:34" ht="12" outlineLevel="1" thickTop="1" x14ac:dyDescent="0.2">
      <c r="AH366" s="34" t="s">
        <v>422</v>
      </c>
    </row>
    <row r="367" spans="4:34" ht="13.2" outlineLevel="1" x14ac:dyDescent="0.2">
      <c r="E367" s="2" t="s">
        <v>413</v>
      </c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F367" s="2"/>
      <c r="AH367" s="34" t="s">
        <v>422</v>
      </c>
    </row>
    <row r="368" spans="4:34" outlineLevel="1" x14ac:dyDescent="0.2">
      <c r="E368" s="7">
        <v>43831</v>
      </c>
      <c r="F368" s="7">
        <f>EDATE(E368,12)</f>
        <v>44197</v>
      </c>
      <c r="G368" s="7">
        <f t="shared" ref="G368" si="386">EDATE(F368,12)</f>
        <v>44562</v>
      </c>
      <c r="H368" s="7">
        <f t="shared" ref="H368" si="387">EDATE(G368,12)</f>
        <v>44927</v>
      </c>
      <c r="I368" s="7">
        <f t="shared" ref="I368" si="388">EDATE(H368,12)</f>
        <v>45292</v>
      </c>
      <c r="J368" s="7">
        <f t="shared" ref="J368" si="389">EDATE(I368,12)</f>
        <v>45658</v>
      </c>
      <c r="K368" s="7">
        <f t="shared" ref="K368" si="390">EDATE(J368,12)</f>
        <v>46023</v>
      </c>
      <c r="L368" s="7">
        <f t="shared" ref="L368" si="391">EDATE(K368,12)</f>
        <v>46388</v>
      </c>
      <c r="M368" s="7">
        <f t="shared" ref="M368" si="392">EDATE(L368,12)</f>
        <v>46753</v>
      </c>
      <c r="N368" s="7">
        <f t="shared" ref="N368" si="393">EDATE(M368,12)</f>
        <v>47119</v>
      </c>
      <c r="O368" s="7">
        <f t="shared" ref="O368" si="394">EDATE(N368,12)</f>
        <v>47484</v>
      </c>
      <c r="P368" s="7">
        <f t="shared" ref="P368" si="395">EDATE(O368,12)</f>
        <v>47849</v>
      </c>
      <c r="Q368" s="7">
        <f t="shared" ref="Q368" si="396">EDATE(P368,12)</f>
        <v>48214</v>
      </c>
      <c r="R368" s="7">
        <f t="shared" ref="R368" si="397">EDATE(Q368,12)</f>
        <v>48580</v>
      </c>
      <c r="S368" s="7">
        <f t="shared" ref="S368" si="398">EDATE(R368,12)</f>
        <v>48945</v>
      </c>
      <c r="T368" s="7">
        <f t="shared" ref="T368" si="399">EDATE(S368,12)</f>
        <v>49310</v>
      </c>
      <c r="U368" s="7">
        <f t="shared" ref="U368" si="400">EDATE(T368,12)</f>
        <v>49675</v>
      </c>
      <c r="V368" s="7">
        <f t="shared" ref="V368" si="401">EDATE(U368,12)</f>
        <v>50041</v>
      </c>
      <c r="W368" s="7">
        <f t="shared" ref="W368" si="402">EDATE(V368,12)</f>
        <v>50406</v>
      </c>
      <c r="X368" s="7">
        <f t="shared" ref="X368" si="403">EDATE(W368,12)</f>
        <v>50771</v>
      </c>
      <c r="Y368" s="7">
        <f t="shared" ref="Y368" si="404">EDATE(X368,12)</f>
        <v>51136</v>
      </c>
      <c r="Z368" s="7">
        <f t="shared" ref="Z368" si="405">EDATE(Y368,12)</f>
        <v>51502</v>
      </c>
      <c r="AA368" s="7">
        <f t="shared" ref="AA368" si="406">EDATE(Z368,12)</f>
        <v>51867</v>
      </c>
      <c r="AB368" s="7">
        <f t="shared" ref="AB368" si="407">EDATE(AA368,12)</f>
        <v>52232</v>
      </c>
      <c r="AC368" s="7">
        <f t="shared" ref="AC368" si="408">EDATE(AB368,12)</f>
        <v>52597</v>
      </c>
      <c r="AD368" s="7">
        <f>EDATE(AC368,12)</f>
        <v>52963</v>
      </c>
      <c r="AF368" s="7" t="s">
        <v>616</v>
      </c>
      <c r="AH368" s="34" t="s">
        <v>422</v>
      </c>
    </row>
    <row r="369" spans="4:34" outlineLevel="1" x14ac:dyDescent="0.2">
      <c r="D369" s="8" t="s">
        <v>251</v>
      </c>
      <c r="E369" s="14">
        <f>0.000001 * SUMIFS('Transmission Summary'!$K:$K,'Transmission Summary'!$A:$A,$D369,'Transmission Summary'!$D:$D,E$340)</f>
        <v>0</v>
      </c>
      <c r="F369" s="14">
        <f>0.000001 * SUMIFS('Transmission Summary'!$K:$K,'Transmission Summary'!$A:$A,$D369,'Transmission Summary'!$D:$D,F$340)</f>
        <v>0</v>
      </c>
      <c r="G369" s="14">
        <f>0.000001 * SUMIFS('Transmission Summary'!$K:$K,'Transmission Summary'!$A:$A,$D369,'Transmission Summary'!$D:$D,G$340)</f>
        <v>0</v>
      </c>
      <c r="H369" s="14">
        <f>0.000001 * SUMIFS('Transmission Summary'!$K:$K,'Transmission Summary'!$A:$A,$D369,'Transmission Summary'!$D:$D,H$340)</f>
        <v>0</v>
      </c>
      <c r="I369" s="14">
        <f>0.000001 * SUMIFS('Transmission Summary'!$K:$K,'Transmission Summary'!$A:$A,$D369,'Transmission Summary'!$D:$D,I$340)</f>
        <v>0</v>
      </c>
      <c r="J369" s="14">
        <f>0.000001 * SUMIFS('Transmission Summary'!$K:$K,'Transmission Summary'!$A:$A,$D369,'Transmission Summary'!$D:$D,J$340)</f>
        <v>0</v>
      </c>
      <c r="K369" s="14">
        <f>0.000001 * SUMIFS('Transmission Summary'!$K:$K,'Transmission Summary'!$A:$A,$D369,'Transmission Summary'!$D:$D,K$340)</f>
        <v>0</v>
      </c>
      <c r="L369" s="14">
        <f>0.000001 * SUMIFS('Transmission Summary'!$K:$K,'Transmission Summary'!$A:$A,$D369,'Transmission Summary'!$D:$D,L$340)</f>
        <v>0</v>
      </c>
      <c r="M369" s="14">
        <f>0.000001 * SUMIFS('Transmission Summary'!$K:$K,'Transmission Summary'!$A:$A,$D369,'Transmission Summary'!$D:$D,M$340)</f>
        <v>0</v>
      </c>
      <c r="N369" s="14">
        <f>0.000001 * SUMIFS('Transmission Summary'!$K:$K,'Transmission Summary'!$A:$A,$D369,'Transmission Summary'!$D:$D,N$340)</f>
        <v>0</v>
      </c>
      <c r="O369" s="14">
        <f>0.000001 * SUMIFS('Transmission Summary'!$K:$K,'Transmission Summary'!$A:$A,$D369,'Transmission Summary'!$D:$D,O$340)</f>
        <v>0</v>
      </c>
      <c r="P369" s="14">
        <f>0.000001 * SUMIFS('Transmission Summary'!$K:$K,'Transmission Summary'!$A:$A,$D369,'Transmission Summary'!$D:$D,P$340)</f>
        <v>0</v>
      </c>
      <c r="Q369" s="14">
        <f>0.000001 * SUMIFS('Transmission Summary'!$K:$K,'Transmission Summary'!$A:$A,$D369,'Transmission Summary'!$D:$D,Q$340)</f>
        <v>0</v>
      </c>
      <c r="R369" s="14">
        <f>0.000001 * SUMIFS('Transmission Summary'!$K:$K,'Transmission Summary'!$A:$A,$D369,'Transmission Summary'!$D:$D,R$340)</f>
        <v>0</v>
      </c>
      <c r="S369" s="14">
        <f>0.000001 * SUMIFS('Transmission Summary'!$K:$K,'Transmission Summary'!$A:$A,$D369,'Transmission Summary'!$D:$D,S$340)</f>
        <v>0</v>
      </c>
      <c r="T369" s="14">
        <f>0.000001 * SUMIFS('Transmission Summary'!$K:$K,'Transmission Summary'!$A:$A,$D369,'Transmission Summary'!$D:$D,T$340)</f>
        <v>0</v>
      </c>
      <c r="U369" s="14">
        <f>0.000001 * SUMIFS('Transmission Summary'!$K:$K,'Transmission Summary'!$A:$A,$D369,'Transmission Summary'!$D:$D,U$340)</f>
        <v>0</v>
      </c>
      <c r="V369" s="14">
        <f>0.000001 * SUMIFS('Transmission Summary'!$K:$K,'Transmission Summary'!$A:$A,$D369,'Transmission Summary'!$D:$D,V$340)</f>
        <v>0</v>
      </c>
      <c r="W369" s="14">
        <f>0.000001 * SUMIFS('Transmission Summary'!$K:$K,'Transmission Summary'!$A:$A,$D369,'Transmission Summary'!$D:$D,W$340)</f>
        <v>0</v>
      </c>
      <c r="X369" s="14">
        <f>0.000001 * SUMIFS('Transmission Summary'!$K:$K,'Transmission Summary'!$A:$A,$D369,'Transmission Summary'!$D:$D,X$340)</f>
        <v>0</v>
      </c>
      <c r="Y369" s="14">
        <f>0.000001 * SUMIFS('Transmission Summary'!$K:$K,'Transmission Summary'!$A:$A,$D369,'Transmission Summary'!$D:$D,Y$340)</f>
        <v>0</v>
      </c>
      <c r="Z369" s="14">
        <f>0.000001 * SUMIFS('Transmission Summary'!$K:$K,'Transmission Summary'!$A:$A,$D369,'Transmission Summary'!$D:$D,Z$340)</f>
        <v>0</v>
      </c>
      <c r="AA369" s="14">
        <f>0.000001 * SUMIFS('Transmission Summary'!$K:$K,'Transmission Summary'!$A:$A,$D369,'Transmission Summary'!$D:$D,AA$340)</f>
        <v>0</v>
      </c>
      <c r="AB369" s="14">
        <f>0.000001 * SUMIFS('Transmission Summary'!$K:$K,'Transmission Summary'!$A:$A,$D369,'Transmission Summary'!$D:$D,AB$340)</f>
        <v>0</v>
      </c>
      <c r="AC369" s="14">
        <f>0.000001 * SUMIFS('Transmission Summary'!$K:$K,'Transmission Summary'!$A:$A,$D369,'Transmission Summary'!$D:$D,AC$340)</f>
        <v>0</v>
      </c>
      <c r="AD369" s="14">
        <f>0.000001 * SUMIFS('Transmission Summary'!$K:$K,'Transmission Summary'!$A:$A,$D369,'Transmission Summary'!$D:$D,AD$340)</f>
        <v>28.115536617380062</v>
      </c>
      <c r="AF369" s="14">
        <f t="shared" ref="AF369:AF374" si="409">SUMPRODUCT($E$400:$AD$400,$E369:$AD369)</f>
        <v>108.64213120034681</v>
      </c>
      <c r="AH369" s="34" t="s">
        <v>422</v>
      </c>
    </row>
    <row r="370" spans="4:34" outlineLevel="1" x14ac:dyDescent="0.2">
      <c r="D370" s="8" t="s">
        <v>252</v>
      </c>
      <c r="E370" s="14">
        <f>0.000001 * SUMIFS('Transmission Summary'!$K:$K,'Transmission Summary'!$A:$A,$D370,'Transmission Summary'!$D:$D,E$340)</f>
        <v>0</v>
      </c>
      <c r="F370" s="14">
        <f>0.000001 * SUMIFS('Transmission Summary'!$K:$K,'Transmission Summary'!$A:$A,$D370,'Transmission Summary'!$D:$D,F$340)</f>
        <v>0</v>
      </c>
      <c r="G370" s="14">
        <f>0.000001 * SUMIFS('Transmission Summary'!$K:$K,'Transmission Summary'!$A:$A,$D370,'Transmission Summary'!$D:$D,G$340)</f>
        <v>0</v>
      </c>
      <c r="H370" s="14">
        <f>0.000001 * SUMIFS('Transmission Summary'!$K:$K,'Transmission Summary'!$A:$A,$D370,'Transmission Summary'!$D:$D,H$340)</f>
        <v>0</v>
      </c>
      <c r="I370" s="14">
        <f>0.000001 * SUMIFS('Transmission Summary'!$K:$K,'Transmission Summary'!$A:$A,$D370,'Transmission Summary'!$D:$D,I$340)</f>
        <v>0</v>
      </c>
      <c r="J370" s="14">
        <f>0.000001 * SUMIFS('Transmission Summary'!$K:$K,'Transmission Summary'!$A:$A,$D370,'Transmission Summary'!$D:$D,J$340)</f>
        <v>0</v>
      </c>
      <c r="K370" s="14">
        <f>0.000001 * SUMIFS('Transmission Summary'!$K:$K,'Transmission Summary'!$A:$A,$D370,'Transmission Summary'!$D:$D,K$340)</f>
        <v>0</v>
      </c>
      <c r="L370" s="14">
        <f>0.000001 * SUMIFS('Transmission Summary'!$K:$K,'Transmission Summary'!$A:$A,$D370,'Transmission Summary'!$D:$D,L$340)</f>
        <v>0</v>
      </c>
      <c r="M370" s="14">
        <f>0.000001 * SUMIFS('Transmission Summary'!$K:$K,'Transmission Summary'!$A:$A,$D370,'Transmission Summary'!$D:$D,M$340)</f>
        <v>0</v>
      </c>
      <c r="N370" s="14">
        <f>0.000001 * SUMIFS('Transmission Summary'!$K:$K,'Transmission Summary'!$A:$A,$D370,'Transmission Summary'!$D:$D,N$340)</f>
        <v>0</v>
      </c>
      <c r="O370" s="14">
        <f>0.000001 * SUMIFS('Transmission Summary'!$K:$K,'Transmission Summary'!$A:$A,$D370,'Transmission Summary'!$D:$D,O$340)</f>
        <v>0</v>
      </c>
      <c r="P370" s="14">
        <f>0.000001 * SUMIFS('Transmission Summary'!$K:$K,'Transmission Summary'!$A:$A,$D370,'Transmission Summary'!$D:$D,P$340)</f>
        <v>0</v>
      </c>
      <c r="Q370" s="14">
        <f>0.000001 * SUMIFS('Transmission Summary'!$K:$K,'Transmission Summary'!$A:$A,$D370,'Transmission Summary'!$D:$D,Q$340)</f>
        <v>0</v>
      </c>
      <c r="R370" s="14">
        <f>0.000001 * SUMIFS('Transmission Summary'!$K:$K,'Transmission Summary'!$A:$A,$D370,'Transmission Summary'!$D:$D,R$340)</f>
        <v>0</v>
      </c>
      <c r="S370" s="14">
        <f>0.000001 * SUMIFS('Transmission Summary'!$K:$K,'Transmission Summary'!$A:$A,$D370,'Transmission Summary'!$D:$D,S$340)</f>
        <v>0</v>
      </c>
      <c r="T370" s="14">
        <f>0.000001 * SUMIFS('Transmission Summary'!$K:$K,'Transmission Summary'!$A:$A,$D370,'Transmission Summary'!$D:$D,T$340)</f>
        <v>0</v>
      </c>
      <c r="U370" s="14">
        <f>0.000001 * SUMIFS('Transmission Summary'!$K:$K,'Transmission Summary'!$A:$A,$D370,'Transmission Summary'!$D:$D,U$340)</f>
        <v>0</v>
      </c>
      <c r="V370" s="14">
        <f>0.000001 * SUMIFS('Transmission Summary'!$K:$K,'Transmission Summary'!$A:$A,$D370,'Transmission Summary'!$D:$D,V$340)</f>
        <v>0</v>
      </c>
      <c r="W370" s="14">
        <f>0.000001 * SUMIFS('Transmission Summary'!$K:$K,'Transmission Summary'!$A:$A,$D370,'Transmission Summary'!$D:$D,W$340)</f>
        <v>0</v>
      </c>
      <c r="X370" s="14">
        <f>0.000001 * SUMIFS('Transmission Summary'!$K:$K,'Transmission Summary'!$A:$A,$D370,'Transmission Summary'!$D:$D,X$340)</f>
        <v>0</v>
      </c>
      <c r="Y370" s="14">
        <f>0.000001 * SUMIFS('Transmission Summary'!$K:$K,'Transmission Summary'!$A:$A,$D370,'Transmission Summary'!$D:$D,Y$340)</f>
        <v>0</v>
      </c>
      <c r="Z370" s="14">
        <f>0.000001 * SUMIFS('Transmission Summary'!$K:$K,'Transmission Summary'!$A:$A,$D370,'Transmission Summary'!$D:$D,Z$340)</f>
        <v>0</v>
      </c>
      <c r="AA370" s="14">
        <f>0.000001 * SUMIFS('Transmission Summary'!$K:$K,'Transmission Summary'!$A:$A,$D370,'Transmission Summary'!$D:$D,AA$340)</f>
        <v>0</v>
      </c>
      <c r="AB370" s="14">
        <f>0.000001 * SUMIFS('Transmission Summary'!$K:$K,'Transmission Summary'!$A:$A,$D370,'Transmission Summary'!$D:$D,AB$340)</f>
        <v>0</v>
      </c>
      <c r="AC370" s="14">
        <f>0.000001 * SUMIFS('Transmission Summary'!$K:$K,'Transmission Summary'!$A:$A,$D370,'Transmission Summary'!$D:$D,AC$340)</f>
        <v>0</v>
      </c>
      <c r="AD370" s="14">
        <f>0.000001 * SUMIFS('Transmission Summary'!$K:$K,'Transmission Summary'!$A:$A,$D370,'Transmission Summary'!$D:$D,AD$340)</f>
        <v>3.9489784800871188</v>
      </c>
      <c r="AF370" s="14">
        <f t="shared" si="409"/>
        <v>15.259372210444031</v>
      </c>
      <c r="AH370" s="34" t="s">
        <v>422</v>
      </c>
    </row>
    <row r="371" spans="4:34" outlineLevel="1" x14ac:dyDescent="0.2">
      <c r="D371" s="8" t="s">
        <v>253</v>
      </c>
      <c r="E371" s="14">
        <f>0.000001 * SUMIFS('Transmission Summary'!$K:$K,'Transmission Summary'!$A:$A,$D371,'Transmission Summary'!$D:$D,E$340)</f>
        <v>0</v>
      </c>
      <c r="F371" s="14">
        <f>0.000001 * SUMIFS('Transmission Summary'!$K:$K,'Transmission Summary'!$A:$A,$D371,'Transmission Summary'!$D:$D,F$340)</f>
        <v>0</v>
      </c>
      <c r="G371" s="14">
        <f>0.000001 * SUMIFS('Transmission Summary'!$K:$K,'Transmission Summary'!$A:$A,$D371,'Transmission Summary'!$D:$D,G$340)</f>
        <v>0</v>
      </c>
      <c r="H371" s="14">
        <f>0.000001 * SUMIFS('Transmission Summary'!$K:$K,'Transmission Summary'!$A:$A,$D371,'Transmission Summary'!$D:$D,H$340)</f>
        <v>0</v>
      </c>
      <c r="I371" s="14">
        <f>0.000001 * SUMIFS('Transmission Summary'!$K:$K,'Transmission Summary'!$A:$A,$D371,'Transmission Summary'!$D:$D,I$340)</f>
        <v>0</v>
      </c>
      <c r="J371" s="14">
        <f>0.000001 * SUMIFS('Transmission Summary'!$K:$K,'Transmission Summary'!$A:$A,$D371,'Transmission Summary'!$D:$D,J$340)</f>
        <v>0</v>
      </c>
      <c r="K371" s="14">
        <f>0.000001 * SUMIFS('Transmission Summary'!$K:$K,'Transmission Summary'!$A:$A,$D371,'Transmission Summary'!$D:$D,K$340)</f>
        <v>0</v>
      </c>
      <c r="L371" s="14">
        <f>0.000001 * SUMIFS('Transmission Summary'!$K:$K,'Transmission Summary'!$A:$A,$D371,'Transmission Summary'!$D:$D,L$340)</f>
        <v>0</v>
      </c>
      <c r="M371" s="14">
        <f>0.000001 * SUMIFS('Transmission Summary'!$K:$K,'Transmission Summary'!$A:$A,$D371,'Transmission Summary'!$D:$D,M$340)</f>
        <v>0</v>
      </c>
      <c r="N371" s="14">
        <f>0.000001 * SUMIFS('Transmission Summary'!$K:$K,'Transmission Summary'!$A:$A,$D371,'Transmission Summary'!$D:$D,N$340)</f>
        <v>0</v>
      </c>
      <c r="O371" s="14">
        <f>0.000001 * SUMIFS('Transmission Summary'!$K:$K,'Transmission Summary'!$A:$A,$D371,'Transmission Summary'!$D:$D,O$340)</f>
        <v>0</v>
      </c>
      <c r="P371" s="14">
        <f>0.000001 * SUMIFS('Transmission Summary'!$K:$K,'Transmission Summary'!$A:$A,$D371,'Transmission Summary'!$D:$D,P$340)</f>
        <v>0</v>
      </c>
      <c r="Q371" s="14">
        <f>0.000001 * SUMIFS('Transmission Summary'!$K:$K,'Transmission Summary'!$A:$A,$D371,'Transmission Summary'!$D:$D,Q$340)</f>
        <v>0</v>
      </c>
      <c r="R371" s="14">
        <f>0.000001 * SUMIFS('Transmission Summary'!$K:$K,'Transmission Summary'!$A:$A,$D371,'Transmission Summary'!$D:$D,R$340)</f>
        <v>0</v>
      </c>
      <c r="S371" s="14">
        <f>0.000001 * SUMIFS('Transmission Summary'!$K:$K,'Transmission Summary'!$A:$A,$D371,'Transmission Summary'!$D:$D,S$340)</f>
        <v>0</v>
      </c>
      <c r="T371" s="14">
        <f>0.000001 * SUMIFS('Transmission Summary'!$K:$K,'Transmission Summary'!$A:$A,$D371,'Transmission Summary'!$D:$D,T$340)</f>
        <v>0</v>
      </c>
      <c r="U371" s="14">
        <f>0.000001 * SUMIFS('Transmission Summary'!$K:$K,'Transmission Summary'!$A:$A,$D371,'Transmission Summary'!$D:$D,U$340)</f>
        <v>0</v>
      </c>
      <c r="V371" s="14">
        <f>0.000001 * SUMIFS('Transmission Summary'!$K:$K,'Transmission Summary'!$A:$A,$D371,'Transmission Summary'!$D:$D,V$340)</f>
        <v>0</v>
      </c>
      <c r="W371" s="14">
        <f>0.000001 * SUMIFS('Transmission Summary'!$K:$K,'Transmission Summary'!$A:$A,$D371,'Transmission Summary'!$D:$D,W$340)</f>
        <v>0</v>
      </c>
      <c r="X371" s="14">
        <f>0.000001 * SUMIFS('Transmission Summary'!$K:$K,'Transmission Summary'!$A:$A,$D371,'Transmission Summary'!$D:$D,X$340)</f>
        <v>0</v>
      </c>
      <c r="Y371" s="14">
        <f>0.000001 * SUMIFS('Transmission Summary'!$K:$K,'Transmission Summary'!$A:$A,$D371,'Transmission Summary'!$D:$D,Y$340)</f>
        <v>0</v>
      </c>
      <c r="Z371" s="14">
        <f>0.000001 * SUMIFS('Transmission Summary'!$K:$K,'Transmission Summary'!$A:$A,$D371,'Transmission Summary'!$D:$D,Z$340)</f>
        <v>0</v>
      </c>
      <c r="AA371" s="14">
        <f>0.000001 * SUMIFS('Transmission Summary'!$K:$K,'Transmission Summary'!$A:$A,$D371,'Transmission Summary'!$D:$D,AA$340)</f>
        <v>0</v>
      </c>
      <c r="AB371" s="14">
        <f>0.000001 * SUMIFS('Transmission Summary'!$K:$K,'Transmission Summary'!$A:$A,$D371,'Transmission Summary'!$D:$D,AB$340)</f>
        <v>0</v>
      </c>
      <c r="AC371" s="14">
        <f>0.000001 * SUMIFS('Transmission Summary'!$K:$K,'Transmission Summary'!$A:$A,$D371,'Transmission Summary'!$D:$D,AC$340)</f>
        <v>0</v>
      </c>
      <c r="AD371" s="14">
        <f>0.000001 * SUMIFS('Transmission Summary'!$K:$K,'Transmission Summary'!$A:$A,$D371,'Transmission Summary'!$D:$D,AD$340)</f>
        <v>68.960276371051862</v>
      </c>
      <c r="AF371" s="14">
        <f t="shared" si="409"/>
        <v>266.47157744393536</v>
      </c>
      <c r="AH371" s="34" t="s">
        <v>422</v>
      </c>
    </row>
    <row r="372" spans="4:34" outlineLevel="1" x14ac:dyDescent="0.2">
      <c r="D372" s="8" t="s">
        <v>254</v>
      </c>
      <c r="E372" s="14">
        <f>0.000001 * SUMIFS('Transmission Summary'!$K:$K,'Transmission Summary'!$A:$A,$D372,'Transmission Summary'!$D:$D,E$340)</f>
        <v>0</v>
      </c>
      <c r="F372" s="14">
        <f>0.000001 * SUMIFS('Transmission Summary'!$K:$K,'Transmission Summary'!$A:$A,$D372,'Transmission Summary'!$D:$D,F$340)</f>
        <v>0</v>
      </c>
      <c r="G372" s="14">
        <f>0.000001 * SUMIFS('Transmission Summary'!$K:$K,'Transmission Summary'!$A:$A,$D372,'Transmission Summary'!$D:$D,G$340)</f>
        <v>0</v>
      </c>
      <c r="H372" s="14">
        <f>0.000001 * SUMIFS('Transmission Summary'!$K:$K,'Transmission Summary'!$A:$A,$D372,'Transmission Summary'!$D:$D,H$340)</f>
        <v>0</v>
      </c>
      <c r="I372" s="14">
        <f>0.000001 * SUMIFS('Transmission Summary'!$K:$K,'Transmission Summary'!$A:$A,$D372,'Transmission Summary'!$D:$D,I$340)</f>
        <v>0</v>
      </c>
      <c r="J372" s="14">
        <f>0.000001 * SUMIFS('Transmission Summary'!$K:$K,'Transmission Summary'!$A:$A,$D372,'Transmission Summary'!$D:$D,J$340)</f>
        <v>0</v>
      </c>
      <c r="K372" s="14">
        <f>0.000001 * SUMIFS('Transmission Summary'!$K:$K,'Transmission Summary'!$A:$A,$D372,'Transmission Summary'!$D:$D,K$340)</f>
        <v>0</v>
      </c>
      <c r="L372" s="14">
        <f>0.000001 * SUMIFS('Transmission Summary'!$K:$K,'Transmission Summary'!$A:$A,$D372,'Transmission Summary'!$D:$D,L$340)</f>
        <v>0</v>
      </c>
      <c r="M372" s="14">
        <f>0.000001 * SUMIFS('Transmission Summary'!$K:$K,'Transmission Summary'!$A:$A,$D372,'Transmission Summary'!$D:$D,M$340)</f>
        <v>0</v>
      </c>
      <c r="N372" s="14">
        <f>0.000001 * SUMIFS('Transmission Summary'!$K:$K,'Transmission Summary'!$A:$A,$D372,'Transmission Summary'!$D:$D,N$340)</f>
        <v>0</v>
      </c>
      <c r="O372" s="14">
        <f>0.000001 * SUMIFS('Transmission Summary'!$K:$K,'Transmission Summary'!$A:$A,$D372,'Transmission Summary'!$D:$D,O$340)</f>
        <v>0</v>
      </c>
      <c r="P372" s="14">
        <f>0.000001 * SUMIFS('Transmission Summary'!$K:$K,'Transmission Summary'!$A:$A,$D372,'Transmission Summary'!$D:$D,P$340)</f>
        <v>0</v>
      </c>
      <c r="Q372" s="14">
        <f>0.000001 * SUMIFS('Transmission Summary'!$K:$K,'Transmission Summary'!$A:$A,$D372,'Transmission Summary'!$D:$D,Q$340)</f>
        <v>0</v>
      </c>
      <c r="R372" s="14">
        <f>0.000001 * SUMIFS('Transmission Summary'!$K:$K,'Transmission Summary'!$A:$A,$D372,'Transmission Summary'!$D:$D,R$340)</f>
        <v>0</v>
      </c>
      <c r="S372" s="14">
        <f>0.000001 * SUMIFS('Transmission Summary'!$K:$K,'Transmission Summary'!$A:$A,$D372,'Transmission Summary'!$D:$D,S$340)</f>
        <v>0</v>
      </c>
      <c r="T372" s="14">
        <f>0.000001 * SUMIFS('Transmission Summary'!$K:$K,'Transmission Summary'!$A:$A,$D372,'Transmission Summary'!$D:$D,T$340)</f>
        <v>0</v>
      </c>
      <c r="U372" s="14">
        <f>0.000001 * SUMIFS('Transmission Summary'!$K:$K,'Transmission Summary'!$A:$A,$D372,'Transmission Summary'!$D:$D,U$340)</f>
        <v>0</v>
      </c>
      <c r="V372" s="14">
        <f>0.000001 * SUMIFS('Transmission Summary'!$K:$K,'Transmission Summary'!$A:$A,$D372,'Transmission Summary'!$D:$D,V$340)</f>
        <v>0</v>
      </c>
      <c r="W372" s="14">
        <f>0.000001 * SUMIFS('Transmission Summary'!$K:$K,'Transmission Summary'!$A:$A,$D372,'Transmission Summary'!$D:$D,W$340)</f>
        <v>0</v>
      </c>
      <c r="X372" s="14">
        <f>0.000001 * SUMIFS('Transmission Summary'!$K:$K,'Transmission Summary'!$A:$A,$D372,'Transmission Summary'!$D:$D,X$340)</f>
        <v>0</v>
      </c>
      <c r="Y372" s="14">
        <f>0.000001 * SUMIFS('Transmission Summary'!$K:$K,'Transmission Summary'!$A:$A,$D372,'Transmission Summary'!$D:$D,Y$340)</f>
        <v>0</v>
      </c>
      <c r="Z372" s="14">
        <f>0.000001 * SUMIFS('Transmission Summary'!$K:$K,'Transmission Summary'!$A:$A,$D372,'Transmission Summary'!$D:$D,Z$340)</f>
        <v>0</v>
      </c>
      <c r="AA372" s="14">
        <f>0.000001 * SUMIFS('Transmission Summary'!$K:$K,'Transmission Summary'!$A:$A,$D372,'Transmission Summary'!$D:$D,AA$340)</f>
        <v>0</v>
      </c>
      <c r="AB372" s="14">
        <f>0.000001 * SUMIFS('Transmission Summary'!$K:$K,'Transmission Summary'!$A:$A,$D372,'Transmission Summary'!$D:$D,AB$340)</f>
        <v>0</v>
      </c>
      <c r="AC372" s="14">
        <f>0.000001 * SUMIFS('Transmission Summary'!$K:$K,'Transmission Summary'!$A:$A,$D372,'Transmission Summary'!$D:$D,AC$340)</f>
        <v>0</v>
      </c>
      <c r="AD372" s="14">
        <f>0.000001 * SUMIFS('Transmission Summary'!$K:$K,'Transmission Summary'!$A:$A,$D372,'Transmission Summary'!$D:$D,AD$340)</f>
        <v>30.584380464034307</v>
      </c>
      <c r="AF372" s="14">
        <f t="shared" si="409"/>
        <v>118.18206852224642</v>
      </c>
      <c r="AH372" s="34" t="s">
        <v>422</v>
      </c>
    </row>
    <row r="373" spans="4:34" outlineLevel="1" x14ac:dyDescent="0.2">
      <c r="D373" s="8" t="s">
        <v>256</v>
      </c>
      <c r="E373" s="14">
        <f>0.000001 * SUMIFS('Transmission Summary'!$K:$K,'Transmission Summary'!$A:$A,$D373,'Transmission Summary'!$D:$D,E$340)</f>
        <v>0</v>
      </c>
      <c r="F373" s="14">
        <f>0.000001 * SUMIFS('Transmission Summary'!$K:$K,'Transmission Summary'!$A:$A,$D373,'Transmission Summary'!$D:$D,F$340)</f>
        <v>0</v>
      </c>
      <c r="G373" s="14">
        <f>0.000001 * SUMIFS('Transmission Summary'!$K:$K,'Transmission Summary'!$A:$A,$D373,'Transmission Summary'!$D:$D,G$340)</f>
        <v>0</v>
      </c>
      <c r="H373" s="14">
        <f>0.000001 * SUMIFS('Transmission Summary'!$K:$K,'Transmission Summary'!$A:$A,$D373,'Transmission Summary'!$D:$D,H$340)</f>
        <v>0</v>
      </c>
      <c r="I373" s="14">
        <f>0.000001 * SUMIFS('Transmission Summary'!$K:$K,'Transmission Summary'!$A:$A,$D373,'Transmission Summary'!$D:$D,I$340)</f>
        <v>0</v>
      </c>
      <c r="J373" s="14">
        <f>0.000001 * SUMIFS('Transmission Summary'!$K:$K,'Transmission Summary'!$A:$A,$D373,'Transmission Summary'!$D:$D,J$340)</f>
        <v>0</v>
      </c>
      <c r="K373" s="14">
        <f>0.000001 * SUMIFS('Transmission Summary'!$K:$K,'Transmission Summary'!$A:$A,$D373,'Transmission Summary'!$D:$D,K$340)</f>
        <v>0</v>
      </c>
      <c r="L373" s="14">
        <f>0.000001 * SUMIFS('Transmission Summary'!$K:$K,'Transmission Summary'!$A:$A,$D373,'Transmission Summary'!$D:$D,L$340)</f>
        <v>0</v>
      </c>
      <c r="M373" s="14">
        <f>0.000001 * SUMIFS('Transmission Summary'!$K:$K,'Transmission Summary'!$A:$A,$D373,'Transmission Summary'!$D:$D,M$340)</f>
        <v>0</v>
      </c>
      <c r="N373" s="14">
        <f>0.000001 * SUMIFS('Transmission Summary'!$K:$K,'Transmission Summary'!$A:$A,$D373,'Transmission Summary'!$D:$D,N$340)</f>
        <v>0</v>
      </c>
      <c r="O373" s="14">
        <f>0.000001 * SUMIFS('Transmission Summary'!$K:$K,'Transmission Summary'!$A:$A,$D373,'Transmission Summary'!$D:$D,O$340)</f>
        <v>0</v>
      </c>
      <c r="P373" s="14">
        <f>0.000001 * SUMIFS('Transmission Summary'!$K:$K,'Transmission Summary'!$A:$A,$D373,'Transmission Summary'!$D:$D,P$340)</f>
        <v>0</v>
      </c>
      <c r="Q373" s="14">
        <f>0.000001 * SUMIFS('Transmission Summary'!$K:$K,'Transmission Summary'!$A:$A,$D373,'Transmission Summary'!$D:$D,Q$340)</f>
        <v>0</v>
      </c>
      <c r="R373" s="14">
        <f>0.000001 * SUMIFS('Transmission Summary'!$K:$K,'Transmission Summary'!$A:$A,$D373,'Transmission Summary'!$D:$D,R$340)</f>
        <v>0</v>
      </c>
      <c r="S373" s="14">
        <f>0.000001 * SUMIFS('Transmission Summary'!$K:$K,'Transmission Summary'!$A:$A,$D373,'Transmission Summary'!$D:$D,S$340)</f>
        <v>0</v>
      </c>
      <c r="T373" s="14">
        <f>0.000001 * SUMIFS('Transmission Summary'!$K:$K,'Transmission Summary'!$A:$A,$D373,'Transmission Summary'!$D:$D,T$340)</f>
        <v>0</v>
      </c>
      <c r="U373" s="14">
        <f>0.000001 * SUMIFS('Transmission Summary'!$K:$K,'Transmission Summary'!$A:$A,$D373,'Transmission Summary'!$D:$D,U$340)</f>
        <v>0</v>
      </c>
      <c r="V373" s="14">
        <f>0.000001 * SUMIFS('Transmission Summary'!$K:$K,'Transmission Summary'!$A:$A,$D373,'Transmission Summary'!$D:$D,V$340)</f>
        <v>0</v>
      </c>
      <c r="W373" s="14">
        <f>0.000001 * SUMIFS('Transmission Summary'!$K:$K,'Transmission Summary'!$A:$A,$D373,'Transmission Summary'!$D:$D,W$340)</f>
        <v>0</v>
      </c>
      <c r="X373" s="14">
        <f>0.000001 * SUMIFS('Transmission Summary'!$K:$K,'Transmission Summary'!$A:$A,$D373,'Transmission Summary'!$D:$D,X$340)</f>
        <v>0</v>
      </c>
      <c r="Y373" s="14">
        <f>0.000001 * SUMIFS('Transmission Summary'!$K:$K,'Transmission Summary'!$A:$A,$D373,'Transmission Summary'!$D:$D,Y$340)</f>
        <v>0</v>
      </c>
      <c r="Z373" s="14">
        <f>0.000001 * SUMIFS('Transmission Summary'!$K:$K,'Transmission Summary'!$A:$A,$D373,'Transmission Summary'!$D:$D,Z$340)</f>
        <v>0</v>
      </c>
      <c r="AA373" s="14">
        <f>0.000001 * SUMIFS('Transmission Summary'!$K:$K,'Transmission Summary'!$A:$A,$D373,'Transmission Summary'!$D:$D,AA$340)</f>
        <v>0</v>
      </c>
      <c r="AB373" s="14">
        <f>0.000001 * SUMIFS('Transmission Summary'!$K:$K,'Transmission Summary'!$A:$A,$D373,'Transmission Summary'!$D:$D,AB$340)</f>
        <v>0</v>
      </c>
      <c r="AC373" s="14">
        <f>0.000001 * SUMIFS('Transmission Summary'!$K:$K,'Transmission Summary'!$A:$A,$D373,'Transmission Summary'!$D:$D,AC$340)</f>
        <v>0</v>
      </c>
      <c r="AD373" s="14">
        <f>0.000001 * SUMIFS('Transmission Summary'!$K:$K,'Transmission Summary'!$A:$A,$D373,'Transmission Summary'!$D:$D,AD$340)</f>
        <v>288.43994727460222</v>
      </c>
      <c r="AF373" s="14">
        <f t="shared" si="409"/>
        <v>1114.5698914335198</v>
      </c>
      <c r="AH373" s="34" t="s">
        <v>422</v>
      </c>
    </row>
    <row r="374" spans="4:34" ht="12.6" outlineLevel="1" thickBot="1" x14ac:dyDescent="0.25">
      <c r="D374" s="9" t="s">
        <v>139</v>
      </c>
      <c r="E374" s="13">
        <f t="shared" ref="E374" si="410">SUM(E369:E373)</f>
        <v>0</v>
      </c>
      <c r="F374" s="13">
        <f t="shared" ref="F374" si="411">SUM(F369:F373)</f>
        <v>0</v>
      </c>
      <c r="G374" s="13">
        <f t="shared" ref="G374" si="412">SUM(G369:G373)</f>
        <v>0</v>
      </c>
      <c r="H374" s="13">
        <f t="shared" ref="H374" si="413">SUM(H369:H373)</f>
        <v>0</v>
      </c>
      <c r="I374" s="13">
        <f t="shared" ref="I374" si="414">SUM(I369:I373)</f>
        <v>0</v>
      </c>
      <c r="J374" s="13">
        <f t="shared" ref="J374" si="415">SUM(J369:J373)</f>
        <v>0</v>
      </c>
      <c r="K374" s="13">
        <f t="shared" ref="K374" si="416">SUM(K369:K373)</f>
        <v>0</v>
      </c>
      <c r="L374" s="13">
        <f t="shared" ref="L374" si="417">SUM(L369:L373)</f>
        <v>0</v>
      </c>
      <c r="M374" s="13">
        <f t="shared" ref="M374" si="418">SUM(M369:M373)</f>
        <v>0</v>
      </c>
      <c r="N374" s="13">
        <f t="shared" ref="N374" si="419">SUM(N369:N373)</f>
        <v>0</v>
      </c>
      <c r="O374" s="13">
        <f t="shared" ref="O374" si="420">SUM(O369:O373)</f>
        <v>0</v>
      </c>
      <c r="P374" s="13">
        <f t="shared" ref="P374" si="421">SUM(P369:P373)</f>
        <v>0</v>
      </c>
      <c r="Q374" s="13">
        <f t="shared" ref="Q374" si="422">SUM(Q369:Q373)</f>
        <v>0</v>
      </c>
      <c r="R374" s="13">
        <f t="shared" ref="R374" si="423">SUM(R369:R373)</f>
        <v>0</v>
      </c>
      <c r="S374" s="13">
        <f t="shared" ref="S374" si="424">SUM(S369:S373)</f>
        <v>0</v>
      </c>
      <c r="T374" s="13">
        <f t="shared" ref="T374" si="425">SUM(T369:T373)</f>
        <v>0</v>
      </c>
      <c r="U374" s="13">
        <f t="shared" ref="U374" si="426">SUM(U369:U373)</f>
        <v>0</v>
      </c>
      <c r="V374" s="13">
        <f t="shared" ref="V374" si="427">SUM(V369:V373)</f>
        <v>0</v>
      </c>
      <c r="W374" s="13">
        <f t="shared" ref="W374" si="428">SUM(W369:W373)</f>
        <v>0</v>
      </c>
      <c r="X374" s="13">
        <f t="shared" ref="X374" si="429">SUM(X369:X373)</f>
        <v>0</v>
      </c>
      <c r="Y374" s="13">
        <f t="shared" ref="Y374" si="430">SUM(Y369:Y373)</f>
        <v>0</v>
      </c>
      <c r="Z374" s="13">
        <f t="shared" ref="Z374" si="431">SUM(Z369:Z373)</f>
        <v>0</v>
      </c>
      <c r="AA374" s="13">
        <f t="shared" ref="AA374" si="432">SUM(AA369:AA373)</f>
        <v>0</v>
      </c>
      <c r="AB374" s="13">
        <f t="shared" ref="AB374" si="433">SUM(AB369:AB373)</f>
        <v>0</v>
      </c>
      <c r="AC374" s="13">
        <f t="shared" ref="AC374" si="434">SUM(AC369:AC373)</f>
        <v>0</v>
      </c>
      <c r="AD374" s="13">
        <f t="shared" ref="AD374" si="435">SUM(AD369:AD373)</f>
        <v>420.04911920715557</v>
      </c>
      <c r="AF374" s="13">
        <f t="shared" si="409"/>
        <v>1623.1250408104927</v>
      </c>
      <c r="AH374" s="34" t="s">
        <v>422</v>
      </c>
    </row>
    <row r="375" spans="4:34" ht="12" outlineLevel="1" thickTop="1" x14ac:dyDescent="0.2">
      <c r="AH375" s="34" t="s">
        <v>422</v>
      </c>
    </row>
    <row r="376" spans="4:34" ht="13.2" outlineLevel="1" x14ac:dyDescent="0.2">
      <c r="E376" s="2" t="s">
        <v>246</v>
      </c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F376" s="2"/>
      <c r="AH376" s="34" t="s">
        <v>422</v>
      </c>
    </row>
    <row r="377" spans="4:34" outlineLevel="1" x14ac:dyDescent="0.2">
      <c r="E377" s="7">
        <v>43831</v>
      </c>
      <c r="F377" s="7">
        <f>EDATE(E377,12)</f>
        <v>44197</v>
      </c>
      <c r="G377" s="7">
        <f t="shared" ref="G377" si="436">EDATE(F377,12)</f>
        <v>44562</v>
      </c>
      <c r="H377" s="7">
        <f t="shared" ref="H377" si="437">EDATE(G377,12)</f>
        <v>44927</v>
      </c>
      <c r="I377" s="7">
        <f t="shared" ref="I377" si="438">EDATE(H377,12)</f>
        <v>45292</v>
      </c>
      <c r="J377" s="7">
        <f t="shared" ref="J377" si="439">EDATE(I377,12)</f>
        <v>45658</v>
      </c>
      <c r="K377" s="7">
        <f t="shared" ref="K377" si="440">EDATE(J377,12)</f>
        <v>46023</v>
      </c>
      <c r="L377" s="7">
        <f t="shared" ref="L377" si="441">EDATE(K377,12)</f>
        <v>46388</v>
      </c>
      <c r="M377" s="7">
        <f t="shared" ref="M377" si="442">EDATE(L377,12)</f>
        <v>46753</v>
      </c>
      <c r="N377" s="7">
        <f t="shared" ref="N377" si="443">EDATE(M377,12)</f>
        <v>47119</v>
      </c>
      <c r="O377" s="7">
        <f t="shared" ref="O377" si="444">EDATE(N377,12)</f>
        <v>47484</v>
      </c>
      <c r="P377" s="7">
        <f t="shared" ref="P377" si="445">EDATE(O377,12)</f>
        <v>47849</v>
      </c>
      <c r="Q377" s="7">
        <f t="shared" ref="Q377" si="446">EDATE(P377,12)</f>
        <v>48214</v>
      </c>
      <c r="R377" s="7">
        <f t="shared" ref="R377" si="447">EDATE(Q377,12)</f>
        <v>48580</v>
      </c>
      <c r="S377" s="7">
        <f t="shared" ref="S377" si="448">EDATE(R377,12)</f>
        <v>48945</v>
      </c>
      <c r="T377" s="7">
        <f t="shared" ref="T377" si="449">EDATE(S377,12)</f>
        <v>49310</v>
      </c>
      <c r="U377" s="7">
        <f t="shared" ref="U377" si="450">EDATE(T377,12)</f>
        <v>49675</v>
      </c>
      <c r="V377" s="7">
        <f t="shared" ref="V377" si="451">EDATE(U377,12)</f>
        <v>50041</v>
      </c>
      <c r="W377" s="7">
        <f t="shared" ref="W377" si="452">EDATE(V377,12)</f>
        <v>50406</v>
      </c>
      <c r="X377" s="7">
        <f t="shared" ref="X377" si="453">EDATE(W377,12)</f>
        <v>50771</v>
      </c>
      <c r="Y377" s="7">
        <f t="shared" ref="Y377" si="454">EDATE(X377,12)</f>
        <v>51136</v>
      </c>
      <c r="Z377" s="7">
        <f t="shared" ref="Z377" si="455">EDATE(Y377,12)</f>
        <v>51502</v>
      </c>
      <c r="AA377" s="7">
        <f t="shared" ref="AA377" si="456">EDATE(Z377,12)</f>
        <v>51867</v>
      </c>
      <c r="AB377" s="7">
        <f t="shared" ref="AB377" si="457">EDATE(AA377,12)</f>
        <v>52232</v>
      </c>
      <c r="AC377" s="7">
        <f t="shared" ref="AC377" si="458">EDATE(AB377,12)</f>
        <v>52597</v>
      </c>
      <c r="AD377" s="7">
        <f>EDATE(AC377,12)</f>
        <v>52963</v>
      </c>
      <c r="AF377" s="7" t="s">
        <v>616</v>
      </c>
      <c r="AH377" s="34" t="s">
        <v>422</v>
      </c>
    </row>
    <row r="378" spans="4:34" outlineLevel="1" x14ac:dyDescent="0.2">
      <c r="D378" s="8" t="s">
        <v>251</v>
      </c>
      <c r="E378" s="14">
        <f t="shared" ref="E378:AD378" si="459">E341*$D$338*E$270</f>
        <v>0</v>
      </c>
      <c r="F378" s="14">
        <f t="shared" si="459"/>
        <v>0</v>
      </c>
      <c r="G378" s="14">
        <f t="shared" si="459"/>
        <v>0</v>
      </c>
      <c r="H378" s="14">
        <f t="shared" si="459"/>
        <v>0</v>
      </c>
      <c r="I378" s="14">
        <f t="shared" si="459"/>
        <v>0</v>
      </c>
      <c r="J378" s="14">
        <f t="shared" si="459"/>
        <v>0</v>
      </c>
      <c r="K378" s="14">
        <f t="shared" si="459"/>
        <v>0</v>
      </c>
      <c r="L378" s="14">
        <f t="shared" si="459"/>
        <v>0</v>
      </c>
      <c r="M378" s="14">
        <f t="shared" si="459"/>
        <v>0</v>
      </c>
      <c r="N378" s="14">
        <f t="shared" si="459"/>
        <v>0</v>
      </c>
      <c r="O378" s="14">
        <f t="shared" si="459"/>
        <v>0</v>
      </c>
      <c r="P378" s="14">
        <f t="shared" si="459"/>
        <v>0</v>
      </c>
      <c r="Q378" s="14">
        <f t="shared" si="459"/>
        <v>0</v>
      </c>
      <c r="R378" s="14">
        <f t="shared" si="459"/>
        <v>0</v>
      </c>
      <c r="S378" s="14">
        <f t="shared" si="459"/>
        <v>0</v>
      </c>
      <c r="T378" s="14">
        <f t="shared" si="459"/>
        <v>0</v>
      </c>
      <c r="U378" s="14">
        <f t="shared" si="459"/>
        <v>0</v>
      </c>
      <c r="V378" s="14">
        <f t="shared" si="459"/>
        <v>0</v>
      </c>
      <c r="W378" s="14">
        <f t="shared" si="459"/>
        <v>0</v>
      </c>
      <c r="X378" s="14">
        <f t="shared" si="459"/>
        <v>0</v>
      </c>
      <c r="Y378" s="14">
        <f t="shared" si="459"/>
        <v>0</v>
      </c>
      <c r="Z378" s="14">
        <f t="shared" si="459"/>
        <v>0</v>
      </c>
      <c r="AA378" s="14">
        <f t="shared" si="459"/>
        <v>0</v>
      </c>
      <c r="AB378" s="14">
        <f t="shared" si="459"/>
        <v>0</v>
      </c>
      <c r="AC378" s="14">
        <f t="shared" si="459"/>
        <v>0</v>
      </c>
      <c r="AD378" s="14">
        <f t="shared" si="459"/>
        <v>19.583835521495779</v>
      </c>
      <c r="AF378" s="14">
        <f t="shared" ref="AF378" si="460">SUMPRODUCT($E$400:$AD$400,$E378:$AD378)</f>
        <v>75.674516090051398</v>
      </c>
      <c r="AH378" s="34" t="s">
        <v>422</v>
      </c>
    </row>
    <row r="379" spans="4:34" outlineLevel="1" x14ac:dyDescent="0.2">
      <c r="D379" s="8" t="s">
        <v>252</v>
      </c>
      <c r="E379" s="14">
        <f t="shared" ref="E379:AD379" si="461">E342*$D$338*E$270</f>
        <v>0</v>
      </c>
      <c r="F379" s="14">
        <f t="shared" si="461"/>
        <v>0</v>
      </c>
      <c r="G379" s="14">
        <f t="shared" si="461"/>
        <v>0</v>
      </c>
      <c r="H379" s="14">
        <f t="shared" si="461"/>
        <v>0</v>
      </c>
      <c r="I379" s="14">
        <f t="shared" si="461"/>
        <v>0</v>
      </c>
      <c r="J379" s="14">
        <f t="shared" si="461"/>
        <v>0</v>
      </c>
      <c r="K379" s="14">
        <f t="shared" si="461"/>
        <v>0</v>
      </c>
      <c r="L379" s="14">
        <f t="shared" si="461"/>
        <v>0</v>
      </c>
      <c r="M379" s="14">
        <f t="shared" si="461"/>
        <v>0</v>
      </c>
      <c r="N379" s="14">
        <f t="shared" si="461"/>
        <v>0</v>
      </c>
      <c r="O379" s="14">
        <f t="shared" si="461"/>
        <v>0</v>
      </c>
      <c r="P379" s="14">
        <f t="shared" si="461"/>
        <v>0</v>
      </c>
      <c r="Q379" s="14">
        <f t="shared" si="461"/>
        <v>0</v>
      </c>
      <c r="R379" s="14">
        <f t="shared" si="461"/>
        <v>0</v>
      </c>
      <c r="S379" s="14">
        <f t="shared" si="461"/>
        <v>0</v>
      </c>
      <c r="T379" s="14">
        <f t="shared" si="461"/>
        <v>0</v>
      </c>
      <c r="U379" s="14">
        <f t="shared" si="461"/>
        <v>0</v>
      </c>
      <c r="V379" s="14">
        <f t="shared" si="461"/>
        <v>0</v>
      </c>
      <c r="W379" s="14">
        <f t="shared" si="461"/>
        <v>0</v>
      </c>
      <c r="X379" s="14">
        <f t="shared" si="461"/>
        <v>0</v>
      </c>
      <c r="Y379" s="14">
        <f t="shared" si="461"/>
        <v>0</v>
      </c>
      <c r="Z379" s="14">
        <f t="shared" si="461"/>
        <v>0</v>
      </c>
      <c r="AA379" s="14">
        <f t="shared" si="461"/>
        <v>0</v>
      </c>
      <c r="AB379" s="14">
        <f t="shared" si="461"/>
        <v>0</v>
      </c>
      <c r="AC379" s="14">
        <f t="shared" si="461"/>
        <v>0</v>
      </c>
      <c r="AD379" s="14">
        <f t="shared" si="461"/>
        <v>12.754882905442049</v>
      </c>
      <c r="AF379" s="14">
        <f t="shared" ref="AF379:AF383" si="462">SUMPRODUCT($E$400:$AD$400,$E379:$AD379)</f>
        <v>49.286545048601084</v>
      </c>
      <c r="AH379" s="34" t="s">
        <v>422</v>
      </c>
    </row>
    <row r="380" spans="4:34" outlineLevel="1" x14ac:dyDescent="0.2">
      <c r="D380" s="8" t="s">
        <v>253</v>
      </c>
      <c r="E380" s="14">
        <f t="shared" ref="E380:AD380" si="463">E343*$D$338*E$270</f>
        <v>0</v>
      </c>
      <c r="F380" s="14">
        <f t="shared" si="463"/>
        <v>0</v>
      </c>
      <c r="G380" s="14">
        <f t="shared" si="463"/>
        <v>0</v>
      </c>
      <c r="H380" s="14">
        <f t="shared" si="463"/>
        <v>0</v>
      </c>
      <c r="I380" s="14">
        <f t="shared" si="463"/>
        <v>0</v>
      </c>
      <c r="J380" s="14">
        <f t="shared" si="463"/>
        <v>0</v>
      </c>
      <c r="K380" s="14">
        <f t="shared" si="463"/>
        <v>0</v>
      </c>
      <c r="L380" s="14">
        <f t="shared" si="463"/>
        <v>0</v>
      </c>
      <c r="M380" s="14">
        <f t="shared" si="463"/>
        <v>0</v>
      </c>
      <c r="N380" s="14">
        <f t="shared" si="463"/>
        <v>0</v>
      </c>
      <c r="O380" s="14">
        <f t="shared" si="463"/>
        <v>0</v>
      </c>
      <c r="P380" s="14">
        <f t="shared" si="463"/>
        <v>0</v>
      </c>
      <c r="Q380" s="14">
        <f t="shared" si="463"/>
        <v>0</v>
      </c>
      <c r="R380" s="14">
        <f t="shared" si="463"/>
        <v>0</v>
      </c>
      <c r="S380" s="14">
        <f t="shared" si="463"/>
        <v>0</v>
      </c>
      <c r="T380" s="14">
        <f t="shared" si="463"/>
        <v>0</v>
      </c>
      <c r="U380" s="14">
        <f t="shared" si="463"/>
        <v>0</v>
      </c>
      <c r="V380" s="14">
        <f t="shared" si="463"/>
        <v>0</v>
      </c>
      <c r="W380" s="14">
        <f t="shared" si="463"/>
        <v>0</v>
      </c>
      <c r="X380" s="14">
        <f t="shared" si="463"/>
        <v>0</v>
      </c>
      <c r="Y380" s="14">
        <f t="shared" si="463"/>
        <v>0</v>
      </c>
      <c r="Z380" s="14">
        <f t="shared" si="463"/>
        <v>0</v>
      </c>
      <c r="AA380" s="14">
        <f t="shared" si="463"/>
        <v>0</v>
      </c>
      <c r="AB380" s="14">
        <f t="shared" si="463"/>
        <v>0</v>
      </c>
      <c r="AC380" s="14">
        <f t="shared" si="463"/>
        <v>0</v>
      </c>
      <c r="AD380" s="14">
        <f t="shared" si="463"/>
        <v>11.497154241110916</v>
      </c>
      <c r="AF380" s="14">
        <f t="shared" si="462"/>
        <v>44.426516075146161</v>
      </c>
      <c r="AH380" s="34" t="s">
        <v>422</v>
      </c>
    </row>
    <row r="381" spans="4:34" outlineLevel="1" x14ac:dyDescent="0.2">
      <c r="D381" s="8" t="s">
        <v>255</v>
      </c>
      <c r="E381" s="14">
        <f t="shared" ref="E381:AD381" si="464">E344*$D$338*E$270</f>
        <v>0</v>
      </c>
      <c r="F381" s="14">
        <f t="shared" si="464"/>
        <v>0</v>
      </c>
      <c r="G381" s="14">
        <f t="shared" si="464"/>
        <v>0</v>
      </c>
      <c r="H381" s="14">
        <f t="shared" si="464"/>
        <v>0</v>
      </c>
      <c r="I381" s="14">
        <f t="shared" si="464"/>
        <v>0</v>
      </c>
      <c r="J381" s="14">
        <f t="shared" si="464"/>
        <v>0</v>
      </c>
      <c r="K381" s="14">
        <f t="shared" si="464"/>
        <v>0</v>
      </c>
      <c r="L381" s="14">
        <f t="shared" si="464"/>
        <v>0</v>
      </c>
      <c r="M381" s="14">
        <f t="shared" si="464"/>
        <v>0</v>
      </c>
      <c r="N381" s="14">
        <f t="shared" si="464"/>
        <v>0</v>
      </c>
      <c r="O381" s="14">
        <f t="shared" si="464"/>
        <v>0</v>
      </c>
      <c r="P381" s="14">
        <f t="shared" si="464"/>
        <v>0</v>
      </c>
      <c r="Q381" s="14">
        <f t="shared" si="464"/>
        <v>0</v>
      </c>
      <c r="R381" s="14">
        <f t="shared" si="464"/>
        <v>0</v>
      </c>
      <c r="S381" s="14">
        <f t="shared" si="464"/>
        <v>0</v>
      </c>
      <c r="T381" s="14">
        <f t="shared" si="464"/>
        <v>0</v>
      </c>
      <c r="U381" s="14">
        <f t="shared" si="464"/>
        <v>0</v>
      </c>
      <c r="V381" s="14">
        <f t="shared" si="464"/>
        <v>0</v>
      </c>
      <c r="W381" s="14">
        <f t="shared" si="464"/>
        <v>0</v>
      </c>
      <c r="X381" s="14">
        <f t="shared" si="464"/>
        <v>0</v>
      </c>
      <c r="Y381" s="14">
        <f t="shared" si="464"/>
        <v>0</v>
      </c>
      <c r="Z381" s="14">
        <f t="shared" si="464"/>
        <v>0</v>
      </c>
      <c r="AA381" s="14">
        <f t="shared" si="464"/>
        <v>0</v>
      </c>
      <c r="AB381" s="14">
        <f t="shared" si="464"/>
        <v>0</v>
      </c>
      <c r="AC381" s="14">
        <f t="shared" si="464"/>
        <v>0</v>
      </c>
      <c r="AD381" s="14">
        <f t="shared" si="464"/>
        <v>32.413986551201369</v>
      </c>
      <c r="AF381" s="14">
        <f t="shared" si="462"/>
        <v>125.25190706995114</v>
      </c>
      <c r="AH381" s="34" t="s">
        <v>422</v>
      </c>
    </row>
    <row r="382" spans="4:34" outlineLevel="1" x14ac:dyDescent="0.2">
      <c r="D382" s="8" t="s">
        <v>256</v>
      </c>
      <c r="E382" s="14">
        <f t="shared" ref="E382:AD382" si="465">E345*$D$338*E$270</f>
        <v>0</v>
      </c>
      <c r="F382" s="14">
        <f t="shared" si="465"/>
        <v>0</v>
      </c>
      <c r="G382" s="14">
        <f t="shared" si="465"/>
        <v>0</v>
      </c>
      <c r="H382" s="14">
        <f t="shared" si="465"/>
        <v>0</v>
      </c>
      <c r="I382" s="14">
        <f t="shared" si="465"/>
        <v>0</v>
      </c>
      <c r="J382" s="14">
        <f t="shared" si="465"/>
        <v>0</v>
      </c>
      <c r="K382" s="14">
        <f t="shared" si="465"/>
        <v>0</v>
      </c>
      <c r="L382" s="14">
        <f t="shared" si="465"/>
        <v>0</v>
      </c>
      <c r="M382" s="14">
        <f t="shared" si="465"/>
        <v>0</v>
      </c>
      <c r="N382" s="14">
        <f t="shared" si="465"/>
        <v>0</v>
      </c>
      <c r="O382" s="14">
        <f t="shared" si="465"/>
        <v>0</v>
      </c>
      <c r="P382" s="14">
        <f t="shared" si="465"/>
        <v>0</v>
      </c>
      <c r="Q382" s="14">
        <f t="shared" si="465"/>
        <v>0</v>
      </c>
      <c r="R382" s="14">
        <f t="shared" si="465"/>
        <v>0</v>
      </c>
      <c r="S382" s="14">
        <f t="shared" si="465"/>
        <v>0</v>
      </c>
      <c r="T382" s="14">
        <f t="shared" si="465"/>
        <v>0</v>
      </c>
      <c r="U382" s="14">
        <f t="shared" si="465"/>
        <v>0</v>
      </c>
      <c r="V382" s="14">
        <f t="shared" si="465"/>
        <v>0</v>
      </c>
      <c r="W382" s="14">
        <f t="shared" si="465"/>
        <v>0</v>
      </c>
      <c r="X382" s="14">
        <f t="shared" si="465"/>
        <v>0</v>
      </c>
      <c r="Y382" s="14">
        <f t="shared" si="465"/>
        <v>0</v>
      </c>
      <c r="Z382" s="14">
        <f t="shared" si="465"/>
        <v>0</v>
      </c>
      <c r="AA382" s="14">
        <f t="shared" si="465"/>
        <v>0</v>
      </c>
      <c r="AB382" s="14">
        <f t="shared" si="465"/>
        <v>0</v>
      </c>
      <c r="AC382" s="14">
        <f t="shared" si="465"/>
        <v>0</v>
      </c>
      <c r="AD382" s="14">
        <f t="shared" si="465"/>
        <v>315.36176000369841</v>
      </c>
      <c r="AF382" s="14">
        <f t="shared" si="462"/>
        <v>1218.599316532865</v>
      </c>
      <c r="AH382" s="34" t="s">
        <v>422</v>
      </c>
    </row>
    <row r="383" spans="4:34" ht="12.6" outlineLevel="1" thickBot="1" x14ac:dyDescent="0.25">
      <c r="D383" s="9" t="s">
        <v>139</v>
      </c>
      <c r="E383" s="13">
        <f t="shared" ref="E383" si="466">SUM(E378:E382)</f>
        <v>0</v>
      </c>
      <c r="F383" s="13">
        <f t="shared" ref="F383" si="467">SUM(F378:F382)</f>
        <v>0</v>
      </c>
      <c r="G383" s="13">
        <f t="shared" ref="G383" si="468">SUM(G378:G382)</f>
        <v>0</v>
      </c>
      <c r="H383" s="13">
        <f t="shared" ref="H383" si="469">SUM(H378:H382)</f>
        <v>0</v>
      </c>
      <c r="I383" s="13">
        <f t="shared" ref="I383" si="470">SUM(I378:I382)</f>
        <v>0</v>
      </c>
      <c r="J383" s="13">
        <f t="shared" ref="J383" si="471">SUM(J378:J382)</f>
        <v>0</v>
      </c>
      <c r="K383" s="13">
        <f t="shared" ref="K383" si="472">SUM(K378:K382)</f>
        <v>0</v>
      </c>
      <c r="L383" s="13">
        <f t="shared" ref="L383" si="473">SUM(L378:L382)</f>
        <v>0</v>
      </c>
      <c r="M383" s="13">
        <f t="shared" ref="M383" si="474">SUM(M378:M382)</f>
        <v>0</v>
      </c>
      <c r="N383" s="13">
        <f t="shared" ref="N383" si="475">SUM(N378:N382)</f>
        <v>0</v>
      </c>
      <c r="O383" s="13">
        <f t="shared" ref="O383" si="476">SUM(O378:O382)</f>
        <v>0</v>
      </c>
      <c r="P383" s="13">
        <f t="shared" ref="P383" si="477">SUM(P378:P382)</f>
        <v>0</v>
      </c>
      <c r="Q383" s="13">
        <f t="shared" ref="Q383" si="478">SUM(Q378:Q382)</f>
        <v>0</v>
      </c>
      <c r="R383" s="13">
        <f t="shared" ref="R383" si="479">SUM(R378:R382)</f>
        <v>0</v>
      </c>
      <c r="S383" s="13">
        <f t="shared" ref="S383" si="480">SUM(S378:S382)</f>
        <v>0</v>
      </c>
      <c r="T383" s="13">
        <f t="shared" ref="T383" si="481">SUM(T378:T382)</f>
        <v>0</v>
      </c>
      <c r="U383" s="13">
        <f t="shared" ref="U383" si="482">SUM(U378:U382)</f>
        <v>0</v>
      </c>
      <c r="V383" s="13">
        <f t="shared" ref="V383" si="483">SUM(V378:V382)</f>
        <v>0</v>
      </c>
      <c r="W383" s="13">
        <f t="shared" ref="W383" si="484">SUM(W378:W382)</f>
        <v>0</v>
      </c>
      <c r="X383" s="13">
        <f t="shared" ref="X383" si="485">SUM(X378:X382)</f>
        <v>0</v>
      </c>
      <c r="Y383" s="13">
        <f t="shared" ref="Y383" si="486">SUM(Y378:Y382)</f>
        <v>0</v>
      </c>
      <c r="Z383" s="13">
        <f t="shared" ref="Z383" si="487">SUM(Z378:Z382)</f>
        <v>0</v>
      </c>
      <c r="AA383" s="13">
        <f t="shared" ref="AA383" si="488">SUM(AA378:AA382)</f>
        <v>0</v>
      </c>
      <c r="AB383" s="13">
        <f t="shared" ref="AB383" si="489">SUM(AB378:AB382)</f>
        <v>0</v>
      </c>
      <c r="AC383" s="13">
        <f t="shared" ref="AC383" si="490">SUM(AC378:AC382)</f>
        <v>0</v>
      </c>
      <c r="AD383" s="13">
        <f t="shared" ref="AD383" si="491">SUM(AD378:AD382)</f>
        <v>391.61161922294855</v>
      </c>
      <c r="AF383" s="13">
        <f t="shared" si="462"/>
        <v>1513.2388008166149</v>
      </c>
      <c r="AH383" s="34" t="s">
        <v>422</v>
      </c>
    </row>
    <row r="384" spans="4:34" ht="12" thickTop="1" x14ac:dyDescent="0.2">
      <c r="AH384" s="34"/>
    </row>
    <row r="385" spans="2:34" x14ac:dyDescent="0.2">
      <c r="AH385" s="34"/>
    </row>
    <row r="386" spans="2:34" ht="18" thickBot="1" x14ac:dyDescent="0.25">
      <c r="B386" s="6" t="s">
        <v>619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H386" s="34"/>
    </row>
    <row r="387" spans="2:34" x14ac:dyDescent="0.2">
      <c r="AH387" s="34"/>
    </row>
    <row r="388" spans="2:34" x14ac:dyDescent="0.2">
      <c r="AH388" s="34"/>
    </row>
    <row r="389" spans="2:34" ht="13.2" x14ac:dyDescent="0.2">
      <c r="E389" s="2" t="s">
        <v>617</v>
      </c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F389" s="2"/>
      <c r="AH389" s="34"/>
    </row>
    <row r="390" spans="2:34" x14ac:dyDescent="0.2">
      <c r="E390" s="7">
        <v>43831</v>
      </c>
      <c r="F390" s="7">
        <f>EDATE(E390,12)</f>
        <v>44197</v>
      </c>
      <c r="G390" s="7">
        <f t="shared" ref="G390" si="492">EDATE(F390,12)</f>
        <v>44562</v>
      </c>
      <c r="H390" s="7">
        <f t="shared" ref="H390" si="493">EDATE(G390,12)</f>
        <v>44927</v>
      </c>
      <c r="I390" s="7">
        <f t="shared" ref="I390" si="494">EDATE(H390,12)</f>
        <v>45292</v>
      </c>
      <c r="J390" s="7">
        <f t="shared" ref="J390" si="495">EDATE(I390,12)</f>
        <v>45658</v>
      </c>
      <c r="K390" s="7">
        <f t="shared" ref="K390" si="496">EDATE(J390,12)</f>
        <v>46023</v>
      </c>
      <c r="L390" s="7">
        <f t="shared" ref="L390" si="497">EDATE(K390,12)</f>
        <v>46388</v>
      </c>
      <c r="M390" s="7">
        <f t="shared" ref="M390" si="498">EDATE(L390,12)</f>
        <v>46753</v>
      </c>
      <c r="N390" s="7">
        <f t="shared" ref="N390" si="499">EDATE(M390,12)</f>
        <v>47119</v>
      </c>
      <c r="O390" s="7">
        <f t="shared" ref="O390" si="500">EDATE(N390,12)</f>
        <v>47484</v>
      </c>
      <c r="P390" s="7">
        <f t="shared" ref="P390" si="501">EDATE(O390,12)</f>
        <v>47849</v>
      </c>
      <c r="Q390" s="7">
        <f t="shared" ref="Q390" si="502">EDATE(P390,12)</f>
        <v>48214</v>
      </c>
      <c r="R390" s="7">
        <f t="shared" ref="R390" si="503">EDATE(Q390,12)</f>
        <v>48580</v>
      </c>
      <c r="S390" s="7">
        <f t="shared" ref="S390" si="504">EDATE(R390,12)</f>
        <v>48945</v>
      </c>
      <c r="T390" s="7">
        <f t="shared" ref="T390" si="505">EDATE(S390,12)</f>
        <v>49310</v>
      </c>
      <c r="U390" s="7">
        <f t="shared" ref="U390" si="506">EDATE(T390,12)</f>
        <v>49675</v>
      </c>
      <c r="V390" s="7">
        <f t="shared" ref="V390" si="507">EDATE(U390,12)</f>
        <v>50041</v>
      </c>
      <c r="W390" s="7">
        <f t="shared" ref="W390" si="508">EDATE(V390,12)</f>
        <v>50406</v>
      </c>
      <c r="X390" s="7">
        <f t="shared" ref="X390" si="509">EDATE(W390,12)</f>
        <v>50771</v>
      </c>
      <c r="Y390" s="7">
        <f t="shared" ref="Y390" si="510">EDATE(X390,12)</f>
        <v>51136</v>
      </c>
      <c r="Z390" s="7">
        <f t="shared" ref="Z390" si="511">EDATE(Y390,12)</f>
        <v>51502</v>
      </c>
      <c r="AA390" s="7">
        <f t="shared" ref="AA390" si="512">EDATE(Z390,12)</f>
        <v>51867</v>
      </c>
      <c r="AB390" s="7">
        <f t="shared" ref="AB390" si="513">EDATE(AA390,12)</f>
        <v>52232</v>
      </c>
      <c r="AC390" s="7">
        <f t="shared" ref="AC390" si="514">EDATE(AB390,12)</f>
        <v>52597</v>
      </c>
      <c r="AD390" s="7">
        <f>EDATE(AC390,12)</f>
        <v>52963</v>
      </c>
      <c r="AF390" s="7" t="s">
        <v>616</v>
      </c>
      <c r="AH390" s="34"/>
    </row>
    <row r="391" spans="2:34" x14ac:dyDescent="0.2">
      <c r="C391" s="8" t="s">
        <v>448</v>
      </c>
      <c r="D391" s="8" t="s">
        <v>449</v>
      </c>
      <c r="E391" s="10">
        <f>0.000001 * SUMIFS('Asset Summary'!$G:$G,'Asset Summary'!$B:$B,E$390)</f>
        <v>0</v>
      </c>
      <c r="F391" s="10">
        <f>0.000001 * SUMIFS('Asset Summary'!$G:$G,'Asset Summary'!$B:$B,F$390)</f>
        <v>0</v>
      </c>
      <c r="G391" s="10">
        <f>0.000001 * SUMIFS('Asset Summary'!$G:$G,'Asset Summary'!$B:$B,G$390)</f>
        <v>0</v>
      </c>
      <c r="H391" s="10">
        <f>0.000001 * SUMIFS('Asset Summary'!$G:$G,'Asset Summary'!$B:$B,H$390)</f>
        <v>0</v>
      </c>
      <c r="I391" s="10">
        <f>0.000001 * SUMIFS('Asset Summary'!$G:$G,'Asset Summary'!$B:$B,I$390)</f>
        <v>0</v>
      </c>
      <c r="J391" s="10">
        <f>0.000001 * SUMIFS('Asset Summary'!$G:$G,'Asset Summary'!$B:$B,J$390)</f>
        <v>0</v>
      </c>
      <c r="K391" s="10">
        <f>0.000001 * SUMIFS('Asset Summary'!$G:$G,'Asset Summary'!$B:$B,K$390)</f>
        <v>0</v>
      </c>
      <c r="L391" s="10">
        <f>0.000001 * SUMIFS('Asset Summary'!$G:$G,'Asset Summary'!$B:$B,L$390)</f>
        <v>0</v>
      </c>
      <c r="M391" s="10">
        <f>0.000001 * SUMIFS('Asset Summary'!$G:$G,'Asset Summary'!$B:$B,M$390)</f>
        <v>0</v>
      </c>
      <c r="N391" s="10">
        <f>0.000001 * SUMIFS('Asset Summary'!$G:$G,'Asset Summary'!$B:$B,N$390)</f>
        <v>0</v>
      </c>
      <c r="O391" s="10">
        <f>0.000001 * SUMIFS('Asset Summary'!$G:$G,'Asset Summary'!$B:$B,O$390)</f>
        <v>0</v>
      </c>
      <c r="P391" s="10">
        <f>0.000001 * SUMIFS('Asset Summary'!$G:$G,'Asset Summary'!$B:$B,P$390)</f>
        <v>0</v>
      </c>
      <c r="Q391" s="10">
        <f>0.000001 * SUMIFS('Asset Summary'!$G:$G,'Asset Summary'!$B:$B,Q$390)</f>
        <v>0</v>
      </c>
      <c r="R391" s="10">
        <f>0.000001 * SUMIFS('Asset Summary'!$G:$G,'Asset Summary'!$B:$B,R$390)</f>
        <v>0</v>
      </c>
      <c r="S391" s="10">
        <f>0.000001 * SUMIFS('Asset Summary'!$G:$G,'Asset Summary'!$B:$B,S$390)</f>
        <v>0</v>
      </c>
      <c r="T391" s="10">
        <f>0.000001 * SUMIFS('Asset Summary'!$G:$G,'Asset Summary'!$B:$B,T$390)</f>
        <v>0</v>
      </c>
      <c r="U391" s="10">
        <f>0.000001 * SUMIFS('Asset Summary'!$G:$G,'Asset Summary'!$B:$B,U$390)</f>
        <v>0</v>
      </c>
      <c r="V391" s="10">
        <f>0.000001 * SUMIFS('Asset Summary'!$G:$G,'Asset Summary'!$B:$B,V$390)</f>
        <v>0</v>
      </c>
      <c r="W391" s="10">
        <f>0.000001 * SUMIFS('Asset Summary'!$G:$G,'Asset Summary'!$B:$B,W$390)</f>
        <v>0</v>
      </c>
      <c r="X391" s="10">
        <f>0.000001 * SUMIFS('Asset Summary'!$G:$G,'Asset Summary'!$B:$B,X$390)</f>
        <v>0</v>
      </c>
      <c r="Y391" s="10">
        <f>0.000001 * SUMIFS('Asset Summary'!$G:$G,'Asset Summary'!$B:$B,Y$390)</f>
        <v>0</v>
      </c>
      <c r="Z391" s="10">
        <f>0.000001 * SUMIFS('Asset Summary'!$G:$G,'Asset Summary'!$B:$B,Z$390)</f>
        <v>0</v>
      </c>
      <c r="AA391" s="10">
        <f>0.000001 * SUMIFS('Asset Summary'!$G:$G,'Asset Summary'!$B:$B,AA$390)</f>
        <v>0</v>
      </c>
      <c r="AB391" s="10">
        <f>0.000001 * SUMIFS('Asset Summary'!$G:$G,'Asset Summary'!$B:$B,AB$390)</f>
        <v>0</v>
      </c>
      <c r="AC391" s="10">
        <f>0.000001 * SUMIFS('Asset Summary'!$G:$G,'Asset Summary'!$B:$B,AC$390)</f>
        <v>0</v>
      </c>
      <c r="AD391" s="10">
        <f>0.000001 * SUMIFS('Asset Summary'!$G:$G,'Asset Summary'!$B:$B,AD$390)</f>
        <v>30.997630233999999</v>
      </c>
      <c r="AF391" s="10">
        <f t="shared" ref="AF391:AF396" si="515">SUMPRODUCT($E$400:$AD$400,$E391:$AD391)</f>
        <v>119.77891998334827</v>
      </c>
      <c r="AH391" s="34"/>
    </row>
    <row r="392" spans="2:34" x14ac:dyDescent="0.2">
      <c r="C392" s="8" t="s">
        <v>450</v>
      </c>
      <c r="D392" s="8" t="s">
        <v>449</v>
      </c>
      <c r="E392" s="10">
        <f>0.000001 * SUMIFS('Resource Summary'!$S:$S,'Resource Summary'!$C:$C,E$390)</f>
        <v>0</v>
      </c>
      <c r="F392" s="10">
        <f>0.000001 * SUMIFS('Resource Summary'!$S:$S,'Resource Summary'!$C:$C,F$390)</f>
        <v>0</v>
      </c>
      <c r="G392" s="10">
        <f>0.000001 * SUMIFS('Resource Summary'!$S:$S,'Resource Summary'!$C:$C,G$390)</f>
        <v>0</v>
      </c>
      <c r="H392" s="10">
        <f>0.000001 * SUMIFS('Resource Summary'!$S:$S,'Resource Summary'!$C:$C,H$390)</f>
        <v>0</v>
      </c>
      <c r="I392" s="10">
        <f>0.000001 * SUMIFS('Resource Summary'!$S:$S,'Resource Summary'!$C:$C,I$390)</f>
        <v>0</v>
      </c>
      <c r="J392" s="10">
        <f>0.000001 * SUMIFS('Resource Summary'!$S:$S,'Resource Summary'!$C:$C,J$390)</f>
        <v>0</v>
      </c>
      <c r="K392" s="10">
        <f>0.000001 * SUMIFS('Resource Summary'!$S:$S,'Resource Summary'!$C:$C,K$390)</f>
        <v>0</v>
      </c>
      <c r="L392" s="10">
        <f>0.000001 * SUMIFS('Resource Summary'!$S:$S,'Resource Summary'!$C:$C,L$390)</f>
        <v>0</v>
      </c>
      <c r="M392" s="10">
        <f>0.000001 * SUMIFS('Resource Summary'!$S:$S,'Resource Summary'!$C:$C,M$390)</f>
        <v>0</v>
      </c>
      <c r="N392" s="10">
        <f>0.000001 * SUMIFS('Resource Summary'!$S:$S,'Resource Summary'!$C:$C,N$390)</f>
        <v>0</v>
      </c>
      <c r="O392" s="10">
        <f>0.000001 * SUMIFS('Resource Summary'!$S:$S,'Resource Summary'!$C:$C,O$390)</f>
        <v>0</v>
      </c>
      <c r="P392" s="10">
        <f>0.000001 * SUMIFS('Resource Summary'!$S:$S,'Resource Summary'!$C:$C,P$390)</f>
        <v>0</v>
      </c>
      <c r="Q392" s="10">
        <f>0.000001 * SUMIFS('Resource Summary'!$S:$S,'Resource Summary'!$C:$C,Q$390)</f>
        <v>0</v>
      </c>
      <c r="R392" s="10">
        <f>0.000001 * SUMIFS('Resource Summary'!$S:$S,'Resource Summary'!$C:$C,R$390)</f>
        <v>0</v>
      </c>
      <c r="S392" s="10">
        <f>0.000001 * SUMIFS('Resource Summary'!$S:$S,'Resource Summary'!$C:$C,S$390)</f>
        <v>0</v>
      </c>
      <c r="T392" s="10">
        <f>0.000001 * SUMIFS('Resource Summary'!$S:$S,'Resource Summary'!$C:$C,T$390)</f>
        <v>0</v>
      </c>
      <c r="U392" s="10">
        <f>0.000001 * SUMIFS('Resource Summary'!$S:$S,'Resource Summary'!$C:$C,U$390)</f>
        <v>0</v>
      </c>
      <c r="V392" s="10">
        <f>0.000001 * SUMIFS('Resource Summary'!$S:$S,'Resource Summary'!$C:$C,V$390)</f>
        <v>0</v>
      </c>
      <c r="W392" s="10">
        <f>0.000001 * SUMIFS('Resource Summary'!$S:$S,'Resource Summary'!$C:$C,W$390)</f>
        <v>0</v>
      </c>
      <c r="X392" s="10">
        <f>0.000001 * SUMIFS('Resource Summary'!$S:$S,'Resource Summary'!$C:$C,X$390)</f>
        <v>0</v>
      </c>
      <c r="Y392" s="10">
        <f>0.000001 * SUMIFS('Resource Summary'!$S:$S,'Resource Summary'!$C:$C,Y$390)</f>
        <v>0</v>
      </c>
      <c r="Z392" s="10">
        <f>0.000001 * SUMIFS('Resource Summary'!$S:$S,'Resource Summary'!$C:$C,Z$390)</f>
        <v>0</v>
      </c>
      <c r="AA392" s="10">
        <f>0.000001 * SUMIFS('Resource Summary'!$S:$S,'Resource Summary'!$C:$C,AA$390)</f>
        <v>0</v>
      </c>
      <c r="AB392" s="10">
        <f>0.000001 * SUMIFS('Resource Summary'!$S:$S,'Resource Summary'!$C:$C,AB$390)</f>
        <v>0</v>
      </c>
      <c r="AC392" s="10">
        <f>0.000001 * SUMIFS('Resource Summary'!$S:$S,'Resource Summary'!$C:$C,AC$390)</f>
        <v>0</v>
      </c>
      <c r="AD392" s="10">
        <f>0.000001 * SUMIFS('Resource Summary'!$S:$S,'Resource Summary'!$C:$C,AD$390)</f>
        <v>9315.0876425802016</v>
      </c>
      <c r="AF392" s="10">
        <f t="shared" si="515"/>
        <v>35994.723756484767</v>
      </c>
      <c r="AH392" s="34"/>
    </row>
    <row r="393" spans="2:34" x14ac:dyDescent="0.2">
      <c r="C393" s="8"/>
      <c r="D393" s="8" t="s">
        <v>451</v>
      </c>
      <c r="E393" s="10">
        <f>0.000001 * SUMIFS('Resource Summary'!$T:$T,'Resource Summary'!$C:$C,E$390)</f>
        <v>0</v>
      </c>
      <c r="F393" s="10">
        <f>0.000001 * SUMIFS('Resource Summary'!$T:$T,'Resource Summary'!$C:$C,F$390)</f>
        <v>0</v>
      </c>
      <c r="G393" s="10">
        <f>0.000001 * SUMIFS('Resource Summary'!$T:$T,'Resource Summary'!$C:$C,G$390)</f>
        <v>0</v>
      </c>
      <c r="H393" s="10">
        <f>0.000001 * SUMIFS('Resource Summary'!$T:$T,'Resource Summary'!$C:$C,H$390)</f>
        <v>0</v>
      </c>
      <c r="I393" s="10">
        <f>0.000001 * SUMIFS('Resource Summary'!$T:$T,'Resource Summary'!$C:$C,I$390)</f>
        <v>0</v>
      </c>
      <c r="J393" s="10">
        <f>0.000001 * SUMIFS('Resource Summary'!$T:$T,'Resource Summary'!$C:$C,J$390)</f>
        <v>0</v>
      </c>
      <c r="K393" s="10">
        <f>0.000001 * SUMIFS('Resource Summary'!$T:$T,'Resource Summary'!$C:$C,K$390)</f>
        <v>0</v>
      </c>
      <c r="L393" s="10">
        <f>0.000001 * SUMIFS('Resource Summary'!$T:$T,'Resource Summary'!$C:$C,L$390)</f>
        <v>0</v>
      </c>
      <c r="M393" s="10">
        <f>0.000001 * SUMIFS('Resource Summary'!$T:$T,'Resource Summary'!$C:$C,M$390)</f>
        <v>0</v>
      </c>
      <c r="N393" s="10">
        <f>0.000001 * SUMIFS('Resource Summary'!$T:$T,'Resource Summary'!$C:$C,N$390)</f>
        <v>0</v>
      </c>
      <c r="O393" s="10">
        <f>0.000001 * SUMIFS('Resource Summary'!$T:$T,'Resource Summary'!$C:$C,O$390)</f>
        <v>0</v>
      </c>
      <c r="P393" s="10">
        <f>0.000001 * SUMIFS('Resource Summary'!$T:$T,'Resource Summary'!$C:$C,P$390)</f>
        <v>0</v>
      </c>
      <c r="Q393" s="10">
        <f>0.000001 * SUMIFS('Resource Summary'!$T:$T,'Resource Summary'!$C:$C,Q$390)</f>
        <v>0</v>
      </c>
      <c r="R393" s="10">
        <f>0.000001 * SUMIFS('Resource Summary'!$T:$T,'Resource Summary'!$C:$C,R$390)</f>
        <v>0</v>
      </c>
      <c r="S393" s="10">
        <f>0.000001 * SUMIFS('Resource Summary'!$T:$T,'Resource Summary'!$C:$C,S$390)</f>
        <v>0</v>
      </c>
      <c r="T393" s="10">
        <f>0.000001 * SUMIFS('Resource Summary'!$T:$T,'Resource Summary'!$C:$C,T$390)</f>
        <v>0</v>
      </c>
      <c r="U393" s="10">
        <f>0.000001 * SUMIFS('Resource Summary'!$T:$T,'Resource Summary'!$C:$C,U$390)</f>
        <v>0</v>
      </c>
      <c r="V393" s="10">
        <f>0.000001 * SUMIFS('Resource Summary'!$T:$T,'Resource Summary'!$C:$C,V$390)</f>
        <v>0</v>
      </c>
      <c r="W393" s="10">
        <f>0.000001 * SUMIFS('Resource Summary'!$T:$T,'Resource Summary'!$C:$C,W$390)</f>
        <v>0</v>
      </c>
      <c r="X393" s="10">
        <f>0.000001 * SUMIFS('Resource Summary'!$T:$T,'Resource Summary'!$C:$C,X$390)</f>
        <v>0</v>
      </c>
      <c r="Y393" s="10">
        <f>0.000001 * SUMIFS('Resource Summary'!$T:$T,'Resource Summary'!$C:$C,Y$390)</f>
        <v>0</v>
      </c>
      <c r="Z393" s="10">
        <f>0.000001 * SUMIFS('Resource Summary'!$T:$T,'Resource Summary'!$C:$C,Z$390)</f>
        <v>0</v>
      </c>
      <c r="AA393" s="10">
        <f>0.000001 * SUMIFS('Resource Summary'!$T:$T,'Resource Summary'!$C:$C,AA$390)</f>
        <v>0</v>
      </c>
      <c r="AB393" s="10">
        <f>0.000001 * SUMIFS('Resource Summary'!$T:$T,'Resource Summary'!$C:$C,AB$390)</f>
        <v>0</v>
      </c>
      <c r="AC393" s="10">
        <f>0.000001 * SUMIFS('Resource Summary'!$T:$T,'Resource Summary'!$C:$C,AC$390)</f>
        <v>0</v>
      </c>
      <c r="AD393" s="10">
        <f>0.000001 * SUMIFS('Resource Summary'!$T:$T,'Resource Summary'!$C:$C,AD$390)</f>
        <v>0</v>
      </c>
      <c r="AF393" s="10">
        <f t="shared" si="515"/>
        <v>0</v>
      </c>
      <c r="AH393" s="34"/>
    </row>
    <row r="394" spans="2:34" x14ac:dyDescent="0.2">
      <c r="C394" s="8"/>
      <c r="D394" s="8" t="s">
        <v>452</v>
      </c>
      <c r="E394" s="25" cm="1">
        <f t="array" ref="E394">0.000001 * SUMPRODUCT(('Resource Summary'!$C2:$C10000=E$390) * ('Resource Summary'!$U$2:$Y$10000))</f>
        <v>0</v>
      </c>
      <c r="F394" s="25" cm="1">
        <f t="array" ref="F394">0.000001 * SUMPRODUCT(('Resource Summary'!$C2:$C10000=F$390) * ('Resource Summary'!$U$2:$Y$10000))</f>
        <v>0</v>
      </c>
      <c r="G394" s="25" cm="1">
        <f t="array" ref="G394">0.000001 * SUMPRODUCT(('Resource Summary'!$C2:$C10000=G$390) * ('Resource Summary'!$U$2:$Y$10000))</f>
        <v>0</v>
      </c>
      <c r="H394" s="25" cm="1">
        <f t="array" ref="H394">0.000001 * SUMPRODUCT(('Resource Summary'!$C2:$C10000=H$390) * ('Resource Summary'!$U$2:$Y$10000))</f>
        <v>0</v>
      </c>
      <c r="I394" s="25" cm="1">
        <f t="array" ref="I394">0.000001 * SUMPRODUCT(('Resource Summary'!$C2:$C10000=I$390) * ('Resource Summary'!$U$2:$Y$10000))</f>
        <v>0</v>
      </c>
      <c r="J394" s="25" cm="1">
        <f t="array" ref="J394">0.000001 * SUMPRODUCT(('Resource Summary'!$C2:$C10000=J$390) * ('Resource Summary'!$U$2:$Y$10000))</f>
        <v>0</v>
      </c>
      <c r="K394" s="25" cm="1">
        <f t="array" ref="K394">0.000001 * SUMPRODUCT(('Resource Summary'!$C2:$C10000=K$390) * ('Resource Summary'!$U$2:$Y$10000))</f>
        <v>0</v>
      </c>
      <c r="L394" s="25" cm="1">
        <f t="array" ref="L394">0.000001 * SUMPRODUCT(('Resource Summary'!$C2:$C10000=L$390) * ('Resource Summary'!$U$2:$Y$10000))</f>
        <v>0</v>
      </c>
      <c r="M394" s="25" cm="1">
        <f t="array" ref="M394">0.000001 * SUMPRODUCT(('Resource Summary'!$C2:$C10000=M$390) * ('Resource Summary'!$U$2:$Y$10000))</f>
        <v>0</v>
      </c>
      <c r="N394" s="25" cm="1">
        <f t="array" ref="N394">0.000001 * SUMPRODUCT(('Resource Summary'!$C2:$C10000=N$390) * ('Resource Summary'!$U$2:$Y$10000))</f>
        <v>0</v>
      </c>
      <c r="O394" s="25" cm="1">
        <f t="array" ref="O394">0.000001 * SUMPRODUCT(('Resource Summary'!$C2:$C10000=O$390) * ('Resource Summary'!$U$2:$Y$10000))</f>
        <v>0</v>
      </c>
      <c r="P394" s="25" cm="1">
        <f t="array" ref="P394">0.000001 * SUMPRODUCT(('Resource Summary'!$C2:$C10000=P$390) * ('Resource Summary'!$U$2:$Y$10000))</f>
        <v>0</v>
      </c>
      <c r="Q394" s="25" cm="1">
        <f t="array" ref="Q394">0.000001 * SUMPRODUCT(('Resource Summary'!$C2:$C10000=Q$390) * ('Resource Summary'!$U$2:$Y$10000))</f>
        <v>0</v>
      </c>
      <c r="R394" s="25" cm="1">
        <f t="array" ref="R394">0.000001 * SUMPRODUCT(('Resource Summary'!$C2:$C10000=R$390) * ('Resource Summary'!$U$2:$Y$10000))</f>
        <v>0</v>
      </c>
      <c r="S394" s="25" cm="1">
        <f t="array" ref="S394">0.000001 * SUMPRODUCT(('Resource Summary'!$C2:$C10000=S$390) * ('Resource Summary'!$U$2:$Y$10000))</f>
        <v>0</v>
      </c>
      <c r="T394" s="25" cm="1">
        <f t="array" ref="T394">0.000001 * SUMPRODUCT(('Resource Summary'!$C2:$C10000=T$390) * ('Resource Summary'!$U$2:$Y$10000))</f>
        <v>0</v>
      </c>
      <c r="U394" s="25" cm="1">
        <f t="array" ref="U394">0.000001 * SUMPRODUCT(('Resource Summary'!$C2:$C10000=U$390) * ('Resource Summary'!$U$2:$Y$10000))</f>
        <v>0</v>
      </c>
      <c r="V394" s="25" cm="1">
        <f t="array" ref="V394">0.000001 * SUMPRODUCT(('Resource Summary'!$C2:$C10000=V$390) * ('Resource Summary'!$U$2:$Y$10000))</f>
        <v>0</v>
      </c>
      <c r="W394" s="25" cm="1">
        <f t="array" ref="W394">0.000001 * SUMPRODUCT(('Resource Summary'!$C2:$C10000=W$390) * ('Resource Summary'!$U$2:$Y$10000))</f>
        <v>0</v>
      </c>
      <c r="X394" s="25" cm="1">
        <f t="array" ref="X394">0.000001 * SUMPRODUCT(('Resource Summary'!$C2:$C10000=X$390) * ('Resource Summary'!$U$2:$Y$10000))</f>
        <v>0</v>
      </c>
      <c r="Y394" s="25" cm="1">
        <f t="array" ref="Y394">0.000001 * SUMPRODUCT(('Resource Summary'!$C2:$C10000=Y$390) * ('Resource Summary'!$U$2:$Y$10000))</f>
        <v>0</v>
      </c>
      <c r="Z394" s="25" cm="1">
        <f t="array" ref="Z394">0.000001 * SUMPRODUCT(('Resource Summary'!$C2:$C10000=Z$390) * ('Resource Summary'!$U$2:$Y$10000))</f>
        <v>0</v>
      </c>
      <c r="AA394" s="25" cm="1">
        <f t="array" ref="AA394">0.000001 * SUMPRODUCT(('Resource Summary'!$C2:$C10000=AA$390) * ('Resource Summary'!$U$2:$Y$10000))</f>
        <v>0</v>
      </c>
      <c r="AB394" s="25" cm="1">
        <f t="array" ref="AB394">0.000001 * SUMPRODUCT(('Resource Summary'!$C2:$C10000=AB$390) * ('Resource Summary'!$U$2:$Y$10000))</f>
        <v>0</v>
      </c>
      <c r="AC394" s="25" cm="1">
        <f t="array" ref="AC394">0.000001 * SUMPRODUCT(('Resource Summary'!$C2:$C10000=AC$390) * ('Resource Summary'!$U$2:$Y$10000))</f>
        <v>0</v>
      </c>
      <c r="AD394" s="25" cm="1">
        <f t="array" ref="AD394">0.000001 * SUMPRODUCT(('Resource Summary'!$C2:$C10000=AD$390) * ('Resource Summary'!$U$2:$Y$10000))</f>
        <v>8017.6552336977293</v>
      </c>
      <c r="AF394" s="25">
        <f t="shared" si="515"/>
        <v>30981.27429230995</v>
      </c>
      <c r="AH394" s="34"/>
    </row>
    <row r="395" spans="2:34" x14ac:dyDescent="0.2">
      <c r="C395" s="8" t="s">
        <v>454</v>
      </c>
      <c r="D395" s="8" t="s">
        <v>453</v>
      </c>
      <c r="E395" s="25" cm="1">
        <f t="array" ref="E395">0.000001 * SUMPRODUCT(('Transmission Summary'!$D$2:$D$1000=E$390) * ('Transmission Summary'!$F$2:$G$1000))</f>
        <v>0</v>
      </c>
      <c r="F395" s="25" cm="1">
        <f t="array" ref="F395">0.000001 * SUMPRODUCT(('Transmission Summary'!$D$2:$D$1000=F$390) * ('Transmission Summary'!$F$2:$G$1000))</f>
        <v>0</v>
      </c>
      <c r="G395" s="25" cm="1">
        <f t="array" ref="G395">0.000001 * SUMPRODUCT(('Transmission Summary'!$D$2:$D$1000=G$390) * ('Transmission Summary'!$F$2:$G$1000))</f>
        <v>0</v>
      </c>
      <c r="H395" s="25" cm="1">
        <f t="array" ref="H395">0.000001 * SUMPRODUCT(('Transmission Summary'!$D$2:$D$1000=H$390) * ('Transmission Summary'!$F$2:$G$1000))</f>
        <v>0</v>
      </c>
      <c r="I395" s="25" cm="1">
        <f t="array" ref="I395">0.000001 * SUMPRODUCT(('Transmission Summary'!$D$2:$D$1000=I$390) * ('Transmission Summary'!$F$2:$G$1000))</f>
        <v>0</v>
      </c>
      <c r="J395" s="25" cm="1">
        <f t="array" ref="J395">0.000001 * SUMPRODUCT(('Transmission Summary'!$D$2:$D$1000=J$390) * ('Transmission Summary'!$F$2:$G$1000))</f>
        <v>0</v>
      </c>
      <c r="K395" s="25" cm="1">
        <f t="array" ref="K395">0.000001 * SUMPRODUCT(('Transmission Summary'!$D$2:$D$1000=K$390) * ('Transmission Summary'!$F$2:$G$1000))</f>
        <v>0</v>
      </c>
      <c r="L395" s="25" cm="1">
        <f t="array" ref="L395">0.000001 * SUMPRODUCT(('Transmission Summary'!$D$2:$D$1000=L$390) * ('Transmission Summary'!$F$2:$G$1000))</f>
        <v>0</v>
      </c>
      <c r="M395" s="25" cm="1">
        <f t="array" ref="M395">0.000001 * SUMPRODUCT(('Transmission Summary'!$D$2:$D$1000=M$390) * ('Transmission Summary'!$F$2:$G$1000))</f>
        <v>0</v>
      </c>
      <c r="N395" s="25" cm="1">
        <f t="array" ref="N395">0.000001 * SUMPRODUCT(('Transmission Summary'!$D$2:$D$1000=N$390) * ('Transmission Summary'!$F$2:$G$1000))</f>
        <v>0</v>
      </c>
      <c r="O395" s="25" cm="1">
        <f t="array" ref="O395">0.000001 * SUMPRODUCT(('Transmission Summary'!$D$2:$D$1000=O$390) * ('Transmission Summary'!$F$2:$G$1000))</f>
        <v>0</v>
      </c>
      <c r="P395" s="25" cm="1">
        <f t="array" ref="P395">0.000001 * SUMPRODUCT(('Transmission Summary'!$D$2:$D$1000=P$390) * ('Transmission Summary'!$F$2:$G$1000))</f>
        <v>0</v>
      </c>
      <c r="Q395" s="25" cm="1">
        <f t="array" ref="Q395">0.000001 * SUMPRODUCT(('Transmission Summary'!$D$2:$D$1000=Q$390) * ('Transmission Summary'!$F$2:$G$1000))</f>
        <v>0</v>
      </c>
      <c r="R395" s="25" cm="1">
        <f t="array" ref="R395">0.000001 * SUMPRODUCT(('Transmission Summary'!$D$2:$D$1000=R$390) * ('Transmission Summary'!$F$2:$G$1000))</f>
        <v>0</v>
      </c>
      <c r="S395" s="25" cm="1">
        <f t="array" ref="S395">0.000001 * SUMPRODUCT(('Transmission Summary'!$D$2:$D$1000=S$390) * ('Transmission Summary'!$F$2:$G$1000))</f>
        <v>0</v>
      </c>
      <c r="T395" s="25" cm="1">
        <f t="array" ref="T395">0.000001 * SUMPRODUCT(('Transmission Summary'!$D$2:$D$1000=T$390) * ('Transmission Summary'!$F$2:$G$1000))</f>
        <v>0</v>
      </c>
      <c r="U395" s="25" cm="1">
        <f t="array" ref="U395">0.000001 * SUMPRODUCT(('Transmission Summary'!$D$2:$D$1000=U$390) * ('Transmission Summary'!$F$2:$G$1000))</f>
        <v>0</v>
      </c>
      <c r="V395" s="25" cm="1">
        <f t="array" ref="V395">0.000001 * SUMPRODUCT(('Transmission Summary'!$D$2:$D$1000=V$390) * ('Transmission Summary'!$F$2:$G$1000))</f>
        <v>0</v>
      </c>
      <c r="W395" s="25" cm="1">
        <f t="array" ref="W395">0.000001 * SUMPRODUCT(('Transmission Summary'!$D$2:$D$1000=W$390) * ('Transmission Summary'!$F$2:$G$1000))</f>
        <v>0</v>
      </c>
      <c r="X395" s="25" cm="1">
        <f t="array" ref="X395">0.000001 * SUMPRODUCT(('Transmission Summary'!$D$2:$D$1000=X$390) * ('Transmission Summary'!$F$2:$G$1000))</f>
        <v>0</v>
      </c>
      <c r="Y395" s="25" cm="1">
        <f t="array" ref="Y395">0.000001 * SUMPRODUCT(('Transmission Summary'!$D$2:$D$1000=Y$390) * ('Transmission Summary'!$F$2:$G$1000))</f>
        <v>0</v>
      </c>
      <c r="Z395" s="25" cm="1">
        <f t="array" ref="Z395">0.000001 * SUMPRODUCT(('Transmission Summary'!$D$2:$D$1000=Z$390) * ('Transmission Summary'!$F$2:$G$1000))</f>
        <v>0</v>
      </c>
      <c r="AA395" s="25" cm="1">
        <f t="array" ref="AA395">0.000001 * SUMPRODUCT(('Transmission Summary'!$D$2:$D$1000=AA$390) * ('Transmission Summary'!$F$2:$G$1000))</f>
        <v>0</v>
      </c>
      <c r="AB395" s="25" cm="1">
        <f t="array" ref="AB395">0.000001 * SUMPRODUCT(('Transmission Summary'!$D$2:$D$1000=AB$390) * ('Transmission Summary'!$F$2:$G$1000))</f>
        <v>0</v>
      </c>
      <c r="AC395" s="25" cm="1">
        <f t="array" ref="AC395">0.000001 * SUMPRODUCT(('Transmission Summary'!$D$2:$D$1000=AC$390) * ('Transmission Summary'!$F$2:$G$1000))</f>
        <v>0</v>
      </c>
      <c r="AD395" s="25" cm="1">
        <f t="array" ref="AD395">0.000001 * SUMPRODUCT(('Transmission Summary'!$D$2:$D$1000=AD$390) * ('Transmission Summary'!$F$2:$G$1000))</f>
        <v>978.28253655717504</v>
      </c>
      <c r="AF395" s="25">
        <f t="shared" si="515"/>
        <v>3780.21238342477</v>
      </c>
      <c r="AH395" s="34"/>
    </row>
    <row r="396" spans="2:34" ht="12.6" thickBot="1" x14ac:dyDescent="0.25">
      <c r="C396" s="9" t="s">
        <v>139</v>
      </c>
      <c r="D396" s="9"/>
      <c r="E396" s="11">
        <f>SUM(E391:E395)</f>
        <v>0</v>
      </c>
      <c r="F396" s="11">
        <f t="shared" ref="F396:AD396" si="516">SUM(F391:F395)</f>
        <v>0</v>
      </c>
      <c r="G396" s="11">
        <f t="shared" si="516"/>
        <v>0</v>
      </c>
      <c r="H396" s="11">
        <f t="shared" si="516"/>
        <v>0</v>
      </c>
      <c r="I396" s="11">
        <f t="shared" si="516"/>
        <v>0</v>
      </c>
      <c r="J396" s="11">
        <f t="shared" si="516"/>
        <v>0</v>
      </c>
      <c r="K396" s="11">
        <f t="shared" si="516"/>
        <v>0</v>
      </c>
      <c r="L396" s="11">
        <f t="shared" si="516"/>
        <v>0</v>
      </c>
      <c r="M396" s="11">
        <f t="shared" si="516"/>
        <v>0</v>
      </c>
      <c r="N396" s="11">
        <f t="shared" si="516"/>
        <v>0</v>
      </c>
      <c r="O396" s="11">
        <f t="shared" si="516"/>
        <v>0</v>
      </c>
      <c r="P396" s="11">
        <f t="shared" si="516"/>
        <v>0</v>
      </c>
      <c r="Q396" s="11">
        <f t="shared" si="516"/>
        <v>0</v>
      </c>
      <c r="R396" s="11">
        <f t="shared" si="516"/>
        <v>0</v>
      </c>
      <c r="S396" s="11">
        <f t="shared" si="516"/>
        <v>0</v>
      </c>
      <c r="T396" s="11">
        <f t="shared" si="516"/>
        <v>0</v>
      </c>
      <c r="U396" s="11">
        <f t="shared" si="516"/>
        <v>0</v>
      </c>
      <c r="V396" s="11">
        <f t="shared" si="516"/>
        <v>0</v>
      </c>
      <c r="W396" s="11">
        <f t="shared" si="516"/>
        <v>0</v>
      </c>
      <c r="X396" s="11">
        <f t="shared" si="516"/>
        <v>0</v>
      </c>
      <c r="Y396" s="11">
        <f t="shared" si="516"/>
        <v>0</v>
      </c>
      <c r="Z396" s="11">
        <f t="shared" si="516"/>
        <v>0</v>
      </c>
      <c r="AA396" s="11">
        <f t="shared" si="516"/>
        <v>0</v>
      </c>
      <c r="AB396" s="11">
        <f t="shared" si="516"/>
        <v>0</v>
      </c>
      <c r="AC396" s="11">
        <f t="shared" si="516"/>
        <v>0</v>
      </c>
      <c r="AD396" s="11">
        <f t="shared" si="516"/>
        <v>18342.023043069104</v>
      </c>
      <c r="AF396" s="11">
        <f t="shared" si="515"/>
        <v>70875.989352202829</v>
      </c>
      <c r="AH396" s="34"/>
    </row>
    <row r="397" spans="2:34" ht="12" thickTop="1" x14ac:dyDescent="0.2"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  <c r="AA397" s="47"/>
      <c r="AB397" s="47"/>
      <c r="AC397" s="47"/>
      <c r="AD397" s="47"/>
      <c r="AH397" s="34"/>
    </row>
    <row r="398" spans="2:34" ht="13.2" x14ac:dyDescent="0.2">
      <c r="E398" s="2" t="s">
        <v>615</v>
      </c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H398" s="34"/>
    </row>
    <row r="399" spans="2:34" x14ac:dyDescent="0.2">
      <c r="E399" s="7">
        <v>43831</v>
      </c>
      <c r="F399" s="7">
        <f>EDATE(E399,12)</f>
        <v>44197</v>
      </c>
      <c r="G399" s="7">
        <f t="shared" ref="G399" si="517">EDATE(F399,12)</f>
        <v>44562</v>
      </c>
      <c r="H399" s="7">
        <f t="shared" ref="H399" si="518">EDATE(G399,12)</f>
        <v>44927</v>
      </c>
      <c r="I399" s="7">
        <f t="shared" ref="I399" si="519">EDATE(H399,12)</f>
        <v>45292</v>
      </c>
      <c r="J399" s="7">
        <f t="shared" ref="J399" si="520">EDATE(I399,12)</f>
        <v>45658</v>
      </c>
      <c r="K399" s="7">
        <f t="shared" ref="K399" si="521">EDATE(J399,12)</f>
        <v>46023</v>
      </c>
      <c r="L399" s="7">
        <f t="shared" ref="L399" si="522">EDATE(K399,12)</f>
        <v>46388</v>
      </c>
      <c r="M399" s="7">
        <f t="shared" ref="M399" si="523">EDATE(L399,12)</f>
        <v>46753</v>
      </c>
      <c r="N399" s="7">
        <f t="shared" ref="N399" si="524">EDATE(M399,12)</f>
        <v>47119</v>
      </c>
      <c r="O399" s="7">
        <f t="shared" ref="O399" si="525">EDATE(N399,12)</f>
        <v>47484</v>
      </c>
      <c r="P399" s="7">
        <f t="shared" ref="P399" si="526">EDATE(O399,12)</f>
        <v>47849</v>
      </c>
      <c r="Q399" s="7">
        <f t="shared" ref="Q399" si="527">EDATE(P399,12)</f>
        <v>48214</v>
      </c>
      <c r="R399" s="7">
        <f t="shared" ref="R399" si="528">EDATE(Q399,12)</f>
        <v>48580</v>
      </c>
      <c r="S399" s="7">
        <f t="shared" ref="S399" si="529">EDATE(R399,12)</f>
        <v>48945</v>
      </c>
      <c r="T399" s="7">
        <f t="shared" ref="T399" si="530">EDATE(S399,12)</f>
        <v>49310</v>
      </c>
      <c r="U399" s="7">
        <f t="shared" ref="U399" si="531">EDATE(T399,12)</f>
        <v>49675</v>
      </c>
      <c r="V399" s="7">
        <f t="shared" ref="V399" si="532">EDATE(U399,12)</f>
        <v>50041</v>
      </c>
      <c r="W399" s="7">
        <f t="shared" ref="W399" si="533">EDATE(V399,12)</f>
        <v>50406</v>
      </c>
      <c r="X399" s="7">
        <f t="shared" ref="X399" si="534">EDATE(W399,12)</f>
        <v>50771</v>
      </c>
      <c r="Y399" s="7">
        <f t="shared" ref="Y399" si="535">EDATE(X399,12)</f>
        <v>51136</v>
      </c>
      <c r="Z399" s="7">
        <f t="shared" ref="Z399" si="536">EDATE(Y399,12)</f>
        <v>51502</v>
      </c>
      <c r="AA399" s="7">
        <f t="shared" ref="AA399" si="537">EDATE(Z399,12)</f>
        <v>51867</v>
      </c>
      <c r="AB399" s="7">
        <f t="shared" ref="AB399" si="538">EDATE(AA399,12)</f>
        <v>52232</v>
      </c>
      <c r="AC399" s="7">
        <f t="shared" ref="AC399" si="539">EDATE(AB399,12)</f>
        <v>52597</v>
      </c>
      <c r="AD399" s="7">
        <f>EDATE(AC399,12)</f>
        <v>52963</v>
      </c>
      <c r="AH399" s="34"/>
    </row>
    <row r="400" spans="2:34" x14ac:dyDescent="0.2">
      <c r="E400" s="14">
        <f>IFERROR(INDEX('Temporal Settings'!$B:$B,MATCH(E399,'Temporal Settings'!$A:$A,0)),0)</f>
        <v>0</v>
      </c>
      <c r="F400" s="14">
        <f>IFERROR(INDEX('Temporal Settings'!$B:$B,MATCH(F399,'Temporal Settings'!$A:$A,0)),0)</f>
        <v>0</v>
      </c>
      <c r="G400" s="14">
        <f>IFERROR(INDEX('Temporal Settings'!$B:$B,MATCH(G399,'Temporal Settings'!$A:$A,0)),0)</f>
        <v>0</v>
      </c>
      <c r="H400" s="14">
        <f>IFERROR(INDEX('Temporal Settings'!$B:$B,MATCH(H399,'Temporal Settings'!$A:$A,0)),0)</f>
        <v>0</v>
      </c>
      <c r="I400" s="14">
        <f>IFERROR(INDEX('Temporal Settings'!$B:$B,MATCH(I399,'Temporal Settings'!$A:$A,0)),0)</f>
        <v>0</v>
      </c>
      <c r="J400" s="14">
        <f>IFERROR(INDEX('Temporal Settings'!$B:$B,MATCH(J399,'Temporal Settings'!$A:$A,0)),0)</f>
        <v>0</v>
      </c>
      <c r="K400" s="14">
        <f>IFERROR(INDEX('Temporal Settings'!$B:$B,MATCH(K399,'Temporal Settings'!$A:$A,0)),0)</f>
        <v>0</v>
      </c>
      <c r="L400" s="14">
        <f>IFERROR(INDEX('Temporal Settings'!$B:$B,MATCH(L399,'Temporal Settings'!$A:$A,0)),0)</f>
        <v>0</v>
      </c>
      <c r="M400" s="14">
        <f>IFERROR(INDEX('Temporal Settings'!$B:$B,MATCH(M399,'Temporal Settings'!$A:$A,0)),0)</f>
        <v>0</v>
      </c>
      <c r="N400" s="14">
        <f>IFERROR(INDEX('Temporal Settings'!$B:$B,MATCH(N399,'Temporal Settings'!$A:$A,0)),0)</f>
        <v>0</v>
      </c>
      <c r="O400" s="14">
        <f>IFERROR(INDEX('Temporal Settings'!$B:$B,MATCH(O399,'Temporal Settings'!$A:$A,0)),0)</f>
        <v>0</v>
      </c>
      <c r="P400" s="14">
        <f>IFERROR(INDEX('Temporal Settings'!$B:$B,MATCH(P399,'Temporal Settings'!$A:$A,0)),0)</f>
        <v>0</v>
      </c>
      <c r="Q400" s="14">
        <f>IFERROR(INDEX('Temporal Settings'!$B:$B,MATCH(Q399,'Temporal Settings'!$A:$A,0)),0)</f>
        <v>0</v>
      </c>
      <c r="R400" s="14">
        <f>IFERROR(INDEX('Temporal Settings'!$B:$B,MATCH(R399,'Temporal Settings'!$A:$A,0)),0)</f>
        <v>0</v>
      </c>
      <c r="S400" s="14">
        <f>IFERROR(INDEX('Temporal Settings'!$B:$B,MATCH(S399,'Temporal Settings'!$A:$A,0)),0)</f>
        <v>0</v>
      </c>
      <c r="T400" s="14">
        <f>IFERROR(INDEX('Temporal Settings'!$B:$B,MATCH(T399,'Temporal Settings'!$A:$A,0)),0)</f>
        <v>0</v>
      </c>
      <c r="U400" s="14">
        <f>IFERROR(INDEX('Temporal Settings'!$B:$B,MATCH(U399,'Temporal Settings'!$A:$A,0)),0)</f>
        <v>0</v>
      </c>
      <c r="V400" s="14">
        <f>IFERROR(INDEX('Temporal Settings'!$B:$B,MATCH(V399,'Temporal Settings'!$A:$A,0)),0)</f>
        <v>0</v>
      </c>
      <c r="W400" s="14">
        <f>IFERROR(INDEX('Temporal Settings'!$B:$B,MATCH(W399,'Temporal Settings'!$A:$A,0)),0)</f>
        <v>0</v>
      </c>
      <c r="X400" s="14">
        <f>IFERROR(INDEX('Temporal Settings'!$B:$B,MATCH(X399,'Temporal Settings'!$A:$A,0)),0)</f>
        <v>0</v>
      </c>
      <c r="Y400" s="14">
        <f>IFERROR(INDEX('Temporal Settings'!$B:$B,MATCH(Y399,'Temporal Settings'!$A:$A,0)),0)</f>
        <v>0</v>
      </c>
      <c r="Z400" s="14">
        <f>IFERROR(INDEX('Temporal Settings'!$B:$B,MATCH(Z399,'Temporal Settings'!$A:$A,0)),0)</f>
        <v>0</v>
      </c>
      <c r="AA400" s="14">
        <f>IFERROR(INDEX('Temporal Settings'!$B:$B,MATCH(AA399,'Temporal Settings'!$A:$A,0)),0)</f>
        <v>0</v>
      </c>
      <c r="AB400" s="14">
        <f>IFERROR(INDEX('Temporal Settings'!$B:$B,MATCH(AB399,'Temporal Settings'!$A:$A,0)),0)</f>
        <v>0</v>
      </c>
      <c r="AC400" s="14">
        <f>IFERROR(INDEX('Temporal Settings'!$B:$B,MATCH(AC399,'Temporal Settings'!$A:$A,0)),0)</f>
        <v>0</v>
      </c>
      <c r="AD400" s="14">
        <f>IFERROR(INDEX('Temporal Settings'!$B:$B,MATCH(AD399,'Temporal Settings'!$A:$A,0)),0)</f>
        <v>3.8641315184141982</v>
      </c>
      <c r="AH400" s="34"/>
    </row>
    <row r="401" spans="2:34" x14ac:dyDescent="0.2">
      <c r="AH401" s="34"/>
    </row>
    <row r="402" spans="2:34" x14ac:dyDescent="0.2">
      <c r="AH402" s="34"/>
    </row>
    <row r="403" spans="2:34" ht="18" thickBot="1" x14ac:dyDescent="0.25">
      <c r="B403" s="6" t="s">
        <v>210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H403" s="34" t="s">
        <v>422</v>
      </c>
    </row>
    <row r="404" spans="2:34" outlineLevel="1" x14ac:dyDescent="0.2">
      <c r="C404" s="15" t="s">
        <v>173</v>
      </c>
      <c r="D404" s="15"/>
      <c r="AH404" s="34" t="s">
        <v>422</v>
      </c>
    </row>
    <row r="405" spans="2:34" outlineLevel="1" x14ac:dyDescent="0.2">
      <c r="AH405" s="34" t="s">
        <v>422</v>
      </c>
    </row>
    <row r="406" spans="2:34" ht="13.2" outlineLevel="1" x14ac:dyDescent="0.2">
      <c r="E406" s="2" t="s">
        <v>290</v>
      </c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H406" s="34" t="s">
        <v>422</v>
      </c>
    </row>
    <row r="407" spans="2:34" outlineLevel="1" x14ac:dyDescent="0.2">
      <c r="E407" s="7">
        <v>43831</v>
      </c>
      <c r="F407" s="7">
        <f>EDATE(E407,12)</f>
        <v>44197</v>
      </c>
      <c r="G407" s="7">
        <f t="shared" ref="G407" si="540">EDATE(F407,12)</f>
        <v>44562</v>
      </c>
      <c r="H407" s="7">
        <f t="shared" ref="H407" si="541">EDATE(G407,12)</f>
        <v>44927</v>
      </c>
      <c r="I407" s="7">
        <f t="shared" ref="I407" si="542">EDATE(H407,12)</f>
        <v>45292</v>
      </c>
      <c r="J407" s="7">
        <f t="shared" ref="J407" si="543">EDATE(I407,12)</f>
        <v>45658</v>
      </c>
      <c r="K407" s="7">
        <f t="shared" ref="K407" si="544">EDATE(J407,12)</f>
        <v>46023</v>
      </c>
      <c r="L407" s="7">
        <f t="shared" ref="L407" si="545">EDATE(K407,12)</f>
        <v>46388</v>
      </c>
      <c r="M407" s="7">
        <f t="shared" ref="M407" si="546">EDATE(L407,12)</f>
        <v>46753</v>
      </c>
      <c r="N407" s="7">
        <f t="shared" ref="N407" si="547">EDATE(M407,12)</f>
        <v>47119</v>
      </c>
      <c r="O407" s="7">
        <f t="shared" ref="O407" si="548">EDATE(N407,12)</f>
        <v>47484</v>
      </c>
      <c r="P407" s="7">
        <f t="shared" ref="P407" si="549">EDATE(O407,12)</f>
        <v>47849</v>
      </c>
      <c r="Q407" s="7">
        <f t="shared" ref="Q407" si="550">EDATE(P407,12)</f>
        <v>48214</v>
      </c>
      <c r="R407" s="7">
        <f t="shared" ref="R407" si="551">EDATE(Q407,12)</f>
        <v>48580</v>
      </c>
      <c r="S407" s="7">
        <f t="shared" ref="S407" si="552">EDATE(R407,12)</f>
        <v>48945</v>
      </c>
      <c r="T407" s="7">
        <f t="shared" ref="T407" si="553">EDATE(S407,12)</f>
        <v>49310</v>
      </c>
      <c r="U407" s="7">
        <f t="shared" ref="U407" si="554">EDATE(T407,12)</f>
        <v>49675</v>
      </c>
      <c r="V407" s="7">
        <f t="shared" ref="V407" si="555">EDATE(U407,12)</f>
        <v>50041</v>
      </c>
      <c r="W407" s="7">
        <f t="shared" ref="W407" si="556">EDATE(V407,12)</f>
        <v>50406</v>
      </c>
      <c r="X407" s="7">
        <f t="shared" ref="X407" si="557">EDATE(W407,12)</f>
        <v>50771</v>
      </c>
      <c r="Y407" s="7">
        <f t="shared" ref="Y407" si="558">EDATE(X407,12)</f>
        <v>51136</v>
      </c>
      <c r="Z407" s="7">
        <f t="shared" ref="Z407" si="559">EDATE(Y407,12)</f>
        <v>51502</v>
      </c>
      <c r="AA407" s="7">
        <f t="shared" ref="AA407" si="560">EDATE(Z407,12)</f>
        <v>51867</v>
      </c>
      <c r="AB407" s="7">
        <f t="shared" ref="AB407" si="561">EDATE(AA407,12)</f>
        <v>52232</v>
      </c>
      <c r="AC407" s="7">
        <f t="shared" ref="AC407" si="562">EDATE(AB407,12)</f>
        <v>52597</v>
      </c>
      <c r="AD407" s="7">
        <f>EDATE(AC407,12)</f>
        <v>52963</v>
      </c>
      <c r="AH407" s="34" t="s">
        <v>422</v>
      </c>
    </row>
    <row r="408" spans="2:34" outlineLevel="1" x14ac:dyDescent="0.2">
      <c r="D408" s="8" t="s">
        <v>257</v>
      </c>
      <c r="E408" s="24">
        <f>SUM(
  SUMIFS(
  'Asset Summary'!$D:$D,
  'Asset Summary'!$A:$A,$D408,
  'Asset Summary'!$B:$B,E$407
  )
)</f>
        <v>0</v>
      </c>
      <c r="F408" s="24">
        <f>SUM(
  SUMIFS(
  'Asset Summary'!$D:$D,
  'Asset Summary'!$A:$A,$D408,
  'Asset Summary'!$B:$B,F$407
  )
)</f>
        <v>0</v>
      </c>
      <c r="G408" s="24">
        <f>SUM(
  SUMIFS(
  'Asset Summary'!$D:$D,
  'Asset Summary'!$A:$A,$D408,
  'Asset Summary'!$B:$B,G$407
  )
)</f>
        <v>0</v>
      </c>
      <c r="H408" s="24">
        <f>SUM(
  SUMIFS(
  'Asset Summary'!$D:$D,
  'Asset Summary'!$A:$A,$D408,
  'Asset Summary'!$B:$B,H$407
  )
)</f>
        <v>0</v>
      </c>
      <c r="I408" s="24">
        <f>SUM(
  SUMIFS(
  'Asset Summary'!$D:$D,
  'Asset Summary'!$A:$A,$D408,
  'Asset Summary'!$B:$B,I$407
  )
)</f>
        <v>0</v>
      </c>
      <c r="J408" s="24">
        <f>SUM(
  SUMIFS(
  'Asset Summary'!$D:$D,
  'Asset Summary'!$A:$A,$D408,
  'Asset Summary'!$B:$B,J$407
  )
)</f>
        <v>0</v>
      </c>
      <c r="K408" s="24">
        <f>SUM(
  SUMIFS(
  'Asset Summary'!$D:$D,
  'Asset Summary'!$A:$A,$D408,
  'Asset Summary'!$B:$B,K$407
  )
)</f>
        <v>0</v>
      </c>
      <c r="L408" s="24">
        <f>SUM(
  SUMIFS(
  'Asset Summary'!$D:$D,
  'Asset Summary'!$A:$A,$D408,
  'Asset Summary'!$B:$B,L$407
  )
)</f>
        <v>0</v>
      </c>
      <c r="M408" s="24">
        <f>SUM(
  SUMIFS(
  'Asset Summary'!$D:$D,
  'Asset Summary'!$A:$A,$D408,
  'Asset Summary'!$B:$B,M$407
  )
)</f>
        <v>0</v>
      </c>
      <c r="N408" s="24">
        <f>SUM(
  SUMIFS(
  'Asset Summary'!$D:$D,
  'Asset Summary'!$A:$A,$D408,
  'Asset Summary'!$B:$B,N$407
  )
)</f>
        <v>0</v>
      </c>
      <c r="O408" s="24">
        <f>SUM(
  SUMIFS(
  'Asset Summary'!$D:$D,
  'Asset Summary'!$A:$A,$D408,
  'Asset Summary'!$B:$B,O$407
  )
)</f>
        <v>0</v>
      </c>
      <c r="P408" s="24">
        <f>SUM(
  SUMIFS(
  'Asset Summary'!$D:$D,
  'Asset Summary'!$A:$A,$D408,
  'Asset Summary'!$B:$B,P$407
  )
)</f>
        <v>0</v>
      </c>
      <c r="Q408" s="24">
        <f>SUM(
  SUMIFS(
  'Asset Summary'!$D:$D,
  'Asset Summary'!$A:$A,$D408,
  'Asset Summary'!$B:$B,Q$407
  )
)</f>
        <v>0</v>
      </c>
      <c r="R408" s="24">
        <f>SUM(
  SUMIFS(
  'Asset Summary'!$D:$D,
  'Asset Summary'!$A:$A,$D408,
  'Asset Summary'!$B:$B,R$407
  )
)</f>
        <v>0</v>
      </c>
      <c r="S408" s="24">
        <f>SUM(
  SUMIFS(
  'Asset Summary'!$D:$D,
  'Asset Summary'!$A:$A,$D408,
  'Asset Summary'!$B:$B,S$407
  )
)</f>
        <v>0</v>
      </c>
      <c r="T408" s="24">
        <f>SUM(
  SUMIFS(
  'Asset Summary'!$D:$D,
  'Asset Summary'!$A:$A,$D408,
  'Asset Summary'!$B:$B,T$407
  )
)</f>
        <v>0</v>
      </c>
      <c r="U408" s="24">
        <f>SUM(
  SUMIFS(
  'Asset Summary'!$D:$D,
  'Asset Summary'!$A:$A,$D408,
  'Asset Summary'!$B:$B,U$407
  )
)</f>
        <v>0</v>
      </c>
      <c r="V408" s="24">
        <f>SUM(
  SUMIFS(
  'Asset Summary'!$D:$D,
  'Asset Summary'!$A:$A,$D408,
  'Asset Summary'!$B:$B,V$407
  )
)</f>
        <v>0</v>
      </c>
      <c r="W408" s="24">
        <f>SUM(
  SUMIFS(
  'Asset Summary'!$D:$D,
  'Asset Summary'!$A:$A,$D408,
  'Asset Summary'!$B:$B,W$407
  )
)</f>
        <v>0</v>
      </c>
      <c r="X408" s="24">
        <f>SUM(
  SUMIFS(
  'Asset Summary'!$D:$D,
  'Asset Summary'!$A:$A,$D408,
  'Asset Summary'!$B:$B,X$407
  )
)</f>
        <v>0</v>
      </c>
      <c r="Y408" s="24">
        <f>SUM(
  SUMIFS(
  'Asset Summary'!$D:$D,
  'Asset Summary'!$A:$A,$D408,
  'Asset Summary'!$B:$B,Y$407
  )
)</f>
        <v>0</v>
      </c>
      <c r="Z408" s="24">
        <f>SUM(
  SUMIFS(
  'Asset Summary'!$D:$D,
  'Asset Summary'!$A:$A,$D408,
  'Asset Summary'!$B:$B,Z$407
  )
)</f>
        <v>0</v>
      </c>
      <c r="AA408" s="24">
        <f>SUM(
  SUMIFS(
  'Asset Summary'!$D:$D,
  'Asset Summary'!$A:$A,$D408,
  'Asset Summary'!$B:$B,AA$407
  )
)</f>
        <v>0</v>
      </c>
      <c r="AB408" s="24">
        <f>SUM(
  SUMIFS(
  'Asset Summary'!$D:$D,
  'Asset Summary'!$A:$A,$D408,
  'Asset Summary'!$B:$B,AB$407
  )
)</f>
        <v>0</v>
      </c>
      <c r="AC408" s="24">
        <f>SUM(
  SUMIFS(
  'Asset Summary'!$D:$D,
  'Asset Summary'!$A:$A,$D408,
  'Asset Summary'!$B:$B,AC$407
  )
)</f>
        <v>0</v>
      </c>
      <c r="AD408" s="24">
        <f>SUM(
  SUMIFS(
  'Asset Summary'!$D:$D,
  'Asset Summary'!$A:$A,$D408,
  'Asset Summary'!$B:$B,AD$407
  )
)</f>
        <v>0</v>
      </c>
      <c r="AH408" s="34" t="s">
        <v>422</v>
      </c>
    </row>
    <row r="409" spans="2:34" outlineLevel="1" x14ac:dyDescent="0.2">
      <c r="D409" s="8" t="s">
        <v>258</v>
      </c>
      <c r="E409" s="24">
        <f>SUM(
  SUMIFS(
  'Asset Summary'!$D:$D,
  'Asset Summary'!$A:$A,$D409,
  'Asset Summary'!$B:$B,E$407
  )
)</f>
        <v>0</v>
      </c>
      <c r="F409" s="24">
        <f>SUM(
  SUMIFS(
  'Asset Summary'!$D:$D,
  'Asset Summary'!$A:$A,$D409,
  'Asset Summary'!$B:$B,F$407
  )
)</f>
        <v>0</v>
      </c>
      <c r="G409" s="24">
        <f>SUM(
  SUMIFS(
  'Asset Summary'!$D:$D,
  'Asset Summary'!$A:$A,$D409,
  'Asset Summary'!$B:$B,G$407
  )
)</f>
        <v>0</v>
      </c>
      <c r="H409" s="24">
        <f>SUM(
  SUMIFS(
  'Asset Summary'!$D:$D,
  'Asset Summary'!$A:$A,$D409,
  'Asset Summary'!$B:$B,H$407
  )
)</f>
        <v>0</v>
      </c>
      <c r="I409" s="24">
        <f>SUM(
  SUMIFS(
  'Asset Summary'!$D:$D,
  'Asset Summary'!$A:$A,$D409,
  'Asset Summary'!$B:$B,I$407
  )
)</f>
        <v>0</v>
      </c>
      <c r="J409" s="24">
        <f>SUM(
  SUMIFS(
  'Asset Summary'!$D:$D,
  'Asset Summary'!$A:$A,$D409,
  'Asset Summary'!$B:$B,J$407
  )
)</f>
        <v>0</v>
      </c>
      <c r="K409" s="24">
        <f>SUM(
  SUMIFS(
  'Asset Summary'!$D:$D,
  'Asset Summary'!$A:$A,$D409,
  'Asset Summary'!$B:$B,K$407
  )
)</f>
        <v>0</v>
      </c>
      <c r="L409" s="24">
        <f>SUM(
  SUMIFS(
  'Asset Summary'!$D:$D,
  'Asset Summary'!$A:$A,$D409,
  'Asset Summary'!$B:$B,L$407
  )
)</f>
        <v>0</v>
      </c>
      <c r="M409" s="24">
        <f>SUM(
  SUMIFS(
  'Asset Summary'!$D:$D,
  'Asset Summary'!$A:$A,$D409,
  'Asset Summary'!$B:$B,M$407
  )
)</f>
        <v>0</v>
      </c>
      <c r="N409" s="24">
        <f>SUM(
  SUMIFS(
  'Asset Summary'!$D:$D,
  'Asset Summary'!$A:$A,$D409,
  'Asset Summary'!$B:$B,N$407
  )
)</f>
        <v>0</v>
      </c>
      <c r="O409" s="24">
        <f>SUM(
  SUMIFS(
  'Asset Summary'!$D:$D,
  'Asset Summary'!$A:$A,$D409,
  'Asset Summary'!$B:$B,O$407
  )
)</f>
        <v>0</v>
      </c>
      <c r="P409" s="24">
        <f>SUM(
  SUMIFS(
  'Asset Summary'!$D:$D,
  'Asset Summary'!$A:$A,$D409,
  'Asset Summary'!$B:$B,P$407
  )
)</f>
        <v>0</v>
      </c>
      <c r="Q409" s="24">
        <f>SUM(
  SUMIFS(
  'Asset Summary'!$D:$D,
  'Asset Summary'!$A:$A,$D409,
  'Asset Summary'!$B:$B,Q$407
  )
)</f>
        <v>0</v>
      </c>
      <c r="R409" s="24">
        <f>SUM(
  SUMIFS(
  'Asset Summary'!$D:$D,
  'Asset Summary'!$A:$A,$D409,
  'Asset Summary'!$B:$B,R$407
  )
)</f>
        <v>0</v>
      </c>
      <c r="S409" s="24">
        <f>SUM(
  SUMIFS(
  'Asset Summary'!$D:$D,
  'Asset Summary'!$A:$A,$D409,
  'Asset Summary'!$B:$B,S$407
  )
)</f>
        <v>0</v>
      </c>
      <c r="T409" s="24">
        <f>SUM(
  SUMIFS(
  'Asset Summary'!$D:$D,
  'Asset Summary'!$A:$A,$D409,
  'Asset Summary'!$B:$B,T$407
  )
)</f>
        <v>0</v>
      </c>
      <c r="U409" s="24">
        <f>SUM(
  SUMIFS(
  'Asset Summary'!$D:$D,
  'Asset Summary'!$A:$A,$D409,
  'Asset Summary'!$B:$B,U$407
  )
)</f>
        <v>0</v>
      </c>
      <c r="V409" s="24">
        <f>SUM(
  SUMIFS(
  'Asset Summary'!$D:$D,
  'Asset Summary'!$A:$A,$D409,
  'Asset Summary'!$B:$B,V$407
  )
)</f>
        <v>0</v>
      </c>
      <c r="W409" s="24">
        <f>SUM(
  SUMIFS(
  'Asset Summary'!$D:$D,
  'Asset Summary'!$A:$A,$D409,
  'Asset Summary'!$B:$B,W$407
  )
)</f>
        <v>0</v>
      </c>
      <c r="X409" s="24">
        <f>SUM(
  SUMIFS(
  'Asset Summary'!$D:$D,
  'Asset Summary'!$A:$A,$D409,
  'Asset Summary'!$B:$B,X$407
  )
)</f>
        <v>0</v>
      </c>
      <c r="Y409" s="24">
        <f>SUM(
  SUMIFS(
  'Asset Summary'!$D:$D,
  'Asset Summary'!$A:$A,$D409,
  'Asset Summary'!$B:$B,Y$407
  )
)</f>
        <v>0</v>
      </c>
      <c r="Z409" s="24">
        <f>SUM(
  SUMIFS(
  'Asset Summary'!$D:$D,
  'Asset Summary'!$A:$A,$D409,
  'Asset Summary'!$B:$B,Z$407
  )
)</f>
        <v>0</v>
      </c>
      <c r="AA409" s="24">
        <f>SUM(
  SUMIFS(
  'Asset Summary'!$D:$D,
  'Asset Summary'!$A:$A,$D409,
  'Asset Summary'!$B:$B,AA$407
  )
)</f>
        <v>0</v>
      </c>
      <c r="AB409" s="24">
        <f>SUM(
  SUMIFS(
  'Asset Summary'!$D:$D,
  'Asset Summary'!$A:$A,$D409,
  'Asset Summary'!$B:$B,AB$407
  )
)</f>
        <v>0</v>
      </c>
      <c r="AC409" s="24">
        <f>SUM(
  SUMIFS(
  'Asset Summary'!$D:$D,
  'Asset Summary'!$A:$A,$D409,
  'Asset Summary'!$B:$B,AC$407
  )
)</f>
        <v>0</v>
      </c>
      <c r="AD409" s="24">
        <f>SUM(
  SUMIFS(
  'Asset Summary'!$D:$D,
  'Asset Summary'!$A:$A,$D409,
  'Asset Summary'!$B:$B,AD$407
  )
)</f>
        <v>0</v>
      </c>
      <c r="AH409" s="34" t="s">
        <v>422</v>
      </c>
    </row>
    <row r="410" spans="2:34" outlineLevel="1" x14ac:dyDescent="0.2">
      <c r="D410" s="8" t="s">
        <v>259</v>
      </c>
      <c r="E410" s="24">
        <f>SUM(
  SUMIFS(
  'Asset Summary'!$D:$D,
  'Asset Summary'!$A:$A,$D410,
  'Asset Summary'!$B:$B,E$407
  )
)</f>
        <v>0</v>
      </c>
      <c r="F410" s="24">
        <f>SUM(
  SUMIFS(
  'Asset Summary'!$D:$D,
  'Asset Summary'!$A:$A,$D410,
  'Asset Summary'!$B:$B,F$407
  )
)</f>
        <v>0</v>
      </c>
      <c r="G410" s="24">
        <f>SUM(
  SUMIFS(
  'Asset Summary'!$D:$D,
  'Asset Summary'!$A:$A,$D410,
  'Asset Summary'!$B:$B,G$407
  )
)</f>
        <v>0</v>
      </c>
      <c r="H410" s="24">
        <f>SUM(
  SUMIFS(
  'Asset Summary'!$D:$D,
  'Asset Summary'!$A:$A,$D410,
  'Asset Summary'!$B:$B,H$407
  )
)</f>
        <v>0</v>
      </c>
      <c r="I410" s="24">
        <f>SUM(
  SUMIFS(
  'Asset Summary'!$D:$D,
  'Asset Summary'!$A:$A,$D410,
  'Asset Summary'!$B:$B,I$407
  )
)</f>
        <v>0</v>
      </c>
      <c r="J410" s="24">
        <f>SUM(
  SUMIFS(
  'Asset Summary'!$D:$D,
  'Asset Summary'!$A:$A,$D410,
  'Asset Summary'!$B:$B,J$407
  )
)</f>
        <v>0</v>
      </c>
      <c r="K410" s="24">
        <f>SUM(
  SUMIFS(
  'Asset Summary'!$D:$D,
  'Asset Summary'!$A:$A,$D410,
  'Asset Summary'!$B:$B,K$407
  )
)</f>
        <v>0</v>
      </c>
      <c r="L410" s="24">
        <f>SUM(
  SUMIFS(
  'Asset Summary'!$D:$D,
  'Asset Summary'!$A:$A,$D410,
  'Asset Summary'!$B:$B,L$407
  )
)</f>
        <v>0</v>
      </c>
      <c r="M410" s="24">
        <f>SUM(
  SUMIFS(
  'Asset Summary'!$D:$D,
  'Asset Summary'!$A:$A,$D410,
  'Asset Summary'!$B:$B,M$407
  )
)</f>
        <v>0</v>
      </c>
      <c r="N410" s="24">
        <f>SUM(
  SUMIFS(
  'Asset Summary'!$D:$D,
  'Asset Summary'!$A:$A,$D410,
  'Asset Summary'!$B:$B,N$407
  )
)</f>
        <v>0</v>
      </c>
      <c r="O410" s="24">
        <f>SUM(
  SUMIFS(
  'Asset Summary'!$D:$D,
  'Asset Summary'!$A:$A,$D410,
  'Asset Summary'!$B:$B,O$407
  )
)</f>
        <v>0</v>
      </c>
      <c r="P410" s="24">
        <f>SUM(
  SUMIFS(
  'Asset Summary'!$D:$D,
  'Asset Summary'!$A:$A,$D410,
  'Asset Summary'!$B:$B,P$407
  )
)</f>
        <v>0</v>
      </c>
      <c r="Q410" s="24">
        <f>SUM(
  SUMIFS(
  'Asset Summary'!$D:$D,
  'Asset Summary'!$A:$A,$D410,
  'Asset Summary'!$B:$B,Q$407
  )
)</f>
        <v>0</v>
      </c>
      <c r="R410" s="24">
        <f>SUM(
  SUMIFS(
  'Asset Summary'!$D:$D,
  'Asset Summary'!$A:$A,$D410,
  'Asset Summary'!$B:$B,R$407
  )
)</f>
        <v>0</v>
      </c>
      <c r="S410" s="24">
        <f>SUM(
  SUMIFS(
  'Asset Summary'!$D:$D,
  'Asset Summary'!$A:$A,$D410,
  'Asset Summary'!$B:$B,S$407
  )
)</f>
        <v>0</v>
      </c>
      <c r="T410" s="24">
        <f>SUM(
  SUMIFS(
  'Asset Summary'!$D:$D,
  'Asset Summary'!$A:$A,$D410,
  'Asset Summary'!$B:$B,T$407
  )
)</f>
        <v>0</v>
      </c>
      <c r="U410" s="24">
        <f>SUM(
  SUMIFS(
  'Asset Summary'!$D:$D,
  'Asset Summary'!$A:$A,$D410,
  'Asset Summary'!$B:$B,U$407
  )
)</f>
        <v>0</v>
      </c>
      <c r="V410" s="24">
        <f>SUM(
  SUMIFS(
  'Asset Summary'!$D:$D,
  'Asset Summary'!$A:$A,$D410,
  'Asset Summary'!$B:$B,V$407
  )
)</f>
        <v>0</v>
      </c>
      <c r="W410" s="24">
        <f>SUM(
  SUMIFS(
  'Asset Summary'!$D:$D,
  'Asset Summary'!$A:$A,$D410,
  'Asset Summary'!$B:$B,W$407
  )
)</f>
        <v>0</v>
      </c>
      <c r="X410" s="24">
        <f>SUM(
  SUMIFS(
  'Asset Summary'!$D:$D,
  'Asset Summary'!$A:$A,$D410,
  'Asset Summary'!$B:$B,X$407
  )
)</f>
        <v>0</v>
      </c>
      <c r="Y410" s="24">
        <f>SUM(
  SUMIFS(
  'Asset Summary'!$D:$D,
  'Asset Summary'!$A:$A,$D410,
  'Asset Summary'!$B:$B,Y$407
  )
)</f>
        <v>0</v>
      </c>
      <c r="Z410" s="24">
        <f>SUM(
  SUMIFS(
  'Asset Summary'!$D:$D,
  'Asset Summary'!$A:$A,$D410,
  'Asset Summary'!$B:$B,Z$407
  )
)</f>
        <v>0</v>
      </c>
      <c r="AA410" s="24">
        <f>SUM(
  SUMIFS(
  'Asset Summary'!$D:$D,
  'Asset Summary'!$A:$A,$D410,
  'Asset Summary'!$B:$B,AA$407
  )
)</f>
        <v>0</v>
      </c>
      <c r="AB410" s="24">
        <f>SUM(
  SUMIFS(
  'Asset Summary'!$D:$D,
  'Asset Summary'!$A:$A,$D410,
  'Asset Summary'!$B:$B,AB$407
  )
)</f>
        <v>0</v>
      </c>
      <c r="AC410" s="24">
        <f>SUM(
  SUMIFS(
  'Asset Summary'!$D:$D,
  'Asset Summary'!$A:$A,$D410,
  'Asset Summary'!$B:$B,AC$407
  )
)</f>
        <v>0</v>
      </c>
      <c r="AD410" s="24">
        <f>SUM(
  SUMIFS(
  'Asset Summary'!$D:$D,
  'Asset Summary'!$A:$A,$D410,
  'Asset Summary'!$B:$B,AD$407
  )
)</f>
        <v>0</v>
      </c>
      <c r="AH410" s="34" t="s">
        <v>422</v>
      </c>
    </row>
    <row r="411" spans="2:34" outlineLevel="1" x14ac:dyDescent="0.2">
      <c r="D411" s="8" t="s">
        <v>260</v>
      </c>
      <c r="E411" s="24">
        <f>SUM(
  SUMIFS(
  'Asset Summary'!$D:$D,
  'Asset Summary'!$A:$A,$D411,
  'Asset Summary'!$B:$B,E$407
  )
)</f>
        <v>0</v>
      </c>
      <c r="F411" s="24">
        <f>SUM(
  SUMIFS(
  'Asset Summary'!$D:$D,
  'Asset Summary'!$A:$A,$D411,
  'Asset Summary'!$B:$B,F$407
  )
)</f>
        <v>0</v>
      </c>
      <c r="G411" s="24">
        <f>SUM(
  SUMIFS(
  'Asset Summary'!$D:$D,
  'Asset Summary'!$A:$A,$D411,
  'Asset Summary'!$B:$B,G$407
  )
)</f>
        <v>0</v>
      </c>
      <c r="H411" s="24">
        <f>SUM(
  SUMIFS(
  'Asset Summary'!$D:$D,
  'Asset Summary'!$A:$A,$D411,
  'Asset Summary'!$B:$B,H$407
  )
)</f>
        <v>0</v>
      </c>
      <c r="I411" s="24">
        <f>SUM(
  SUMIFS(
  'Asset Summary'!$D:$D,
  'Asset Summary'!$A:$A,$D411,
  'Asset Summary'!$B:$B,I$407
  )
)</f>
        <v>0</v>
      </c>
      <c r="J411" s="24">
        <f>SUM(
  SUMIFS(
  'Asset Summary'!$D:$D,
  'Asset Summary'!$A:$A,$D411,
  'Asset Summary'!$B:$B,J$407
  )
)</f>
        <v>0</v>
      </c>
      <c r="K411" s="24">
        <f>SUM(
  SUMIFS(
  'Asset Summary'!$D:$D,
  'Asset Summary'!$A:$A,$D411,
  'Asset Summary'!$B:$B,K$407
  )
)</f>
        <v>0</v>
      </c>
      <c r="L411" s="24">
        <f>SUM(
  SUMIFS(
  'Asset Summary'!$D:$D,
  'Asset Summary'!$A:$A,$D411,
  'Asset Summary'!$B:$B,L$407
  )
)</f>
        <v>0</v>
      </c>
      <c r="M411" s="24">
        <f>SUM(
  SUMIFS(
  'Asset Summary'!$D:$D,
  'Asset Summary'!$A:$A,$D411,
  'Asset Summary'!$B:$B,M$407
  )
)</f>
        <v>0</v>
      </c>
      <c r="N411" s="24">
        <f>SUM(
  SUMIFS(
  'Asset Summary'!$D:$D,
  'Asset Summary'!$A:$A,$D411,
  'Asset Summary'!$B:$B,N$407
  )
)</f>
        <v>0</v>
      </c>
      <c r="O411" s="24">
        <f>SUM(
  SUMIFS(
  'Asset Summary'!$D:$D,
  'Asset Summary'!$A:$A,$D411,
  'Asset Summary'!$B:$B,O$407
  )
)</f>
        <v>0</v>
      </c>
      <c r="P411" s="24">
        <f>SUM(
  SUMIFS(
  'Asset Summary'!$D:$D,
  'Asset Summary'!$A:$A,$D411,
  'Asset Summary'!$B:$B,P$407
  )
)</f>
        <v>0</v>
      </c>
      <c r="Q411" s="24">
        <f>SUM(
  SUMIFS(
  'Asset Summary'!$D:$D,
  'Asset Summary'!$A:$A,$D411,
  'Asset Summary'!$B:$B,Q$407
  )
)</f>
        <v>0</v>
      </c>
      <c r="R411" s="24">
        <f>SUM(
  SUMIFS(
  'Asset Summary'!$D:$D,
  'Asset Summary'!$A:$A,$D411,
  'Asset Summary'!$B:$B,R$407
  )
)</f>
        <v>0</v>
      </c>
      <c r="S411" s="24">
        <f>SUM(
  SUMIFS(
  'Asset Summary'!$D:$D,
  'Asset Summary'!$A:$A,$D411,
  'Asset Summary'!$B:$B,S$407
  )
)</f>
        <v>0</v>
      </c>
      <c r="T411" s="24">
        <f>SUM(
  SUMIFS(
  'Asset Summary'!$D:$D,
  'Asset Summary'!$A:$A,$D411,
  'Asset Summary'!$B:$B,T$407
  )
)</f>
        <v>0</v>
      </c>
      <c r="U411" s="24">
        <f>SUM(
  SUMIFS(
  'Asset Summary'!$D:$D,
  'Asset Summary'!$A:$A,$D411,
  'Asset Summary'!$B:$B,U$407
  )
)</f>
        <v>0</v>
      </c>
      <c r="V411" s="24">
        <f>SUM(
  SUMIFS(
  'Asset Summary'!$D:$D,
  'Asset Summary'!$A:$A,$D411,
  'Asset Summary'!$B:$B,V$407
  )
)</f>
        <v>0</v>
      </c>
      <c r="W411" s="24">
        <f>SUM(
  SUMIFS(
  'Asset Summary'!$D:$D,
  'Asset Summary'!$A:$A,$D411,
  'Asset Summary'!$B:$B,W$407
  )
)</f>
        <v>0</v>
      </c>
      <c r="X411" s="24">
        <f>SUM(
  SUMIFS(
  'Asset Summary'!$D:$D,
  'Asset Summary'!$A:$A,$D411,
  'Asset Summary'!$B:$B,X$407
  )
)</f>
        <v>0</v>
      </c>
      <c r="Y411" s="24">
        <f>SUM(
  SUMIFS(
  'Asset Summary'!$D:$D,
  'Asset Summary'!$A:$A,$D411,
  'Asset Summary'!$B:$B,Y$407
  )
)</f>
        <v>0</v>
      </c>
      <c r="Z411" s="24">
        <f>SUM(
  SUMIFS(
  'Asset Summary'!$D:$D,
  'Asset Summary'!$A:$A,$D411,
  'Asset Summary'!$B:$B,Z$407
  )
)</f>
        <v>0</v>
      </c>
      <c r="AA411" s="24">
        <f>SUM(
  SUMIFS(
  'Asset Summary'!$D:$D,
  'Asset Summary'!$A:$A,$D411,
  'Asset Summary'!$B:$B,AA$407
  )
)</f>
        <v>0</v>
      </c>
      <c r="AB411" s="24">
        <f>SUM(
  SUMIFS(
  'Asset Summary'!$D:$D,
  'Asset Summary'!$A:$A,$D411,
  'Asset Summary'!$B:$B,AB$407
  )
)</f>
        <v>0</v>
      </c>
      <c r="AC411" s="24">
        <f>SUM(
  SUMIFS(
  'Asset Summary'!$D:$D,
  'Asset Summary'!$A:$A,$D411,
  'Asset Summary'!$B:$B,AC$407
  )
)</f>
        <v>0</v>
      </c>
      <c r="AD411" s="24">
        <f>SUM(
  SUMIFS(
  'Asset Summary'!$D:$D,
  'Asset Summary'!$A:$A,$D411,
  'Asset Summary'!$B:$B,AD$407
  )
)</f>
        <v>0</v>
      </c>
      <c r="AH411" s="34" t="s">
        <v>422</v>
      </c>
    </row>
    <row r="412" spans="2:34" outlineLevel="1" x14ac:dyDescent="0.2">
      <c r="D412" s="8" t="s">
        <v>261</v>
      </c>
      <c r="E412" s="24">
        <f>SUM(
  SUMIFS(
  'Asset Summary'!$D:$D,
  'Asset Summary'!$A:$A,$D412,
  'Asset Summary'!$B:$B,E$407
  )
)</f>
        <v>0</v>
      </c>
      <c r="F412" s="24">
        <f>SUM(
  SUMIFS(
  'Asset Summary'!$D:$D,
  'Asset Summary'!$A:$A,$D412,
  'Asset Summary'!$B:$B,F$407
  )
)</f>
        <v>0</v>
      </c>
      <c r="G412" s="24">
        <f>SUM(
  SUMIFS(
  'Asset Summary'!$D:$D,
  'Asset Summary'!$A:$A,$D412,
  'Asset Summary'!$B:$B,G$407
  )
)</f>
        <v>0</v>
      </c>
      <c r="H412" s="24">
        <f>SUM(
  SUMIFS(
  'Asset Summary'!$D:$D,
  'Asset Summary'!$A:$A,$D412,
  'Asset Summary'!$B:$B,H$407
  )
)</f>
        <v>0</v>
      </c>
      <c r="I412" s="24">
        <f>SUM(
  SUMIFS(
  'Asset Summary'!$D:$D,
  'Asset Summary'!$A:$A,$D412,
  'Asset Summary'!$B:$B,I$407
  )
)</f>
        <v>0</v>
      </c>
      <c r="J412" s="24">
        <f>SUM(
  SUMIFS(
  'Asset Summary'!$D:$D,
  'Asset Summary'!$A:$A,$D412,
  'Asset Summary'!$B:$B,J$407
  )
)</f>
        <v>0</v>
      </c>
      <c r="K412" s="24">
        <f>SUM(
  SUMIFS(
  'Asset Summary'!$D:$D,
  'Asset Summary'!$A:$A,$D412,
  'Asset Summary'!$B:$B,K$407
  )
)</f>
        <v>0</v>
      </c>
      <c r="L412" s="24">
        <f>SUM(
  SUMIFS(
  'Asset Summary'!$D:$D,
  'Asset Summary'!$A:$A,$D412,
  'Asset Summary'!$B:$B,L$407
  )
)</f>
        <v>0</v>
      </c>
      <c r="M412" s="24">
        <f>SUM(
  SUMIFS(
  'Asset Summary'!$D:$D,
  'Asset Summary'!$A:$A,$D412,
  'Asset Summary'!$B:$B,M$407
  )
)</f>
        <v>0</v>
      </c>
      <c r="N412" s="24">
        <f>SUM(
  SUMIFS(
  'Asset Summary'!$D:$D,
  'Asset Summary'!$A:$A,$D412,
  'Asset Summary'!$B:$B,N$407
  )
)</f>
        <v>0</v>
      </c>
      <c r="O412" s="24">
        <f>SUM(
  SUMIFS(
  'Asset Summary'!$D:$D,
  'Asset Summary'!$A:$A,$D412,
  'Asset Summary'!$B:$B,O$407
  )
)</f>
        <v>0</v>
      </c>
      <c r="P412" s="24">
        <f>SUM(
  SUMIFS(
  'Asset Summary'!$D:$D,
  'Asset Summary'!$A:$A,$D412,
  'Asset Summary'!$B:$B,P$407
  )
)</f>
        <v>0</v>
      </c>
      <c r="Q412" s="24">
        <f>SUM(
  SUMIFS(
  'Asset Summary'!$D:$D,
  'Asset Summary'!$A:$A,$D412,
  'Asset Summary'!$B:$B,Q$407
  )
)</f>
        <v>0</v>
      </c>
      <c r="R412" s="24">
        <f>SUM(
  SUMIFS(
  'Asset Summary'!$D:$D,
  'Asset Summary'!$A:$A,$D412,
  'Asset Summary'!$B:$B,R$407
  )
)</f>
        <v>0</v>
      </c>
      <c r="S412" s="24">
        <f>SUM(
  SUMIFS(
  'Asset Summary'!$D:$D,
  'Asset Summary'!$A:$A,$D412,
  'Asset Summary'!$B:$B,S$407
  )
)</f>
        <v>0</v>
      </c>
      <c r="T412" s="24">
        <f>SUM(
  SUMIFS(
  'Asset Summary'!$D:$D,
  'Asset Summary'!$A:$A,$D412,
  'Asset Summary'!$B:$B,T$407
  )
)</f>
        <v>0</v>
      </c>
      <c r="U412" s="24">
        <f>SUM(
  SUMIFS(
  'Asset Summary'!$D:$D,
  'Asset Summary'!$A:$A,$D412,
  'Asset Summary'!$B:$B,U$407
  )
)</f>
        <v>0</v>
      </c>
      <c r="V412" s="24">
        <f>SUM(
  SUMIFS(
  'Asset Summary'!$D:$D,
  'Asset Summary'!$A:$A,$D412,
  'Asset Summary'!$B:$B,V$407
  )
)</f>
        <v>0</v>
      </c>
      <c r="W412" s="24">
        <f>SUM(
  SUMIFS(
  'Asset Summary'!$D:$D,
  'Asset Summary'!$A:$A,$D412,
  'Asset Summary'!$B:$B,W$407
  )
)</f>
        <v>0</v>
      </c>
      <c r="X412" s="24">
        <f>SUM(
  SUMIFS(
  'Asset Summary'!$D:$D,
  'Asset Summary'!$A:$A,$D412,
  'Asset Summary'!$B:$B,X$407
  )
)</f>
        <v>0</v>
      </c>
      <c r="Y412" s="24">
        <f>SUM(
  SUMIFS(
  'Asset Summary'!$D:$D,
  'Asset Summary'!$A:$A,$D412,
  'Asset Summary'!$B:$B,Y$407
  )
)</f>
        <v>0</v>
      </c>
      <c r="Z412" s="24">
        <f>SUM(
  SUMIFS(
  'Asset Summary'!$D:$D,
  'Asset Summary'!$A:$A,$D412,
  'Asset Summary'!$B:$B,Z$407
  )
)</f>
        <v>0</v>
      </c>
      <c r="AA412" s="24">
        <f>SUM(
  SUMIFS(
  'Asset Summary'!$D:$D,
  'Asset Summary'!$A:$A,$D412,
  'Asset Summary'!$B:$B,AA$407
  )
)</f>
        <v>0</v>
      </c>
      <c r="AB412" s="24">
        <f>SUM(
  SUMIFS(
  'Asset Summary'!$D:$D,
  'Asset Summary'!$A:$A,$D412,
  'Asset Summary'!$B:$B,AB$407
  )
)</f>
        <v>0</v>
      </c>
      <c r="AC412" s="24">
        <f>SUM(
  SUMIFS(
  'Asset Summary'!$D:$D,
  'Asset Summary'!$A:$A,$D412,
  'Asset Summary'!$B:$B,AC$407
  )
)</f>
        <v>0</v>
      </c>
      <c r="AD412" s="24">
        <f>SUM(
  SUMIFS(
  'Asset Summary'!$D:$D,
  'Asset Summary'!$A:$A,$D412,
  'Asset Summary'!$B:$B,AD$407
  )
)</f>
        <v>0</v>
      </c>
      <c r="AH412" s="34" t="s">
        <v>422</v>
      </c>
    </row>
    <row r="413" spans="2:34" outlineLevel="1" x14ac:dyDescent="0.2">
      <c r="D413" s="8" t="s">
        <v>262</v>
      </c>
      <c r="E413" s="24">
        <f>SUM(
  SUMIFS(
  'Asset Summary'!$D:$D,
  'Asset Summary'!$A:$A,$D413,
  'Asset Summary'!$B:$B,E$407
  )
)</f>
        <v>0</v>
      </c>
      <c r="F413" s="24">
        <f>SUM(
  SUMIFS(
  'Asset Summary'!$D:$D,
  'Asset Summary'!$A:$A,$D413,
  'Asset Summary'!$B:$B,F$407
  )
)</f>
        <v>0</v>
      </c>
      <c r="G413" s="24">
        <f>SUM(
  SUMIFS(
  'Asset Summary'!$D:$D,
  'Asset Summary'!$A:$A,$D413,
  'Asset Summary'!$B:$B,G$407
  )
)</f>
        <v>0</v>
      </c>
      <c r="H413" s="24">
        <f>SUM(
  SUMIFS(
  'Asset Summary'!$D:$D,
  'Asset Summary'!$A:$A,$D413,
  'Asset Summary'!$B:$B,H$407
  )
)</f>
        <v>0</v>
      </c>
      <c r="I413" s="24">
        <f>SUM(
  SUMIFS(
  'Asset Summary'!$D:$D,
  'Asset Summary'!$A:$A,$D413,
  'Asset Summary'!$B:$B,I$407
  )
)</f>
        <v>0</v>
      </c>
      <c r="J413" s="24">
        <f>SUM(
  SUMIFS(
  'Asset Summary'!$D:$D,
  'Asset Summary'!$A:$A,$D413,
  'Asset Summary'!$B:$B,J$407
  )
)</f>
        <v>0</v>
      </c>
      <c r="K413" s="24">
        <f>SUM(
  SUMIFS(
  'Asset Summary'!$D:$D,
  'Asset Summary'!$A:$A,$D413,
  'Asset Summary'!$B:$B,K$407
  )
)</f>
        <v>0</v>
      </c>
      <c r="L413" s="24">
        <f>SUM(
  SUMIFS(
  'Asset Summary'!$D:$D,
  'Asset Summary'!$A:$A,$D413,
  'Asset Summary'!$B:$B,L$407
  )
)</f>
        <v>0</v>
      </c>
      <c r="M413" s="24">
        <f>SUM(
  SUMIFS(
  'Asset Summary'!$D:$D,
  'Asset Summary'!$A:$A,$D413,
  'Asset Summary'!$B:$B,M$407
  )
)</f>
        <v>0</v>
      </c>
      <c r="N413" s="24">
        <f>SUM(
  SUMIFS(
  'Asset Summary'!$D:$D,
  'Asset Summary'!$A:$A,$D413,
  'Asset Summary'!$B:$B,N$407
  )
)</f>
        <v>0</v>
      </c>
      <c r="O413" s="24">
        <f>SUM(
  SUMIFS(
  'Asset Summary'!$D:$D,
  'Asset Summary'!$A:$A,$D413,
  'Asset Summary'!$B:$B,O$407
  )
)</f>
        <v>0</v>
      </c>
      <c r="P413" s="24">
        <f>SUM(
  SUMIFS(
  'Asset Summary'!$D:$D,
  'Asset Summary'!$A:$A,$D413,
  'Asset Summary'!$B:$B,P$407
  )
)</f>
        <v>0</v>
      </c>
      <c r="Q413" s="24">
        <f>SUM(
  SUMIFS(
  'Asset Summary'!$D:$D,
  'Asset Summary'!$A:$A,$D413,
  'Asset Summary'!$B:$B,Q$407
  )
)</f>
        <v>0</v>
      </c>
      <c r="R413" s="24">
        <f>SUM(
  SUMIFS(
  'Asset Summary'!$D:$D,
  'Asset Summary'!$A:$A,$D413,
  'Asset Summary'!$B:$B,R$407
  )
)</f>
        <v>0</v>
      </c>
      <c r="S413" s="24">
        <f>SUM(
  SUMIFS(
  'Asset Summary'!$D:$D,
  'Asset Summary'!$A:$A,$D413,
  'Asset Summary'!$B:$B,S$407
  )
)</f>
        <v>0</v>
      </c>
      <c r="T413" s="24">
        <f>SUM(
  SUMIFS(
  'Asset Summary'!$D:$D,
  'Asset Summary'!$A:$A,$D413,
  'Asset Summary'!$B:$B,T$407
  )
)</f>
        <v>0</v>
      </c>
      <c r="U413" s="24">
        <f>SUM(
  SUMIFS(
  'Asset Summary'!$D:$D,
  'Asset Summary'!$A:$A,$D413,
  'Asset Summary'!$B:$B,U$407
  )
)</f>
        <v>0</v>
      </c>
      <c r="V413" s="24">
        <f>SUM(
  SUMIFS(
  'Asset Summary'!$D:$D,
  'Asset Summary'!$A:$A,$D413,
  'Asset Summary'!$B:$B,V$407
  )
)</f>
        <v>0</v>
      </c>
      <c r="W413" s="24">
        <f>SUM(
  SUMIFS(
  'Asset Summary'!$D:$D,
  'Asset Summary'!$A:$A,$D413,
  'Asset Summary'!$B:$B,W$407
  )
)</f>
        <v>0</v>
      </c>
      <c r="X413" s="24">
        <f>SUM(
  SUMIFS(
  'Asset Summary'!$D:$D,
  'Asset Summary'!$A:$A,$D413,
  'Asset Summary'!$B:$B,X$407
  )
)</f>
        <v>0</v>
      </c>
      <c r="Y413" s="24">
        <f>SUM(
  SUMIFS(
  'Asset Summary'!$D:$D,
  'Asset Summary'!$A:$A,$D413,
  'Asset Summary'!$B:$B,Y$407
  )
)</f>
        <v>0</v>
      </c>
      <c r="Z413" s="24">
        <f>SUM(
  SUMIFS(
  'Asset Summary'!$D:$D,
  'Asset Summary'!$A:$A,$D413,
  'Asset Summary'!$B:$B,Z$407
  )
)</f>
        <v>0</v>
      </c>
      <c r="AA413" s="24">
        <f>SUM(
  SUMIFS(
  'Asset Summary'!$D:$D,
  'Asset Summary'!$A:$A,$D413,
  'Asset Summary'!$B:$B,AA$407
  )
)</f>
        <v>0</v>
      </c>
      <c r="AB413" s="24">
        <f>SUM(
  SUMIFS(
  'Asset Summary'!$D:$D,
  'Asset Summary'!$A:$A,$D413,
  'Asset Summary'!$B:$B,AB$407
  )
)</f>
        <v>0</v>
      </c>
      <c r="AC413" s="24">
        <f>SUM(
  SUMIFS(
  'Asset Summary'!$D:$D,
  'Asset Summary'!$A:$A,$D413,
  'Asset Summary'!$B:$B,AC$407
  )
)</f>
        <v>0</v>
      </c>
      <c r="AD413" s="24">
        <f>SUM(
  SUMIFS(
  'Asset Summary'!$D:$D,
  'Asset Summary'!$A:$A,$D413,
  'Asset Summary'!$B:$B,AD$407
  )
)</f>
        <v>400</v>
      </c>
      <c r="AH413" s="34" t="s">
        <v>422</v>
      </c>
    </row>
    <row r="414" spans="2:34" outlineLevel="1" x14ac:dyDescent="0.2">
      <c r="D414" s="8" t="s">
        <v>263</v>
      </c>
      <c r="E414" s="24">
        <f>SUM(
  SUMIFS(
  'Asset Summary'!$D:$D,
  'Asset Summary'!$A:$A,$D414,
  'Asset Summary'!$B:$B,E$407
  )
)</f>
        <v>0</v>
      </c>
      <c r="F414" s="24">
        <f>SUM(
  SUMIFS(
  'Asset Summary'!$D:$D,
  'Asset Summary'!$A:$A,$D414,
  'Asset Summary'!$B:$B,F$407
  )
)</f>
        <v>0</v>
      </c>
      <c r="G414" s="24">
        <f>SUM(
  SUMIFS(
  'Asset Summary'!$D:$D,
  'Asset Summary'!$A:$A,$D414,
  'Asset Summary'!$B:$B,G$407
  )
)</f>
        <v>0</v>
      </c>
      <c r="H414" s="24">
        <f>SUM(
  SUMIFS(
  'Asset Summary'!$D:$D,
  'Asset Summary'!$A:$A,$D414,
  'Asset Summary'!$B:$B,H$407
  )
)</f>
        <v>0</v>
      </c>
      <c r="I414" s="24">
        <f>SUM(
  SUMIFS(
  'Asset Summary'!$D:$D,
  'Asset Summary'!$A:$A,$D414,
  'Asset Summary'!$B:$B,I$407
  )
)</f>
        <v>0</v>
      </c>
      <c r="J414" s="24">
        <f>SUM(
  SUMIFS(
  'Asset Summary'!$D:$D,
  'Asset Summary'!$A:$A,$D414,
  'Asset Summary'!$B:$B,J$407
  )
)</f>
        <v>0</v>
      </c>
      <c r="K414" s="24">
        <f>SUM(
  SUMIFS(
  'Asset Summary'!$D:$D,
  'Asset Summary'!$A:$A,$D414,
  'Asset Summary'!$B:$B,K$407
  )
)</f>
        <v>0</v>
      </c>
      <c r="L414" s="24">
        <f>SUM(
  SUMIFS(
  'Asset Summary'!$D:$D,
  'Asset Summary'!$A:$A,$D414,
  'Asset Summary'!$B:$B,L$407
  )
)</f>
        <v>0</v>
      </c>
      <c r="M414" s="24">
        <f>SUM(
  SUMIFS(
  'Asset Summary'!$D:$D,
  'Asset Summary'!$A:$A,$D414,
  'Asset Summary'!$B:$B,M$407
  )
)</f>
        <v>0</v>
      </c>
      <c r="N414" s="24">
        <f>SUM(
  SUMIFS(
  'Asset Summary'!$D:$D,
  'Asset Summary'!$A:$A,$D414,
  'Asset Summary'!$B:$B,N$407
  )
)</f>
        <v>0</v>
      </c>
      <c r="O414" s="24">
        <f>SUM(
  SUMIFS(
  'Asset Summary'!$D:$D,
  'Asset Summary'!$A:$A,$D414,
  'Asset Summary'!$B:$B,O$407
  )
)</f>
        <v>0</v>
      </c>
      <c r="P414" s="24">
        <f>SUM(
  SUMIFS(
  'Asset Summary'!$D:$D,
  'Asset Summary'!$A:$A,$D414,
  'Asset Summary'!$B:$B,P$407
  )
)</f>
        <v>0</v>
      </c>
      <c r="Q414" s="24">
        <f>SUM(
  SUMIFS(
  'Asset Summary'!$D:$D,
  'Asset Summary'!$A:$A,$D414,
  'Asset Summary'!$B:$B,Q$407
  )
)</f>
        <v>0</v>
      </c>
      <c r="R414" s="24">
        <f>SUM(
  SUMIFS(
  'Asset Summary'!$D:$D,
  'Asset Summary'!$A:$A,$D414,
  'Asset Summary'!$B:$B,R$407
  )
)</f>
        <v>0</v>
      </c>
      <c r="S414" s="24">
        <f>SUM(
  SUMIFS(
  'Asset Summary'!$D:$D,
  'Asset Summary'!$A:$A,$D414,
  'Asset Summary'!$B:$B,S$407
  )
)</f>
        <v>0</v>
      </c>
      <c r="T414" s="24">
        <f>SUM(
  SUMIFS(
  'Asset Summary'!$D:$D,
  'Asset Summary'!$A:$A,$D414,
  'Asset Summary'!$B:$B,T$407
  )
)</f>
        <v>0</v>
      </c>
      <c r="U414" s="24">
        <f>SUM(
  SUMIFS(
  'Asset Summary'!$D:$D,
  'Asset Summary'!$A:$A,$D414,
  'Asset Summary'!$B:$B,U$407
  )
)</f>
        <v>0</v>
      </c>
      <c r="V414" s="24">
        <f>SUM(
  SUMIFS(
  'Asset Summary'!$D:$D,
  'Asset Summary'!$A:$A,$D414,
  'Asset Summary'!$B:$B,V$407
  )
)</f>
        <v>0</v>
      </c>
      <c r="W414" s="24">
        <f>SUM(
  SUMIFS(
  'Asset Summary'!$D:$D,
  'Asset Summary'!$A:$A,$D414,
  'Asset Summary'!$B:$B,W$407
  )
)</f>
        <v>0</v>
      </c>
      <c r="X414" s="24">
        <f>SUM(
  SUMIFS(
  'Asset Summary'!$D:$D,
  'Asset Summary'!$A:$A,$D414,
  'Asset Summary'!$B:$B,X$407
  )
)</f>
        <v>0</v>
      </c>
      <c r="Y414" s="24">
        <f>SUM(
  SUMIFS(
  'Asset Summary'!$D:$D,
  'Asset Summary'!$A:$A,$D414,
  'Asset Summary'!$B:$B,Y$407
  )
)</f>
        <v>0</v>
      </c>
      <c r="Z414" s="24">
        <f>SUM(
  SUMIFS(
  'Asset Summary'!$D:$D,
  'Asset Summary'!$A:$A,$D414,
  'Asset Summary'!$B:$B,Z$407
  )
)</f>
        <v>0</v>
      </c>
      <c r="AA414" s="24">
        <f>SUM(
  SUMIFS(
  'Asset Summary'!$D:$D,
  'Asset Summary'!$A:$A,$D414,
  'Asset Summary'!$B:$B,AA$407
  )
)</f>
        <v>0</v>
      </c>
      <c r="AB414" s="24">
        <f>SUM(
  SUMIFS(
  'Asset Summary'!$D:$D,
  'Asset Summary'!$A:$A,$D414,
  'Asset Summary'!$B:$B,AB$407
  )
)</f>
        <v>0</v>
      </c>
      <c r="AC414" s="24">
        <f>SUM(
  SUMIFS(
  'Asset Summary'!$D:$D,
  'Asset Summary'!$A:$A,$D414,
  'Asset Summary'!$B:$B,AC$407
  )
)</f>
        <v>0</v>
      </c>
      <c r="AD414" s="24">
        <f>SUM(
  SUMIFS(
  'Asset Summary'!$D:$D,
  'Asset Summary'!$A:$A,$D414,
  'Asset Summary'!$B:$B,AD$407
  )
)</f>
        <v>0</v>
      </c>
      <c r="AH414" s="34" t="s">
        <v>422</v>
      </c>
    </row>
    <row r="415" spans="2:34" outlineLevel="1" x14ac:dyDescent="0.2">
      <c r="D415" s="8" t="s">
        <v>264</v>
      </c>
      <c r="E415" s="24">
        <f>SUM(
  SUMIFS(
  'Asset Summary'!$D:$D,
  'Asset Summary'!$A:$A,$D415,
  'Asset Summary'!$B:$B,E$407
  )
)</f>
        <v>0</v>
      </c>
      <c r="F415" s="24">
        <f>SUM(
  SUMIFS(
  'Asset Summary'!$D:$D,
  'Asset Summary'!$A:$A,$D415,
  'Asset Summary'!$B:$B,F$407
  )
)</f>
        <v>0</v>
      </c>
      <c r="G415" s="24">
        <f>SUM(
  SUMIFS(
  'Asset Summary'!$D:$D,
  'Asset Summary'!$A:$A,$D415,
  'Asset Summary'!$B:$B,G$407
  )
)</f>
        <v>0</v>
      </c>
      <c r="H415" s="24">
        <f>SUM(
  SUMIFS(
  'Asset Summary'!$D:$D,
  'Asset Summary'!$A:$A,$D415,
  'Asset Summary'!$B:$B,H$407
  )
)</f>
        <v>0</v>
      </c>
      <c r="I415" s="24">
        <f>SUM(
  SUMIFS(
  'Asset Summary'!$D:$D,
  'Asset Summary'!$A:$A,$D415,
  'Asset Summary'!$B:$B,I$407
  )
)</f>
        <v>0</v>
      </c>
      <c r="J415" s="24">
        <f>SUM(
  SUMIFS(
  'Asset Summary'!$D:$D,
  'Asset Summary'!$A:$A,$D415,
  'Asset Summary'!$B:$B,J$407
  )
)</f>
        <v>0</v>
      </c>
      <c r="K415" s="24">
        <f>SUM(
  SUMIFS(
  'Asset Summary'!$D:$D,
  'Asset Summary'!$A:$A,$D415,
  'Asset Summary'!$B:$B,K$407
  )
)</f>
        <v>0</v>
      </c>
      <c r="L415" s="24">
        <f>SUM(
  SUMIFS(
  'Asset Summary'!$D:$D,
  'Asset Summary'!$A:$A,$D415,
  'Asset Summary'!$B:$B,L$407
  )
)</f>
        <v>0</v>
      </c>
      <c r="M415" s="24">
        <f>SUM(
  SUMIFS(
  'Asset Summary'!$D:$D,
  'Asset Summary'!$A:$A,$D415,
  'Asset Summary'!$B:$B,M$407
  )
)</f>
        <v>0</v>
      </c>
      <c r="N415" s="24">
        <f>SUM(
  SUMIFS(
  'Asset Summary'!$D:$D,
  'Asset Summary'!$A:$A,$D415,
  'Asset Summary'!$B:$B,N$407
  )
)</f>
        <v>0</v>
      </c>
      <c r="O415" s="24">
        <f>SUM(
  SUMIFS(
  'Asset Summary'!$D:$D,
  'Asset Summary'!$A:$A,$D415,
  'Asset Summary'!$B:$B,O$407
  )
)</f>
        <v>0</v>
      </c>
      <c r="P415" s="24">
        <f>SUM(
  SUMIFS(
  'Asset Summary'!$D:$D,
  'Asset Summary'!$A:$A,$D415,
  'Asset Summary'!$B:$B,P$407
  )
)</f>
        <v>0</v>
      </c>
      <c r="Q415" s="24">
        <f>SUM(
  SUMIFS(
  'Asset Summary'!$D:$D,
  'Asset Summary'!$A:$A,$D415,
  'Asset Summary'!$B:$B,Q$407
  )
)</f>
        <v>0</v>
      </c>
      <c r="R415" s="24">
        <f>SUM(
  SUMIFS(
  'Asset Summary'!$D:$D,
  'Asset Summary'!$A:$A,$D415,
  'Asset Summary'!$B:$B,R$407
  )
)</f>
        <v>0</v>
      </c>
      <c r="S415" s="24">
        <f>SUM(
  SUMIFS(
  'Asset Summary'!$D:$D,
  'Asset Summary'!$A:$A,$D415,
  'Asset Summary'!$B:$B,S$407
  )
)</f>
        <v>0</v>
      </c>
      <c r="T415" s="24">
        <f>SUM(
  SUMIFS(
  'Asset Summary'!$D:$D,
  'Asset Summary'!$A:$A,$D415,
  'Asset Summary'!$B:$B,T$407
  )
)</f>
        <v>0</v>
      </c>
      <c r="U415" s="24">
        <f>SUM(
  SUMIFS(
  'Asset Summary'!$D:$D,
  'Asset Summary'!$A:$A,$D415,
  'Asset Summary'!$B:$B,U$407
  )
)</f>
        <v>0</v>
      </c>
      <c r="V415" s="24">
        <f>SUM(
  SUMIFS(
  'Asset Summary'!$D:$D,
  'Asset Summary'!$A:$A,$D415,
  'Asset Summary'!$B:$B,V$407
  )
)</f>
        <v>0</v>
      </c>
      <c r="W415" s="24">
        <f>SUM(
  SUMIFS(
  'Asset Summary'!$D:$D,
  'Asset Summary'!$A:$A,$D415,
  'Asset Summary'!$B:$B,W$407
  )
)</f>
        <v>0</v>
      </c>
      <c r="X415" s="24">
        <f>SUM(
  SUMIFS(
  'Asset Summary'!$D:$D,
  'Asset Summary'!$A:$A,$D415,
  'Asset Summary'!$B:$B,X$407
  )
)</f>
        <v>0</v>
      </c>
      <c r="Y415" s="24">
        <f>SUM(
  SUMIFS(
  'Asset Summary'!$D:$D,
  'Asset Summary'!$A:$A,$D415,
  'Asset Summary'!$B:$B,Y$407
  )
)</f>
        <v>0</v>
      </c>
      <c r="Z415" s="24">
        <f>SUM(
  SUMIFS(
  'Asset Summary'!$D:$D,
  'Asset Summary'!$A:$A,$D415,
  'Asset Summary'!$B:$B,Z$407
  )
)</f>
        <v>0</v>
      </c>
      <c r="AA415" s="24">
        <f>SUM(
  SUMIFS(
  'Asset Summary'!$D:$D,
  'Asset Summary'!$A:$A,$D415,
  'Asset Summary'!$B:$B,AA$407
  )
)</f>
        <v>0</v>
      </c>
      <c r="AB415" s="24">
        <f>SUM(
  SUMIFS(
  'Asset Summary'!$D:$D,
  'Asset Summary'!$A:$A,$D415,
  'Asset Summary'!$B:$B,AB$407
  )
)</f>
        <v>0</v>
      </c>
      <c r="AC415" s="24">
        <f>SUM(
  SUMIFS(
  'Asset Summary'!$D:$D,
  'Asset Summary'!$A:$A,$D415,
  'Asset Summary'!$B:$B,AC$407
  )
)</f>
        <v>0</v>
      </c>
      <c r="AD415" s="24">
        <f>SUM(
  SUMIFS(
  'Asset Summary'!$D:$D,
  'Asset Summary'!$A:$A,$D415,
  'Asset Summary'!$B:$B,AD$407
  )
)</f>
        <v>0</v>
      </c>
      <c r="AH415" s="34" t="s">
        <v>422</v>
      </c>
    </row>
    <row r="416" spans="2:34" outlineLevel="1" x14ac:dyDescent="0.2">
      <c r="D416" s="8" t="s">
        <v>265</v>
      </c>
      <c r="E416" s="24">
        <f>SUM(
  SUMIFS(
  'Asset Summary'!$D:$D,
  'Asset Summary'!$A:$A,$D416,
  'Asset Summary'!$B:$B,E$407
  )
)</f>
        <v>0</v>
      </c>
      <c r="F416" s="24">
        <f>SUM(
  SUMIFS(
  'Asset Summary'!$D:$D,
  'Asset Summary'!$A:$A,$D416,
  'Asset Summary'!$B:$B,F$407
  )
)</f>
        <v>0</v>
      </c>
      <c r="G416" s="24">
        <f>SUM(
  SUMIFS(
  'Asset Summary'!$D:$D,
  'Asset Summary'!$A:$A,$D416,
  'Asset Summary'!$B:$B,G$407
  )
)</f>
        <v>0</v>
      </c>
      <c r="H416" s="24">
        <f>SUM(
  SUMIFS(
  'Asset Summary'!$D:$D,
  'Asset Summary'!$A:$A,$D416,
  'Asset Summary'!$B:$B,H$407
  )
)</f>
        <v>0</v>
      </c>
      <c r="I416" s="24">
        <f>SUM(
  SUMIFS(
  'Asset Summary'!$D:$D,
  'Asset Summary'!$A:$A,$D416,
  'Asset Summary'!$B:$B,I$407
  )
)</f>
        <v>0</v>
      </c>
      <c r="J416" s="24">
        <f>SUM(
  SUMIFS(
  'Asset Summary'!$D:$D,
  'Asset Summary'!$A:$A,$D416,
  'Asset Summary'!$B:$B,J$407
  )
)</f>
        <v>0</v>
      </c>
      <c r="K416" s="24">
        <f>SUM(
  SUMIFS(
  'Asset Summary'!$D:$D,
  'Asset Summary'!$A:$A,$D416,
  'Asset Summary'!$B:$B,K$407
  )
)</f>
        <v>0</v>
      </c>
      <c r="L416" s="24">
        <f>SUM(
  SUMIFS(
  'Asset Summary'!$D:$D,
  'Asset Summary'!$A:$A,$D416,
  'Asset Summary'!$B:$B,L$407
  )
)</f>
        <v>0</v>
      </c>
      <c r="M416" s="24">
        <f>SUM(
  SUMIFS(
  'Asset Summary'!$D:$D,
  'Asset Summary'!$A:$A,$D416,
  'Asset Summary'!$B:$B,M$407
  )
)</f>
        <v>0</v>
      </c>
      <c r="N416" s="24">
        <f>SUM(
  SUMIFS(
  'Asset Summary'!$D:$D,
  'Asset Summary'!$A:$A,$D416,
  'Asset Summary'!$B:$B,N$407
  )
)</f>
        <v>0</v>
      </c>
      <c r="O416" s="24">
        <f>SUM(
  SUMIFS(
  'Asset Summary'!$D:$D,
  'Asset Summary'!$A:$A,$D416,
  'Asset Summary'!$B:$B,O$407
  )
)</f>
        <v>0</v>
      </c>
      <c r="P416" s="24">
        <f>SUM(
  SUMIFS(
  'Asset Summary'!$D:$D,
  'Asset Summary'!$A:$A,$D416,
  'Asset Summary'!$B:$B,P$407
  )
)</f>
        <v>0</v>
      </c>
      <c r="Q416" s="24">
        <f>SUM(
  SUMIFS(
  'Asset Summary'!$D:$D,
  'Asset Summary'!$A:$A,$D416,
  'Asset Summary'!$B:$B,Q$407
  )
)</f>
        <v>0</v>
      </c>
      <c r="R416" s="24">
        <f>SUM(
  SUMIFS(
  'Asset Summary'!$D:$D,
  'Asset Summary'!$A:$A,$D416,
  'Asset Summary'!$B:$B,R$407
  )
)</f>
        <v>0</v>
      </c>
      <c r="S416" s="24">
        <f>SUM(
  SUMIFS(
  'Asset Summary'!$D:$D,
  'Asset Summary'!$A:$A,$D416,
  'Asset Summary'!$B:$B,S$407
  )
)</f>
        <v>0</v>
      </c>
      <c r="T416" s="24">
        <f>SUM(
  SUMIFS(
  'Asset Summary'!$D:$D,
  'Asset Summary'!$A:$A,$D416,
  'Asset Summary'!$B:$B,T$407
  )
)</f>
        <v>0</v>
      </c>
      <c r="U416" s="24">
        <f>SUM(
  SUMIFS(
  'Asset Summary'!$D:$D,
  'Asset Summary'!$A:$A,$D416,
  'Asset Summary'!$B:$B,U$407
  )
)</f>
        <v>0</v>
      </c>
      <c r="V416" s="24">
        <f>SUM(
  SUMIFS(
  'Asset Summary'!$D:$D,
  'Asset Summary'!$A:$A,$D416,
  'Asset Summary'!$B:$B,V$407
  )
)</f>
        <v>0</v>
      </c>
      <c r="W416" s="24">
        <f>SUM(
  SUMIFS(
  'Asset Summary'!$D:$D,
  'Asset Summary'!$A:$A,$D416,
  'Asset Summary'!$B:$B,W$407
  )
)</f>
        <v>0</v>
      </c>
      <c r="X416" s="24">
        <f>SUM(
  SUMIFS(
  'Asset Summary'!$D:$D,
  'Asset Summary'!$A:$A,$D416,
  'Asset Summary'!$B:$B,X$407
  )
)</f>
        <v>0</v>
      </c>
      <c r="Y416" s="24">
        <f>SUM(
  SUMIFS(
  'Asset Summary'!$D:$D,
  'Asset Summary'!$A:$A,$D416,
  'Asset Summary'!$B:$B,Y$407
  )
)</f>
        <v>0</v>
      </c>
      <c r="Z416" s="24">
        <f>SUM(
  SUMIFS(
  'Asset Summary'!$D:$D,
  'Asset Summary'!$A:$A,$D416,
  'Asset Summary'!$B:$B,Z$407
  )
)</f>
        <v>0</v>
      </c>
      <c r="AA416" s="24">
        <f>SUM(
  SUMIFS(
  'Asset Summary'!$D:$D,
  'Asset Summary'!$A:$A,$D416,
  'Asset Summary'!$B:$B,AA$407
  )
)</f>
        <v>0</v>
      </c>
      <c r="AB416" s="24">
        <f>SUM(
  SUMIFS(
  'Asset Summary'!$D:$D,
  'Asset Summary'!$A:$A,$D416,
  'Asset Summary'!$B:$B,AB$407
  )
)</f>
        <v>0</v>
      </c>
      <c r="AC416" s="24">
        <f>SUM(
  SUMIFS(
  'Asset Summary'!$D:$D,
  'Asset Summary'!$A:$A,$D416,
  'Asset Summary'!$B:$B,AC$407
  )
)</f>
        <v>0</v>
      </c>
      <c r="AD416" s="24">
        <f>SUM(
  SUMIFS(
  'Asset Summary'!$D:$D,
  'Asset Summary'!$A:$A,$D416,
  'Asset Summary'!$B:$B,AD$407
  )
)</f>
        <v>0</v>
      </c>
      <c r="AH416" s="34" t="s">
        <v>422</v>
      </c>
    </row>
    <row r="417" spans="4:34" outlineLevel="1" x14ac:dyDescent="0.2">
      <c r="D417" s="8" t="s">
        <v>266</v>
      </c>
      <c r="E417" s="24">
        <f>SUM(
  SUMIFS(
  'Asset Summary'!$D:$D,
  'Asset Summary'!$A:$A,$D417,
  'Asset Summary'!$B:$B,E$407
  )
)</f>
        <v>0</v>
      </c>
      <c r="F417" s="24">
        <f>SUM(
  SUMIFS(
  'Asset Summary'!$D:$D,
  'Asset Summary'!$A:$A,$D417,
  'Asset Summary'!$B:$B,F$407
  )
)</f>
        <v>0</v>
      </c>
      <c r="G417" s="24">
        <f>SUM(
  SUMIFS(
  'Asset Summary'!$D:$D,
  'Asset Summary'!$A:$A,$D417,
  'Asset Summary'!$B:$B,G$407
  )
)</f>
        <v>0</v>
      </c>
      <c r="H417" s="24">
        <f>SUM(
  SUMIFS(
  'Asset Summary'!$D:$D,
  'Asset Summary'!$A:$A,$D417,
  'Asset Summary'!$B:$B,H$407
  )
)</f>
        <v>0</v>
      </c>
      <c r="I417" s="24">
        <f>SUM(
  SUMIFS(
  'Asset Summary'!$D:$D,
  'Asset Summary'!$A:$A,$D417,
  'Asset Summary'!$B:$B,I$407
  )
)</f>
        <v>0</v>
      </c>
      <c r="J417" s="24">
        <f>SUM(
  SUMIFS(
  'Asset Summary'!$D:$D,
  'Asset Summary'!$A:$A,$D417,
  'Asset Summary'!$B:$B,J$407
  )
)</f>
        <v>0</v>
      </c>
      <c r="K417" s="24">
        <f>SUM(
  SUMIFS(
  'Asset Summary'!$D:$D,
  'Asset Summary'!$A:$A,$D417,
  'Asset Summary'!$B:$B,K$407
  )
)</f>
        <v>0</v>
      </c>
      <c r="L417" s="24">
        <f>SUM(
  SUMIFS(
  'Asset Summary'!$D:$D,
  'Asset Summary'!$A:$A,$D417,
  'Asset Summary'!$B:$B,L$407
  )
)</f>
        <v>0</v>
      </c>
      <c r="M417" s="24">
        <f>SUM(
  SUMIFS(
  'Asset Summary'!$D:$D,
  'Asset Summary'!$A:$A,$D417,
  'Asset Summary'!$B:$B,M$407
  )
)</f>
        <v>0</v>
      </c>
      <c r="N417" s="24">
        <f>SUM(
  SUMIFS(
  'Asset Summary'!$D:$D,
  'Asset Summary'!$A:$A,$D417,
  'Asset Summary'!$B:$B,N$407
  )
)</f>
        <v>0</v>
      </c>
      <c r="O417" s="24">
        <f>SUM(
  SUMIFS(
  'Asset Summary'!$D:$D,
  'Asset Summary'!$A:$A,$D417,
  'Asset Summary'!$B:$B,O$407
  )
)</f>
        <v>0</v>
      </c>
      <c r="P417" s="24">
        <f>SUM(
  SUMIFS(
  'Asset Summary'!$D:$D,
  'Asset Summary'!$A:$A,$D417,
  'Asset Summary'!$B:$B,P$407
  )
)</f>
        <v>0</v>
      </c>
      <c r="Q417" s="24">
        <f>SUM(
  SUMIFS(
  'Asset Summary'!$D:$D,
  'Asset Summary'!$A:$A,$D417,
  'Asset Summary'!$B:$B,Q$407
  )
)</f>
        <v>0</v>
      </c>
      <c r="R417" s="24">
        <f>SUM(
  SUMIFS(
  'Asset Summary'!$D:$D,
  'Asset Summary'!$A:$A,$D417,
  'Asset Summary'!$B:$B,R$407
  )
)</f>
        <v>0</v>
      </c>
      <c r="S417" s="24">
        <f>SUM(
  SUMIFS(
  'Asset Summary'!$D:$D,
  'Asset Summary'!$A:$A,$D417,
  'Asset Summary'!$B:$B,S$407
  )
)</f>
        <v>0</v>
      </c>
      <c r="T417" s="24">
        <f>SUM(
  SUMIFS(
  'Asset Summary'!$D:$D,
  'Asset Summary'!$A:$A,$D417,
  'Asset Summary'!$B:$B,T$407
  )
)</f>
        <v>0</v>
      </c>
      <c r="U417" s="24">
        <f>SUM(
  SUMIFS(
  'Asset Summary'!$D:$D,
  'Asset Summary'!$A:$A,$D417,
  'Asset Summary'!$B:$B,U$407
  )
)</f>
        <v>0</v>
      </c>
      <c r="V417" s="24">
        <f>SUM(
  SUMIFS(
  'Asset Summary'!$D:$D,
  'Asset Summary'!$A:$A,$D417,
  'Asset Summary'!$B:$B,V$407
  )
)</f>
        <v>0</v>
      </c>
      <c r="W417" s="24">
        <f>SUM(
  SUMIFS(
  'Asset Summary'!$D:$D,
  'Asset Summary'!$A:$A,$D417,
  'Asset Summary'!$B:$B,W$407
  )
)</f>
        <v>0</v>
      </c>
      <c r="X417" s="24">
        <f>SUM(
  SUMIFS(
  'Asset Summary'!$D:$D,
  'Asset Summary'!$A:$A,$D417,
  'Asset Summary'!$B:$B,X$407
  )
)</f>
        <v>0</v>
      </c>
      <c r="Y417" s="24">
        <f>SUM(
  SUMIFS(
  'Asset Summary'!$D:$D,
  'Asset Summary'!$A:$A,$D417,
  'Asset Summary'!$B:$B,Y$407
  )
)</f>
        <v>0</v>
      </c>
      <c r="Z417" s="24">
        <f>SUM(
  SUMIFS(
  'Asset Summary'!$D:$D,
  'Asset Summary'!$A:$A,$D417,
  'Asset Summary'!$B:$B,Z$407
  )
)</f>
        <v>0</v>
      </c>
      <c r="AA417" s="24">
        <f>SUM(
  SUMIFS(
  'Asset Summary'!$D:$D,
  'Asset Summary'!$A:$A,$D417,
  'Asset Summary'!$B:$B,AA$407
  )
)</f>
        <v>0</v>
      </c>
      <c r="AB417" s="24">
        <f>SUM(
  SUMIFS(
  'Asset Summary'!$D:$D,
  'Asset Summary'!$A:$A,$D417,
  'Asset Summary'!$B:$B,AB$407
  )
)</f>
        <v>0</v>
      </c>
      <c r="AC417" s="24">
        <f>SUM(
  SUMIFS(
  'Asset Summary'!$D:$D,
  'Asset Summary'!$A:$A,$D417,
  'Asset Summary'!$B:$B,AC$407
  )
)</f>
        <v>0</v>
      </c>
      <c r="AD417" s="24">
        <f>SUM(
  SUMIFS(
  'Asset Summary'!$D:$D,
  'Asset Summary'!$A:$A,$D417,
  'Asset Summary'!$B:$B,AD$407
  )
)</f>
        <v>0</v>
      </c>
      <c r="AH417" s="34" t="s">
        <v>422</v>
      </c>
    </row>
    <row r="418" spans="4:34" outlineLevel="1" x14ac:dyDescent="0.2">
      <c r="D418" s="8" t="s">
        <v>267</v>
      </c>
      <c r="E418" s="24">
        <f>SUM(
  SUMIFS(
  'Asset Summary'!$D:$D,
  'Asset Summary'!$A:$A,$D418,
  'Asset Summary'!$B:$B,E$407
  )
)</f>
        <v>0</v>
      </c>
      <c r="F418" s="24">
        <f>SUM(
  SUMIFS(
  'Asset Summary'!$D:$D,
  'Asset Summary'!$A:$A,$D418,
  'Asset Summary'!$B:$B,F$407
  )
)</f>
        <v>0</v>
      </c>
      <c r="G418" s="24">
        <f>SUM(
  SUMIFS(
  'Asset Summary'!$D:$D,
  'Asset Summary'!$A:$A,$D418,
  'Asset Summary'!$B:$B,G$407
  )
)</f>
        <v>0</v>
      </c>
      <c r="H418" s="24">
        <f>SUM(
  SUMIFS(
  'Asset Summary'!$D:$D,
  'Asset Summary'!$A:$A,$D418,
  'Asset Summary'!$B:$B,H$407
  )
)</f>
        <v>0</v>
      </c>
      <c r="I418" s="24">
        <f>SUM(
  SUMIFS(
  'Asset Summary'!$D:$D,
  'Asset Summary'!$A:$A,$D418,
  'Asset Summary'!$B:$B,I$407
  )
)</f>
        <v>0</v>
      </c>
      <c r="J418" s="24">
        <f>SUM(
  SUMIFS(
  'Asset Summary'!$D:$D,
  'Asset Summary'!$A:$A,$D418,
  'Asset Summary'!$B:$B,J$407
  )
)</f>
        <v>0</v>
      </c>
      <c r="K418" s="24">
        <f>SUM(
  SUMIFS(
  'Asset Summary'!$D:$D,
  'Asset Summary'!$A:$A,$D418,
  'Asset Summary'!$B:$B,K$407
  )
)</f>
        <v>0</v>
      </c>
      <c r="L418" s="24">
        <f>SUM(
  SUMIFS(
  'Asset Summary'!$D:$D,
  'Asset Summary'!$A:$A,$D418,
  'Asset Summary'!$B:$B,L$407
  )
)</f>
        <v>0</v>
      </c>
      <c r="M418" s="24">
        <f>SUM(
  SUMIFS(
  'Asset Summary'!$D:$D,
  'Asset Summary'!$A:$A,$D418,
  'Asset Summary'!$B:$B,M$407
  )
)</f>
        <v>0</v>
      </c>
      <c r="N418" s="24">
        <f>SUM(
  SUMIFS(
  'Asset Summary'!$D:$D,
  'Asset Summary'!$A:$A,$D418,
  'Asset Summary'!$B:$B,N$407
  )
)</f>
        <v>0</v>
      </c>
      <c r="O418" s="24">
        <f>SUM(
  SUMIFS(
  'Asset Summary'!$D:$D,
  'Asset Summary'!$A:$A,$D418,
  'Asset Summary'!$B:$B,O$407
  )
)</f>
        <v>0</v>
      </c>
      <c r="P418" s="24">
        <f>SUM(
  SUMIFS(
  'Asset Summary'!$D:$D,
  'Asset Summary'!$A:$A,$D418,
  'Asset Summary'!$B:$B,P$407
  )
)</f>
        <v>0</v>
      </c>
      <c r="Q418" s="24">
        <f>SUM(
  SUMIFS(
  'Asset Summary'!$D:$D,
  'Asset Summary'!$A:$A,$D418,
  'Asset Summary'!$B:$B,Q$407
  )
)</f>
        <v>0</v>
      </c>
      <c r="R418" s="24">
        <f>SUM(
  SUMIFS(
  'Asset Summary'!$D:$D,
  'Asset Summary'!$A:$A,$D418,
  'Asset Summary'!$B:$B,R$407
  )
)</f>
        <v>0</v>
      </c>
      <c r="S418" s="24">
        <f>SUM(
  SUMIFS(
  'Asset Summary'!$D:$D,
  'Asset Summary'!$A:$A,$D418,
  'Asset Summary'!$B:$B,S$407
  )
)</f>
        <v>0</v>
      </c>
      <c r="T418" s="24">
        <f>SUM(
  SUMIFS(
  'Asset Summary'!$D:$D,
  'Asset Summary'!$A:$A,$D418,
  'Asset Summary'!$B:$B,T$407
  )
)</f>
        <v>0</v>
      </c>
      <c r="U418" s="24">
        <f>SUM(
  SUMIFS(
  'Asset Summary'!$D:$D,
  'Asset Summary'!$A:$A,$D418,
  'Asset Summary'!$B:$B,U$407
  )
)</f>
        <v>0</v>
      </c>
      <c r="V418" s="24">
        <f>SUM(
  SUMIFS(
  'Asset Summary'!$D:$D,
  'Asset Summary'!$A:$A,$D418,
  'Asset Summary'!$B:$B,V$407
  )
)</f>
        <v>0</v>
      </c>
      <c r="W418" s="24">
        <f>SUM(
  SUMIFS(
  'Asset Summary'!$D:$D,
  'Asset Summary'!$A:$A,$D418,
  'Asset Summary'!$B:$B,W$407
  )
)</f>
        <v>0</v>
      </c>
      <c r="X418" s="24">
        <f>SUM(
  SUMIFS(
  'Asset Summary'!$D:$D,
  'Asset Summary'!$A:$A,$D418,
  'Asset Summary'!$B:$B,X$407
  )
)</f>
        <v>0</v>
      </c>
      <c r="Y418" s="24">
        <f>SUM(
  SUMIFS(
  'Asset Summary'!$D:$D,
  'Asset Summary'!$A:$A,$D418,
  'Asset Summary'!$B:$B,Y$407
  )
)</f>
        <v>0</v>
      </c>
      <c r="Z418" s="24">
        <f>SUM(
  SUMIFS(
  'Asset Summary'!$D:$D,
  'Asset Summary'!$A:$A,$D418,
  'Asset Summary'!$B:$B,Z$407
  )
)</f>
        <v>0</v>
      </c>
      <c r="AA418" s="24">
        <f>SUM(
  SUMIFS(
  'Asset Summary'!$D:$D,
  'Asset Summary'!$A:$A,$D418,
  'Asset Summary'!$B:$B,AA$407
  )
)</f>
        <v>0</v>
      </c>
      <c r="AB418" s="24">
        <f>SUM(
  SUMIFS(
  'Asset Summary'!$D:$D,
  'Asset Summary'!$A:$A,$D418,
  'Asset Summary'!$B:$B,AB$407
  )
)</f>
        <v>0</v>
      </c>
      <c r="AC418" s="24">
        <f>SUM(
  SUMIFS(
  'Asset Summary'!$D:$D,
  'Asset Summary'!$A:$A,$D418,
  'Asset Summary'!$B:$B,AC$407
  )
)</f>
        <v>0</v>
      </c>
      <c r="AD418" s="24">
        <f>SUM(
  SUMIFS(
  'Asset Summary'!$D:$D,
  'Asset Summary'!$A:$A,$D418,
  'Asset Summary'!$B:$B,AD$407
  )
)</f>
        <v>0</v>
      </c>
      <c r="AH418" s="34" t="s">
        <v>422</v>
      </c>
    </row>
    <row r="419" spans="4:34" outlineLevel="1" x14ac:dyDescent="0.2">
      <c r="D419" s="8" t="s">
        <v>268</v>
      </c>
      <c r="E419" s="24">
        <f>SUM(
  SUMIFS(
  'Asset Summary'!$D:$D,
  'Asset Summary'!$A:$A,$D419,
  'Asset Summary'!$B:$B,E$407
  )
)</f>
        <v>0</v>
      </c>
      <c r="F419" s="24">
        <f>SUM(
  SUMIFS(
  'Asset Summary'!$D:$D,
  'Asset Summary'!$A:$A,$D419,
  'Asset Summary'!$B:$B,F$407
  )
)</f>
        <v>0</v>
      </c>
      <c r="G419" s="24">
        <f>SUM(
  SUMIFS(
  'Asset Summary'!$D:$D,
  'Asset Summary'!$A:$A,$D419,
  'Asset Summary'!$B:$B,G$407
  )
)</f>
        <v>0</v>
      </c>
      <c r="H419" s="24">
        <f>SUM(
  SUMIFS(
  'Asset Summary'!$D:$D,
  'Asset Summary'!$A:$A,$D419,
  'Asset Summary'!$B:$B,H$407
  )
)</f>
        <v>0</v>
      </c>
      <c r="I419" s="24">
        <f>SUM(
  SUMIFS(
  'Asset Summary'!$D:$D,
  'Asset Summary'!$A:$A,$D419,
  'Asset Summary'!$B:$B,I$407
  )
)</f>
        <v>0</v>
      </c>
      <c r="J419" s="24">
        <f>SUM(
  SUMIFS(
  'Asset Summary'!$D:$D,
  'Asset Summary'!$A:$A,$D419,
  'Asset Summary'!$B:$B,J$407
  )
)</f>
        <v>0</v>
      </c>
      <c r="K419" s="24">
        <f>SUM(
  SUMIFS(
  'Asset Summary'!$D:$D,
  'Asset Summary'!$A:$A,$D419,
  'Asset Summary'!$B:$B,K$407
  )
)</f>
        <v>0</v>
      </c>
      <c r="L419" s="24">
        <f>SUM(
  SUMIFS(
  'Asset Summary'!$D:$D,
  'Asset Summary'!$A:$A,$D419,
  'Asset Summary'!$B:$B,L$407
  )
)</f>
        <v>0</v>
      </c>
      <c r="M419" s="24">
        <f>SUM(
  SUMIFS(
  'Asset Summary'!$D:$D,
  'Asset Summary'!$A:$A,$D419,
  'Asset Summary'!$B:$B,M$407
  )
)</f>
        <v>0</v>
      </c>
      <c r="N419" s="24">
        <f>SUM(
  SUMIFS(
  'Asset Summary'!$D:$D,
  'Asset Summary'!$A:$A,$D419,
  'Asset Summary'!$B:$B,N$407
  )
)</f>
        <v>0</v>
      </c>
      <c r="O419" s="24">
        <f>SUM(
  SUMIFS(
  'Asset Summary'!$D:$D,
  'Asset Summary'!$A:$A,$D419,
  'Asset Summary'!$B:$B,O$407
  )
)</f>
        <v>0</v>
      </c>
      <c r="P419" s="24">
        <f>SUM(
  SUMIFS(
  'Asset Summary'!$D:$D,
  'Asset Summary'!$A:$A,$D419,
  'Asset Summary'!$B:$B,P$407
  )
)</f>
        <v>0</v>
      </c>
      <c r="Q419" s="24">
        <f>SUM(
  SUMIFS(
  'Asset Summary'!$D:$D,
  'Asset Summary'!$A:$A,$D419,
  'Asset Summary'!$B:$B,Q$407
  )
)</f>
        <v>0</v>
      </c>
      <c r="R419" s="24">
        <f>SUM(
  SUMIFS(
  'Asset Summary'!$D:$D,
  'Asset Summary'!$A:$A,$D419,
  'Asset Summary'!$B:$B,R$407
  )
)</f>
        <v>0</v>
      </c>
      <c r="S419" s="24">
        <f>SUM(
  SUMIFS(
  'Asset Summary'!$D:$D,
  'Asset Summary'!$A:$A,$D419,
  'Asset Summary'!$B:$B,S$407
  )
)</f>
        <v>0</v>
      </c>
      <c r="T419" s="24">
        <f>SUM(
  SUMIFS(
  'Asset Summary'!$D:$D,
  'Asset Summary'!$A:$A,$D419,
  'Asset Summary'!$B:$B,T$407
  )
)</f>
        <v>0</v>
      </c>
      <c r="U419" s="24">
        <f>SUM(
  SUMIFS(
  'Asset Summary'!$D:$D,
  'Asset Summary'!$A:$A,$D419,
  'Asset Summary'!$B:$B,U$407
  )
)</f>
        <v>0</v>
      </c>
      <c r="V419" s="24">
        <f>SUM(
  SUMIFS(
  'Asset Summary'!$D:$D,
  'Asset Summary'!$A:$A,$D419,
  'Asset Summary'!$B:$B,V$407
  )
)</f>
        <v>0</v>
      </c>
      <c r="W419" s="24">
        <f>SUM(
  SUMIFS(
  'Asset Summary'!$D:$D,
  'Asset Summary'!$A:$A,$D419,
  'Asset Summary'!$B:$B,W$407
  )
)</f>
        <v>0</v>
      </c>
      <c r="X419" s="24">
        <f>SUM(
  SUMIFS(
  'Asset Summary'!$D:$D,
  'Asset Summary'!$A:$A,$D419,
  'Asset Summary'!$B:$B,X$407
  )
)</f>
        <v>0</v>
      </c>
      <c r="Y419" s="24">
        <f>SUM(
  SUMIFS(
  'Asset Summary'!$D:$D,
  'Asset Summary'!$A:$A,$D419,
  'Asset Summary'!$B:$B,Y$407
  )
)</f>
        <v>0</v>
      </c>
      <c r="Z419" s="24">
        <f>SUM(
  SUMIFS(
  'Asset Summary'!$D:$D,
  'Asset Summary'!$A:$A,$D419,
  'Asset Summary'!$B:$B,Z$407
  )
)</f>
        <v>0</v>
      </c>
      <c r="AA419" s="24">
        <f>SUM(
  SUMIFS(
  'Asset Summary'!$D:$D,
  'Asset Summary'!$A:$A,$D419,
  'Asset Summary'!$B:$B,AA$407
  )
)</f>
        <v>0</v>
      </c>
      <c r="AB419" s="24">
        <f>SUM(
  SUMIFS(
  'Asset Summary'!$D:$D,
  'Asset Summary'!$A:$A,$D419,
  'Asset Summary'!$B:$B,AB$407
  )
)</f>
        <v>0</v>
      </c>
      <c r="AC419" s="24">
        <f>SUM(
  SUMIFS(
  'Asset Summary'!$D:$D,
  'Asset Summary'!$A:$A,$D419,
  'Asset Summary'!$B:$B,AC$407
  )
)</f>
        <v>0</v>
      </c>
      <c r="AD419" s="24">
        <f>SUM(
  SUMIFS(
  'Asset Summary'!$D:$D,
  'Asset Summary'!$A:$A,$D419,
  'Asset Summary'!$B:$B,AD$407
  )
)</f>
        <v>0</v>
      </c>
      <c r="AH419" s="34" t="s">
        <v>422</v>
      </c>
    </row>
    <row r="420" spans="4:34" outlineLevel="1" x14ac:dyDescent="0.2">
      <c r="D420" s="8" t="s">
        <v>269</v>
      </c>
      <c r="E420" s="24">
        <f>SUM(
  SUMIFS(
  'Asset Summary'!$D:$D,
  'Asset Summary'!$A:$A,$D420,
  'Asset Summary'!$B:$B,E$407
  )
)</f>
        <v>0</v>
      </c>
      <c r="F420" s="24">
        <f>SUM(
  SUMIFS(
  'Asset Summary'!$D:$D,
  'Asset Summary'!$A:$A,$D420,
  'Asset Summary'!$B:$B,F$407
  )
)</f>
        <v>0</v>
      </c>
      <c r="G420" s="24">
        <f>SUM(
  SUMIFS(
  'Asset Summary'!$D:$D,
  'Asset Summary'!$A:$A,$D420,
  'Asset Summary'!$B:$B,G$407
  )
)</f>
        <v>0</v>
      </c>
      <c r="H420" s="24">
        <f>SUM(
  SUMIFS(
  'Asset Summary'!$D:$D,
  'Asset Summary'!$A:$A,$D420,
  'Asset Summary'!$B:$B,H$407
  )
)</f>
        <v>0</v>
      </c>
      <c r="I420" s="24">
        <f>SUM(
  SUMIFS(
  'Asset Summary'!$D:$D,
  'Asset Summary'!$A:$A,$D420,
  'Asset Summary'!$B:$B,I$407
  )
)</f>
        <v>0</v>
      </c>
      <c r="J420" s="24">
        <f>SUM(
  SUMIFS(
  'Asset Summary'!$D:$D,
  'Asset Summary'!$A:$A,$D420,
  'Asset Summary'!$B:$B,J$407
  )
)</f>
        <v>0</v>
      </c>
      <c r="K420" s="24">
        <f>SUM(
  SUMIFS(
  'Asset Summary'!$D:$D,
  'Asset Summary'!$A:$A,$D420,
  'Asset Summary'!$B:$B,K$407
  )
)</f>
        <v>0</v>
      </c>
      <c r="L420" s="24">
        <f>SUM(
  SUMIFS(
  'Asset Summary'!$D:$D,
  'Asset Summary'!$A:$A,$D420,
  'Asset Summary'!$B:$B,L$407
  )
)</f>
        <v>0</v>
      </c>
      <c r="M420" s="24">
        <f>SUM(
  SUMIFS(
  'Asset Summary'!$D:$D,
  'Asset Summary'!$A:$A,$D420,
  'Asset Summary'!$B:$B,M$407
  )
)</f>
        <v>0</v>
      </c>
      <c r="N420" s="24">
        <f>SUM(
  SUMIFS(
  'Asset Summary'!$D:$D,
  'Asset Summary'!$A:$A,$D420,
  'Asset Summary'!$B:$B,N$407
  )
)</f>
        <v>0</v>
      </c>
      <c r="O420" s="24">
        <f>SUM(
  SUMIFS(
  'Asset Summary'!$D:$D,
  'Asset Summary'!$A:$A,$D420,
  'Asset Summary'!$B:$B,O$407
  )
)</f>
        <v>0</v>
      </c>
      <c r="P420" s="24">
        <f>SUM(
  SUMIFS(
  'Asset Summary'!$D:$D,
  'Asset Summary'!$A:$A,$D420,
  'Asset Summary'!$B:$B,P$407
  )
)</f>
        <v>0</v>
      </c>
      <c r="Q420" s="24">
        <f>SUM(
  SUMIFS(
  'Asset Summary'!$D:$D,
  'Asset Summary'!$A:$A,$D420,
  'Asset Summary'!$B:$B,Q$407
  )
)</f>
        <v>0</v>
      </c>
      <c r="R420" s="24">
        <f>SUM(
  SUMIFS(
  'Asset Summary'!$D:$D,
  'Asset Summary'!$A:$A,$D420,
  'Asset Summary'!$B:$B,R$407
  )
)</f>
        <v>0</v>
      </c>
      <c r="S420" s="24">
        <f>SUM(
  SUMIFS(
  'Asset Summary'!$D:$D,
  'Asset Summary'!$A:$A,$D420,
  'Asset Summary'!$B:$B,S$407
  )
)</f>
        <v>0</v>
      </c>
      <c r="T420" s="24">
        <f>SUM(
  SUMIFS(
  'Asset Summary'!$D:$D,
  'Asset Summary'!$A:$A,$D420,
  'Asset Summary'!$B:$B,T$407
  )
)</f>
        <v>0</v>
      </c>
      <c r="U420" s="24">
        <f>SUM(
  SUMIFS(
  'Asset Summary'!$D:$D,
  'Asset Summary'!$A:$A,$D420,
  'Asset Summary'!$B:$B,U$407
  )
)</f>
        <v>0</v>
      </c>
      <c r="V420" s="24">
        <f>SUM(
  SUMIFS(
  'Asset Summary'!$D:$D,
  'Asset Summary'!$A:$A,$D420,
  'Asset Summary'!$B:$B,V$407
  )
)</f>
        <v>0</v>
      </c>
      <c r="W420" s="24">
        <f>SUM(
  SUMIFS(
  'Asset Summary'!$D:$D,
  'Asset Summary'!$A:$A,$D420,
  'Asset Summary'!$B:$B,W$407
  )
)</f>
        <v>0</v>
      </c>
      <c r="X420" s="24">
        <f>SUM(
  SUMIFS(
  'Asset Summary'!$D:$D,
  'Asset Summary'!$A:$A,$D420,
  'Asset Summary'!$B:$B,X$407
  )
)</f>
        <v>0</v>
      </c>
      <c r="Y420" s="24">
        <f>SUM(
  SUMIFS(
  'Asset Summary'!$D:$D,
  'Asset Summary'!$A:$A,$D420,
  'Asset Summary'!$B:$B,Y$407
  )
)</f>
        <v>0</v>
      </c>
      <c r="Z420" s="24">
        <f>SUM(
  SUMIFS(
  'Asset Summary'!$D:$D,
  'Asset Summary'!$A:$A,$D420,
  'Asset Summary'!$B:$B,Z$407
  )
)</f>
        <v>0</v>
      </c>
      <c r="AA420" s="24">
        <f>SUM(
  SUMIFS(
  'Asset Summary'!$D:$D,
  'Asset Summary'!$A:$A,$D420,
  'Asset Summary'!$B:$B,AA$407
  )
)</f>
        <v>0</v>
      </c>
      <c r="AB420" s="24">
        <f>SUM(
  SUMIFS(
  'Asset Summary'!$D:$D,
  'Asset Summary'!$A:$A,$D420,
  'Asset Summary'!$B:$B,AB$407
  )
)</f>
        <v>0</v>
      </c>
      <c r="AC420" s="24">
        <f>SUM(
  SUMIFS(
  'Asset Summary'!$D:$D,
  'Asset Summary'!$A:$A,$D420,
  'Asset Summary'!$B:$B,AC$407
  )
)</f>
        <v>0</v>
      </c>
      <c r="AD420" s="24">
        <f>SUM(
  SUMIFS(
  'Asset Summary'!$D:$D,
  'Asset Summary'!$A:$A,$D420,
  'Asset Summary'!$B:$B,AD$407
  )
)</f>
        <v>0</v>
      </c>
      <c r="AH420" s="34" t="s">
        <v>422</v>
      </c>
    </row>
    <row r="421" spans="4:34" outlineLevel="1" x14ac:dyDescent="0.2">
      <c r="D421" s="8" t="s">
        <v>270</v>
      </c>
      <c r="E421" s="24">
        <f>SUM(
  SUMIFS(
  'Asset Summary'!$D:$D,
  'Asset Summary'!$A:$A,$D421,
  'Asset Summary'!$B:$B,E$407
  )
)</f>
        <v>0</v>
      </c>
      <c r="F421" s="24">
        <f>SUM(
  SUMIFS(
  'Asset Summary'!$D:$D,
  'Asset Summary'!$A:$A,$D421,
  'Asset Summary'!$B:$B,F$407
  )
)</f>
        <v>0</v>
      </c>
      <c r="G421" s="24">
        <f>SUM(
  SUMIFS(
  'Asset Summary'!$D:$D,
  'Asset Summary'!$A:$A,$D421,
  'Asset Summary'!$B:$B,G$407
  )
)</f>
        <v>0</v>
      </c>
      <c r="H421" s="24">
        <f>SUM(
  SUMIFS(
  'Asset Summary'!$D:$D,
  'Asset Summary'!$A:$A,$D421,
  'Asset Summary'!$B:$B,H$407
  )
)</f>
        <v>0</v>
      </c>
      <c r="I421" s="24">
        <f>SUM(
  SUMIFS(
  'Asset Summary'!$D:$D,
  'Asset Summary'!$A:$A,$D421,
  'Asset Summary'!$B:$B,I$407
  )
)</f>
        <v>0</v>
      </c>
      <c r="J421" s="24">
        <f>SUM(
  SUMIFS(
  'Asset Summary'!$D:$D,
  'Asset Summary'!$A:$A,$D421,
  'Asset Summary'!$B:$B,J$407
  )
)</f>
        <v>0</v>
      </c>
      <c r="K421" s="24">
        <f>SUM(
  SUMIFS(
  'Asset Summary'!$D:$D,
  'Asset Summary'!$A:$A,$D421,
  'Asset Summary'!$B:$B,K$407
  )
)</f>
        <v>0</v>
      </c>
      <c r="L421" s="24">
        <f>SUM(
  SUMIFS(
  'Asset Summary'!$D:$D,
  'Asset Summary'!$A:$A,$D421,
  'Asset Summary'!$B:$B,L$407
  )
)</f>
        <v>0</v>
      </c>
      <c r="M421" s="24">
        <f>SUM(
  SUMIFS(
  'Asset Summary'!$D:$D,
  'Asset Summary'!$A:$A,$D421,
  'Asset Summary'!$B:$B,M$407
  )
)</f>
        <v>0</v>
      </c>
      <c r="N421" s="24">
        <f>SUM(
  SUMIFS(
  'Asset Summary'!$D:$D,
  'Asset Summary'!$A:$A,$D421,
  'Asset Summary'!$B:$B,N$407
  )
)</f>
        <v>0</v>
      </c>
      <c r="O421" s="24">
        <f>SUM(
  SUMIFS(
  'Asset Summary'!$D:$D,
  'Asset Summary'!$A:$A,$D421,
  'Asset Summary'!$B:$B,O$407
  )
)</f>
        <v>0</v>
      </c>
      <c r="P421" s="24">
        <f>SUM(
  SUMIFS(
  'Asset Summary'!$D:$D,
  'Asset Summary'!$A:$A,$D421,
  'Asset Summary'!$B:$B,P$407
  )
)</f>
        <v>0</v>
      </c>
      <c r="Q421" s="24">
        <f>SUM(
  SUMIFS(
  'Asset Summary'!$D:$D,
  'Asset Summary'!$A:$A,$D421,
  'Asset Summary'!$B:$B,Q$407
  )
)</f>
        <v>0</v>
      </c>
      <c r="R421" s="24">
        <f>SUM(
  SUMIFS(
  'Asset Summary'!$D:$D,
  'Asset Summary'!$A:$A,$D421,
  'Asset Summary'!$B:$B,R$407
  )
)</f>
        <v>0</v>
      </c>
      <c r="S421" s="24">
        <f>SUM(
  SUMIFS(
  'Asset Summary'!$D:$D,
  'Asset Summary'!$A:$A,$D421,
  'Asset Summary'!$B:$B,S$407
  )
)</f>
        <v>0</v>
      </c>
      <c r="T421" s="24">
        <f>SUM(
  SUMIFS(
  'Asset Summary'!$D:$D,
  'Asset Summary'!$A:$A,$D421,
  'Asset Summary'!$B:$B,T$407
  )
)</f>
        <v>0</v>
      </c>
      <c r="U421" s="24">
        <f>SUM(
  SUMIFS(
  'Asset Summary'!$D:$D,
  'Asset Summary'!$A:$A,$D421,
  'Asset Summary'!$B:$B,U$407
  )
)</f>
        <v>0</v>
      </c>
      <c r="V421" s="24">
        <f>SUM(
  SUMIFS(
  'Asset Summary'!$D:$D,
  'Asset Summary'!$A:$A,$D421,
  'Asset Summary'!$B:$B,V$407
  )
)</f>
        <v>0</v>
      </c>
      <c r="W421" s="24">
        <f>SUM(
  SUMIFS(
  'Asset Summary'!$D:$D,
  'Asset Summary'!$A:$A,$D421,
  'Asset Summary'!$B:$B,W$407
  )
)</f>
        <v>0</v>
      </c>
      <c r="X421" s="24">
        <f>SUM(
  SUMIFS(
  'Asset Summary'!$D:$D,
  'Asset Summary'!$A:$A,$D421,
  'Asset Summary'!$B:$B,X$407
  )
)</f>
        <v>0</v>
      </c>
      <c r="Y421" s="24">
        <f>SUM(
  SUMIFS(
  'Asset Summary'!$D:$D,
  'Asset Summary'!$A:$A,$D421,
  'Asset Summary'!$B:$B,Y$407
  )
)</f>
        <v>0</v>
      </c>
      <c r="Z421" s="24">
        <f>SUM(
  SUMIFS(
  'Asset Summary'!$D:$D,
  'Asset Summary'!$A:$A,$D421,
  'Asset Summary'!$B:$B,Z$407
  )
)</f>
        <v>0</v>
      </c>
      <c r="AA421" s="24">
        <f>SUM(
  SUMIFS(
  'Asset Summary'!$D:$D,
  'Asset Summary'!$A:$A,$D421,
  'Asset Summary'!$B:$B,AA$407
  )
)</f>
        <v>0</v>
      </c>
      <c r="AB421" s="24">
        <f>SUM(
  SUMIFS(
  'Asset Summary'!$D:$D,
  'Asset Summary'!$A:$A,$D421,
  'Asset Summary'!$B:$B,AB$407
  )
)</f>
        <v>0</v>
      </c>
      <c r="AC421" s="24">
        <f>SUM(
  SUMIFS(
  'Asset Summary'!$D:$D,
  'Asset Summary'!$A:$A,$D421,
  'Asset Summary'!$B:$B,AC$407
  )
)</f>
        <v>0</v>
      </c>
      <c r="AD421" s="24">
        <f>SUM(
  SUMIFS(
  'Asset Summary'!$D:$D,
  'Asset Summary'!$A:$A,$D421,
  'Asset Summary'!$B:$B,AD$407
  )
)</f>
        <v>0</v>
      </c>
      <c r="AH421" s="34" t="s">
        <v>422</v>
      </c>
    </row>
    <row r="422" spans="4:34" outlineLevel="1" x14ac:dyDescent="0.2">
      <c r="D422" s="8" t="s">
        <v>271</v>
      </c>
      <c r="E422" s="24">
        <f>SUM(
  SUMIFS(
  'Asset Summary'!$D:$D,
  'Asset Summary'!$A:$A,$D422,
  'Asset Summary'!$B:$B,E$407
  )
)</f>
        <v>0</v>
      </c>
      <c r="F422" s="24">
        <f>SUM(
  SUMIFS(
  'Asset Summary'!$D:$D,
  'Asset Summary'!$A:$A,$D422,
  'Asset Summary'!$B:$B,F$407
  )
)</f>
        <v>0</v>
      </c>
      <c r="G422" s="24">
        <f>SUM(
  SUMIFS(
  'Asset Summary'!$D:$D,
  'Asset Summary'!$A:$A,$D422,
  'Asset Summary'!$B:$B,G$407
  )
)</f>
        <v>0</v>
      </c>
      <c r="H422" s="24">
        <f>SUM(
  SUMIFS(
  'Asset Summary'!$D:$D,
  'Asset Summary'!$A:$A,$D422,
  'Asset Summary'!$B:$B,H$407
  )
)</f>
        <v>0</v>
      </c>
      <c r="I422" s="24">
        <f>SUM(
  SUMIFS(
  'Asset Summary'!$D:$D,
  'Asset Summary'!$A:$A,$D422,
  'Asset Summary'!$B:$B,I$407
  )
)</f>
        <v>0</v>
      </c>
      <c r="J422" s="24">
        <f>SUM(
  SUMIFS(
  'Asset Summary'!$D:$D,
  'Asset Summary'!$A:$A,$D422,
  'Asset Summary'!$B:$B,J$407
  )
)</f>
        <v>0</v>
      </c>
      <c r="K422" s="24">
        <f>SUM(
  SUMIFS(
  'Asset Summary'!$D:$D,
  'Asset Summary'!$A:$A,$D422,
  'Asset Summary'!$B:$B,K$407
  )
)</f>
        <v>0</v>
      </c>
      <c r="L422" s="24">
        <f>SUM(
  SUMIFS(
  'Asset Summary'!$D:$D,
  'Asset Summary'!$A:$A,$D422,
  'Asset Summary'!$B:$B,L$407
  )
)</f>
        <v>0</v>
      </c>
      <c r="M422" s="24">
        <f>SUM(
  SUMIFS(
  'Asset Summary'!$D:$D,
  'Asset Summary'!$A:$A,$D422,
  'Asset Summary'!$B:$B,M$407
  )
)</f>
        <v>0</v>
      </c>
      <c r="N422" s="24">
        <f>SUM(
  SUMIFS(
  'Asset Summary'!$D:$D,
  'Asset Summary'!$A:$A,$D422,
  'Asset Summary'!$B:$B,N$407
  )
)</f>
        <v>0</v>
      </c>
      <c r="O422" s="24">
        <f>SUM(
  SUMIFS(
  'Asset Summary'!$D:$D,
  'Asset Summary'!$A:$A,$D422,
  'Asset Summary'!$B:$B,O$407
  )
)</f>
        <v>0</v>
      </c>
      <c r="P422" s="24">
        <f>SUM(
  SUMIFS(
  'Asset Summary'!$D:$D,
  'Asset Summary'!$A:$A,$D422,
  'Asset Summary'!$B:$B,P$407
  )
)</f>
        <v>0</v>
      </c>
      <c r="Q422" s="24">
        <f>SUM(
  SUMIFS(
  'Asset Summary'!$D:$D,
  'Asset Summary'!$A:$A,$D422,
  'Asset Summary'!$B:$B,Q$407
  )
)</f>
        <v>0</v>
      </c>
      <c r="R422" s="24">
        <f>SUM(
  SUMIFS(
  'Asset Summary'!$D:$D,
  'Asset Summary'!$A:$A,$D422,
  'Asset Summary'!$B:$B,R$407
  )
)</f>
        <v>0</v>
      </c>
      <c r="S422" s="24">
        <f>SUM(
  SUMIFS(
  'Asset Summary'!$D:$D,
  'Asset Summary'!$A:$A,$D422,
  'Asset Summary'!$B:$B,S$407
  )
)</f>
        <v>0</v>
      </c>
      <c r="T422" s="24">
        <f>SUM(
  SUMIFS(
  'Asset Summary'!$D:$D,
  'Asset Summary'!$A:$A,$D422,
  'Asset Summary'!$B:$B,T$407
  )
)</f>
        <v>0</v>
      </c>
      <c r="U422" s="24">
        <f>SUM(
  SUMIFS(
  'Asset Summary'!$D:$D,
  'Asset Summary'!$A:$A,$D422,
  'Asset Summary'!$B:$B,U$407
  )
)</f>
        <v>0</v>
      </c>
      <c r="V422" s="24">
        <f>SUM(
  SUMIFS(
  'Asset Summary'!$D:$D,
  'Asset Summary'!$A:$A,$D422,
  'Asset Summary'!$B:$B,V$407
  )
)</f>
        <v>0</v>
      </c>
      <c r="W422" s="24">
        <f>SUM(
  SUMIFS(
  'Asset Summary'!$D:$D,
  'Asset Summary'!$A:$A,$D422,
  'Asset Summary'!$B:$B,W$407
  )
)</f>
        <v>0</v>
      </c>
      <c r="X422" s="24">
        <f>SUM(
  SUMIFS(
  'Asset Summary'!$D:$D,
  'Asset Summary'!$A:$A,$D422,
  'Asset Summary'!$B:$B,X$407
  )
)</f>
        <v>0</v>
      </c>
      <c r="Y422" s="24">
        <f>SUM(
  SUMIFS(
  'Asset Summary'!$D:$D,
  'Asset Summary'!$A:$A,$D422,
  'Asset Summary'!$B:$B,Y$407
  )
)</f>
        <v>0</v>
      </c>
      <c r="Z422" s="24">
        <f>SUM(
  SUMIFS(
  'Asset Summary'!$D:$D,
  'Asset Summary'!$A:$A,$D422,
  'Asset Summary'!$B:$B,Z$407
  )
)</f>
        <v>0</v>
      </c>
      <c r="AA422" s="24">
        <f>SUM(
  SUMIFS(
  'Asset Summary'!$D:$D,
  'Asset Summary'!$A:$A,$D422,
  'Asset Summary'!$B:$B,AA$407
  )
)</f>
        <v>0</v>
      </c>
      <c r="AB422" s="24">
        <f>SUM(
  SUMIFS(
  'Asset Summary'!$D:$D,
  'Asset Summary'!$A:$A,$D422,
  'Asset Summary'!$B:$B,AB$407
  )
)</f>
        <v>0</v>
      </c>
      <c r="AC422" s="24">
        <f>SUM(
  SUMIFS(
  'Asset Summary'!$D:$D,
  'Asset Summary'!$A:$A,$D422,
  'Asset Summary'!$B:$B,AC$407
  )
)</f>
        <v>0</v>
      </c>
      <c r="AD422" s="24">
        <f>SUM(
  SUMIFS(
  'Asset Summary'!$D:$D,
  'Asset Summary'!$A:$A,$D422,
  'Asset Summary'!$B:$B,AD$407
  )
)</f>
        <v>1933</v>
      </c>
      <c r="AH422" s="34" t="s">
        <v>422</v>
      </c>
    </row>
    <row r="423" spans="4:34" outlineLevel="1" x14ac:dyDescent="0.2">
      <c r="D423" s="8" t="s">
        <v>272</v>
      </c>
      <c r="E423" s="24">
        <f>SUM(
  SUMIFS(
  'Asset Summary'!$D:$D,
  'Asset Summary'!$A:$A,$D423,
  'Asset Summary'!$B:$B,E$407
  )
)</f>
        <v>0</v>
      </c>
      <c r="F423" s="24">
        <f>SUM(
  SUMIFS(
  'Asset Summary'!$D:$D,
  'Asset Summary'!$A:$A,$D423,
  'Asset Summary'!$B:$B,F$407
  )
)</f>
        <v>0</v>
      </c>
      <c r="G423" s="24">
        <f>SUM(
  SUMIFS(
  'Asset Summary'!$D:$D,
  'Asset Summary'!$A:$A,$D423,
  'Asset Summary'!$B:$B,G$407
  )
)</f>
        <v>0</v>
      </c>
      <c r="H423" s="24">
        <f>SUM(
  SUMIFS(
  'Asset Summary'!$D:$D,
  'Asset Summary'!$A:$A,$D423,
  'Asset Summary'!$B:$B,H$407
  )
)</f>
        <v>0</v>
      </c>
      <c r="I423" s="24">
        <f>SUM(
  SUMIFS(
  'Asset Summary'!$D:$D,
  'Asset Summary'!$A:$A,$D423,
  'Asset Summary'!$B:$B,I$407
  )
)</f>
        <v>0</v>
      </c>
      <c r="J423" s="24">
        <f>SUM(
  SUMIFS(
  'Asset Summary'!$D:$D,
  'Asset Summary'!$A:$A,$D423,
  'Asset Summary'!$B:$B,J$407
  )
)</f>
        <v>0</v>
      </c>
      <c r="K423" s="24">
        <f>SUM(
  SUMIFS(
  'Asset Summary'!$D:$D,
  'Asset Summary'!$A:$A,$D423,
  'Asset Summary'!$B:$B,K$407
  )
)</f>
        <v>0</v>
      </c>
      <c r="L423" s="24">
        <f>SUM(
  SUMIFS(
  'Asset Summary'!$D:$D,
  'Asset Summary'!$A:$A,$D423,
  'Asset Summary'!$B:$B,L$407
  )
)</f>
        <v>0</v>
      </c>
      <c r="M423" s="24">
        <f>SUM(
  SUMIFS(
  'Asset Summary'!$D:$D,
  'Asset Summary'!$A:$A,$D423,
  'Asset Summary'!$B:$B,M$407
  )
)</f>
        <v>0</v>
      </c>
      <c r="N423" s="24">
        <f>SUM(
  SUMIFS(
  'Asset Summary'!$D:$D,
  'Asset Summary'!$A:$A,$D423,
  'Asset Summary'!$B:$B,N$407
  )
)</f>
        <v>0</v>
      </c>
      <c r="O423" s="24">
        <f>SUM(
  SUMIFS(
  'Asset Summary'!$D:$D,
  'Asset Summary'!$A:$A,$D423,
  'Asset Summary'!$B:$B,O$407
  )
)</f>
        <v>0</v>
      </c>
      <c r="P423" s="24">
        <f>SUM(
  SUMIFS(
  'Asset Summary'!$D:$D,
  'Asset Summary'!$A:$A,$D423,
  'Asset Summary'!$B:$B,P$407
  )
)</f>
        <v>0</v>
      </c>
      <c r="Q423" s="24">
        <f>SUM(
  SUMIFS(
  'Asset Summary'!$D:$D,
  'Asset Summary'!$A:$A,$D423,
  'Asset Summary'!$B:$B,Q$407
  )
)</f>
        <v>0</v>
      </c>
      <c r="R423" s="24">
        <f>SUM(
  SUMIFS(
  'Asset Summary'!$D:$D,
  'Asset Summary'!$A:$A,$D423,
  'Asset Summary'!$B:$B,R$407
  )
)</f>
        <v>0</v>
      </c>
      <c r="S423" s="24">
        <f>SUM(
  SUMIFS(
  'Asset Summary'!$D:$D,
  'Asset Summary'!$A:$A,$D423,
  'Asset Summary'!$B:$B,S$407
  )
)</f>
        <v>0</v>
      </c>
      <c r="T423" s="24">
        <f>SUM(
  SUMIFS(
  'Asset Summary'!$D:$D,
  'Asset Summary'!$A:$A,$D423,
  'Asset Summary'!$B:$B,T$407
  )
)</f>
        <v>0</v>
      </c>
      <c r="U423" s="24">
        <f>SUM(
  SUMIFS(
  'Asset Summary'!$D:$D,
  'Asset Summary'!$A:$A,$D423,
  'Asset Summary'!$B:$B,U$407
  )
)</f>
        <v>0</v>
      </c>
      <c r="V423" s="24">
        <f>SUM(
  SUMIFS(
  'Asset Summary'!$D:$D,
  'Asset Summary'!$A:$A,$D423,
  'Asset Summary'!$B:$B,V$407
  )
)</f>
        <v>0</v>
      </c>
      <c r="W423" s="24">
        <f>SUM(
  SUMIFS(
  'Asset Summary'!$D:$D,
  'Asset Summary'!$A:$A,$D423,
  'Asset Summary'!$B:$B,W$407
  )
)</f>
        <v>0</v>
      </c>
      <c r="X423" s="24">
        <f>SUM(
  SUMIFS(
  'Asset Summary'!$D:$D,
  'Asset Summary'!$A:$A,$D423,
  'Asset Summary'!$B:$B,X$407
  )
)</f>
        <v>0</v>
      </c>
      <c r="Y423" s="24">
        <f>SUM(
  SUMIFS(
  'Asset Summary'!$D:$D,
  'Asset Summary'!$A:$A,$D423,
  'Asset Summary'!$B:$B,Y$407
  )
)</f>
        <v>0</v>
      </c>
      <c r="Z423" s="24">
        <f>SUM(
  SUMIFS(
  'Asset Summary'!$D:$D,
  'Asset Summary'!$A:$A,$D423,
  'Asset Summary'!$B:$B,Z$407
  )
)</f>
        <v>0</v>
      </c>
      <c r="AA423" s="24">
        <f>SUM(
  SUMIFS(
  'Asset Summary'!$D:$D,
  'Asset Summary'!$A:$A,$D423,
  'Asset Summary'!$B:$B,AA$407
  )
)</f>
        <v>0</v>
      </c>
      <c r="AB423" s="24">
        <f>SUM(
  SUMIFS(
  'Asset Summary'!$D:$D,
  'Asset Summary'!$A:$A,$D423,
  'Asset Summary'!$B:$B,AB$407
  )
)</f>
        <v>0</v>
      </c>
      <c r="AC423" s="24">
        <f>SUM(
  SUMIFS(
  'Asset Summary'!$D:$D,
  'Asset Summary'!$A:$A,$D423,
  'Asset Summary'!$B:$B,AC$407
  )
)</f>
        <v>0</v>
      </c>
      <c r="AD423" s="24">
        <f>SUM(
  SUMIFS(
  'Asset Summary'!$D:$D,
  'Asset Summary'!$A:$A,$D423,
  'Asset Summary'!$B:$B,AD$407
  )
)</f>
        <v>0</v>
      </c>
      <c r="AH423" s="34" t="s">
        <v>422</v>
      </c>
    </row>
    <row r="424" spans="4:34" outlineLevel="1" x14ac:dyDescent="0.2">
      <c r="D424" s="8" t="s">
        <v>273</v>
      </c>
      <c r="E424" s="24">
        <f>SUM(
  SUMIFS(
  'Asset Summary'!$D:$D,
  'Asset Summary'!$A:$A,$D424,
  'Asset Summary'!$B:$B,E$407
  )
)</f>
        <v>0</v>
      </c>
      <c r="F424" s="24">
        <f>SUM(
  SUMIFS(
  'Asset Summary'!$D:$D,
  'Asset Summary'!$A:$A,$D424,
  'Asset Summary'!$B:$B,F$407
  )
)</f>
        <v>0</v>
      </c>
      <c r="G424" s="24">
        <f>SUM(
  SUMIFS(
  'Asset Summary'!$D:$D,
  'Asset Summary'!$A:$A,$D424,
  'Asset Summary'!$B:$B,G$407
  )
)</f>
        <v>0</v>
      </c>
      <c r="H424" s="24">
        <f>SUM(
  SUMIFS(
  'Asset Summary'!$D:$D,
  'Asset Summary'!$A:$A,$D424,
  'Asset Summary'!$B:$B,H$407
  )
)</f>
        <v>0</v>
      </c>
      <c r="I424" s="24">
        <f>SUM(
  SUMIFS(
  'Asset Summary'!$D:$D,
  'Asset Summary'!$A:$A,$D424,
  'Asset Summary'!$B:$B,I$407
  )
)</f>
        <v>0</v>
      </c>
      <c r="J424" s="24">
        <f>SUM(
  SUMIFS(
  'Asset Summary'!$D:$D,
  'Asset Summary'!$A:$A,$D424,
  'Asset Summary'!$B:$B,J$407
  )
)</f>
        <v>0</v>
      </c>
      <c r="K424" s="24">
        <f>SUM(
  SUMIFS(
  'Asset Summary'!$D:$D,
  'Asset Summary'!$A:$A,$D424,
  'Asset Summary'!$B:$B,K$407
  )
)</f>
        <v>0</v>
      </c>
      <c r="L424" s="24">
        <f>SUM(
  SUMIFS(
  'Asset Summary'!$D:$D,
  'Asset Summary'!$A:$A,$D424,
  'Asset Summary'!$B:$B,L$407
  )
)</f>
        <v>0</v>
      </c>
      <c r="M424" s="24">
        <f>SUM(
  SUMIFS(
  'Asset Summary'!$D:$D,
  'Asset Summary'!$A:$A,$D424,
  'Asset Summary'!$B:$B,M$407
  )
)</f>
        <v>0</v>
      </c>
      <c r="N424" s="24">
        <f>SUM(
  SUMIFS(
  'Asset Summary'!$D:$D,
  'Asset Summary'!$A:$A,$D424,
  'Asset Summary'!$B:$B,N$407
  )
)</f>
        <v>0</v>
      </c>
      <c r="O424" s="24">
        <f>SUM(
  SUMIFS(
  'Asset Summary'!$D:$D,
  'Asset Summary'!$A:$A,$D424,
  'Asset Summary'!$B:$B,O$407
  )
)</f>
        <v>0</v>
      </c>
      <c r="P424" s="24">
        <f>SUM(
  SUMIFS(
  'Asset Summary'!$D:$D,
  'Asset Summary'!$A:$A,$D424,
  'Asset Summary'!$B:$B,P$407
  )
)</f>
        <v>0</v>
      </c>
      <c r="Q424" s="24">
        <f>SUM(
  SUMIFS(
  'Asset Summary'!$D:$D,
  'Asset Summary'!$A:$A,$D424,
  'Asset Summary'!$B:$B,Q$407
  )
)</f>
        <v>0</v>
      </c>
      <c r="R424" s="24">
        <f>SUM(
  SUMIFS(
  'Asset Summary'!$D:$D,
  'Asset Summary'!$A:$A,$D424,
  'Asset Summary'!$B:$B,R$407
  )
)</f>
        <v>0</v>
      </c>
      <c r="S424" s="24">
        <f>SUM(
  SUMIFS(
  'Asset Summary'!$D:$D,
  'Asset Summary'!$A:$A,$D424,
  'Asset Summary'!$B:$B,S$407
  )
)</f>
        <v>0</v>
      </c>
      <c r="T424" s="24">
        <f>SUM(
  SUMIFS(
  'Asset Summary'!$D:$D,
  'Asset Summary'!$A:$A,$D424,
  'Asset Summary'!$B:$B,T$407
  )
)</f>
        <v>0</v>
      </c>
      <c r="U424" s="24">
        <f>SUM(
  SUMIFS(
  'Asset Summary'!$D:$D,
  'Asset Summary'!$A:$A,$D424,
  'Asset Summary'!$B:$B,U$407
  )
)</f>
        <v>0</v>
      </c>
      <c r="V424" s="24">
        <f>SUM(
  SUMIFS(
  'Asset Summary'!$D:$D,
  'Asset Summary'!$A:$A,$D424,
  'Asset Summary'!$B:$B,V$407
  )
)</f>
        <v>0</v>
      </c>
      <c r="W424" s="24">
        <f>SUM(
  SUMIFS(
  'Asset Summary'!$D:$D,
  'Asset Summary'!$A:$A,$D424,
  'Asset Summary'!$B:$B,W$407
  )
)</f>
        <v>0</v>
      </c>
      <c r="X424" s="24">
        <f>SUM(
  SUMIFS(
  'Asset Summary'!$D:$D,
  'Asset Summary'!$A:$A,$D424,
  'Asset Summary'!$B:$B,X$407
  )
)</f>
        <v>0</v>
      </c>
      <c r="Y424" s="24">
        <f>SUM(
  SUMIFS(
  'Asset Summary'!$D:$D,
  'Asset Summary'!$A:$A,$D424,
  'Asset Summary'!$B:$B,Y$407
  )
)</f>
        <v>0</v>
      </c>
      <c r="Z424" s="24">
        <f>SUM(
  SUMIFS(
  'Asset Summary'!$D:$D,
  'Asset Summary'!$A:$A,$D424,
  'Asset Summary'!$B:$B,Z$407
  )
)</f>
        <v>0</v>
      </c>
      <c r="AA424" s="24">
        <f>SUM(
  SUMIFS(
  'Asset Summary'!$D:$D,
  'Asset Summary'!$A:$A,$D424,
  'Asset Summary'!$B:$B,AA$407
  )
)</f>
        <v>0</v>
      </c>
      <c r="AB424" s="24">
        <f>SUM(
  SUMIFS(
  'Asset Summary'!$D:$D,
  'Asset Summary'!$A:$A,$D424,
  'Asset Summary'!$B:$B,AB$407
  )
)</f>
        <v>0</v>
      </c>
      <c r="AC424" s="24">
        <f>SUM(
  SUMIFS(
  'Asset Summary'!$D:$D,
  'Asset Summary'!$A:$A,$D424,
  'Asset Summary'!$B:$B,AC$407
  )
)</f>
        <v>0</v>
      </c>
      <c r="AD424" s="24">
        <f>SUM(
  SUMIFS(
  'Asset Summary'!$D:$D,
  'Asset Summary'!$A:$A,$D424,
  'Asset Summary'!$B:$B,AD$407
  )
)</f>
        <v>0</v>
      </c>
      <c r="AH424" s="34" t="s">
        <v>422</v>
      </c>
    </row>
    <row r="425" spans="4:34" outlineLevel="1" x14ac:dyDescent="0.2">
      <c r="D425" s="8" t="s">
        <v>274</v>
      </c>
      <c r="E425" s="24">
        <f>SUM(
  SUMIFS(
  'Asset Summary'!$D:$D,
  'Asset Summary'!$A:$A,$D425,
  'Asset Summary'!$B:$B,E$407
  )
)</f>
        <v>0</v>
      </c>
      <c r="F425" s="24">
        <f>SUM(
  SUMIFS(
  'Asset Summary'!$D:$D,
  'Asset Summary'!$A:$A,$D425,
  'Asset Summary'!$B:$B,F$407
  )
)</f>
        <v>0</v>
      </c>
      <c r="G425" s="24">
        <f>SUM(
  SUMIFS(
  'Asset Summary'!$D:$D,
  'Asset Summary'!$A:$A,$D425,
  'Asset Summary'!$B:$B,G$407
  )
)</f>
        <v>0</v>
      </c>
      <c r="H425" s="24">
        <f>SUM(
  SUMIFS(
  'Asset Summary'!$D:$D,
  'Asset Summary'!$A:$A,$D425,
  'Asset Summary'!$B:$B,H$407
  )
)</f>
        <v>0</v>
      </c>
      <c r="I425" s="24">
        <f>SUM(
  SUMIFS(
  'Asset Summary'!$D:$D,
  'Asset Summary'!$A:$A,$D425,
  'Asset Summary'!$B:$B,I$407
  )
)</f>
        <v>0</v>
      </c>
      <c r="J425" s="24">
        <f>SUM(
  SUMIFS(
  'Asset Summary'!$D:$D,
  'Asset Summary'!$A:$A,$D425,
  'Asset Summary'!$B:$B,J$407
  )
)</f>
        <v>0</v>
      </c>
      <c r="K425" s="24">
        <f>SUM(
  SUMIFS(
  'Asset Summary'!$D:$D,
  'Asset Summary'!$A:$A,$D425,
  'Asset Summary'!$B:$B,K$407
  )
)</f>
        <v>0</v>
      </c>
      <c r="L425" s="24">
        <f>SUM(
  SUMIFS(
  'Asset Summary'!$D:$D,
  'Asset Summary'!$A:$A,$D425,
  'Asset Summary'!$B:$B,L$407
  )
)</f>
        <v>0</v>
      </c>
      <c r="M425" s="24">
        <f>SUM(
  SUMIFS(
  'Asset Summary'!$D:$D,
  'Asset Summary'!$A:$A,$D425,
  'Asset Summary'!$B:$B,M$407
  )
)</f>
        <v>0</v>
      </c>
      <c r="N425" s="24">
        <f>SUM(
  SUMIFS(
  'Asset Summary'!$D:$D,
  'Asset Summary'!$A:$A,$D425,
  'Asset Summary'!$B:$B,N$407
  )
)</f>
        <v>0</v>
      </c>
      <c r="O425" s="24">
        <f>SUM(
  SUMIFS(
  'Asset Summary'!$D:$D,
  'Asset Summary'!$A:$A,$D425,
  'Asset Summary'!$B:$B,O$407
  )
)</f>
        <v>0</v>
      </c>
      <c r="P425" s="24">
        <f>SUM(
  SUMIFS(
  'Asset Summary'!$D:$D,
  'Asset Summary'!$A:$A,$D425,
  'Asset Summary'!$B:$B,P$407
  )
)</f>
        <v>0</v>
      </c>
      <c r="Q425" s="24">
        <f>SUM(
  SUMIFS(
  'Asset Summary'!$D:$D,
  'Asset Summary'!$A:$A,$D425,
  'Asset Summary'!$B:$B,Q$407
  )
)</f>
        <v>0</v>
      </c>
      <c r="R425" s="24">
        <f>SUM(
  SUMIFS(
  'Asset Summary'!$D:$D,
  'Asset Summary'!$A:$A,$D425,
  'Asset Summary'!$B:$B,R$407
  )
)</f>
        <v>0</v>
      </c>
      <c r="S425" s="24">
        <f>SUM(
  SUMIFS(
  'Asset Summary'!$D:$D,
  'Asset Summary'!$A:$A,$D425,
  'Asset Summary'!$B:$B,S$407
  )
)</f>
        <v>0</v>
      </c>
      <c r="T425" s="24">
        <f>SUM(
  SUMIFS(
  'Asset Summary'!$D:$D,
  'Asset Summary'!$A:$A,$D425,
  'Asset Summary'!$B:$B,T$407
  )
)</f>
        <v>0</v>
      </c>
      <c r="U425" s="24">
        <f>SUM(
  SUMIFS(
  'Asset Summary'!$D:$D,
  'Asset Summary'!$A:$A,$D425,
  'Asset Summary'!$B:$B,U$407
  )
)</f>
        <v>0</v>
      </c>
      <c r="V425" s="24">
        <f>SUM(
  SUMIFS(
  'Asset Summary'!$D:$D,
  'Asset Summary'!$A:$A,$D425,
  'Asset Summary'!$B:$B,V$407
  )
)</f>
        <v>0</v>
      </c>
      <c r="W425" s="24">
        <f>SUM(
  SUMIFS(
  'Asset Summary'!$D:$D,
  'Asset Summary'!$A:$A,$D425,
  'Asset Summary'!$B:$B,W$407
  )
)</f>
        <v>0</v>
      </c>
      <c r="X425" s="24">
        <f>SUM(
  SUMIFS(
  'Asset Summary'!$D:$D,
  'Asset Summary'!$A:$A,$D425,
  'Asset Summary'!$B:$B,X$407
  )
)</f>
        <v>0</v>
      </c>
      <c r="Y425" s="24">
        <f>SUM(
  SUMIFS(
  'Asset Summary'!$D:$D,
  'Asset Summary'!$A:$A,$D425,
  'Asset Summary'!$B:$B,Y$407
  )
)</f>
        <v>0</v>
      </c>
      <c r="Z425" s="24">
        <f>SUM(
  SUMIFS(
  'Asset Summary'!$D:$D,
  'Asset Summary'!$A:$A,$D425,
  'Asset Summary'!$B:$B,Z$407
  )
)</f>
        <v>0</v>
      </c>
      <c r="AA425" s="24">
        <f>SUM(
  SUMIFS(
  'Asset Summary'!$D:$D,
  'Asset Summary'!$A:$A,$D425,
  'Asset Summary'!$B:$B,AA$407
  )
)</f>
        <v>0</v>
      </c>
      <c r="AB425" s="24">
        <f>SUM(
  SUMIFS(
  'Asset Summary'!$D:$D,
  'Asset Summary'!$A:$A,$D425,
  'Asset Summary'!$B:$B,AB$407
  )
)</f>
        <v>0</v>
      </c>
      <c r="AC425" s="24">
        <f>SUM(
  SUMIFS(
  'Asset Summary'!$D:$D,
  'Asset Summary'!$A:$A,$D425,
  'Asset Summary'!$B:$B,AC$407
  )
)</f>
        <v>0</v>
      </c>
      <c r="AD425" s="24">
        <f>SUM(
  SUMIFS(
  'Asset Summary'!$D:$D,
  'Asset Summary'!$A:$A,$D425,
  'Asset Summary'!$B:$B,AD$407
  )
)</f>
        <v>980</v>
      </c>
      <c r="AH425" s="34" t="s">
        <v>422</v>
      </c>
    </row>
    <row r="426" spans="4:34" outlineLevel="1" x14ac:dyDescent="0.2">
      <c r="D426" s="8" t="s">
        <v>275</v>
      </c>
      <c r="E426" s="24">
        <f>SUM(
  SUMIFS(
  'Asset Summary'!$D:$D,
  'Asset Summary'!$A:$A,$D426,
  'Asset Summary'!$B:$B,E$407
  )
)</f>
        <v>0</v>
      </c>
      <c r="F426" s="24">
        <f>SUM(
  SUMIFS(
  'Asset Summary'!$D:$D,
  'Asset Summary'!$A:$A,$D426,
  'Asset Summary'!$B:$B,F$407
  )
)</f>
        <v>0</v>
      </c>
      <c r="G426" s="24">
        <f>SUM(
  SUMIFS(
  'Asset Summary'!$D:$D,
  'Asset Summary'!$A:$A,$D426,
  'Asset Summary'!$B:$B,G$407
  )
)</f>
        <v>0</v>
      </c>
      <c r="H426" s="24">
        <f>SUM(
  SUMIFS(
  'Asset Summary'!$D:$D,
  'Asset Summary'!$A:$A,$D426,
  'Asset Summary'!$B:$B,H$407
  )
)</f>
        <v>0</v>
      </c>
      <c r="I426" s="24">
        <f>SUM(
  SUMIFS(
  'Asset Summary'!$D:$D,
  'Asset Summary'!$A:$A,$D426,
  'Asset Summary'!$B:$B,I$407
  )
)</f>
        <v>0</v>
      </c>
      <c r="J426" s="24">
        <f>SUM(
  SUMIFS(
  'Asset Summary'!$D:$D,
  'Asset Summary'!$A:$A,$D426,
  'Asset Summary'!$B:$B,J$407
  )
)</f>
        <v>0</v>
      </c>
      <c r="K426" s="24">
        <f>SUM(
  SUMIFS(
  'Asset Summary'!$D:$D,
  'Asset Summary'!$A:$A,$D426,
  'Asset Summary'!$B:$B,K$407
  )
)</f>
        <v>0</v>
      </c>
      <c r="L426" s="24">
        <f>SUM(
  SUMIFS(
  'Asset Summary'!$D:$D,
  'Asset Summary'!$A:$A,$D426,
  'Asset Summary'!$B:$B,L$407
  )
)</f>
        <v>0</v>
      </c>
      <c r="M426" s="24">
        <f>SUM(
  SUMIFS(
  'Asset Summary'!$D:$D,
  'Asset Summary'!$A:$A,$D426,
  'Asset Summary'!$B:$B,M$407
  )
)</f>
        <v>0</v>
      </c>
      <c r="N426" s="24">
        <f>SUM(
  SUMIFS(
  'Asset Summary'!$D:$D,
  'Asset Summary'!$A:$A,$D426,
  'Asset Summary'!$B:$B,N$407
  )
)</f>
        <v>0</v>
      </c>
      <c r="O426" s="24">
        <f>SUM(
  SUMIFS(
  'Asset Summary'!$D:$D,
  'Asset Summary'!$A:$A,$D426,
  'Asset Summary'!$B:$B,O$407
  )
)</f>
        <v>0</v>
      </c>
      <c r="P426" s="24">
        <f>SUM(
  SUMIFS(
  'Asset Summary'!$D:$D,
  'Asset Summary'!$A:$A,$D426,
  'Asset Summary'!$B:$B,P$407
  )
)</f>
        <v>0</v>
      </c>
      <c r="Q426" s="24">
        <f>SUM(
  SUMIFS(
  'Asset Summary'!$D:$D,
  'Asset Summary'!$A:$A,$D426,
  'Asset Summary'!$B:$B,Q$407
  )
)</f>
        <v>0</v>
      </c>
      <c r="R426" s="24">
        <f>SUM(
  SUMIFS(
  'Asset Summary'!$D:$D,
  'Asset Summary'!$A:$A,$D426,
  'Asset Summary'!$B:$B,R$407
  )
)</f>
        <v>0</v>
      </c>
      <c r="S426" s="24">
        <f>SUM(
  SUMIFS(
  'Asset Summary'!$D:$D,
  'Asset Summary'!$A:$A,$D426,
  'Asset Summary'!$B:$B,S$407
  )
)</f>
        <v>0</v>
      </c>
      <c r="T426" s="24">
        <f>SUM(
  SUMIFS(
  'Asset Summary'!$D:$D,
  'Asset Summary'!$A:$A,$D426,
  'Asset Summary'!$B:$B,T$407
  )
)</f>
        <v>0</v>
      </c>
      <c r="U426" s="24">
        <f>SUM(
  SUMIFS(
  'Asset Summary'!$D:$D,
  'Asset Summary'!$A:$A,$D426,
  'Asset Summary'!$B:$B,U$407
  )
)</f>
        <v>0</v>
      </c>
      <c r="V426" s="24">
        <f>SUM(
  SUMIFS(
  'Asset Summary'!$D:$D,
  'Asset Summary'!$A:$A,$D426,
  'Asset Summary'!$B:$B,V$407
  )
)</f>
        <v>0</v>
      </c>
      <c r="W426" s="24">
        <f>SUM(
  SUMIFS(
  'Asset Summary'!$D:$D,
  'Asset Summary'!$A:$A,$D426,
  'Asset Summary'!$B:$B,W$407
  )
)</f>
        <v>0</v>
      </c>
      <c r="X426" s="24">
        <f>SUM(
  SUMIFS(
  'Asset Summary'!$D:$D,
  'Asset Summary'!$A:$A,$D426,
  'Asset Summary'!$B:$B,X$407
  )
)</f>
        <v>0</v>
      </c>
      <c r="Y426" s="24">
        <f>SUM(
  SUMIFS(
  'Asset Summary'!$D:$D,
  'Asset Summary'!$A:$A,$D426,
  'Asset Summary'!$B:$B,Y$407
  )
)</f>
        <v>0</v>
      </c>
      <c r="Z426" s="24">
        <f>SUM(
  SUMIFS(
  'Asset Summary'!$D:$D,
  'Asset Summary'!$A:$A,$D426,
  'Asset Summary'!$B:$B,Z$407
  )
)</f>
        <v>0</v>
      </c>
      <c r="AA426" s="24">
        <f>SUM(
  SUMIFS(
  'Asset Summary'!$D:$D,
  'Asset Summary'!$A:$A,$D426,
  'Asset Summary'!$B:$B,AA$407
  )
)</f>
        <v>0</v>
      </c>
      <c r="AB426" s="24">
        <f>SUM(
  SUMIFS(
  'Asset Summary'!$D:$D,
  'Asset Summary'!$A:$A,$D426,
  'Asset Summary'!$B:$B,AB$407
  )
)</f>
        <v>0</v>
      </c>
      <c r="AC426" s="24">
        <f>SUM(
  SUMIFS(
  'Asset Summary'!$D:$D,
  'Asset Summary'!$A:$A,$D426,
  'Asset Summary'!$B:$B,AC$407
  )
)</f>
        <v>0</v>
      </c>
      <c r="AD426" s="24">
        <f>SUM(
  SUMIFS(
  'Asset Summary'!$D:$D,
  'Asset Summary'!$A:$A,$D426,
  'Asset Summary'!$B:$B,AD$407
  )
)</f>
        <v>0</v>
      </c>
      <c r="AH426" s="34" t="s">
        <v>422</v>
      </c>
    </row>
    <row r="427" spans="4:34" outlineLevel="1" x14ac:dyDescent="0.2">
      <c r="D427" s="8" t="s">
        <v>276</v>
      </c>
      <c r="E427" s="24">
        <f>SUM(
  SUMIFS(
  'Asset Summary'!$D:$D,
  'Asset Summary'!$A:$A,$D427,
  'Asset Summary'!$B:$B,E$407
  )
)</f>
        <v>0</v>
      </c>
      <c r="F427" s="24">
        <f>SUM(
  SUMIFS(
  'Asset Summary'!$D:$D,
  'Asset Summary'!$A:$A,$D427,
  'Asset Summary'!$B:$B,F$407
  )
)</f>
        <v>0</v>
      </c>
      <c r="G427" s="24">
        <f>SUM(
  SUMIFS(
  'Asset Summary'!$D:$D,
  'Asset Summary'!$A:$A,$D427,
  'Asset Summary'!$B:$B,G$407
  )
)</f>
        <v>0</v>
      </c>
      <c r="H427" s="24">
        <f>SUM(
  SUMIFS(
  'Asset Summary'!$D:$D,
  'Asset Summary'!$A:$A,$D427,
  'Asset Summary'!$B:$B,H$407
  )
)</f>
        <v>0</v>
      </c>
      <c r="I427" s="24">
        <f>SUM(
  SUMIFS(
  'Asset Summary'!$D:$D,
  'Asset Summary'!$A:$A,$D427,
  'Asset Summary'!$B:$B,I$407
  )
)</f>
        <v>0</v>
      </c>
      <c r="J427" s="24">
        <f>SUM(
  SUMIFS(
  'Asset Summary'!$D:$D,
  'Asset Summary'!$A:$A,$D427,
  'Asset Summary'!$B:$B,J$407
  )
)</f>
        <v>0</v>
      </c>
      <c r="K427" s="24">
        <f>SUM(
  SUMIFS(
  'Asset Summary'!$D:$D,
  'Asset Summary'!$A:$A,$D427,
  'Asset Summary'!$B:$B,K$407
  )
)</f>
        <v>0</v>
      </c>
      <c r="L427" s="24">
        <f>SUM(
  SUMIFS(
  'Asset Summary'!$D:$D,
  'Asset Summary'!$A:$A,$D427,
  'Asset Summary'!$B:$B,L$407
  )
)</f>
        <v>0</v>
      </c>
      <c r="M427" s="24">
        <f>SUM(
  SUMIFS(
  'Asset Summary'!$D:$D,
  'Asset Summary'!$A:$A,$D427,
  'Asset Summary'!$B:$B,M$407
  )
)</f>
        <v>0</v>
      </c>
      <c r="N427" s="24">
        <f>SUM(
  SUMIFS(
  'Asset Summary'!$D:$D,
  'Asset Summary'!$A:$A,$D427,
  'Asset Summary'!$B:$B,N$407
  )
)</f>
        <v>0</v>
      </c>
      <c r="O427" s="24">
        <f>SUM(
  SUMIFS(
  'Asset Summary'!$D:$D,
  'Asset Summary'!$A:$A,$D427,
  'Asset Summary'!$B:$B,O$407
  )
)</f>
        <v>0</v>
      </c>
      <c r="P427" s="24">
        <f>SUM(
  SUMIFS(
  'Asset Summary'!$D:$D,
  'Asset Summary'!$A:$A,$D427,
  'Asset Summary'!$B:$B,P$407
  )
)</f>
        <v>0</v>
      </c>
      <c r="Q427" s="24">
        <f>SUM(
  SUMIFS(
  'Asset Summary'!$D:$D,
  'Asset Summary'!$A:$A,$D427,
  'Asset Summary'!$B:$B,Q$407
  )
)</f>
        <v>0</v>
      </c>
      <c r="R427" s="24">
        <f>SUM(
  SUMIFS(
  'Asset Summary'!$D:$D,
  'Asset Summary'!$A:$A,$D427,
  'Asset Summary'!$B:$B,R$407
  )
)</f>
        <v>0</v>
      </c>
      <c r="S427" s="24">
        <f>SUM(
  SUMIFS(
  'Asset Summary'!$D:$D,
  'Asset Summary'!$A:$A,$D427,
  'Asset Summary'!$B:$B,S$407
  )
)</f>
        <v>0</v>
      </c>
      <c r="T427" s="24">
        <f>SUM(
  SUMIFS(
  'Asset Summary'!$D:$D,
  'Asset Summary'!$A:$A,$D427,
  'Asset Summary'!$B:$B,T$407
  )
)</f>
        <v>0</v>
      </c>
      <c r="U427" s="24">
        <f>SUM(
  SUMIFS(
  'Asset Summary'!$D:$D,
  'Asset Summary'!$A:$A,$D427,
  'Asset Summary'!$B:$B,U$407
  )
)</f>
        <v>0</v>
      </c>
      <c r="V427" s="24">
        <f>SUM(
  SUMIFS(
  'Asset Summary'!$D:$D,
  'Asset Summary'!$A:$A,$D427,
  'Asset Summary'!$B:$B,V$407
  )
)</f>
        <v>0</v>
      </c>
      <c r="W427" s="24">
        <f>SUM(
  SUMIFS(
  'Asset Summary'!$D:$D,
  'Asset Summary'!$A:$A,$D427,
  'Asset Summary'!$B:$B,W$407
  )
)</f>
        <v>0</v>
      </c>
      <c r="X427" s="24">
        <f>SUM(
  SUMIFS(
  'Asset Summary'!$D:$D,
  'Asset Summary'!$A:$A,$D427,
  'Asset Summary'!$B:$B,X$407
  )
)</f>
        <v>0</v>
      </c>
      <c r="Y427" s="24">
        <f>SUM(
  SUMIFS(
  'Asset Summary'!$D:$D,
  'Asset Summary'!$A:$A,$D427,
  'Asset Summary'!$B:$B,Y$407
  )
)</f>
        <v>0</v>
      </c>
      <c r="Z427" s="24">
        <f>SUM(
  SUMIFS(
  'Asset Summary'!$D:$D,
  'Asset Summary'!$A:$A,$D427,
  'Asset Summary'!$B:$B,Z$407
  )
)</f>
        <v>0</v>
      </c>
      <c r="AA427" s="24">
        <f>SUM(
  SUMIFS(
  'Asset Summary'!$D:$D,
  'Asset Summary'!$A:$A,$D427,
  'Asset Summary'!$B:$B,AA$407
  )
)</f>
        <v>0</v>
      </c>
      <c r="AB427" s="24">
        <f>SUM(
  SUMIFS(
  'Asset Summary'!$D:$D,
  'Asset Summary'!$A:$A,$D427,
  'Asset Summary'!$B:$B,AB$407
  )
)</f>
        <v>0</v>
      </c>
      <c r="AC427" s="24">
        <f>SUM(
  SUMIFS(
  'Asset Summary'!$D:$D,
  'Asset Summary'!$A:$A,$D427,
  'Asset Summary'!$B:$B,AC$407
  )
)</f>
        <v>0</v>
      </c>
      <c r="AD427" s="24">
        <f>SUM(
  SUMIFS(
  'Asset Summary'!$D:$D,
  'Asset Summary'!$A:$A,$D427,
  'Asset Summary'!$B:$B,AD$407
  )
)</f>
        <v>0</v>
      </c>
      <c r="AH427" s="34" t="s">
        <v>422</v>
      </c>
    </row>
    <row r="428" spans="4:34" outlineLevel="1" x14ac:dyDescent="0.2">
      <c r="D428" s="8" t="s">
        <v>277</v>
      </c>
      <c r="E428" s="24">
        <f>SUM(
  SUMIFS(
  'Asset Summary'!$D:$D,
  'Asset Summary'!$A:$A,$D428,
  'Asset Summary'!$B:$B,E$407
  )
)</f>
        <v>0</v>
      </c>
      <c r="F428" s="24">
        <f>SUM(
  SUMIFS(
  'Asset Summary'!$D:$D,
  'Asset Summary'!$A:$A,$D428,
  'Asset Summary'!$B:$B,F$407
  )
)</f>
        <v>0</v>
      </c>
      <c r="G428" s="24">
        <f>SUM(
  SUMIFS(
  'Asset Summary'!$D:$D,
  'Asset Summary'!$A:$A,$D428,
  'Asset Summary'!$B:$B,G$407
  )
)</f>
        <v>0</v>
      </c>
      <c r="H428" s="24">
        <f>SUM(
  SUMIFS(
  'Asset Summary'!$D:$D,
  'Asset Summary'!$A:$A,$D428,
  'Asset Summary'!$B:$B,H$407
  )
)</f>
        <v>0</v>
      </c>
      <c r="I428" s="24">
        <f>SUM(
  SUMIFS(
  'Asset Summary'!$D:$D,
  'Asset Summary'!$A:$A,$D428,
  'Asset Summary'!$B:$B,I$407
  )
)</f>
        <v>0</v>
      </c>
      <c r="J428" s="24">
        <f>SUM(
  SUMIFS(
  'Asset Summary'!$D:$D,
  'Asset Summary'!$A:$A,$D428,
  'Asset Summary'!$B:$B,J$407
  )
)</f>
        <v>0</v>
      </c>
      <c r="K428" s="24">
        <f>SUM(
  SUMIFS(
  'Asset Summary'!$D:$D,
  'Asset Summary'!$A:$A,$D428,
  'Asset Summary'!$B:$B,K$407
  )
)</f>
        <v>0</v>
      </c>
      <c r="L428" s="24">
        <f>SUM(
  SUMIFS(
  'Asset Summary'!$D:$D,
  'Asset Summary'!$A:$A,$D428,
  'Asset Summary'!$B:$B,L$407
  )
)</f>
        <v>0</v>
      </c>
      <c r="M428" s="24">
        <f>SUM(
  SUMIFS(
  'Asset Summary'!$D:$D,
  'Asset Summary'!$A:$A,$D428,
  'Asset Summary'!$B:$B,M$407
  )
)</f>
        <v>0</v>
      </c>
      <c r="N428" s="24">
        <f>SUM(
  SUMIFS(
  'Asset Summary'!$D:$D,
  'Asset Summary'!$A:$A,$D428,
  'Asset Summary'!$B:$B,N$407
  )
)</f>
        <v>0</v>
      </c>
      <c r="O428" s="24">
        <f>SUM(
  SUMIFS(
  'Asset Summary'!$D:$D,
  'Asset Summary'!$A:$A,$D428,
  'Asset Summary'!$B:$B,O$407
  )
)</f>
        <v>0</v>
      </c>
      <c r="P428" s="24">
        <f>SUM(
  SUMIFS(
  'Asset Summary'!$D:$D,
  'Asset Summary'!$A:$A,$D428,
  'Asset Summary'!$B:$B,P$407
  )
)</f>
        <v>0</v>
      </c>
      <c r="Q428" s="24">
        <f>SUM(
  SUMIFS(
  'Asset Summary'!$D:$D,
  'Asset Summary'!$A:$A,$D428,
  'Asset Summary'!$B:$B,Q$407
  )
)</f>
        <v>0</v>
      </c>
      <c r="R428" s="24">
        <f>SUM(
  SUMIFS(
  'Asset Summary'!$D:$D,
  'Asset Summary'!$A:$A,$D428,
  'Asset Summary'!$B:$B,R$407
  )
)</f>
        <v>0</v>
      </c>
      <c r="S428" s="24">
        <f>SUM(
  SUMIFS(
  'Asset Summary'!$D:$D,
  'Asset Summary'!$A:$A,$D428,
  'Asset Summary'!$B:$B,S$407
  )
)</f>
        <v>0</v>
      </c>
      <c r="T428" s="24">
        <f>SUM(
  SUMIFS(
  'Asset Summary'!$D:$D,
  'Asset Summary'!$A:$A,$D428,
  'Asset Summary'!$B:$B,T$407
  )
)</f>
        <v>0</v>
      </c>
      <c r="U428" s="24">
        <f>SUM(
  SUMIFS(
  'Asset Summary'!$D:$D,
  'Asset Summary'!$A:$A,$D428,
  'Asset Summary'!$B:$B,U$407
  )
)</f>
        <v>0</v>
      </c>
      <c r="V428" s="24">
        <f>SUM(
  SUMIFS(
  'Asset Summary'!$D:$D,
  'Asset Summary'!$A:$A,$D428,
  'Asset Summary'!$B:$B,V$407
  )
)</f>
        <v>0</v>
      </c>
      <c r="W428" s="24">
        <f>SUM(
  SUMIFS(
  'Asset Summary'!$D:$D,
  'Asset Summary'!$A:$A,$D428,
  'Asset Summary'!$B:$B,W$407
  )
)</f>
        <v>0</v>
      </c>
      <c r="X428" s="24">
        <f>SUM(
  SUMIFS(
  'Asset Summary'!$D:$D,
  'Asset Summary'!$A:$A,$D428,
  'Asset Summary'!$B:$B,X$407
  )
)</f>
        <v>0</v>
      </c>
      <c r="Y428" s="24">
        <f>SUM(
  SUMIFS(
  'Asset Summary'!$D:$D,
  'Asset Summary'!$A:$A,$D428,
  'Asset Summary'!$B:$B,Y$407
  )
)</f>
        <v>0</v>
      </c>
      <c r="Z428" s="24">
        <f>SUM(
  SUMIFS(
  'Asset Summary'!$D:$D,
  'Asset Summary'!$A:$A,$D428,
  'Asset Summary'!$B:$B,Z$407
  )
)</f>
        <v>0</v>
      </c>
      <c r="AA428" s="24">
        <f>SUM(
  SUMIFS(
  'Asset Summary'!$D:$D,
  'Asset Summary'!$A:$A,$D428,
  'Asset Summary'!$B:$B,AA$407
  )
)</f>
        <v>0</v>
      </c>
      <c r="AB428" s="24">
        <f>SUM(
  SUMIFS(
  'Asset Summary'!$D:$D,
  'Asset Summary'!$A:$A,$D428,
  'Asset Summary'!$B:$B,AB$407
  )
)</f>
        <v>0</v>
      </c>
      <c r="AC428" s="24">
        <f>SUM(
  SUMIFS(
  'Asset Summary'!$D:$D,
  'Asset Summary'!$A:$A,$D428,
  'Asset Summary'!$B:$B,AC$407
  )
)</f>
        <v>0</v>
      </c>
      <c r="AD428" s="24">
        <f>SUM(
  SUMIFS(
  'Asset Summary'!$D:$D,
  'Asset Summary'!$A:$A,$D428,
  'Asset Summary'!$B:$B,AD$407
  )
)</f>
        <v>0</v>
      </c>
      <c r="AH428" s="34" t="s">
        <v>422</v>
      </c>
    </row>
    <row r="429" spans="4:34" outlineLevel="1" x14ac:dyDescent="0.2">
      <c r="D429" s="8" t="s">
        <v>278</v>
      </c>
      <c r="E429" s="24">
        <f>SUM(
  SUMIFS(
  'Asset Summary'!$D:$D,
  'Asset Summary'!$A:$A,$D429,
  'Asset Summary'!$B:$B,E$407
  )
)</f>
        <v>0</v>
      </c>
      <c r="F429" s="24">
        <f>SUM(
  SUMIFS(
  'Asset Summary'!$D:$D,
  'Asset Summary'!$A:$A,$D429,
  'Asset Summary'!$B:$B,F$407
  )
)</f>
        <v>0</v>
      </c>
      <c r="G429" s="24">
        <f>SUM(
  SUMIFS(
  'Asset Summary'!$D:$D,
  'Asset Summary'!$A:$A,$D429,
  'Asset Summary'!$B:$B,G$407
  )
)</f>
        <v>0</v>
      </c>
      <c r="H429" s="24">
        <f>SUM(
  SUMIFS(
  'Asset Summary'!$D:$D,
  'Asset Summary'!$A:$A,$D429,
  'Asset Summary'!$B:$B,H$407
  )
)</f>
        <v>0</v>
      </c>
      <c r="I429" s="24">
        <f>SUM(
  SUMIFS(
  'Asset Summary'!$D:$D,
  'Asset Summary'!$A:$A,$D429,
  'Asset Summary'!$B:$B,I$407
  )
)</f>
        <v>0</v>
      </c>
      <c r="J429" s="24">
        <f>SUM(
  SUMIFS(
  'Asset Summary'!$D:$D,
  'Asset Summary'!$A:$A,$D429,
  'Asset Summary'!$B:$B,J$407
  )
)</f>
        <v>0</v>
      </c>
      <c r="K429" s="24">
        <f>SUM(
  SUMIFS(
  'Asset Summary'!$D:$D,
  'Asset Summary'!$A:$A,$D429,
  'Asset Summary'!$B:$B,K$407
  )
)</f>
        <v>0</v>
      </c>
      <c r="L429" s="24">
        <f>SUM(
  SUMIFS(
  'Asset Summary'!$D:$D,
  'Asset Summary'!$A:$A,$D429,
  'Asset Summary'!$B:$B,L$407
  )
)</f>
        <v>0</v>
      </c>
      <c r="M429" s="24">
        <f>SUM(
  SUMIFS(
  'Asset Summary'!$D:$D,
  'Asset Summary'!$A:$A,$D429,
  'Asset Summary'!$B:$B,M$407
  )
)</f>
        <v>0</v>
      </c>
      <c r="N429" s="24">
        <f>SUM(
  SUMIFS(
  'Asset Summary'!$D:$D,
  'Asset Summary'!$A:$A,$D429,
  'Asset Summary'!$B:$B,N$407
  )
)</f>
        <v>0</v>
      </c>
      <c r="O429" s="24">
        <f>SUM(
  SUMIFS(
  'Asset Summary'!$D:$D,
  'Asset Summary'!$A:$A,$D429,
  'Asset Summary'!$B:$B,O$407
  )
)</f>
        <v>0</v>
      </c>
      <c r="P429" s="24">
        <f>SUM(
  SUMIFS(
  'Asset Summary'!$D:$D,
  'Asset Summary'!$A:$A,$D429,
  'Asset Summary'!$B:$B,P$407
  )
)</f>
        <v>0</v>
      </c>
      <c r="Q429" s="24">
        <f>SUM(
  SUMIFS(
  'Asset Summary'!$D:$D,
  'Asset Summary'!$A:$A,$D429,
  'Asset Summary'!$B:$B,Q$407
  )
)</f>
        <v>0</v>
      </c>
      <c r="R429" s="24">
        <f>SUM(
  SUMIFS(
  'Asset Summary'!$D:$D,
  'Asset Summary'!$A:$A,$D429,
  'Asset Summary'!$B:$B,R$407
  )
)</f>
        <v>0</v>
      </c>
      <c r="S429" s="24">
        <f>SUM(
  SUMIFS(
  'Asset Summary'!$D:$D,
  'Asset Summary'!$A:$A,$D429,
  'Asset Summary'!$B:$B,S$407
  )
)</f>
        <v>0</v>
      </c>
      <c r="T429" s="24">
        <f>SUM(
  SUMIFS(
  'Asset Summary'!$D:$D,
  'Asset Summary'!$A:$A,$D429,
  'Asset Summary'!$B:$B,T$407
  )
)</f>
        <v>0</v>
      </c>
      <c r="U429" s="24">
        <f>SUM(
  SUMIFS(
  'Asset Summary'!$D:$D,
  'Asset Summary'!$A:$A,$D429,
  'Asset Summary'!$B:$B,U$407
  )
)</f>
        <v>0</v>
      </c>
      <c r="V429" s="24">
        <f>SUM(
  SUMIFS(
  'Asset Summary'!$D:$D,
  'Asset Summary'!$A:$A,$D429,
  'Asset Summary'!$B:$B,V$407
  )
)</f>
        <v>0</v>
      </c>
      <c r="W429" s="24">
        <f>SUM(
  SUMIFS(
  'Asset Summary'!$D:$D,
  'Asset Summary'!$A:$A,$D429,
  'Asset Summary'!$B:$B,W$407
  )
)</f>
        <v>0</v>
      </c>
      <c r="X429" s="24">
        <f>SUM(
  SUMIFS(
  'Asset Summary'!$D:$D,
  'Asset Summary'!$A:$A,$D429,
  'Asset Summary'!$B:$B,X$407
  )
)</f>
        <v>0</v>
      </c>
      <c r="Y429" s="24">
        <f>SUM(
  SUMIFS(
  'Asset Summary'!$D:$D,
  'Asset Summary'!$A:$A,$D429,
  'Asset Summary'!$B:$B,Y$407
  )
)</f>
        <v>0</v>
      </c>
      <c r="Z429" s="24">
        <f>SUM(
  SUMIFS(
  'Asset Summary'!$D:$D,
  'Asset Summary'!$A:$A,$D429,
  'Asset Summary'!$B:$B,Z$407
  )
)</f>
        <v>0</v>
      </c>
      <c r="AA429" s="24">
        <f>SUM(
  SUMIFS(
  'Asset Summary'!$D:$D,
  'Asset Summary'!$A:$A,$D429,
  'Asset Summary'!$B:$B,AA$407
  )
)</f>
        <v>0</v>
      </c>
      <c r="AB429" s="24">
        <f>SUM(
  SUMIFS(
  'Asset Summary'!$D:$D,
  'Asset Summary'!$A:$A,$D429,
  'Asset Summary'!$B:$B,AB$407
  )
)</f>
        <v>0</v>
      </c>
      <c r="AC429" s="24">
        <f>SUM(
  SUMIFS(
  'Asset Summary'!$D:$D,
  'Asset Summary'!$A:$A,$D429,
  'Asset Summary'!$B:$B,AC$407
  )
)</f>
        <v>0</v>
      </c>
      <c r="AD429" s="24">
        <f>SUM(
  SUMIFS(
  'Asset Summary'!$D:$D,
  'Asset Summary'!$A:$A,$D429,
  'Asset Summary'!$B:$B,AD$407
  )
)</f>
        <v>1153</v>
      </c>
      <c r="AH429" s="34" t="s">
        <v>422</v>
      </c>
    </row>
    <row r="430" spans="4:34" outlineLevel="1" x14ac:dyDescent="0.2">
      <c r="D430" s="8" t="s">
        <v>279</v>
      </c>
      <c r="E430" s="24">
        <f>SUM(
  SUMIFS(
  'Asset Summary'!$D:$D,
  'Asset Summary'!$A:$A,$D430,
  'Asset Summary'!$B:$B,E$407
  )
)</f>
        <v>0</v>
      </c>
      <c r="F430" s="24">
        <f>SUM(
  SUMIFS(
  'Asset Summary'!$D:$D,
  'Asset Summary'!$A:$A,$D430,
  'Asset Summary'!$B:$B,F$407
  )
)</f>
        <v>0</v>
      </c>
      <c r="G430" s="24">
        <f>SUM(
  SUMIFS(
  'Asset Summary'!$D:$D,
  'Asset Summary'!$A:$A,$D430,
  'Asset Summary'!$B:$B,G$407
  )
)</f>
        <v>0</v>
      </c>
      <c r="H430" s="24">
        <f>SUM(
  SUMIFS(
  'Asset Summary'!$D:$D,
  'Asset Summary'!$A:$A,$D430,
  'Asset Summary'!$B:$B,H$407
  )
)</f>
        <v>0</v>
      </c>
      <c r="I430" s="24">
        <f>SUM(
  SUMIFS(
  'Asset Summary'!$D:$D,
  'Asset Summary'!$A:$A,$D430,
  'Asset Summary'!$B:$B,I$407
  )
)</f>
        <v>0</v>
      </c>
      <c r="J430" s="24">
        <f>SUM(
  SUMIFS(
  'Asset Summary'!$D:$D,
  'Asset Summary'!$A:$A,$D430,
  'Asset Summary'!$B:$B,J$407
  )
)</f>
        <v>0</v>
      </c>
      <c r="K430" s="24">
        <f>SUM(
  SUMIFS(
  'Asset Summary'!$D:$D,
  'Asset Summary'!$A:$A,$D430,
  'Asset Summary'!$B:$B,K$407
  )
)</f>
        <v>0</v>
      </c>
      <c r="L430" s="24">
        <f>SUM(
  SUMIFS(
  'Asset Summary'!$D:$D,
  'Asset Summary'!$A:$A,$D430,
  'Asset Summary'!$B:$B,L$407
  )
)</f>
        <v>0</v>
      </c>
      <c r="M430" s="24">
        <f>SUM(
  SUMIFS(
  'Asset Summary'!$D:$D,
  'Asset Summary'!$A:$A,$D430,
  'Asset Summary'!$B:$B,M$407
  )
)</f>
        <v>0</v>
      </c>
      <c r="N430" s="24">
        <f>SUM(
  SUMIFS(
  'Asset Summary'!$D:$D,
  'Asset Summary'!$A:$A,$D430,
  'Asset Summary'!$B:$B,N$407
  )
)</f>
        <v>0</v>
      </c>
      <c r="O430" s="24">
        <f>SUM(
  SUMIFS(
  'Asset Summary'!$D:$D,
  'Asset Summary'!$A:$A,$D430,
  'Asset Summary'!$B:$B,O$407
  )
)</f>
        <v>0</v>
      </c>
      <c r="P430" s="24">
        <f>SUM(
  SUMIFS(
  'Asset Summary'!$D:$D,
  'Asset Summary'!$A:$A,$D430,
  'Asset Summary'!$B:$B,P$407
  )
)</f>
        <v>0</v>
      </c>
      <c r="Q430" s="24">
        <f>SUM(
  SUMIFS(
  'Asset Summary'!$D:$D,
  'Asset Summary'!$A:$A,$D430,
  'Asset Summary'!$B:$B,Q$407
  )
)</f>
        <v>0</v>
      </c>
      <c r="R430" s="24">
        <f>SUM(
  SUMIFS(
  'Asset Summary'!$D:$D,
  'Asset Summary'!$A:$A,$D430,
  'Asset Summary'!$B:$B,R$407
  )
)</f>
        <v>0</v>
      </c>
      <c r="S430" s="24">
        <f>SUM(
  SUMIFS(
  'Asset Summary'!$D:$D,
  'Asset Summary'!$A:$A,$D430,
  'Asset Summary'!$B:$B,S$407
  )
)</f>
        <v>0</v>
      </c>
      <c r="T430" s="24">
        <f>SUM(
  SUMIFS(
  'Asset Summary'!$D:$D,
  'Asset Summary'!$A:$A,$D430,
  'Asset Summary'!$B:$B,T$407
  )
)</f>
        <v>0</v>
      </c>
      <c r="U430" s="24">
        <f>SUM(
  SUMIFS(
  'Asset Summary'!$D:$D,
  'Asset Summary'!$A:$A,$D430,
  'Asset Summary'!$B:$B,U$407
  )
)</f>
        <v>0</v>
      </c>
      <c r="V430" s="24">
        <f>SUM(
  SUMIFS(
  'Asset Summary'!$D:$D,
  'Asset Summary'!$A:$A,$D430,
  'Asset Summary'!$B:$B,V$407
  )
)</f>
        <v>0</v>
      </c>
      <c r="W430" s="24">
        <f>SUM(
  SUMIFS(
  'Asset Summary'!$D:$D,
  'Asset Summary'!$A:$A,$D430,
  'Asset Summary'!$B:$B,W$407
  )
)</f>
        <v>0</v>
      </c>
      <c r="X430" s="24">
        <f>SUM(
  SUMIFS(
  'Asset Summary'!$D:$D,
  'Asset Summary'!$A:$A,$D430,
  'Asset Summary'!$B:$B,X$407
  )
)</f>
        <v>0</v>
      </c>
      <c r="Y430" s="24">
        <f>SUM(
  SUMIFS(
  'Asset Summary'!$D:$D,
  'Asset Summary'!$A:$A,$D430,
  'Asset Summary'!$B:$B,Y$407
  )
)</f>
        <v>0</v>
      </c>
      <c r="Z430" s="24">
        <f>SUM(
  SUMIFS(
  'Asset Summary'!$D:$D,
  'Asset Summary'!$A:$A,$D430,
  'Asset Summary'!$B:$B,Z$407
  )
)</f>
        <v>0</v>
      </c>
      <c r="AA430" s="24">
        <f>SUM(
  SUMIFS(
  'Asset Summary'!$D:$D,
  'Asset Summary'!$A:$A,$D430,
  'Asset Summary'!$B:$B,AA$407
  )
)</f>
        <v>0</v>
      </c>
      <c r="AB430" s="24">
        <f>SUM(
  SUMIFS(
  'Asset Summary'!$D:$D,
  'Asset Summary'!$A:$A,$D430,
  'Asset Summary'!$B:$B,AB$407
  )
)</f>
        <v>0</v>
      </c>
      <c r="AC430" s="24">
        <f>SUM(
  SUMIFS(
  'Asset Summary'!$D:$D,
  'Asset Summary'!$A:$A,$D430,
  'Asset Summary'!$B:$B,AC$407
  )
)</f>
        <v>0</v>
      </c>
      <c r="AD430" s="24">
        <f>SUM(
  SUMIFS(
  'Asset Summary'!$D:$D,
  'Asset Summary'!$A:$A,$D430,
  'Asset Summary'!$B:$B,AD$407
  )
)</f>
        <v>0</v>
      </c>
      <c r="AH430" s="34" t="s">
        <v>422</v>
      </c>
    </row>
    <row r="431" spans="4:34" outlineLevel="1" x14ac:dyDescent="0.2">
      <c r="D431" s="8" t="s">
        <v>280</v>
      </c>
      <c r="E431" s="24">
        <f>SUM(
  SUMIFS(
  'Asset Summary'!$D:$D,
  'Asset Summary'!$A:$A,$D431,
  'Asset Summary'!$B:$B,E$407
  )
)</f>
        <v>0</v>
      </c>
      <c r="F431" s="24">
        <f>SUM(
  SUMIFS(
  'Asset Summary'!$D:$D,
  'Asset Summary'!$A:$A,$D431,
  'Asset Summary'!$B:$B,F$407
  )
)</f>
        <v>0</v>
      </c>
      <c r="G431" s="24">
        <f>SUM(
  SUMIFS(
  'Asset Summary'!$D:$D,
  'Asset Summary'!$A:$A,$D431,
  'Asset Summary'!$B:$B,G$407
  )
)</f>
        <v>0</v>
      </c>
      <c r="H431" s="24">
        <f>SUM(
  SUMIFS(
  'Asset Summary'!$D:$D,
  'Asset Summary'!$A:$A,$D431,
  'Asset Summary'!$B:$B,H$407
  )
)</f>
        <v>0</v>
      </c>
      <c r="I431" s="24">
        <f>SUM(
  SUMIFS(
  'Asset Summary'!$D:$D,
  'Asset Summary'!$A:$A,$D431,
  'Asset Summary'!$B:$B,I$407
  )
)</f>
        <v>0</v>
      </c>
      <c r="J431" s="24">
        <f>SUM(
  SUMIFS(
  'Asset Summary'!$D:$D,
  'Asset Summary'!$A:$A,$D431,
  'Asset Summary'!$B:$B,J$407
  )
)</f>
        <v>0</v>
      </c>
      <c r="K431" s="24">
        <f>SUM(
  SUMIFS(
  'Asset Summary'!$D:$D,
  'Asset Summary'!$A:$A,$D431,
  'Asset Summary'!$B:$B,K$407
  )
)</f>
        <v>0</v>
      </c>
      <c r="L431" s="24">
        <f>SUM(
  SUMIFS(
  'Asset Summary'!$D:$D,
  'Asset Summary'!$A:$A,$D431,
  'Asset Summary'!$B:$B,L$407
  )
)</f>
        <v>0</v>
      </c>
      <c r="M431" s="24">
        <f>SUM(
  SUMIFS(
  'Asset Summary'!$D:$D,
  'Asset Summary'!$A:$A,$D431,
  'Asset Summary'!$B:$B,M$407
  )
)</f>
        <v>0</v>
      </c>
      <c r="N431" s="24">
        <f>SUM(
  SUMIFS(
  'Asset Summary'!$D:$D,
  'Asset Summary'!$A:$A,$D431,
  'Asset Summary'!$B:$B,N$407
  )
)</f>
        <v>0</v>
      </c>
      <c r="O431" s="24">
        <f>SUM(
  SUMIFS(
  'Asset Summary'!$D:$D,
  'Asset Summary'!$A:$A,$D431,
  'Asset Summary'!$B:$B,O$407
  )
)</f>
        <v>0</v>
      </c>
      <c r="P431" s="24">
        <f>SUM(
  SUMIFS(
  'Asset Summary'!$D:$D,
  'Asset Summary'!$A:$A,$D431,
  'Asset Summary'!$B:$B,P$407
  )
)</f>
        <v>0</v>
      </c>
      <c r="Q431" s="24">
        <f>SUM(
  SUMIFS(
  'Asset Summary'!$D:$D,
  'Asset Summary'!$A:$A,$D431,
  'Asset Summary'!$B:$B,Q$407
  )
)</f>
        <v>0</v>
      </c>
      <c r="R431" s="24">
        <f>SUM(
  SUMIFS(
  'Asset Summary'!$D:$D,
  'Asset Summary'!$A:$A,$D431,
  'Asset Summary'!$B:$B,R$407
  )
)</f>
        <v>0</v>
      </c>
      <c r="S431" s="24">
        <f>SUM(
  SUMIFS(
  'Asset Summary'!$D:$D,
  'Asset Summary'!$A:$A,$D431,
  'Asset Summary'!$B:$B,S$407
  )
)</f>
        <v>0</v>
      </c>
      <c r="T431" s="24">
        <f>SUM(
  SUMIFS(
  'Asset Summary'!$D:$D,
  'Asset Summary'!$A:$A,$D431,
  'Asset Summary'!$B:$B,T$407
  )
)</f>
        <v>0</v>
      </c>
      <c r="U431" s="24">
        <f>SUM(
  SUMIFS(
  'Asset Summary'!$D:$D,
  'Asset Summary'!$A:$A,$D431,
  'Asset Summary'!$B:$B,U$407
  )
)</f>
        <v>0</v>
      </c>
      <c r="V431" s="24">
        <f>SUM(
  SUMIFS(
  'Asset Summary'!$D:$D,
  'Asset Summary'!$A:$A,$D431,
  'Asset Summary'!$B:$B,V$407
  )
)</f>
        <v>0</v>
      </c>
      <c r="W431" s="24">
        <f>SUM(
  SUMIFS(
  'Asset Summary'!$D:$D,
  'Asset Summary'!$A:$A,$D431,
  'Asset Summary'!$B:$B,W$407
  )
)</f>
        <v>0</v>
      </c>
      <c r="X431" s="24">
        <f>SUM(
  SUMIFS(
  'Asset Summary'!$D:$D,
  'Asset Summary'!$A:$A,$D431,
  'Asset Summary'!$B:$B,X$407
  )
)</f>
        <v>0</v>
      </c>
      <c r="Y431" s="24">
        <f>SUM(
  SUMIFS(
  'Asset Summary'!$D:$D,
  'Asset Summary'!$A:$A,$D431,
  'Asset Summary'!$B:$B,Y$407
  )
)</f>
        <v>0</v>
      </c>
      <c r="Z431" s="24">
        <f>SUM(
  SUMIFS(
  'Asset Summary'!$D:$D,
  'Asset Summary'!$A:$A,$D431,
  'Asset Summary'!$B:$B,Z$407
  )
)</f>
        <v>0</v>
      </c>
      <c r="AA431" s="24">
        <f>SUM(
  SUMIFS(
  'Asset Summary'!$D:$D,
  'Asset Summary'!$A:$A,$D431,
  'Asset Summary'!$B:$B,AA$407
  )
)</f>
        <v>0</v>
      </c>
      <c r="AB431" s="24">
        <f>SUM(
  SUMIFS(
  'Asset Summary'!$D:$D,
  'Asset Summary'!$A:$A,$D431,
  'Asset Summary'!$B:$B,AB$407
  )
)</f>
        <v>0</v>
      </c>
      <c r="AC431" s="24">
        <f>SUM(
  SUMIFS(
  'Asset Summary'!$D:$D,
  'Asset Summary'!$A:$A,$D431,
  'Asset Summary'!$B:$B,AC$407
  )
)</f>
        <v>0</v>
      </c>
      <c r="AD431" s="24">
        <f>SUM(
  SUMIFS(
  'Asset Summary'!$D:$D,
  'Asset Summary'!$A:$A,$D431,
  'Asset Summary'!$B:$B,AD$407
  )
)</f>
        <v>1699</v>
      </c>
      <c r="AH431" s="34" t="s">
        <v>422</v>
      </c>
    </row>
    <row r="432" spans="4:34" outlineLevel="1" x14ac:dyDescent="0.2">
      <c r="D432" s="8" t="s">
        <v>281</v>
      </c>
      <c r="E432" s="24">
        <f>SUM(
  SUMIFS(
  'Asset Summary'!$D:$D,
  'Asset Summary'!$A:$A,$D432,
  'Asset Summary'!$B:$B,E$407
  )
)</f>
        <v>0</v>
      </c>
      <c r="F432" s="24">
        <f>SUM(
  SUMIFS(
  'Asset Summary'!$D:$D,
  'Asset Summary'!$A:$A,$D432,
  'Asset Summary'!$B:$B,F$407
  )
)</f>
        <v>0</v>
      </c>
      <c r="G432" s="24">
        <f>SUM(
  SUMIFS(
  'Asset Summary'!$D:$D,
  'Asset Summary'!$A:$A,$D432,
  'Asset Summary'!$B:$B,G$407
  )
)</f>
        <v>0</v>
      </c>
      <c r="H432" s="24">
        <f>SUM(
  SUMIFS(
  'Asset Summary'!$D:$D,
  'Asset Summary'!$A:$A,$D432,
  'Asset Summary'!$B:$B,H$407
  )
)</f>
        <v>0</v>
      </c>
      <c r="I432" s="24">
        <f>SUM(
  SUMIFS(
  'Asset Summary'!$D:$D,
  'Asset Summary'!$A:$A,$D432,
  'Asset Summary'!$B:$B,I$407
  )
)</f>
        <v>0</v>
      </c>
      <c r="J432" s="24">
        <f>SUM(
  SUMIFS(
  'Asset Summary'!$D:$D,
  'Asset Summary'!$A:$A,$D432,
  'Asset Summary'!$B:$B,J$407
  )
)</f>
        <v>0</v>
      </c>
      <c r="K432" s="24">
        <f>SUM(
  SUMIFS(
  'Asset Summary'!$D:$D,
  'Asset Summary'!$A:$A,$D432,
  'Asset Summary'!$B:$B,K$407
  )
)</f>
        <v>0</v>
      </c>
      <c r="L432" s="24">
        <f>SUM(
  SUMIFS(
  'Asset Summary'!$D:$D,
  'Asset Summary'!$A:$A,$D432,
  'Asset Summary'!$B:$B,L$407
  )
)</f>
        <v>0</v>
      </c>
      <c r="M432" s="24">
        <f>SUM(
  SUMIFS(
  'Asset Summary'!$D:$D,
  'Asset Summary'!$A:$A,$D432,
  'Asset Summary'!$B:$B,M$407
  )
)</f>
        <v>0</v>
      </c>
      <c r="N432" s="24">
        <f>SUM(
  SUMIFS(
  'Asset Summary'!$D:$D,
  'Asset Summary'!$A:$A,$D432,
  'Asset Summary'!$B:$B,N$407
  )
)</f>
        <v>0</v>
      </c>
      <c r="O432" s="24">
        <f>SUM(
  SUMIFS(
  'Asset Summary'!$D:$D,
  'Asset Summary'!$A:$A,$D432,
  'Asset Summary'!$B:$B,O$407
  )
)</f>
        <v>0</v>
      </c>
      <c r="P432" s="24">
        <f>SUM(
  SUMIFS(
  'Asset Summary'!$D:$D,
  'Asset Summary'!$A:$A,$D432,
  'Asset Summary'!$B:$B,P$407
  )
)</f>
        <v>0</v>
      </c>
      <c r="Q432" s="24">
        <f>SUM(
  SUMIFS(
  'Asset Summary'!$D:$D,
  'Asset Summary'!$A:$A,$D432,
  'Asset Summary'!$B:$B,Q$407
  )
)</f>
        <v>0</v>
      </c>
      <c r="R432" s="24">
        <f>SUM(
  SUMIFS(
  'Asset Summary'!$D:$D,
  'Asset Summary'!$A:$A,$D432,
  'Asset Summary'!$B:$B,R$407
  )
)</f>
        <v>0</v>
      </c>
      <c r="S432" s="24">
        <f>SUM(
  SUMIFS(
  'Asset Summary'!$D:$D,
  'Asset Summary'!$A:$A,$D432,
  'Asset Summary'!$B:$B,S$407
  )
)</f>
        <v>0</v>
      </c>
      <c r="T432" s="24">
        <f>SUM(
  SUMIFS(
  'Asset Summary'!$D:$D,
  'Asset Summary'!$A:$A,$D432,
  'Asset Summary'!$B:$B,T$407
  )
)</f>
        <v>0</v>
      </c>
      <c r="U432" s="24">
        <f>SUM(
  SUMIFS(
  'Asset Summary'!$D:$D,
  'Asset Summary'!$A:$A,$D432,
  'Asset Summary'!$B:$B,U$407
  )
)</f>
        <v>0</v>
      </c>
      <c r="V432" s="24">
        <f>SUM(
  SUMIFS(
  'Asset Summary'!$D:$D,
  'Asset Summary'!$A:$A,$D432,
  'Asset Summary'!$B:$B,V$407
  )
)</f>
        <v>0</v>
      </c>
      <c r="W432" s="24">
        <f>SUM(
  SUMIFS(
  'Asset Summary'!$D:$D,
  'Asset Summary'!$A:$A,$D432,
  'Asset Summary'!$B:$B,W$407
  )
)</f>
        <v>0</v>
      </c>
      <c r="X432" s="24">
        <f>SUM(
  SUMIFS(
  'Asset Summary'!$D:$D,
  'Asset Summary'!$A:$A,$D432,
  'Asset Summary'!$B:$B,X$407
  )
)</f>
        <v>0</v>
      </c>
      <c r="Y432" s="24">
        <f>SUM(
  SUMIFS(
  'Asset Summary'!$D:$D,
  'Asset Summary'!$A:$A,$D432,
  'Asset Summary'!$B:$B,Y$407
  )
)</f>
        <v>0</v>
      </c>
      <c r="Z432" s="24">
        <f>SUM(
  SUMIFS(
  'Asset Summary'!$D:$D,
  'Asset Summary'!$A:$A,$D432,
  'Asset Summary'!$B:$B,Z$407
  )
)</f>
        <v>0</v>
      </c>
      <c r="AA432" s="24">
        <f>SUM(
  SUMIFS(
  'Asset Summary'!$D:$D,
  'Asset Summary'!$A:$A,$D432,
  'Asset Summary'!$B:$B,AA$407
  )
)</f>
        <v>0</v>
      </c>
      <c r="AB432" s="24">
        <f>SUM(
  SUMIFS(
  'Asset Summary'!$D:$D,
  'Asset Summary'!$A:$A,$D432,
  'Asset Summary'!$B:$B,AB$407
  )
)</f>
        <v>0</v>
      </c>
      <c r="AC432" s="24">
        <f>SUM(
  SUMIFS(
  'Asset Summary'!$D:$D,
  'Asset Summary'!$A:$A,$D432,
  'Asset Summary'!$B:$B,AC$407
  )
)</f>
        <v>0</v>
      </c>
      <c r="AD432" s="24">
        <f>SUM(
  SUMIFS(
  'Asset Summary'!$D:$D,
  'Asset Summary'!$A:$A,$D432,
  'Asset Summary'!$B:$B,AD$407
  )
)</f>
        <v>0</v>
      </c>
      <c r="AH432" s="34" t="s">
        <v>422</v>
      </c>
    </row>
    <row r="433" spans="4:34" outlineLevel="1" x14ac:dyDescent="0.2">
      <c r="D433" s="8" t="s">
        <v>282</v>
      </c>
      <c r="E433" s="24">
        <f>SUM(
  SUMIFS(
  'Asset Summary'!$D:$D,
  'Asset Summary'!$A:$A,$D433,
  'Asset Summary'!$B:$B,E$407
  )
)</f>
        <v>0</v>
      </c>
      <c r="F433" s="24">
        <f>SUM(
  SUMIFS(
  'Asset Summary'!$D:$D,
  'Asset Summary'!$A:$A,$D433,
  'Asset Summary'!$B:$B,F$407
  )
)</f>
        <v>0</v>
      </c>
      <c r="G433" s="24">
        <f>SUM(
  SUMIFS(
  'Asset Summary'!$D:$D,
  'Asset Summary'!$A:$A,$D433,
  'Asset Summary'!$B:$B,G$407
  )
)</f>
        <v>0</v>
      </c>
      <c r="H433" s="24">
        <f>SUM(
  SUMIFS(
  'Asset Summary'!$D:$D,
  'Asset Summary'!$A:$A,$D433,
  'Asset Summary'!$B:$B,H$407
  )
)</f>
        <v>0</v>
      </c>
      <c r="I433" s="24">
        <f>SUM(
  SUMIFS(
  'Asset Summary'!$D:$D,
  'Asset Summary'!$A:$A,$D433,
  'Asset Summary'!$B:$B,I$407
  )
)</f>
        <v>0</v>
      </c>
      <c r="J433" s="24">
        <f>SUM(
  SUMIFS(
  'Asset Summary'!$D:$D,
  'Asset Summary'!$A:$A,$D433,
  'Asset Summary'!$B:$B,J$407
  )
)</f>
        <v>0</v>
      </c>
      <c r="K433" s="24">
        <f>SUM(
  SUMIFS(
  'Asset Summary'!$D:$D,
  'Asset Summary'!$A:$A,$D433,
  'Asset Summary'!$B:$B,K$407
  )
)</f>
        <v>0</v>
      </c>
      <c r="L433" s="24">
        <f>SUM(
  SUMIFS(
  'Asset Summary'!$D:$D,
  'Asset Summary'!$A:$A,$D433,
  'Asset Summary'!$B:$B,L$407
  )
)</f>
        <v>0</v>
      </c>
      <c r="M433" s="24">
        <f>SUM(
  SUMIFS(
  'Asset Summary'!$D:$D,
  'Asset Summary'!$A:$A,$D433,
  'Asset Summary'!$B:$B,M$407
  )
)</f>
        <v>0</v>
      </c>
      <c r="N433" s="24">
        <f>SUM(
  SUMIFS(
  'Asset Summary'!$D:$D,
  'Asset Summary'!$A:$A,$D433,
  'Asset Summary'!$B:$B,N$407
  )
)</f>
        <v>0</v>
      </c>
      <c r="O433" s="24">
        <f>SUM(
  SUMIFS(
  'Asset Summary'!$D:$D,
  'Asset Summary'!$A:$A,$D433,
  'Asset Summary'!$B:$B,O$407
  )
)</f>
        <v>0</v>
      </c>
      <c r="P433" s="24">
        <f>SUM(
  SUMIFS(
  'Asset Summary'!$D:$D,
  'Asset Summary'!$A:$A,$D433,
  'Asset Summary'!$B:$B,P$407
  )
)</f>
        <v>0</v>
      </c>
      <c r="Q433" s="24">
        <f>SUM(
  SUMIFS(
  'Asset Summary'!$D:$D,
  'Asset Summary'!$A:$A,$D433,
  'Asset Summary'!$B:$B,Q$407
  )
)</f>
        <v>0</v>
      </c>
      <c r="R433" s="24">
        <f>SUM(
  SUMIFS(
  'Asset Summary'!$D:$D,
  'Asset Summary'!$A:$A,$D433,
  'Asset Summary'!$B:$B,R$407
  )
)</f>
        <v>0</v>
      </c>
      <c r="S433" s="24">
        <f>SUM(
  SUMIFS(
  'Asset Summary'!$D:$D,
  'Asset Summary'!$A:$A,$D433,
  'Asset Summary'!$B:$B,S$407
  )
)</f>
        <v>0</v>
      </c>
      <c r="T433" s="24">
        <f>SUM(
  SUMIFS(
  'Asset Summary'!$D:$D,
  'Asset Summary'!$A:$A,$D433,
  'Asset Summary'!$B:$B,T$407
  )
)</f>
        <v>0</v>
      </c>
      <c r="U433" s="24">
        <f>SUM(
  SUMIFS(
  'Asset Summary'!$D:$D,
  'Asset Summary'!$A:$A,$D433,
  'Asset Summary'!$B:$B,U$407
  )
)</f>
        <v>0</v>
      </c>
      <c r="V433" s="24">
        <f>SUM(
  SUMIFS(
  'Asset Summary'!$D:$D,
  'Asset Summary'!$A:$A,$D433,
  'Asset Summary'!$B:$B,V$407
  )
)</f>
        <v>0</v>
      </c>
      <c r="W433" s="24">
        <f>SUM(
  SUMIFS(
  'Asset Summary'!$D:$D,
  'Asset Summary'!$A:$A,$D433,
  'Asset Summary'!$B:$B,W$407
  )
)</f>
        <v>0</v>
      </c>
      <c r="X433" s="24">
        <f>SUM(
  SUMIFS(
  'Asset Summary'!$D:$D,
  'Asset Summary'!$A:$A,$D433,
  'Asset Summary'!$B:$B,X$407
  )
)</f>
        <v>0</v>
      </c>
      <c r="Y433" s="24">
        <f>SUM(
  SUMIFS(
  'Asset Summary'!$D:$D,
  'Asset Summary'!$A:$A,$D433,
  'Asset Summary'!$B:$B,Y$407
  )
)</f>
        <v>0</v>
      </c>
      <c r="Z433" s="24">
        <f>SUM(
  SUMIFS(
  'Asset Summary'!$D:$D,
  'Asset Summary'!$A:$A,$D433,
  'Asset Summary'!$B:$B,Z$407
  )
)</f>
        <v>0</v>
      </c>
      <c r="AA433" s="24">
        <f>SUM(
  SUMIFS(
  'Asset Summary'!$D:$D,
  'Asset Summary'!$A:$A,$D433,
  'Asset Summary'!$B:$B,AA$407
  )
)</f>
        <v>0</v>
      </c>
      <c r="AB433" s="24">
        <f>SUM(
  SUMIFS(
  'Asset Summary'!$D:$D,
  'Asset Summary'!$A:$A,$D433,
  'Asset Summary'!$B:$B,AB$407
  )
)</f>
        <v>0</v>
      </c>
      <c r="AC433" s="24">
        <f>SUM(
  SUMIFS(
  'Asset Summary'!$D:$D,
  'Asset Summary'!$A:$A,$D433,
  'Asset Summary'!$B:$B,AC$407
  )
)</f>
        <v>0</v>
      </c>
      <c r="AD433" s="24">
        <f>SUM(
  SUMIFS(
  'Asset Summary'!$D:$D,
  'Asset Summary'!$A:$A,$D433,
  'Asset Summary'!$B:$B,AD$407
  )
)</f>
        <v>0</v>
      </c>
      <c r="AH433" s="34" t="s">
        <v>422</v>
      </c>
    </row>
    <row r="434" spans="4:34" outlineLevel="1" x14ac:dyDescent="0.2">
      <c r="D434" s="8" t="s">
        <v>283</v>
      </c>
      <c r="E434" s="24">
        <f>SUM(
  SUMIFS(
  'Asset Summary'!$D:$D,
  'Asset Summary'!$A:$A,$D434,
  'Asset Summary'!$B:$B,E$407
  )
)</f>
        <v>0</v>
      </c>
      <c r="F434" s="24">
        <f>SUM(
  SUMIFS(
  'Asset Summary'!$D:$D,
  'Asset Summary'!$A:$A,$D434,
  'Asset Summary'!$B:$B,F$407
  )
)</f>
        <v>0</v>
      </c>
      <c r="G434" s="24">
        <f>SUM(
  SUMIFS(
  'Asset Summary'!$D:$D,
  'Asset Summary'!$A:$A,$D434,
  'Asset Summary'!$B:$B,G$407
  )
)</f>
        <v>0</v>
      </c>
      <c r="H434" s="24">
        <f>SUM(
  SUMIFS(
  'Asset Summary'!$D:$D,
  'Asset Summary'!$A:$A,$D434,
  'Asset Summary'!$B:$B,H$407
  )
)</f>
        <v>0</v>
      </c>
      <c r="I434" s="24">
        <f>SUM(
  SUMIFS(
  'Asset Summary'!$D:$D,
  'Asset Summary'!$A:$A,$D434,
  'Asset Summary'!$B:$B,I$407
  )
)</f>
        <v>0</v>
      </c>
      <c r="J434" s="24">
        <f>SUM(
  SUMIFS(
  'Asset Summary'!$D:$D,
  'Asset Summary'!$A:$A,$D434,
  'Asset Summary'!$B:$B,J$407
  )
)</f>
        <v>0</v>
      </c>
      <c r="K434" s="24">
        <f>SUM(
  SUMIFS(
  'Asset Summary'!$D:$D,
  'Asset Summary'!$A:$A,$D434,
  'Asset Summary'!$B:$B,K$407
  )
)</f>
        <v>0</v>
      </c>
      <c r="L434" s="24">
        <f>SUM(
  SUMIFS(
  'Asset Summary'!$D:$D,
  'Asset Summary'!$A:$A,$D434,
  'Asset Summary'!$B:$B,L$407
  )
)</f>
        <v>0</v>
      </c>
      <c r="M434" s="24">
        <f>SUM(
  SUMIFS(
  'Asset Summary'!$D:$D,
  'Asset Summary'!$A:$A,$D434,
  'Asset Summary'!$B:$B,M$407
  )
)</f>
        <v>0</v>
      </c>
      <c r="N434" s="24">
        <f>SUM(
  SUMIFS(
  'Asset Summary'!$D:$D,
  'Asset Summary'!$A:$A,$D434,
  'Asset Summary'!$B:$B,N$407
  )
)</f>
        <v>0</v>
      </c>
      <c r="O434" s="24">
        <f>SUM(
  SUMIFS(
  'Asset Summary'!$D:$D,
  'Asset Summary'!$A:$A,$D434,
  'Asset Summary'!$B:$B,O$407
  )
)</f>
        <v>0</v>
      </c>
      <c r="P434" s="24">
        <f>SUM(
  SUMIFS(
  'Asset Summary'!$D:$D,
  'Asset Summary'!$A:$A,$D434,
  'Asset Summary'!$B:$B,P$407
  )
)</f>
        <v>0</v>
      </c>
      <c r="Q434" s="24">
        <f>SUM(
  SUMIFS(
  'Asset Summary'!$D:$D,
  'Asset Summary'!$A:$A,$D434,
  'Asset Summary'!$B:$B,Q$407
  )
)</f>
        <v>0</v>
      </c>
      <c r="R434" s="24">
        <f>SUM(
  SUMIFS(
  'Asset Summary'!$D:$D,
  'Asset Summary'!$A:$A,$D434,
  'Asset Summary'!$B:$B,R$407
  )
)</f>
        <v>0</v>
      </c>
      <c r="S434" s="24">
        <f>SUM(
  SUMIFS(
  'Asset Summary'!$D:$D,
  'Asset Summary'!$A:$A,$D434,
  'Asset Summary'!$B:$B,S$407
  )
)</f>
        <v>0</v>
      </c>
      <c r="T434" s="24">
        <f>SUM(
  SUMIFS(
  'Asset Summary'!$D:$D,
  'Asset Summary'!$A:$A,$D434,
  'Asset Summary'!$B:$B,T$407
  )
)</f>
        <v>0</v>
      </c>
      <c r="U434" s="24">
        <f>SUM(
  SUMIFS(
  'Asset Summary'!$D:$D,
  'Asset Summary'!$A:$A,$D434,
  'Asset Summary'!$B:$B,U$407
  )
)</f>
        <v>0</v>
      </c>
      <c r="V434" s="24">
        <f>SUM(
  SUMIFS(
  'Asset Summary'!$D:$D,
  'Asset Summary'!$A:$A,$D434,
  'Asset Summary'!$B:$B,V$407
  )
)</f>
        <v>0</v>
      </c>
      <c r="W434" s="24">
        <f>SUM(
  SUMIFS(
  'Asset Summary'!$D:$D,
  'Asset Summary'!$A:$A,$D434,
  'Asset Summary'!$B:$B,W$407
  )
)</f>
        <v>0</v>
      </c>
      <c r="X434" s="24">
        <f>SUM(
  SUMIFS(
  'Asset Summary'!$D:$D,
  'Asset Summary'!$A:$A,$D434,
  'Asset Summary'!$B:$B,X$407
  )
)</f>
        <v>0</v>
      </c>
      <c r="Y434" s="24">
        <f>SUM(
  SUMIFS(
  'Asset Summary'!$D:$D,
  'Asset Summary'!$A:$A,$D434,
  'Asset Summary'!$B:$B,Y$407
  )
)</f>
        <v>0</v>
      </c>
      <c r="Z434" s="24">
        <f>SUM(
  SUMIFS(
  'Asset Summary'!$D:$D,
  'Asset Summary'!$A:$A,$D434,
  'Asset Summary'!$B:$B,Z$407
  )
)</f>
        <v>0</v>
      </c>
      <c r="AA434" s="24">
        <f>SUM(
  SUMIFS(
  'Asset Summary'!$D:$D,
  'Asset Summary'!$A:$A,$D434,
  'Asset Summary'!$B:$B,AA$407
  )
)</f>
        <v>0</v>
      </c>
      <c r="AB434" s="24">
        <f>SUM(
  SUMIFS(
  'Asset Summary'!$D:$D,
  'Asset Summary'!$A:$A,$D434,
  'Asset Summary'!$B:$B,AB$407
  )
)</f>
        <v>0</v>
      </c>
      <c r="AC434" s="24">
        <f>SUM(
  SUMIFS(
  'Asset Summary'!$D:$D,
  'Asset Summary'!$A:$A,$D434,
  'Asset Summary'!$B:$B,AC$407
  )
)</f>
        <v>0</v>
      </c>
      <c r="AD434" s="24">
        <f>SUM(
  SUMIFS(
  'Asset Summary'!$D:$D,
  'Asset Summary'!$A:$A,$D434,
  'Asset Summary'!$B:$B,AD$407
  )
)</f>
        <v>2700</v>
      </c>
      <c r="AH434" s="34" t="s">
        <v>422</v>
      </c>
    </row>
    <row r="435" spans="4:34" outlineLevel="1" x14ac:dyDescent="0.2">
      <c r="D435" s="8" t="s">
        <v>284</v>
      </c>
      <c r="E435" s="24">
        <f>SUM(
  SUMIFS(
  'Asset Summary'!$D:$D,
  'Asset Summary'!$A:$A,$D435,
  'Asset Summary'!$B:$B,E$407
  )
)</f>
        <v>0</v>
      </c>
      <c r="F435" s="24">
        <f>SUM(
  SUMIFS(
  'Asset Summary'!$D:$D,
  'Asset Summary'!$A:$A,$D435,
  'Asset Summary'!$B:$B,F$407
  )
)</f>
        <v>0</v>
      </c>
      <c r="G435" s="24">
        <f>SUM(
  SUMIFS(
  'Asset Summary'!$D:$D,
  'Asset Summary'!$A:$A,$D435,
  'Asset Summary'!$B:$B,G$407
  )
)</f>
        <v>0</v>
      </c>
      <c r="H435" s="24">
        <f>SUM(
  SUMIFS(
  'Asset Summary'!$D:$D,
  'Asset Summary'!$A:$A,$D435,
  'Asset Summary'!$B:$B,H$407
  )
)</f>
        <v>0</v>
      </c>
      <c r="I435" s="24">
        <f>SUM(
  SUMIFS(
  'Asset Summary'!$D:$D,
  'Asset Summary'!$A:$A,$D435,
  'Asset Summary'!$B:$B,I$407
  )
)</f>
        <v>0</v>
      </c>
      <c r="J435" s="24">
        <f>SUM(
  SUMIFS(
  'Asset Summary'!$D:$D,
  'Asset Summary'!$A:$A,$D435,
  'Asset Summary'!$B:$B,J$407
  )
)</f>
        <v>0</v>
      </c>
      <c r="K435" s="24">
        <f>SUM(
  SUMIFS(
  'Asset Summary'!$D:$D,
  'Asset Summary'!$A:$A,$D435,
  'Asset Summary'!$B:$B,K$407
  )
)</f>
        <v>0</v>
      </c>
      <c r="L435" s="24">
        <f>SUM(
  SUMIFS(
  'Asset Summary'!$D:$D,
  'Asset Summary'!$A:$A,$D435,
  'Asset Summary'!$B:$B,L$407
  )
)</f>
        <v>0</v>
      </c>
      <c r="M435" s="24">
        <f>SUM(
  SUMIFS(
  'Asset Summary'!$D:$D,
  'Asset Summary'!$A:$A,$D435,
  'Asset Summary'!$B:$B,M$407
  )
)</f>
        <v>0</v>
      </c>
      <c r="N435" s="24">
        <f>SUM(
  SUMIFS(
  'Asset Summary'!$D:$D,
  'Asset Summary'!$A:$A,$D435,
  'Asset Summary'!$B:$B,N$407
  )
)</f>
        <v>0</v>
      </c>
      <c r="O435" s="24">
        <f>SUM(
  SUMIFS(
  'Asset Summary'!$D:$D,
  'Asset Summary'!$A:$A,$D435,
  'Asset Summary'!$B:$B,O$407
  )
)</f>
        <v>0</v>
      </c>
      <c r="P435" s="24">
        <f>SUM(
  SUMIFS(
  'Asset Summary'!$D:$D,
  'Asset Summary'!$A:$A,$D435,
  'Asset Summary'!$B:$B,P$407
  )
)</f>
        <v>0</v>
      </c>
      <c r="Q435" s="24">
        <f>SUM(
  SUMIFS(
  'Asset Summary'!$D:$D,
  'Asset Summary'!$A:$A,$D435,
  'Asset Summary'!$B:$B,Q$407
  )
)</f>
        <v>0</v>
      </c>
      <c r="R435" s="24">
        <f>SUM(
  SUMIFS(
  'Asset Summary'!$D:$D,
  'Asset Summary'!$A:$A,$D435,
  'Asset Summary'!$B:$B,R$407
  )
)</f>
        <v>0</v>
      </c>
      <c r="S435" s="24">
        <f>SUM(
  SUMIFS(
  'Asset Summary'!$D:$D,
  'Asset Summary'!$A:$A,$D435,
  'Asset Summary'!$B:$B,S$407
  )
)</f>
        <v>0</v>
      </c>
      <c r="T435" s="24">
        <f>SUM(
  SUMIFS(
  'Asset Summary'!$D:$D,
  'Asset Summary'!$A:$A,$D435,
  'Asset Summary'!$B:$B,T$407
  )
)</f>
        <v>0</v>
      </c>
      <c r="U435" s="24">
        <f>SUM(
  SUMIFS(
  'Asset Summary'!$D:$D,
  'Asset Summary'!$A:$A,$D435,
  'Asset Summary'!$B:$B,U$407
  )
)</f>
        <v>0</v>
      </c>
      <c r="V435" s="24">
        <f>SUM(
  SUMIFS(
  'Asset Summary'!$D:$D,
  'Asset Summary'!$A:$A,$D435,
  'Asset Summary'!$B:$B,V$407
  )
)</f>
        <v>0</v>
      </c>
      <c r="W435" s="24">
        <f>SUM(
  SUMIFS(
  'Asset Summary'!$D:$D,
  'Asset Summary'!$A:$A,$D435,
  'Asset Summary'!$B:$B,W$407
  )
)</f>
        <v>0</v>
      </c>
      <c r="X435" s="24">
        <f>SUM(
  SUMIFS(
  'Asset Summary'!$D:$D,
  'Asset Summary'!$A:$A,$D435,
  'Asset Summary'!$B:$B,X$407
  )
)</f>
        <v>0</v>
      </c>
      <c r="Y435" s="24">
        <f>SUM(
  SUMIFS(
  'Asset Summary'!$D:$D,
  'Asset Summary'!$A:$A,$D435,
  'Asset Summary'!$B:$B,Y$407
  )
)</f>
        <v>0</v>
      </c>
      <c r="Z435" s="24">
        <f>SUM(
  SUMIFS(
  'Asset Summary'!$D:$D,
  'Asset Summary'!$A:$A,$D435,
  'Asset Summary'!$B:$B,Z$407
  )
)</f>
        <v>0</v>
      </c>
      <c r="AA435" s="24">
        <f>SUM(
  SUMIFS(
  'Asset Summary'!$D:$D,
  'Asset Summary'!$A:$A,$D435,
  'Asset Summary'!$B:$B,AA$407
  )
)</f>
        <v>0</v>
      </c>
      <c r="AB435" s="24">
        <f>SUM(
  SUMIFS(
  'Asset Summary'!$D:$D,
  'Asset Summary'!$A:$A,$D435,
  'Asset Summary'!$B:$B,AB$407
  )
)</f>
        <v>0</v>
      </c>
      <c r="AC435" s="24">
        <f>SUM(
  SUMIFS(
  'Asset Summary'!$D:$D,
  'Asset Summary'!$A:$A,$D435,
  'Asset Summary'!$B:$B,AC$407
  )
)</f>
        <v>0</v>
      </c>
      <c r="AD435" s="24">
        <f>SUM(
  SUMIFS(
  'Asset Summary'!$D:$D,
  'Asset Summary'!$A:$A,$D435,
  'Asset Summary'!$B:$B,AD$407
  )
)</f>
        <v>0</v>
      </c>
      <c r="AH435" s="34" t="s">
        <v>422</v>
      </c>
    </row>
    <row r="436" spans="4:34" ht="12.6" outlineLevel="1" thickBot="1" x14ac:dyDescent="0.25">
      <c r="D436" s="9" t="s">
        <v>139</v>
      </c>
      <c r="E436" s="17">
        <f t="shared" ref="E436:AD436" si="563">SUM(E408:E435)</f>
        <v>0</v>
      </c>
      <c r="F436" s="17">
        <f t="shared" si="563"/>
        <v>0</v>
      </c>
      <c r="G436" s="17">
        <f t="shared" si="563"/>
        <v>0</v>
      </c>
      <c r="H436" s="17">
        <f t="shared" si="563"/>
        <v>0</v>
      </c>
      <c r="I436" s="17">
        <f t="shared" si="563"/>
        <v>0</v>
      </c>
      <c r="J436" s="17">
        <f t="shared" si="563"/>
        <v>0</v>
      </c>
      <c r="K436" s="17">
        <f t="shared" si="563"/>
        <v>0</v>
      </c>
      <c r="L436" s="17">
        <f t="shared" si="563"/>
        <v>0</v>
      </c>
      <c r="M436" s="17">
        <f t="shared" si="563"/>
        <v>0</v>
      </c>
      <c r="N436" s="17">
        <f t="shared" si="563"/>
        <v>0</v>
      </c>
      <c r="O436" s="17">
        <f t="shared" si="563"/>
        <v>0</v>
      </c>
      <c r="P436" s="17">
        <f t="shared" si="563"/>
        <v>0</v>
      </c>
      <c r="Q436" s="17">
        <f t="shared" si="563"/>
        <v>0</v>
      </c>
      <c r="R436" s="17">
        <f t="shared" si="563"/>
        <v>0</v>
      </c>
      <c r="S436" s="17">
        <f t="shared" si="563"/>
        <v>0</v>
      </c>
      <c r="T436" s="17">
        <f t="shared" si="563"/>
        <v>0</v>
      </c>
      <c r="U436" s="17">
        <f t="shared" si="563"/>
        <v>0</v>
      </c>
      <c r="V436" s="17">
        <f t="shared" si="563"/>
        <v>0</v>
      </c>
      <c r="W436" s="17">
        <f t="shared" si="563"/>
        <v>0</v>
      </c>
      <c r="X436" s="17">
        <f t="shared" si="563"/>
        <v>0</v>
      </c>
      <c r="Y436" s="17">
        <f t="shared" si="563"/>
        <v>0</v>
      </c>
      <c r="Z436" s="17">
        <f t="shared" si="563"/>
        <v>0</v>
      </c>
      <c r="AA436" s="17">
        <f t="shared" si="563"/>
        <v>0</v>
      </c>
      <c r="AB436" s="17">
        <f t="shared" si="563"/>
        <v>0</v>
      </c>
      <c r="AC436" s="17">
        <f t="shared" si="563"/>
        <v>0</v>
      </c>
      <c r="AD436" s="17">
        <f t="shared" si="563"/>
        <v>8865</v>
      </c>
      <c r="AH436" s="34" t="s">
        <v>422</v>
      </c>
    </row>
    <row r="437" spans="4:34" ht="12" outlineLevel="1" thickTop="1" x14ac:dyDescent="0.2">
      <c r="AH437" s="34" t="s">
        <v>422</v>
      </c>
    </row>
    <row r="438" spans="4:34" ht="13.2" outlineLevel="1" x14ac:dyDescent="0.2">
      <c r="E438" s="2" t="s">
        <v>429</v>
      </c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H438" s="34" t="s">
        <v>422</v>
      </c>
    </row>
    <row r="439" spans="4:34" outlineLevel="1" x14ac:dyDescent="0.2">
      <c r="E439" s="7">
        <v>43831</v>
      </c>
      <c r="F439" s="7">
        <f t="shared" ref="F439" si="564">EDATE(E439,12)</f>
        <v>44197</v>
      </c>
      <c r="G439" s="7">
        <f t="shared" ref="G439" si="565">EDATE(F439,12)</f>
        <v>44562</v>
      </c>
      <c r="H439" s="7">
        <f t="shared" ref="H439" si="566">EDATE(G439,12)</f>
        <v>44927</v>
      </c>
      <c r="I439" s="7">
        <f t="shared" ref="I439" si="567">EDATE(H439,12)</f>
        <v>45292</v>
      </c>
      <c r="J439" s="7">
        <f t="shared" ref="J439" si="568">EDATE(I439,12)</f>
        <v>45658</v>
      </c>
      <c r="K439" s="7">
        <f t="shared" ref="K439" si="569">EDATE(J439,12)</f>
        <v>46023</v>
      </c>
      <c r="L439" s="7">
        <f t="shared" ref="L439" si="570">EDATE(K439,12)</f>
        <v>46388</v>
      </c>
      <c r="M439" s="7">
        <f t="shared" ref="M439" si="571">EDATE(L439,12)</f>
        <v>46753</v>
      </c>
      <c r="N439" s="7">
        <f t="shared" ref="N439" si="572">EDATE(M439,12)</f>
        <v>47119</v>
      </c>
      <c r="O439" s="7">
        <f t="shared" ref="O439" si="573">EDATE(N439,12)</f>
        <v>47484</v>
      </c>
      <c r="P439" s="7">
        <f t="shared" ref="P439" si="574">EDATE(O439,12)</f>
        <v>47849</v>
      </c>
      <c r="Q439" s="7">
        <f t="shared" ref="Q439" si="575">EDATE(P439,12)</f>
        <v>48214</v>
      </c>
      <c r="R439" s="7">
        <f t="shared" ref="R439" si="576">EDATE(Q439,12)</f>
        <v>48580</v>
      </c>
      <c r="S439" s="7">
        <f t="shared" ref="S439" si="577">EDATE(R439,12)</f>
        <v>48945</v>
      </c>
      <c r="T439" s="7">
        <f t="shared" ref="T439" si="578">EDATE(S439,12)</f>
        <v>49310</v>
      </c>
      <c r="U439" s="7">
        <f t="shared" ref="U439" si="579">EDATE(T439,12)</f>
        <v>49675</v>
      </c>
      <c r="V439" s="7">
        <f t="shared" ref="V439" si="580">EDATE(U439,12)</f>
        <v>50041</v>
      </c>
      <c r="W439" s="7">
        <f t="shared" ref="W439" si="581">EDATE(V439,12)</f>
        <v>50406</v>
      </c>
      <c r="X439" s="7">
        <f t="shared" ref="X439" si="582">EDATE(W439,12)</f>
        <v>50771</v>
      </c>
      <c r="Y439" s="7">
        <f t="shared" ref="Y439" si="583">EDATE(X439,12)</f>
        <v>51136</v>
      </c>
      <c r="Z439" s="7">
        <f t="shared" ref="Z439" si="584">EDATE(Y439,12)</f>
        <v>51502</v>
      </c>
      <c r="AA439" s="7">
        <f t="shared" ref="AA439" si="585">EDATE(Z439,12)</f>
        <v>51867</v>
      </c>
      <c r="AB439" s="7">
        <f t="shared" ref="AB439" si="586">EDATE(AA439,12)</f>
        <v>52232</v>
      </c>
      <c r="AC439" s="7">
        <f t="shared" ref="AC439" si="587">EDATE(AB439,12)</f>
        <v>52597</v>
      </c>
      <c r="AD439" s="7">
        <f>EDATE(AC439,12)</f>
        <v>52963</v>
      </c>
      <c r="AH439" s="34" t="s">
        <v>422</v>
      </c>
    </row>
    <row r="440" spans="4:34" outlineLevel="1" x14ac:dyDescent="0.2">
      <c r="D440" s="8" t="s">
        <v>257</v>
      </c>
      <c r="E440" s="36">
        <f>IFERROR(
  SUMIFS(
  'Asset Summary'!$E:$E,
  'Asset Summary'!$A:$A,$D440,
  'Asset Summary'!$B:$B,E$407
  )
  /E408,
0)</f>
        <v>0</v>
      </c>
      <c r="F440" s="36">
        <f>IFERROR(
  SUMIFS(
  'Asset Summary'!$E:$E,
  'Asset Summary'!$A:$A,$D440,
  'Asset Summary'!$B:$B,F$407
  )
  /F408,
0)</f>
        <v>0</v>
      </c>
      <c r="G440" s="36">
        <f>IFERROR(
  SUMIFS(
  'Asset Summary'!$E:$E,
  'Asset Summary'!$A:$A,$D440,
  'Asset Summary'!$B:$B,G$407
  )
  /G408,
0)</f>
        <v>0</v>
      </c>
      <c r="H440" s="36">
        <f>IFERROR(
  SUMIFS(
  'Asset Summary'!$E:$E,
  'Asset Summary'!$A:$A,$D440,
  'Asset Summary'!$B:$B,H$407
  )
  /H408,
0)</f>
        <v>0</v>
      </c>
      <c r="I440" s="36">
        <f>IFERROR(
  SUMIFS(
  'Asset Summary'!$E:$E,
  'Asset Summary'!$A:$A,$D440,
  'Asset Summary'!$B:$B,I$407
  )
  /I408,
0)</f>
        <v>0</v>
      </c>
      <c r="J440" s="36">
        <f>IFERROR(
  SUMIFS(
  'Asset Summary'!$E:$E,
  'Asset Summary'!$A:$A,$D440,
  'Asset Summary'!$B:$B,J$407
  )
  /J408,
0)</f>
        <v>0</v>
      </c>
      <c r="K440" s="36">
        <f>IFERROR(
  SUMIFS(
  'Asset Summary'!$E:$E,
  'Asset Summary'!$A:$A,$D440,
  'Asset Summary'!$B:$B,K$407
  )
  /K408,
0)</f>
        <v>0</v>
      </c>
      <c r="L440" s="36">
        <f>IFERROR(
  SUMIFS(
  'Asset Summary'!$E:$E,
  'Asset Summary'!$A:$A,$D440,
  'Asset Summary'!$B:$B,L$407
  )
  /L408,
0)</f>
        <v>0</v>
      </c>
      <c r="M440" s="36">
        <f>IFERROR(
  SUMIFS(
  'Asset Summary'!$E:$E,
  'Asset Summary'!$A:$A,$D440,
  'Asset Summary'!$B:$B,M$407
  )
  /M408,
0)</f>
        <v>0</v>
      </c>
      <c r="N440" s="36">
        <f>IFERROR(
  SUMIFS(
  'Asset Summary'!$E:$E,
  'Asset Summary'!$A:$A,$D440,
  'Asset Summary'!$B:$B,N$407
  )
  /N408,
0)</f>
        <v>0</v>
      </c>
      <c r="O440" s="36">
        <f>IFERROR(
  SUMIFS(
  'Asset Summary'!$E:$E,
  'Asset Summary'!$A:$A,$D440,
  'Asset Summary'!$B:$B,O$407
  )
  /O408,
0)</f>
        <v>0</v>
      </c>
      <c r="P440" s="36">
        <f>IFERROR(
  SUMIFS(
  'Asset Summary'!$E:$E,
  'Asset Summary'!$A:$A,$D440,
  'Asset Summary'!$B:$B,P$407
  )
  /P408,
0)</f>
        <v>0</v>
      </c>
      <c r="Q440" s="36">
        <f>IFERROR(
  SUMIFS(
  'Asset Summary'!$E:$E,
  'Asset Summary'!$A:$A,$D440,
  'Asset Summary'!$B:$B,Q$407
  )
  /Q408,
0)</f>
        <v>0</v>
      </c>
      <c r="R440" s="36">
        <f>IFERROR(
  SUMIFS(
  'Asset Summary'!$E:$E,
  'Asset Summary'!$A:$A,$D440,
  'Asset Summary'!$B:$B,R$407
  )
  /R408,
0)</f>
        <v>0</v>
      </c>
      <c r="S440" s="36">
        <f>IFERROR(
  SUMIFS(
  'Asset Summary'!$E:$E,
  'Asset Summary'!$A:$A,$D440,
  'Asset Summary'!$B:$B,S$407
  )
  /S408,
0)</f>
        <v>0</v>
      </c>
      <c r="T440" s="36">
        <f>IFERROR(
  SUMIFS(
  'Asset Summary'!$E:$E,
  'Asset Summary'!$A:$A,$D440,
  'Asset Summary'!$B:$B,T$407
  )
  /T408,
0)</f>
        <v>0</v>
      </c>
      <c r="U440" s="36">
        <f>IFERROR(
  SUMIFS(
  'Asset Summary'!$E:$E,
  'Asset Summary'!$A:$A,$D440,
  'Asset Summary'!$B:$B,U$407
  )
  /U408,
0)</f>
        <v>0</v>
      </c>
      <c r="V440" s="36">
        <f>IFERROR(
  SUMIFS(
  'Asset Summary'!$E:$E,
  'Asset Summary'!$A:$A,$D440,
  'Asset Summary'!$B:$B,V$407
  )
  /V408,
0)</f>
        <v>0</v>
      </c>
      <c r="W440" s="36">
        <f>IFERROR(
  SUMIFS(
  'Asset Summary'!$E:$E,
  'Asset Summary'!$A:$A,$D440,
  'Asset Summary'!$B:$B,W$407
  )
  /W408,
0)</f>
        <v>0</v>
      </c>
      <c r="X440" s="36">
        <f>IFERROR(
  SUMIFS(
  'Asset Summary'!$E:$E,
  'Asset Summary'!$A:$A,$D440,
  'Asset Summary'!$B:$B,X$407
  )
  /X408,
0)</f>
        <v>0</v>
      </c>
      <c r="Y440" s="36">
        <f>IFERROR(
  SUMIFS(
  'Asset Summary'!$E:$E,
  'Asset Summary'!$A:$A,$D440,
  'Asset Summary'!$B:$B,Y$407
  )
  /Y408,
0)</f>
        <v>0</v>
      </c>
      <c r="Z440" s="36">
        <f>IFERROR(
  SUMIFS(
  'Asset Summary'!$E:$E,
  'Asset Summary'!$A:$A,$D440,
  'Asset Summary'!$B:$B,Z$407
  )
  /Z408,
0)</f>
        <v>0</v>
      </c>
      <c r="AA440" s="36">
        <f>IFERROR(
  SUMIFS(
  'Asset Summary'!$E:$E,
  'Asset Summary'!$A:$A,$D440,
  'Asset Summary'!$B:$B,AA$407
  )
  /AA408,
0)</f>
        <v>0</v>
      </c>
      <c r="AB440" s="36">
        <f>IFERROR(
  SUMIFS(
  'Asset Summary'!$E:$E,
  'Asset Summary'!$A:$A,$D440,
  'Asset Summary'!$B:$B,AB$407
  )
  /AB408,
0)</f>
        <v>0</v>
      </c>
      <c r="AC440" s="36">
        <f>IFERROR(
  SUMIFS(
  'Asset Summary'!$E:$E,
  'Asset Summary'!$A:$A,$D440,
  'Asset Summary'!$B:$B,AC$407
  )
  /AC408,
0)</f>
        <v>0</v>
      </c>
      <c r="AD440" s="36">
        <f>IFERROR(
  SUMIFS(
  'Asset Summary'!$E:$E,
  'Asset Summary'!$A:$A,$D440,
  'Asset Summary'!$B:$B,AD$407
  )
  /AD408,
0)</f>
        <v>0</v>
      </c>
      <c r="AH440" s="34" t="s">
        <v>422</v>
      </c>
    </row>
    <row r="441" spans="4:34" outlineLevel="1" x14ac:dyDescent="0.2">
      <c r="D441" s="8" t="s">
        <v>258</v>
      </c>
      <c r="E441" s="36">
        <f>IFERROR(
  SUMIFS(
  'Asset Summary'!$E:$E,
  'Asset Summary'!$A:$A,$D441,
  'Asset Summary'!$B:$B,E$407
  )
  /E409,
0)</f>
        <v>0</v>
      </c>
      <c r="F441" s="36">
        <f>IFERROR(
  SUMIFS(
  'Asset Summary'!$E:$E,
  'Asset Summary'!$A:$A,$D441,
  'Asset Summary'!$B:$B,F$407
  )
  /F409,
0)</f>
        <v>0</v>
      </c>
      <c r="G441" s="36">
        <f>IFERROR(
  SUMIFS(
  'Asset Summary'!$E:$E,
  'Asset Summary'!$A:$A,$D441,
  'Asset Summary'!$B:$B,G$407
  )
  /G409,
0)</f>
        <v>0</v>
      </c>
      <c r="H441" s="36">
        <f>IFERROR(
  SUMIFS(
  'Asset Summary'!$E:$E,
  'Asset Summary'!$A:$A,$D441,
  'Asset Summary'!$B:$B,H$407
  )
  /H409,
0)</f>
        <v>0</v>
      </c>
      <c r="I441" s="36">
        <f>IFERROR(
  SUMIFS(
  'Asset Summary'!$E:$E,
  'Asset Summary'!$A:$A,$D441,
  'Asset Summary'!$B:$B,I$407
  )
  /I409,
0)</f>
        <v>0</v>
      </c>
      <c r="J441" s="36">
        <f>IFERROR(
  SUMIFS(
  'Asset Summary'!$E:$E,
  'Asset Summary'!$A:$A,$D441,
  'Asset Summary'!$B:$B,J$407
  )
  /J409,
0)</f>
        <v>0</v>
      </c>
      <c r="K441" s="36">
        <f>IFERROR(
  SUMIFS(
  'Asset Summary'!$E:$E,
  'Asset Summary'!$A:$A,$D441,
  'Asset Summary'!$B:$B,K$407
  )
  /K409,
0)</f>
        <v>0</v>
      </c>
      <c r="L441" s="36">
        <f>IFERROR(
  SUMIFS(
  'Asset Summary'!$E:$E,
  'Asset Summary'!$A:$A,$D441,
  'Asset Summary'!$B:$B,L$407
  )
  /L409,
0)</f>
        <v>0</v>
      </c>
      <c r="M441" s="36">
        <f>IFERROR(
  SUMIFS(
  'Asset Summary'!$E:$E,
  'Asset Summary'!$A:$A,$D441,
  'Asset Summary'!$B:$B,M$407
  )
  /M409,
0)</f>
        <v>0</v>
      </c>
      <c r="N441" s="36">
        <f>IFERROR(
  SUMIFS(
  'Asset Summary'!$E:$E,
  'Asset Summary'!$A:$A,$D441,
  'Asset Summary'!$B:$B,N$407
  )
  /N409,
0)</f>
        <v>0</v>
      </c>
      <c r="O441" s="36">
        <f>IFERROR(
  SUMIFS(
  'Asset Summary'!$E:$E,
  'Asset Summary'!$A:$A,$D441,
  'Asset Summary'!$B:$B,O$407
  )
  /O409,
0)</f>
        <v>0</v>
      </c>
      <c r="P441" s="36">
        <f>IFERROR(
  SUMIFS(
  'Asset Summary'!$E:$E,
  'Asset Summary'!$A:$A,$D441,
  'Asset Summary'!$B:$B,P$407
  )
  /P409,
0)</f>
        <v>0</v>
      </c>
      <c r="Q441" s="36">
        <f>IFERROR(
  SUMIFS(
  'Asset Summary'!$E:$E,
  'Asset Summary'!$A:$A,$D441,
  'Asset Summary'!$B:$B,Q$407
  )
  /Q409,
0)</f>
        <v>0</v>
      </c>
      <c r="R441" s="36">
        <f>IFERROR(
  SUMIFS(
  'Asset Summary'!$E:$E,
  'Asset Summary'!$A:$A,$D441,
  'Asset Summary'!$B:$B,R$407
  )
  /R409,
0)</f>
        <v>0</v>
      </c>
      <c r="S441" s="36">
        <f>IFERROR(
  SUMIFS(
  'Asset Summary'!$E:$E,
  'Asset Summary'!$A:$A,$D441,
  'Asset Summary'!$B:$B,S$407
  )
  /S409,
0)</f>
        <v>0</v>
      </c>
      <c r="T441" s="36">
        <f>IFERROR(
  SUMIFS(
  'Asset Summary'!$E:$E,
  'Asset Summary'!$A:$A,$D441,
  'Asset Summary'!$B:$B,T$407
  )
  /T409,
0)</f>
        <v>0</v>
      </c>
      <c r="U441" s="36">
        <f>IFERROR(
  SUMIFS(
  'Asset Summary'!$E:$E,
  'Asset Summary'!$A:$A,$D441,
  'Asset Summary'!$B:$B,U$407
  )
  /U409,
0)</f>
        <v>0</v>
      </c>
      <c r="V441" s="36">
        <f>IFERROR(
  SUMIFS(
  'Asset Summary'!$E:$E,
  'Asset Summary'!$A:$A,$D441,
  'Asset Summary'!$B:$B,V$407
  )
  /V409,
0)</f>
        <v>0</v>
      </c>
      <c r="W441" s="36">
        <f>IFERROR(
  SUMIFS(
  'Asset Summary'!$E:$E,
  'Asset Summary'!$A:$A,$D441,
  'Asset Summary'!$B:$B,W$407
  )
  /W409,
0)</f>
        <v>0</v>
      </c>
      <c r="X441" s="36">
        <f>IFERROR(
  SUMIFS(
  'Asset Summary'!$E:$E,
  'Asset Summary'!$A:$A,$D441,
  'Asset Summary'!$B:$B,X$407
  )
  /X409,
0)</f>
        <v>0</v>
      </c>
      <c r="Y441" s="36">
        <f>IFERROR(
  SUMIFS(
  'Asset Summary'!$E:$E,
  'Asset Summary'!$A:$A,$D441,
  'Asset Summary'!$B:$B,Y$407
  )
  /Y409,
0)</f>
        <v>0</v>
      </c>
      <c r="Z441" s="36">
        <f>IFERROR(
  SUMIFS(
  'Asset Summary'!$E:$E,
  'Asset Summary'!$A:$A,$D441,
  'Asset Summary'!$B:$B,Z$407
  )
  /Z409,
0)</f>
        <v>0</v>
      </c>
      <c r="AA441" s="36">
        <f>IFERROR(
  SUMIFS(
  'Asset Summary'!$E:$E,
  'Asset Summary'!$A:$A,$D441,
  'Asset Summary'!$B:$B,AA$407
  )
  /AA409,
0)</f>
        <v>0</v>
      </c>
      <c r="AB441" s="36">
        <f>IFERROR(
  SUMIFS(
  'Asset Summary'!$E:$E,
  'Asset Summary'!$A:$A,$D441,
  'Asset Summary'!$B:$B,AB$407
  )
  /AB409,
0)</f>
        <v>0</v>
      </c>
      <c r="AC441" s="36">
        <f>IFERROR(
  SUMIFS(
  'Asset Summary'!$E:$E,
  'Asset Summary'!$A:$A,$D441,
  'Asset Summary'!$B:$B,AC$407
  )
  /AC409,
0)</f>
        <v>0</v>
      </c>
      <c r="AD441" s="36">
        <f>IFERROR(
  SUMIFS(
  'Asset Summary'!$E:$E,
  'Asset Summary'!$A:$A,$D441,
  'Asset Summary'!$B:$B,AD$407
  )
  /AD409,
0)</f>
        <v>0</v>
      </c>
      <c r="AH441" s="34" t="s">
        <v>422</v>
      </c>
    </row>
    <row r="442" spans="4:34" outlineLevel="1" x14ac:dyDescent="0.2">
      <c r="D442" s="8" t="s">
        <v>259</v>
      </c>
      <c r="E442" s="36">
        <f>IFERROR(
  SUMIFS(
  'Asset Summary'!$E:$E,
  'Asset Summary'!$A:$A,$D442,
  'Asset Summary'!$B:$B,E$407
  )
  /E410,
0)</f>
        <v>0</v>
      </c>
      <c r="F442" s="36">
        <f>IFERROR(
  SUMIFS(
  'Asset Summary'!$E:$E,
  'Asset Summary'!$A:$A,$D442,
  'Asset Summary'!$B:$B,F$407
  )
  /F410,
0)</f>
        <v>0</v>
      </c>
      <c r="G442" s="36">
        <f>IFERROR(
  SUMIFS(
  'Asset Summary'!$E:$E,
  'Asset Summary'!$A:$A,$D442,
  'Asset Summary'!$B:$B,G$407
  )
  /G410,
0)</f>
        <v>0</v>
      </c>
      <c r="H442" s="36">
        <f>IFERROR(
  SUMIFS(
  'Asset Summary'!$E:$E,
  'Asset Summary'!$A:$A,$D442,
  'Asset Summary'!$B:$B,H$407
  )
  /H410,
0)</f>
        <v>0</v>
      </c>
      <c r="I442" s="36">
        <f>IFERROR(
  SUMIFS(
  'Asset Summary'!$E:$E,
  'Asset Summary'!$A:$A,$D442,
  'Asset Summary'!$B:$B,I$407
  )
  /I410,
0)</f>
        <v>0</v>
      </c>
      <c r="J442" s="36">
        <f>IFERROR(
  SUMIFS(
  'Asset Summary'!$E:$E,
  'Asset Summary'!$A:$A,$D442,
  'Asset Summary'!$B:$B,J$407
  )
  /J410,
0)</f>
        <v>0</v>
      </c>
      <c r="K442" s="36">
        <f>IFERROR(
  SUMIFS(
  'Asset Summary'!$E:$E,
  'Asset Summary'!$A:$A,$D442,
  'Asset Summary'!$B:$B,K$407
  )
  /K410,
0)</f>
        <v>0</v>
      </c>
      <c r="L442" s="36">
        <f>IFERROR(
  SUMIFS(
  'Asset Summary'!$E:$E,
  'Asset Summary'!$A:$A,$D442,
  'Asset Summary'!$B:$B,L$407
  )
  /L410,
0)</f>
        <v>0</v>
      </c>
      <c r="M442" s="36">
        <f>IFERROR(
  SUMIFS(
  'Asset Summary'!$E:$E,
  'Asset Summary'!$A:$A,$D442,
  'Asset Summary'!$B:$B,M$407
  )
  /M410,
0)</f>
        <v>0</v>
      </c>
      <c r="N442" s="36">
        <f>IFERROR(
  SUMIFS(
  'Asset Summary'!$E:$E,
  'Asset Summary'!$A:$A,$D442,
  'Asset Summary'!$B:$B,N$407
  )
  /N410,
0)</f>
        <v>0</v>
      </c>
      <c r="O442" s="36">
        <f>IFERROR(
  SUMIFS(
  'Asset Summary'!$E:$E,
  'Asset Summary'!$A:$A,$D442,
  'Asset Summary'!$B:$B,O$407
  )
  /O410,
0)</f>
        <v>0</v>
      </c>
      <c r="P442" s="36">
        <f>IFERROR(
  SUMIFS(
  'Asset Summary'!$E:$E,
  'Asset Summary'!$A:$A,$D442,
  'Asset Summary'!$B:$B,P$407
  )
  /P410,
0)</f>
        <v>0</v>
      </c>
      <c r="Q442" s="36">
        <f>IFERROR(
  SUMIFS(
  'Asset Summary'!$E:$E,
  'Asset Summary'!$A:$A,$D442,
  'Asset Summary'!$B:$B,Q$407
  )
  /Q410,
0)</f>
        <v>0</v>
      </c>
      <c r="R442" s="36">
        <f>IFERROR(
  SUMIFS(
  'Asset Summary'!$E:$E,
  'Asset Summary'!$A:$A,$D442,
  'Asset Summary'!$B:$B,R$407
  )
  /R410,
0)</f>
        <v>0</v>
      </c>
      <c r="S442" s="36">
        <f>IFERROR(
  SUMIFS(
  'Asset Summary'!$E:$E,
  'Asset Summary'!$A:$A,$D442,
  'Asset Summary'!$B:$B,S$407
  )
  /S410,
0)</f>
        <v>0</v>
      </c>
      <c r="T442" s="36">
        <f>IFERROR(
  SUMIFS(
  'Asset Summary'!$E:$E,
  'Asset Summary'!$A:$A,$D442,
  'Asset Summary'!$B:$B,T$407
  )
  /T410,
0)</f>
        <v>0</v>
      </c>
      <c r="U442" s="36">
        <f>IFERROR(
  SUMIFS(
  'Asset Summary'!$E:$E,
  'Asset Summary'!$A:$A,$D442,
  'Asset Summary'!$B:$B,U$407
  )
  /U410,
0)</f>
        <v>0</v>
      </c>
      <c r="V442" s="36">
        <f>IFERROR(
  SUMIFS(
  'Asset Summary'!$E:$E,
  'Asset Summary'!$A:$A,$D442,
  'Asset Summary'!$B:$B,V$407
  )
  /V410,
0)</f>
        <v>0</v>
      </c>
      <c r="W442" s="36">
        <f>IFERROR(
  SUMIFS(
  'Asset Summary'!$E:$E,
  'Asset Summary'!$A:$A,$D442,
  'Asset Summary'!$B:$B,W$407
  )
  /W410,
0)</f>
        <v>0</v>
      </c>
      <c r="X442" s="36">
        <f>IFERROR(
  SUMIFS(
  'Asset Summary'!$E:$E,
  'Asset Summary'!$A:$A,$D442,
  'Asset Summary'!$B:$B,X$407
  )
  /X410,
0)</f>
        <v>0</v>
      </c>
      <c r="Y442" s="36">
        <f>IFERROR(
  SUMIFS(
  'Asset Summary'!$E:$E,
  'Asset Summary'!$A:$A,$D442,
  'Asset Summary'!$B:$B,Y$407
  )
  /Y410,
0)</f>
        <v>0</v>
      </c>
      <c r="Z442" s="36">
        <f>IFERROR(
  SUMIFS(
  'Asset Summary'!$E:$E,
  'Asset Summary'!$A:$A,$D442,
  'Asset Summary'!$B:$B,Z$407
  )
  /Z410,
0)</f>
        <v>0</v>
      </c>
      <c r="AA442" s="36">
        <f>IFERROR(
  SUMIFS(
  'Asset Summary'!$E:$E,
  'Asset Summary'!$A:$A,$D442,
  'Asset Summary'!$B:$B,AA$407
  )
  /AA410,
0)</f>
        <v>0</v>
      </c>
      <c r="AB442" s="36">
        <f>IFERROR(
  SUMIFS(
  'Asset Summary'!$E:$E,
  'Asset Summary'!$A:$A,$D442,
  'Asset Summary'!$B:$B,AB$407
  )
  /AB410,
0)</f>
        <v>0</v>
      </c>
      <c r="AC442" s="36">
        <f>IFERROR(
  SUMIFS(
  'Asset Summary'!$E:$E,
  'Asset Summary'!$A:$A,$D442,
  'Asset Summary'!$B:$B,AC$407
  )
  /AC410,
0)</f>
        <v>0</v>
      </c>
      <c r="AD442" s="36">
        <f>IFERROR(
  SUMIFS(
  'Asset Summary'!$E:$E,
  'Asset Summary'!$A:$A,$D442,
  'Asset Summary'!$B:$B,AD$407
  )
  /AD410,
0)</f>
        <v>0</v>
      </c>
      <c r="AH442" s="34" t="s">
        <v>422</v>
      </c>
    </row>
    <row r="443" spans="4:34" outlineLevel="1" x14ac:dyDescent="0.2">
      <c r="D443" s="8" t="s">
        <v>260</v>
      </c>
      <c r="E443" s="36">
        <f>IFERROR(
  SUMIFS(
  'Asset Summary'!$E:$E,
  'Asset Summary'!$A:$A,$D443,
  'Asset Summary'!$B:$B,E$407
  )
  /E411,
0)</f>
        <v>0</v>
      </c>
      <c r="F443" s="36">
        <f>IFERROR(
  SUMIFS(
  'Asset Summary'!$E:$E,
  'Asset Summary'!$A:$A,$D443,
  'Asset Summary'!$B:$B,F$407
  )
  /F411,
0)</f>
        <v>0</v>
      </c>
      <c r="G443" s="36">
        <f>IFERROR(
  SUMIFS(
  'Asset Summary'!$E:$E,
  'Asset Summary'!$A:$A,$D443,
  'Asset Summary'!$B:$B,G$407
  )
  /G411,
0)</f>
        <v>0</v>
      </c>
      <c r="H443" s="36">
        <f>IFERROR(
  SUMIFS(
  'Asset Summary'!$E:$E,
  'Asset Summary'!$A:$A,$D443,
  'Asset Summary'!$B:$B,H$407
  )
  /H411,
0)</f>
        <v>0</v>
      </c>
      <c r="I443" s="36">
        <f>IFERROR(
  SUMIFS(
  'Asset Summary'!$E:$E,
  'Asset Summary'!$A:$A,$D443,
  'Asset Summary'!$B:$B,I$407
  )
  /I411,
0)</f>
        <v>0</v>
      </c>
      <c r="J443" s="36">
        <f>IFERROR(
  SUMIFS(
  'Asset Summary'!$E:$E,
  'Asset Summary'!$A:$A,$D443,
  'Asset Summary'!$B:$B,J$407
  )
  /J411,
0)</f>
        <v>0</v>
      </c>
      <c r="K443" s="36">
        <f>IFERROR(
  SUMIFS(
  'Asset Summary'!$E:$E,
  'Asset Summary'!$A:$A,$D443,
  'Asset Summary'!$B:$B,K$407
  )
  /K411,
0)</f>
        <v>0</v>
      </c>
      <c r="L443" s="36">
        <f>IFERROR(
  SUMIFS(
  'Asset Summary'!$E:$E,
  'Asset Summary'!$A:$A,$D443,
  'Asset Summary'!$B:$B,L$407
  )
  /L411,
0)</f>
        <v>0</v>
      </c>
      <c r="M443" s="36">
        <f>IFERROR(
  SUMIFS(
  'Asset Summary'!$E:$E,
  'Asset Summary'!$A:$A,$D443,
  'Asset Summary'!$B:$B,M$407
  )
  /M411,
0)</f>
        <v>0</v>
      </c>
      <c r="N443" s="36">
        <f>IFERROR(
  SUMIFS(
  'Asset Summary'!$E:$E,
  'Asset Summary'!$A:$A,$D443,
  'Asset Summary'!$B:$B,N$407
  )
  /N411,
0)</f>
        <v>0</v>
      </c>
      <c r="O443" s="36">
        <f>IFERROR(
  SUMIFS(
  'Asset Summary'!$E:$E,
  'Asset Summary'!$A:$A,$D443,
  'Asset Summary'!$B:$B,O$407
  )
  /O411,
0)</f>
        <v>0</v>
      </c>
      <c r="P443" s="36">
        <f>IFERROR(
  SUMIFS(
  'Asset Summary'!$E:$E,
  'Asset Summary'!$A:$A,$D443,
  'Asset Summary'!$B:$B,P$407
  )
  /P411,
0)</f>
        <v>0</v>
      </c>
      <c r="Q443" s="36">
        <f>IFERROR(
  SUMIFS(
  'Asset Summary'!$E:$E,
  'Asset Summary'!$A:$A,$D443,
  'Asset Summary'!$B:$B,Q$407
  )
  /Q411,
0)</f>
        <v>0</v>
      </c>
      <c r="R443" s="36">
        <f>IFERROR(
  SUMIFS(
  'Asset Summary'!$E:$E,
  'Asset Summary'!$A:$A,$D443,
  'Asset Summary'!$B:$B,R$407
  )
  /R411,
0)</f>
        <v>0</v>
      </c>
      <c r="S443" s="36">
        <f>IFERROR(
  SUMIFS(
  'Asset Summary'!$E:$E,
  'Asset Summary'!$A:$A,$D443,
  'Asset Summary'!$B:$B,S$407
  )
  /S411,
0)</f>
        <v>0</v>
      </c>
      <c r="T443" s="36">
        <f>IFERROR(
  SUMIFS(
  'Asset Summary'!$E:$E,
  'Asset Summary'!$A:$A,$D443,
  'Asset Summary'!$B:$B,T$407
  )
  /T411,
0)</f>
        <v>0</v>
      </c>
      <c r="U443" s="36">
        <f>IFERROR(
  SUMIFS(
  'Asset Summary'!$E:$E,
  'Asset Summary'!$A:$A,$D443,
  'Asset Summary'!$B:$B,U$407
  )
  /U411,
0)</f>
        <v>0</v>
      </c>
      <c r="V443" s="36">
        <f>IFERROR(
  SUMIFS(
  'Asset Summary'!$E:$E,
  'Asset Summary'!$A:$A,$D443,
  'Asset Summary'!$B:$B,V$407
  )
  /V411,
0)</f>
        <v>0</v>
      </c>
      <c r="W443" s="36">
        <f>IFERROR(
  SUMIFS(
  'Asset Summary'!$E:$E,
  'Asset Summary'!$A:$A,$D443,
  'Asset Summary'!$B:$B,W$407
  )
  /W411,
0)</f>
        <v>0</v>
      </c>
      <c r="X443" s="36">
        <f>IFERROR(
  SUMIFS(
  'Asset Summary'!$E:$E,
  'Asset Summary'!$A:$A,$D443,
  'Asset Summary'!$B:$B,X$407
  )
  /X411,
0)</f>
        <v>0</v>
      </c>
      <c r="Y443" s="36">
        <f>IFERROR(
  SUMIFS(
  'Asset Summary'!$E:$E,
  'Asset Summary'!$A:$A,$D443,
  'Asset Summary'!$B:$B,Y$407
  )
  /Y411,
0)</f>
        <v>0</v>
      </c>
      <c r="Z443" s="36">
        <f>IFERROR(
  SUMIFS(
  'Asset Summary'!$E:$E,
  'Asset Summary'!$A:$A,$D443,
  'Asset Summary'!$B:$B,Z$407
  )
  /Z411,
0)</f>
        <v>0</v>
      </c>
      <c r="AA443" s="36">
        <f>IFERROR(
  SUMIFS(
  'Asset Summary'!$E:$E,
  'Asset Summary'!$A:$A,$D443,
  'Asset Summary'!$B:$B,AA$407
  )
  /AA411,
0)</f>
        <v>0</v>
      </c>
      <c r="AB443" s="36">
        <f>IFERROR(
  SUMIFS(
  'Asset Summary'!$E:$E,
  'Asset Summary'!$A:$A,$D443,
  'Asset Summary'!$B:$B,AB$407
  )
  /AB411,
0)</f>
        <v>0</v>
      </c>
      <c r="AC443" s="36">
        <f>IFERROR(
  SUMIFS(
  'Asset Summary'!$E:$E,
  'Asset Summary'!$A:$A,$D443,
  'Asset Summary'!$B:$B,AC$407
  )
  /AC411,
0)</f>
        <v>0</v>
      </c>
      <c r="AD443" s="36">
        <f>IFERROR(
  SUMIFS(
  'Asset Summary'!$E:$E,
  'Asset Summary'!$A:$A,$D443,
  'Asset Summary'!$B:$B,AD$407
  )
  /AD411,
0)</f>
        <v>0</v>
      </c>
      <c r="AH443" s="34" t="s">
        <v>422</v>
      </c>
    </row>
    <row r="444" spans="4:34" outlineLevel="1" x14ac:dyDescent="0.2">
      <c r="D444" s="8" t="s">
        <v>261</v>
      </c>
      <c r="E444" s="36">
        <f>IFERROR(
  SUMIFS(
  'Asset Summary'!$E:$E,
  'Asset Summary'!$A:$A,$D444,
  'Asset Summary'!$B:$B,E$407
  )
  /E412,
0)</f>
        <v>0</v>
      </c>
      <c r="F444" s="36">
        <f>IFERROR(
  SUMIFS(
  'Asset Summary'!$E:$E,
  'Asset Summary'!$A:$A,$D444,
  'Asset Summary'!$B:$B,F$407
  )
  /F412,
0)</f>
        <v>0</v>
      </c>
      <c r="G444" s="36">
        <f>IFERROR(
  SUMIFS(
  'Asset Summary'!$E:$E,
  'Asset Summary'!$A:$A,$D444,
  'Asset Summary'!$B:$B,G$407
  )
  /G412,
0)</f>
        <v>0</v>
      </c>
      <c r="H444" s="36">
        <f>IFERROR(
  SUMIFS(
  'Asset Summary'!$E:$E,
  'Asset Summary'!$A:$A,$D444,
  'Asset Summary'!$B:$B,H$407
  )
  /H412,
0)</f>
        <v>0</v>
      </c>
      <c r="I444" s="36">
        <f>IFERROR(
  SUMIFS(
  'Asset Summary'!$E:$E,
  'Asset Summary'!$A:$A,$D444,
  'Asset Summary'!$B:$B,I$407
  )
  /I412,
0)</f>
        <v>0</v>
      </c>
      <c r="J444" s="36">
        <f>IFERROR(
  SUMIFS(
  'Asset Summary'!$E:$E,
  'Asset Summary'!$A:$A,$D444,
  'Asset Summary'!$B:$B,J$407
  )
  /J412,
0)</f>
        <v>0</v>
      </c>
      <c r="K444" s="36">
        <f>IFERROR(
  SUMIFS(
  'Asset Summary'!$E:$E,
  'Asset Summary'!$A:$A,$D444,
  'Asset Summary'!$B:$B,K$407
  )
  /K412,
0)</f>
        <v>0</v>
      </c>
      <c r="L444" s="36">
        <f>IFERROR(
  SUMIFS(
  'Asset Summary'!$E:$E,
  'Asset Summary'!$A:$A,$D444,
  'Asset Summary'!$B:$B,L$407
  )
  /L412,
0)</f>
        <v>0</v>
      </c>
      <c r="M444" s="36">
        <f>IFERROR(
  SUMIFS(
  'Asset Summary'!$E:$E,
  'Asset Summary'!$A:$A,$D444,
  'Asset Summary'!$B:$B,M$407
  )
  /M412,
0)</f>
        <v>0</v>
      </c>
      <c r="N444" s="36">
        <f>IFERROR(
  SUMIFS(
  'Asset Summary'!$E:$E,
  'Asset Summary'!$A:$A,$D444,
  'Asset Summary'!$B:$B,N$407
  )
  /N412,
0)</f>
        <v>0</v>
      </c>
      <c r="O444" s="36">
        <f>IFERROR(
  SUMIFS(
  'Asset Summary'!$E:$E,
  'Asset Summary'!$A:$A,$D444,
  'Asset Summary'!$B:$B,O$407
  )
  /O412,
0)</f>
        <v>0</v>
      </c>
      <c r="P444" s="36">
        <f>IFERROR(
  SUMIFS(
  'Asset Summary'!$E:$E,
  'Asset Summary'!$A:$A,$D444,
  'Asset Summary'!$B:$B,P$407
  )
  /P412,
0)</f>
        <v>0</v>
      </c>
      <c r="Q444" s="36">
        <f>IFERROR(
  SUMIFS(
  'Asset Summary'!$E:$E,
  'Asset Summary'!$A:$A,$D444,
  'Asset Summary'!$B:$B,Q$407
  )
  /Q412,
0)</f>
        <v>0</v>
      </c>
      <c r="R444" s="36">
        <f>IFERROR(
  SUMIFS(
  'Asset Summary'!$E:$E,
  'Asset Summary'!$A:$A,$D444,
  'Asset Summary'!$B:$B,R$407
  )
  /R412,
0)</f>
        <v>0</v>
      </c>
      <c r="S444" s="36">
        <f>IFERROR(
  SUMIFS(
  'Asset Summary'!$E:$E,
  'Asset Summary'!$A:$A,$D444,
  'Asset Summary'!$B:$B,S$407
  )
  /S412,
0)</f>
        <v>0</v>
      </c>
      <c r="T444" s="36">
        <f>IFERROR(
  SUMIFS(
  'Asset Summary'!$E:$E,
  'Asset Summary'!$A:$A,$D444,
  'Asset Summary'!$B:$B,T$407
  )
  /T412,
0)</f>
        <v>0</v>
      </c>
      <c r="U444" s="36">
        <f>IFERROR(
  SUMIFS(
  'Asset Summary'!$E:$E,
  'Asset Summary'!$A:$A,$D444,
  'Asset Summary'!$B:$B,U$407
  )
  /U412,
0)</f>
        <v>0</v>
      </c>
      <c r="V444" s="36">
        <f>IFERROR(
  SUMIFS(
  'Asset Summary'!$E:$E,
  'Asset Summary'!$A:$A,$D444,
  'Asset Summary'!$B:$B,V$407
  )
  /V412,
0)</f>
        <v>0</v>
      </c>
      <c r="W444" s="36">
        <f>IFERROR(
  SUMIFS(
  'Asset Summary'!$E:$E,
  'Asset Summary'!$A:$A,$D444,
  'Asset Summary'!$B:$B,W$407
  )
  /W412,
0)</f>
        <v>0</v>
      </c>
      <c r="X444" s="36">
        <f>IFERROR(
  SUMIFS(
  'Asset Summary'!$E:$E,
  'Asset Summary'!$A:$A,$D444,
  'Asset Summary'!$B:$B,X$407
  )
  /X412,
0)</f>
        <v>0</v>
      </c>
      <c r="Y444" s="36">
        <f>IFERROR(
  SUMIFS(
  'Asset Summary'!$E:$E,
  'Asset Summary'!$A:$A,$D444,
  'Asset Summary'!$B:$B,Y$407
  )
  /Y412,
0)</f>
        <v>0</v>
      </c>
      <c r="Z444" s="36">
        <f>IFERROR(
  SUMIFS(
  'Asset Summary'!$E:$E,
  'Asset Summary'!$A:$A,$D444,
  'Asset Summary'!$B:$B,Z$407
  )
  /Z412,
0)</f>
        <v>0</v>
      </c>
      <c r="AA444" s="36">
        <f>IFERROR(
  SUMIFS(
  'Asset Summary'!$E:$E,
  'Asset Summary'!$A:$A,$D444,
  'Asset Summary'!$B:$B,AA$407
  )
  /AA412,
0)</f>
        <v>0</v>
      </c>
      <c r="AB444" s="36">
        <f>IFERROR(
  SUMIFS(
  'Asset Summary'!$E:$E,
  'Asset Summary'!$A:$A,$D444,
  'Asset Summary'!$B:$B,AB$407
  )
  /AB412,
0)</f>
        <v>0</v>
      </c>
      <c r="AC444" s="36">
        <f>IFERROR(
  SUMIFS(
  'Asset Summary'!$E:$E,
  'Asset Summary'!$A:$A,$D444,
  'Asset Summary'!$B:$B,AC$407
  )
  /AC412,
0)</f>
        <v>0</v>
      </c>
      <c r="AD444" s="36">
        <f>IFERROR(
  SUMIFS(
  'Asset Summary'!$E:$E,
  'Asset Summary'!$A:$A,$D444,
  'Asset Summary'!$B:$B,AD$407
  )
  /AD412,
0)</f>
        <v>0</v>
      </c>
      <c r="AH444" s="34" t="s">
        <v>422</v>
      </c>
    </row>
    <row r="445" spans="4:34" outlineLevel="1" x14ac:dyDescent="0.2">
      <c r="D445" s="8" t="s">
        <v>262</v>
      </c>
      <c r="E445" s="36">
        <f>IFERROR(
  SUMIFS(
  'Asset Summary'!$E:$E,
  'Asset Summary'!$A:$A,$D445,
  'Asset Summary'!$B:$B,E$407
  )
  /E413,
0)</f>
        <v>0</v>
      </c>
      <c r="F445" s="36">
        <f>IFERROR(
  SUMIFS(
  'Asset Summary'!$E:$E,
  'Asset Summary'!$A:$A,$D445,
  'Asset Summary'!$B:$B,F$407
  )
  /F413,
0)</f>
        <v>0</v>
      </c>
      <c r="G445" s="36">
        <f>IFERROR(
  SUMIFS(
  'Asset Summary'!$E:$E,
  'Asset Summary'!$A:$A,$D445,
  'Asset Summary'!$B:$B,G$407
  )
  /G413,
0)</f>
        <v>0</v>
      </c>
      <c r="H445" s="36">
        <f>IFERROR(
  SUMIFS(
  'Asset Summary'!$E:$E,
  'Asset Summary'!$A:$A,$D445,
  'Asset Summary'!$B:$B,H$407
  )
  /H413,
0)</f>
        <v>0</v>
      </c>
      <c r="I445" s="36">
        <f>IFERROR(
  SUMIFS(
  'Asset Summary'!$E:$E,
  'Asset Summary'!$A:$A,$D445,
  'Asset Summary'!$B:$B,I$407
  )
  /I413,
0)</f>
        <v>0</v>
      </c>
      <c r="J445" s="36">
        <f>IFERROR(
  SUMIFS(
  'Asset Summary'!$E:$E,
  'Asset Summary'!$A:$A,$D445,
  'Asset Summary'!$B:$B,J$407
  )
  /J413,
0)</f>
        <v>0</v>
      </c>
      <c r="K445" s="36">
        <f>IFERROR(
  SUMIFS(
  'Asset Summary'!$E:$E,
  'Asset Summary'!$A:$A,$D445,
  'Asset Summary'!$B:$B,K$407
  )
  /K413,
0)</f>
        <v>0</v>
      </c>
      <c r="L445" s="36">
        <f>IFERROR(
  SUMIFS(
  'Asset Summary'!$E:$E,
  'Asset Summary'!$A:$A,$D445,
  'Asset Summary'!$B:$B,L$407
  )
  /L413,
0)</f>
        <v>0</v>
      </c>
      <c r="M445" s="36">
        <f>IFERROR(
  SUMIFS(
  'Asset Summary'!$E:$E,
  'Asset Summary'!$A:$A,$D445,
  'Asset Summary'!$B:$B,M$407
  )
  /M413,
0)</f>
        <v>0</v>
      </c>
      <c r="N445" s="36">
        <f>IFERROR(
  SUMIFS(
  'Asset Summary'!$E:$E,
  'Asset Summary'!$A:$A,$D445,
  'Asset Summary'!$B:$B,N$407
  )
  /N413,
0)</f>
        <v>0</v>
      </c>
      <c r="O445" s="36">
        <f>IFERROR(
  SUMIFS(
  'Asset Summary'!$E:$E,
  'Asset Summary'!$A:$A,$D445,
  'Asset Summary'!$B:$B,O$407
  )
  /O413,
0)</f>
        <v>0</v>
      </c>
      <c r="P445" s="36">
        <f>IFERROR(
  SUMIFS(
  'Asset Summary'!$E:$E,
  'Asset Summary'!$A:$A,$D445,
  'Asset Summary'!$B:$B,P$407
  )
  /P413,
0)</f>
        <v>0</v>
      </c>
      <c r="Q445" s="36">
        <f>IFERROR(
  SUMIFS(
  'Asset Summary'!$E:$E,
  'Asset Summary'!$A:$A,$D445,
  'Asset Summary'!$B:$B,Q$407
  )
  /Q413,
0)</f>
        <v>0</v>
      </c>
      <c r="R445" s="36">
        <f>IFERROR(
  SUMIFS(
  'Asset Summary'!$E:$E,
  'Asset Summary'!$A:$A,$D445,
  'Asset Summary'!$B:$B,R$407
  )
  /R413,
0)</f>
        <v>0</v>
      </c>
      <c r="S445" s="36">
        <f>IFERROR(
  SUMIFS(
  'Asset Summary'!$E:$E,
  'Asset Summary'!$A:$A,$D445,
  'Asset Summary'!$B:$B,S$407
  )
  /S413,
0)</f>
        <v>0</v>
      </c>
      <c r="T445" s="36">
        <f>IFERROR(
  SUMIFS(
  'Asset Summary'!$E:$E,
  'Asset Summary'!$A:$A,$D445,
  'Asset Summary'!$B:$B,T$407
  )
  /T413,
0)</f>
        <v>0</v>
      </c>
      <c r="U445" s="36">
        <f>IFERROR(
  SUMIFS(
  'Asset Summary'!$E:$E,
  'Asset Summary'!$A:$A,$D445,
  'Asset Summary'!$B:$B,U$407
  )
  /U413,
0)</f>
        <v>0</v>
      </c>
      <c r="V445" s="36">
        <f>IFERROR(
  SUMIFS(
  'Asset Summary'!$E:$E,
  'Asset Summary'!$A:$A,$D445,
  'Asset Summary'!$B:$B,V$407
  )
  /V413,
0)</f>
        <v>0</v>
      </c>
      <c r="W445" s="36">
        <f>IFERROR(
  SUMIFS(
  'Asset Summary'!$E:$E,
  'Asset Summary'!$A:$A,$D445,
  'Asset Summary'!$B:$B,W$407
  )
  /W413,
0)</f>
        <v>0</v>
      </c>
      <c r="X445" s="36">
        <f>IFERROR(
  SUMIFS(
  'Asset Summary'!$E:$E,
  'Asset Summary'!$A:$A,$D445,
  'Asset Summary'!$B:$B,X$407
  )
  /X413,
0)</f>
        <v>0</v>
      </c>
      <c r="Y445" s="36">
        <f>IFERROR(
  SUMIFS(
  'Asset Summary'!$E:$E,
  'Asset Summary'!$A:$A,$D445,
  'Asset Summary'!$B:$B,Y$407
  )
  /Y413,
0)</f>
        <v>0</v>
      </c>
      <c r="Z445" s="36">
        <f>IFERROR(
  SUMIFS(
  'Asset Summary'!$E:$E,
  'Asset Summary'!$A:$A,$D445,
  'Asset Summary'!$B:$B,Z$407
  )
  /Z413,
0)</f>
        <v>0</v>
      </c>
      <c r="AA445" s="36">
        <f>IFERROR(
  SUMIFS(
  'Asset Summary'!$E:$E,
  'Asset Summary'!$A:$A,$D445,
  'Asset Summary'!$B:$B,AA$407
  )
  /AA413,
0)</f>
        <v>0</v>
      </c>
      <c r="AB445" s="36">
        <f>IFERROR(
  SUMIFS(
  'Asset Summary'!$E:$E,
  'Asset Summary'!$A:$A,$D445,
  'Asset Summary'!$B:$B,AB$407
  )
  /AB413,
0)</f>
        <v>0</v>
      </c>
      <c r="AC445" s="36">
        <f>IFERROR(
  SUMIFS(
  'Asset Summary'!$E:$E,
  'Asset Summary'!$A:$A,$D445,
  'Asset Summary'!$B:$B,AC$407
  )
  /AC413,
0)</f>
        <v>0</v>
      </c>
      <c r="AD445" s="36">
        <f>IFERROR(
  SUMIFS(
  'Asset Summary'!$E:$E,
  'Asset Summary'!$A:$A,$D445,
  'Asset Summary'!$B:$B,AD$407
  )
  /AD413,
0)</f>
        <v>1</v>
      </c>
      <c r="AH445" s="34" t="s">
        <v>422</v>
      </c>
    </row>
    <row r="446" spans="4:34" outlineLevel="1" x14ac:dyDescent="0.2">
      <c r="D446" s="8" t="s">
        <v>263</v>
      </c>
      <c r="E446" s="36">
        <f>IFERROR(
  SUMIFS(
  'Asset Summary'!$E:$E,
  'Asset Summary'!$A:$A,$D446,
  'Asset Summary'!$B:$B,E$407
  )
  /E414,
0)</f>
        <v>0</v>
      </c>
      <c r="F446" s="36">
        <f>IFERROR(
  SUMIFS(
  'Asset Summary'!$E:$E,
  'Asset Summary'!$A:$A,$D446,
  'Asset Summary'!$B:$B,F$407
  )
  /F414,
0)</f>
        <v>0</v>
      </c>
      <c r="G446" s="36">
        <f>IFERROR(
  SUMIFS(
  'Asset Summary'!$E:$E,
  'Asset Summary'!$A:$A,$D446,
  'Asset Summary'!$B:$B,G$407
  )
  /G414,
0)</f>
        <v>0</v>
      </c>
      <c r="H446" s="36">
        <f>IFERROR(
  SUMIFS(
  'Asset Summary'!$E:$E,
  'Asset Summary'!$A:$A,$D446,
  'Asset Summary'!$B:$B,H$407
  )
  /H414,
0)</f>
        <v>0</v>
      </c>
      <c r="I446" s="36">
        <f>IFERROR(
  SUMIFS(
  'Asset Summary'!$E:$E,
  'Asset Summary'!$A:$A,$D446,
  'Asset Summary'!$B:$B,I$407
  )
  /I414,
0)</f>
        <v>0</v>
      </c>
      <c r="J446" s="36">
        <f>IFERROR(
  SUMIFS(
  'Asset Summary'!$E:$E,
  'Asset Summary'!$A:$A,$D446,
  'Asset Summary'!$B:$B,J$407
  )
  /J414,
0)</f>
        <v>0</v>
      </c>
      <c r="K446" s="36">
        <f>IFERROR(
  SUMIFS(
  'Asset Summary'!$E:$E,
  'Asset Summary'!$A:$A,$D446,
  'Asset Summary'!$B:$B,K$407
  )
  /K414,
0)</f>
        <v>0</v>
      </c>
      <c r="L446" s="36">
        <f>IFERROR(
  SUMIFS(
  'Asset Summary'!$E:$E,
  'Asset Summary'!$A:$A,$D446,
  'Asset Summary'!$B:$B,L$407
  )
  /L414,
0)</f>
        <v>0</v>
      </c>
      <c r="M446" s="36">
        <f>IFERROR(
  SUMIFS(
  'Asset Summary'!$E:$E,
  'Asset Summary'!$A:$A,$D446,
  'Asset Summary'!$B:$B,M$407
  )
  /M414,
0)</f>
        <v>0</v>
      </c>
      <c r="N446" s="36">
        <f>IFERROR(
  SUMIFS(
  'Asset Summary'!$E:$E,
  'Asset Summary'!$A:$A,$D446,
  'Asset Summary'!$B:$B,N$407
  )
  /N414,
0)</f>
        <v>0</v>
      </c>
      <c r="O446" s="36">
        <f>IFERROR(
  SUMIFS(
  'Asset Summary'!$E:$E,
  'Asset Summary'!$A:$A,$D446,
  'Asset Summary'!$B:$B,O$407
  )
  /O414,
0)</f>
        <v>0</v>
      </c>
      <c r="P446" s="36">
        <f>IFERROR(
  SUMIFS(
  'Asset Summary'!$E:$E,
  'Asset Summary'!$A:$A,$D446,
  'Asset Summary'!$B:$B,P$407
  )
  /P414,
0)</f>
        <v>0</v>
      </c>
      <c r="Q446" s="36">
        <f>IFERROR(
  SUMIFS(
  'Asset Summary'!$E:$E,
  'Asset Summary'!$A:$A,$D446,
  'Asset Summary'!$B:$B,Q$407
  )
  /Q414,
0)</f>
        <v>0</v>
      </c>
      <c r="R446" s="36">
        <f>IFERROR(
  SUMIFS(
  'Asset Summary'!$E:$E,
  'Asset Summary'!$A:$A,$D446,
  'Asset Summary'!$B:$B,R$407
  )
  /R414,
0)</f>
        <v>0</v>
      </c>
      <c r="S446" s="36">
        <f>IFERROR(
  SUMIFS(
  'Asset Summary'!$E:$E,
  'Asset Summary'!$A:$A,$D446,
  'Asset Summary'!$B:$B,S$407
  )
  /S414,
0)</f>
        <v>0</v>
      </c>
      <c r="T446" s="36">
        <f>IFERROR(
  SUMIFS(
  'Asset Summary'!$E:$E,
  'Asset Summary'!$A:$A,$D446,
  'Asset Summary'!$B:$B,T$407
  )
  /T414,
0)</f>
        <v>0</v>
      </c>
      <c r="U446" s="36">
        <f>IFERROR(
  SUMIFS(
  'Asset Summary'!$E:$E,
  'Asset Summary'!$A:$A,$D446,
  'Asset Summary'!$B:$B,U$407
  )
  /U414,
0)</f>
        <v>0</v>
      </c>
      <c r="V446" s="36">
        <f>IFERROR(
  SUMIFS(
  'Asset Summary'!$E:$E,
  'Asset Summary'!$A:$A,$D446,
  'Asset Summary'!$B:$B,V$407
  )
  /V414,
0)</f>
        <v>0</v>
      </c>
      <c r="W446" s="36">
        <f>IFERROR(
  SUMIFS(
  'Asset Summary'!$E:$E,
  'Asset Summary'!$A:$A,$D446,
  'Asset Summary'!$B:$B,W$407
  )
  /W414,
0)</f>
        <v>0</v>
      </c>
      <c r="X446" s="36">
        <f>IFERROR(
  SUMIFS(
  'Asset Summary'!$E:$E,
  'Asset Summary'!$A:$A,$D446,
  'Asset Summary'!$B:$B,X$407
  )
  /X414,
0)</f>
        <v>0</v>
      </c>
      <c r="Y446" s="36">
        <f>IFERROR(
  SUMIFS(
  'Asset Summary'!$E:$E,
  'Asset Summary'!$A:$A,$D446,
  'Asset Summary'!$B:$B,Y$407
  )
  /Y414,
0)</f>
        <v>0</v>
      </c>
      <c r="Z446" s="36">
        <f>IFERROR(
  SUMIFS(
  'Asset Summary'!$E:$E,
  'Asset Summary'!$A:$A,$D446,
  'Asset Summary'!$B:$B,Z$407
  )
  /Z414,
0)</f>
        <v>0</v>
      </c>
      <c r="AA446" s="36">
        <f>IFERROR(
  SUMIFS(
  'Asset Summary'!$E:$E,
  'Asset Summary'!$A:$A,$D446,
  'Asset Summary'!$B:$B,AA$407
  )
  /AA414,
0)</f>
        <v>0</v>
      </c>
      <c r="AB446" s="36">
        <f>IFERROR(
  SUMIFS(
  'Asset Summary'!$E:$E,
  'Asset Summary'!$A:$A,$D446,
  'Asset Summary'!$B:$B,AB$407
  )
  /AB414,
0)</f>
        <v>0</v>
      </c>
      <c r="AC446" s="36">
        <f>IFERROR(
  SUMIFS(
  'Asset Summary'!$E:$E,
  'Asset Summary'!$A:$A,$D446,
  'Asset Summary'!$B:$B,AC$407
  )
  /AC414,
0)</f>
        <v>0</v>
      </c>
      <c r="AD446" s="36">
        <f>IFERROR(
  SUMIFS(
  'Asset Summary'!$E:$E,
  'Asset Summary'!$A:$A,$D446,
  'Asset Summary'!$B:$B,AD$407
  )
  /AD414,
0)</f>
        <v>0</v>
      </c>
      <c r="AH446" s="34" t="s">
        <v>422</v>
      </c>
    </row>
    <row r="447" spans="4:34" outlineLevel="1" x14ac:dyDescent="0.2">
      <c r="D447" s="8" t="s">
        <v>264</v>
      </c>
      <c r="E447" s="36">
        <f>IFERROR(
  SUMIFS(
  'Asset Summary'!$E:$E,
  'Asset Summary'!$A:$A,$D447,
  'Asset Summary'!$B:$B,E$407
  )
  /E415,
0)</f>
        <v>0</v>
      </c>
      <c r="F447" s="36">
        <f>IFERROR(
  SUMIFS(
  'Asset Summary'!$E:$E,
  'Asset Summary'!$A:$A,$D447,
  'Asset Summary'!$B:$B,F$407
  )
  /F415,
0)</f>
        <v>0</v>
      </c>
      <c r="G447" s="36">
        <f>IFERROR(
  SUMIFS(
  'Asset Summary'!$E:$E,
  'Asset Summary'!$A:$A,$D447,
  'Asset Summary'!$B:$B,G$407
  )
  /G415,
0)</f>
        <v>0</v>
      </c>
      <c r="H447" s="36">
        <f>IFERROR(
  SUMIFS(
  'Asset Summary'!$E:$E,
  'Asset Summary'!$A:$A,$D447,
  'Asset Summary'!$B:$B,H$407
  )
  /H415,
0)</f>
        <v>0</v>
      </c>
      <c r="I447" s="36">
        <f>IFERROR(
  SUMIFS(
  'Asset Summary'!$E:$E,
  'Asset Summary'!$A:$A,$D447,
  'Asset Summary'!$B:$B,I$407
  )
  /I415,
0)</f>
        <v>0</v>
      </c>
      <c r="J447" s="36">
        <f>IFERROR(
  SUMIFS(
  'Asset Summary'!$E:$E,
  'Asset Summary'!$A:$A,$D447,
  'Asset Summary'!$B:$B,J$407
  )
  /J415,
0)</f>
        <v>0</v>
      </c>
      <c r="K447" s="36">
        <f>IFERROR(
  SUMIFS(
  'Asset Summary'!$E:$E,
  'Asset Summary'!$A:$A,$D447,
  'Asset Summary'!$B:$B,K$407
  )
  /K415,
0)</f>
        <v>0</v>
      </c>
      <c r="L447" s="36">
        <f>IFERROR(
  SUMIFS(
  'Asset Summary'!$E:$E,
  'Asset Summary'!$A:$A,$D447,
  'Asset Summary'!$B:$B,L$407
  )
  /L415,
0)</f>
        <v>0</v>
      </c>
      <c r="M447" s="36">
        <f>IFERROR(
  SUMIFS(
  'Asset Summary'!$E:$E,
  'Asset Summary'!$A:$A,$D447,
  'Asset Summary'!$B:$B,M$407
  )
  /M415,
0)</f>
        <v>0</v>
      </c>
      <c r="N447" s="36">
        <f>IFERROR(
  SUMIFS(
  'Asset Summary'!$E:$E,
  'Asset Summary'!$A:$A,$D447,
  'Asset Summary'!$B:$B,N$407
  )
  /N415,
0)</f>
        <v>0</v>
      </c>
      <c r="O447" s="36">
        <f>IFERROR(
  SUMIFS(
  'Asset Summary'!$E:$E,
  'Asset Summary'!$A:$A,$D447,
  'Asset Summary'!$B:$B,O$407
  )
  /O415,
0)</f>
        <v>0</v>
      </c>
      <c r="P447" s="36">
        <f>IFERROR(
  SUMIFS(
  'Asset Summary'!$E:$E,
  'Asset Summary'!$A:$A,$D447,
  'Asset Summary'!$B:$B,P$407
  )
  /P415,
0)</f>
        <v>0</v>
      </c>
      <c r="Q447" s="36">
        <f>IFERROR(
  SUMIFS(
  'Asset Summary'!$E:$E,
  'Asset Summary'!$A:$A,$D447,
  'Asset Summary'!$B:$B,Q$407
  )
  /Q415,
0)</f>
        <v>0</v>
      </c>
      <c r="R447" s="36">
        <f>IFERROR(
  SUMIFS(
  'Asset Summary'!$E:$E,
  'Asset Summary'!$A:$A,$D447,
  'Asset Summary'!$B:$B,R$407
  )
  /R415,
0)</f>
        <v>0</v>
      </c>
      <c r="S447" s="36">
        <f>IFERROR(
  SUMIFS(
  'Asset Summary'!$E:$E,
  'Asset Summary'!$A:$A,$D447,
  'Asset Summary'!$B:$B,S$407
  )
  /S415,
0)</f>
        <v>0</v>
      </c>
      <c r="T447" s="36">
        <f>IFERROR(
  SUMIFS(
  'Asset Summary'!$E:$E,
  'Asset Summary'!$A:$A,$D447,
  'Asset Summary'!$B:$B,T$407
  )
  /T415,
0)</f>
        <v>0</v>
      </c>
      <c r="U447" s="36">
        <f>IFERROR(
  SUMIFS(
  'Asset Summary'!$E:$E,
  'Asset Summary'!$A:$A,$D447,
  'Asset Summary'!$B:$B,U$407
  )
  /U415,
0)</f>
        <v>0</v>
      </c>
      <c r="V447" s="36">
        <f>IFERROR(
  SUMIFS(
  'Asset Summary'!$E:$E,
  'Asset Summary'!$A:$A,$D447,
  'Asset Summary'!$B:$B,V$407
  )
  /V415,
0)</f>
        <v>0</v>
      </c>
      <c r="W447" s="36">
        <f>IFERROR(
  SUMIFS(
  'Asset Summary'!$E:$E,
  'Asset Summary'!$A:$A,$D447,
  'Asset Summary'!$B:$B,W$407
  )
  /W415,
0)</f>
        <v>0</v>
      </c>
      <c r="X447" s="36">
        <f>IFERROR(
  SUMIFS(
  'Asset Summary'!$E:$E,
  'Asset Summary'!$A:$A,$D447,
  'Asset Summary'!$B:$B,X$407
  )
  /X415,
0)</f>
        <v>0</v>
      </c>
      <c r="Y447" s="36">
        <f>IFERROR(
  SUMIFS(
  'Asset Summary'!$E:$E,
  'Asset Summary'!$A:$A,$D447,
  'Asset Summary'!$B:$B,Y$407
  )
  /Y415,
0)</f>
        <v>0</v>
      </c>
      <c r="Z447" s="36">
        <f>IFERROR(
  SUMIFS(
  'Asset Summary'!$E:$E,
  'Asset Summary'!$A:$A,$D447,
  'Asset Summary'!$B:$B,Z$407
  )
  /Z415,
0)</f>
        <v>0</v>
      </c>
      <c r="AA447" s="36">
        <f>IFERROR(
  SUMIFS(
  'Asset Summary'!$E:$E,
  'Asset Summary'!$A:$A,$D447,
  'Asset Summary'!$B:$B,AA$407
  )
  /AA415,
0)</f>
        <v>0</v>
      </c>
      <c r="AB447" s="36">
        <f>IFERROR(
  SUMIFS(
  'Asset Summary'!$E:$E,
  'Asset Summary'!$A:$A,$D447,
  'Asset Summary'!$B:$B,AB$407
  )
  /AB415,
0)</f>
        <v>0</v>
      </c>
      <c r="AC447" s="36">
        <f>IFERROR(
  SUMIFS(
  'Asset Summary'!$E:$E,
  'Asset Summary'!$A:$A,$D447,
  'Asset Summary'!$B:$B,AC$407
  )
  /AC415,
0)</f>
        <v>0</v>
      </c>
      <c r="AD447" s="36">
        <f>IFERROR(
  SUMIFS(
  'Asset Summary'!$E:$E,
  'Asset Summary'!$A:$A,$D447,
  'Asset Summary'!$B:$B,AD$407
  )
  /AD415,
0)</f>
        <v>0</v>
      </c>
      <c r="AH447" s="34" t="s">
        <v>422</v>
      </c>
    </row>
    <row r="448" spans="4:34" outlineLevel="1" x14ac:dyDescent="0.2">
      <c r="D448" s="8" t="s">
        <v>265</v>
      </c>
      <c r="E448" s="36">
        <f>IFERROR(
  SUMIFS(
  'Asset Summary'!$E:$E,
  'Asset Summary'!$A:$A,$D448,
  'Asset Summary'!$B:$B,E$407
  )
  /E416,
0)</f>
        <v>0</v>
      </c>
      <c r="F448" s="36">
        <f>IFERROR(
  SUMIFS(
  'Asset Summary'!$E:$E,
  'Asset Summary'!$A:$A,$D448,
  'Asset Summary'!$B:$B,F$407
  )
  /F416,
0)</f>
        <v>0</v>
      </c>
      <c r="G448" s="36">
        <f>IFERROR(
  SUMIFS(
  'Asset Summary'!$E:$E,
  'Asset Summary'!$A:$A,$D448,
  'Asset Summary'!$B:$B,G$407
  )
  /G416,
0)</f>
        <v>0</v>
      </c>
      <c r="H448" s="36">
        <f>IFERROR(
  SUMIFS(
  'Asset Summary'!$E:$E,
  'Asset Summary'!$A:$A,$D448,
  'Asset Summary'!$B:$B,H$407
  )
  /H416,
0)</f>
        <v>0</v>
      </c>
      <c r="I448" s="36">
        <f>IFERROR(
  SUMIFS(
  'Asset Summary'!$E:$E,
  'Asset Summary'!$A:$A,$D448,
  'Asset Summary'!$B:$B,I$407
  )
  /I416,
0)</f>
        <v>0</v>
      </c>
      <c r="J448" s="36">
        <f>IFERROR(
  SUMIFS(
  'Asset Summary'!$E:$E,
  'Asset Summary'!$A:$A,$D448,
  'Asset Summary'!$B:$B,J$407
  )
  /J416,
0)</f>
        <v>0</v>
      </c>
      <c r="K448" s="36">
        <f>IFERROR(
  SUMIFS(
  'Asset Summary'!$E:$E,
  'Asset Summary'!$A:$A,$D448,
  'Asset Summary'!$B:$B,K$407
  )
  /K416,
0)</f>
        <v>0</v>
      </c>
      <c r="L448" s="36">
        <f>IFERROR(
  SUMIFS(
  'Asset Summary'!$E:$E,
  'Asset Summary'!$A:$A,$D448,
  'Asset Summary'!$B:$B,L$407
  )
  /L416,
0)</f>
        <v>0</v>
      </c>
      <c r="M448" s="36">
        <f>IFERROR(
  SUMIFS(
  'Asset Summary'!$E:$E,
  'Asset Summary'!$A:$A,$D448,
  'Asset Summary'!$B:$B,M$407
  )
  /M416,
0)</f>
        <v>0</v>
      </c>
      <c r="N448" s="36">
        <f>IFERROR(
  SUMIFS(
  'Asset Summary'!$E:$E,
  'Asset Summary'!$A:$A,$D448,
  'Asset Summary'!$B:$B,N$407
  )
  /N416,
0)</f>
        <v>0</v>
      </c>
      <c r="O448" s="36">
        <f>IFERROR(
  SUMIFS(
  'Asset Summary'!$E:$E,
  'Asset Summary'!$A:$A,$D448,
  'Asset Summary'!$B:$B,O$407
  )
  /O416,
0)</f>
        <v>0</v>
      </c>
      <c r="P448" s="36">
        <f>IFERROR(
  SUMIFS(
  'Asset Summary'!$E:$E,
  'Asset Summary'!$A:$A,$D448,
  'Asset Summary'!$B:$B,P$407
  )
  /P416,
0)</f>
        <v>0</v>
      </c>
      <c r="Q448" s="36">
        <f>IFERROR(
  SUMIFS(
  'Asset Summary'!$E:$E,
  'Asset Summary'!$A:$A,$D448,
  'Asset Summary'!$B:$B,Q$407
  )
  /Q416,
0)</f>
        <v>0</v>
      </c>
      <c r="R448" s="36">
        <f>IFERROR(
  SUMIFS(
  'Asset Summary'!$E:$E,
  'Asset Summary'!$A:$A,$D448,
  'Asset Summary'!$B:$B,R$407
  )
  /R416,
0)</f>
        <v>0</v>
      </c>
      <c r="S448" s="36">
        <f>IFERROR(
  SUMIFS(
  'Asset Summary'!$E:$E,
  'Asset Summary'!$A:$A,$D448,
  'Asset Summary'!$B:$B,S$407
  )
  /S416,
0)</f>
        <v>0</v>
      </c>
      <c r="T448" s="36">
        <f>IFERROR(
  SUMIFS(
  'Asset Summary'!$E:$E,
  'Asset Summary'!$A:$A,$D448,
  'Asset Summary'!$B:$B,T$407
  )
  /T416,
0)</f>
        <v>0</v>
      </c>
      <c r="U448" s="36">
        <f>IFERROR(
  SUMIFS(
  'Asset Summary'!$E:$E,
  'Asset Summary'!$A:$A,$D448,
  'Asset Summary'!$B:$B,U$407
  )
  /U416,
0)</f>
        <v>0</v>
      </c>
      <c r="V448" s="36">
        <f>IFERROR(
  SUMIFS(
  'Asset Summary'!$E:$E,
  'Asset Summary'!$A:$A,$D448,
  'Asset Summary'!$B:$B,V$407
  )
  /V416,
0)</f>
        <v>0</v>
      </c>
      <c r="W448" s="36">
        <f>IFERROR(
  SUMIFS(
  'Asset Summary'!$E:$E,
  'Asset Summary'!$A:$A,$D448,
  'Asset Summary'!$B:$B,W$407
  )
  /W416,
0)</f>
        <v>0</v>
      </c>
      <c r="X448" s="36">
        <f>IFERROR(
  SUMIFS(
  'Asset Summary'!$E:$E,
  'Asset Summary'!$A:$A,$D448,
  'Asset Summary'!$B:$B,X$407
  )
  /X416,
0)</f>
        <v>0</v>
      </c>
      <c r="Y448" s="36">
        <f>IFERROR(
  SUMIFS(
  'Asset Summary'!$E:$E,
  'Asset Summary'!$A:$A,$D448,
  'Asset Summary'!$B:$B,Y$407
  )
  /Y416,
0)</f>
        <v>0</v>
      </c>
      <c r="Z448" s="36">
        <f>IFERROR(
  SUMIFS(
  'Asset Summary'!$E:$E,
  'Asset Summary'!$A:$A,$D448,
  'Asset Summary'!$B:$B,Z$407
  )
  /Z416,
0)</f>
        <v>0</v>
      </c>
      <c r="AA448" s="36">
        <f>IFERROR(
  SUMIFS(
  'Asset Summary'!$E:$E,
  'Asset Summary'!$A:$A,$D448,
  'Asset Summary'!$B:$B,AA$407
  )
  /AA416,
0)</f>
        <v>0</v>
      </c>
      <c r="AB448" s="36">
        <f>IFERROR(
  SUMIFS(
  'Asset Summary'!$E:$E,
  'Asset Summary'!$A:$A,$D448,
  'Asset Summary'!$B:$B,AB$407
  )
  /AB416,
0)</f>
        <v>0</v>
      </c>
      <c r="AC448" s="36">
        <f>IFERROR(
  SUMIFS(
  'Asset Summary'!$E:$E,
  'Asset Summary'!$A:$A,$D448,
  'Asset Summary'!$B:$B,AC$407
  )
  /AC416,
0)</f>
        <v>0</v>
      </c>
      <c r="AD448" s="36">
        <f>IFERROR(
  SUMIFS(
  'Asset Summary'!$E:$E,
  'Asset Summary'!$A:$A,$D448,
  'Asset Summary'!$B:$B,AD$407
  )
  /AD416,
0)</f>
        <v>0</v>
      </c>
      <c r="AH448" s="34" t="s">
        <v>422</v>
      </c>
    </row>
    <row r="449" spans="4:34" outlineLevel="1" x14ac:dyDescent="0.2">
      <c r="D449" s="8" t="s">
        <v>266</v>
      </c>
      <c r="E449" s="36">
        <f>IFERROR(
  SUMIFS(
  'Asset Summary'!$E:$E,
  'Asset Summary'!$A:$A,$D449,
  'Asset Summary'!$B:$B,E$407
  )
  /E417,
0)</f>
        <v>0</v>
      </c>
      <c r="F449" s="36">
        <f>IFERROR(
  SUMIFS(
  'Asset Summary'!$E:$E,
  'Asset Summary'!$A:$A,$D449,
  'Asset Summary'!$B:$B,F$407
  )
  /F417,
0)</f>
        <v>0</v>
      </c>
      <c r="G449" s="36">
        <f>IFERROR(
  SUMIFS(
  'Asset Summary'!$E:$E,
  'Asset Summary'!$A:$A,$D449,
  'Asset Summary'!$B:$B,G$407
  )
  /G417,
0)</f>
        <v>0</v>
      </c>
      <c r="H449" s="36">
        <f>IFERROR(
  SUMIFS(
  'Asset Summary'!$E:$E,
  'Asset Summary'!$A:$A,$D449,
  'Asset Summary'!$B:$B,H$407
  )
  /H417,
0)</f>
        <v>0</v>
      </c>
      <c r="I449" s="36">
        <f>IFERROR(
  SUMIFS(
  'Asset Summary'!$E:$E,
  'Asset Summary'!$A:$A,$D449,
  'Asset Summary'!$B:$B,I$407
  )
  /I417,
0)</f>
        <v>0</v>
      </c>
      <c r="J449" s="36">
        <f>IFERROR(
  SUMIFS(
  'Asset Summary'!$E:$E,
  'Asset Summary'!$A:$A,$D449,
  'Asset Summary'!$B:$B,J$407
  )
  /J417,
0)</f>
        <v>0</v>
      </c>
      <c r="K449" s="36">
        <f>IFERROR(
  SUMIFS(
  'Asset Summary'!$E:$E,
  'Asset Summary'!$A:$A,$D449,
  'Asset Summary'!$B:$B,K$407
  )
  /K417,
0)</f>
        <v>0</v>
      </c>
      <c r="L449" s="36">
        <f>IFERROR(
  SUMIFS(
  'Asset Summary'!$E:$E,
  'Asset Summary'!$A:$A,$D449,
  'Asset Summary'!$B:$B,L$407
  )
  /L417,
0)</f>
        <v>0</v>
      </c>
      <c r="M449" s="36">
        <f>IFERROR(
  SUMIFS(
  'Asset Summary'!$E:$E,
  'Asset Summary'!$A:$A,$D449,
  'Asset Summary'!$B:$B,M$407
  )
  /M417,
0)</f>
        <v>0</v>
      </c>
      <c r="N449" s="36">
        <f>IFERROR(
  SUMIFS(
  'Asset Summary'!$E:$E,
  'Asset Summary'!$A:$A,$D449,
  'Asset Summary'!$B:$B,N$407
  )
  /N417,
0)</f>
        <v>0</v>
      </c>
      <c r="O449" s="36">
        <f>IFERROR(
  SUMIFS(
  'Asset Summary'!$E:$E,
  'Asset Summary'!$A:$A,$D449,
  'Asset Summary'!$B:$B,O$407
  )
  /O417,
0)</f>
        <v>0</v>
      </c>
      <c r="P449" s="36">
        <f>IFERROR(
  SUMIFS(
  'Asset Summary'!$E:$E,
  'Asset Summary'!$A:$A,$D449,
  'Asset Summary'!$B:$B,P$407
  )
  /P417,
0)</f>
        <v>0</v>
      </c>
      <c r="Q449" s="36">
        <f>IFERROR(
  SUMIFS(
  'Asset Summary'!$E:$E,
  'Asset Summary'!$A:$A,$D449,
  'Asset Summary'!$B:$B,Q$407
  )
  /Q417,
0)</f>
        <v>0</v>
      </c>
      <c r="R449" s="36">
        <f>IFERROR(
  SUMIFS(
  'Asset Summary'!$E:$E,
  'Asset Summary'!$A:$A,$D449,
  'Asset Summary'!$B:$B,R$407
  )
  /R417,
0)</f>
        <v>0</v>
      </c>
      <c r="S449" s="36">
        <f>IFERROR(
  SUMIFS(
  'Asset Summary'!$E:$E,
  'Asset Summary'!$A:$A,$D449,
  'Asset Summary'!$B:$B,S$407
  )
  /S417,
0)</f>
        <v>0</v>
      </c>
      <c r="T449" s="36">
        <f>IFERROR(
  SUMIFS(
  'Asset Summary'!$E:$E,
  'Asset Summary'!$A:$A,$D449,
  'Asset Summary'!$B:$B,T$407
  )
  /T417,
0)</f>
        <v>0</v>
      </c>
      <c r="U449" s="36">
        <f>IFERROR(
  SUMIFS(
  'Asset Summary'!$E:$E,
  'Asset Summary'!$A:$A,$D449,
  'Asset Summary'!$B:$B,U$407
  )
  /U417,
0)</f>
        <v>0</v>
      </c>
      <c r="V449" s="36">
        <f>IFERROR(
  SUMIFS(
  'Asset Summary'!$E:$E,
  'Asset Summary'!$A:$A,$D449,
  'Asset Summary'!$B:$B,V$407
  )
  /V417,
0)</f>
        <v>0</v>
      </c>
      <c r="W449" s="36">
        <f>IFERROR(
  SUMIFS(
  'Asset Summary'!$E:$E,
  'Asset Summary'!$A:$A,$D449,
  'Asset Summary'!$B:$B,W$407
  )
  /W417,
0)</f>
        <v>0</v>
      </c>
      <c r="X449" s="36">
        <f>IFERROR(
  SUMIFS(
  'Asset Summary'!$E:$E,
  'Asset Summary'!$A:$A,$D449,
  'Asset Summary'!$B:$B,X$407
  )
  /X417,
0)</f>
        <v>0</v>
      </c>
      <c r="Y449" s="36">
        <f>IFERROR(
  SUMIFS(
  'Asset Summary'!$E:$E,
  'Asset Summary'!$A:$A,$D449,
  'Asset Summary'!$B:$B,Y$407
  )
  /Y417,
0)</f>
        <v>0</v>
      </c>
      <c r="Z449" s="36">
        <f>IFERROR(
  SUMIFS(
  'Asset Summary'!$E:$E,
  'Asset Summary'!$A:$A,$D449,
  'Asset Summary'!$B:$B,Z$407
  )
  /Z417,
0)</f>
        <v>0</v>
      </c>
      <c r="AA449" s="36">
        <f>IFERROR(
  SUMIFS(
  'Asset Summary'!$E:$E,
  'Asset Summary'!$A:$A,$D449,
  'Asset Summary'!$B:$B,AA$407
  )
  /AA417,
0)</f>
        <v>0</v>
      </c>
      <c r="AB449" s="36">
        <f>IFERROR(
  SUMIFS(
  'Asset Summary'!$E:$E,
  'Asset Summary'!$A:$A,$D449,
  'Asset Summary'!$B:$B,AB$407
  )
  /AB417,
0)</f>
        <v>0</v>
      </c>
      <c r="AC449" s="36">
        <f>IFERROR(
  SUMIFS(
  'Asset Summary'!$E:$E,
  'Asset Summary'!$A:$A,$D449,
  'Asset Summary'!$B:$B,AC$407
  )
  /AC417,
0)</f>
        <v>0</v>
      </c>
      <c r="AD449" s="36">
        <f>IFERROR(
  SUMIFS(
  'Asset Summary'!$E:$E,
  'Asset Summary'!$A:$A,$D449,
  'Asset Summary'!$B:$B,AD$407
  )
  /AD417,
0)</f>
        <v>0</v>
      </c>
      <c r="AH449" s="34" t="s">
        <v>422</v>
      </c>
    </row>
    <row r="450" spans="4:34" outlineLevel="1" x14ac:dyDescent="0.2">
      <c r="D450" s="8" t="s">
        <v>267</v>
      </c>
      <c r="E450" s="36">
        <f>IFERROR(
  SUMIFS(
  'Asset Summary'!$E:$E,
  'Asset Summary'!$A:$A,$D450,
  'Asset Summary'!$B:$B,E$407
  )
  /E418,
0)</f>
        <v>0</v>
      </c>
      <c r="F450" s="36">
        <f>IFERROR(
  SUMIFS(
  'Asset Summary'!$E:$E,
  'Asset Summary'!$A:$A,$D450,
  'Asset Summary'!$B:$B,F$407
  )
  /F418,
0)</f>
        <v>0</v>
      </c>
      <c r="G450" s="36">
        <f>IFERROR(
  SUMIFS(
  'Asset Summary'!$E:$E,
  'Asset Summary'!$A:$A,$D450,
  'Asset Summary'!$B:$B,G$407
  )
  /G418,
0)</f>
        <v>0</v>
      </c>
      <c r="H450" s="36">
        <f>IFERROR(
  SUMIFS(
  'Asset Summary'!$E:$E,
  'Asset Summary'!$A:$A,$D450,
  'Asset Summary'!$B:$B,H$407
  )
  /H418,
0)</f>
        <v>0</v>
      </c>
      <c r="I450" s="36">
        <f>IFERROR(
  SUMIFS(
  'Asset Summary'!$E:$E,
  'Asset Summary'!$A:$A,$D450,
  'Asset Summary'!$B:$B,I$407
  )
  /I418,
0)</f>
        <v>0</v>
      </c>
      <c r="J450" s="36">
        <f>IFERROR(
  SUMIFS(
  'Asset Summary'!$E:$E,
  'Asset Summary'!$A:$A,$D450,
  'Asset Summary'!$B:$B,J$407
  )
  /J418,
0)</f>
        <v>0</v>
      </c>
      <c r="K450" s="36">
        <f>IFERROR(
  SUMIFS(
  'Asset Summary'!$E:$E,
  'Asset Summary'!$A:$A,$D450,
  'Asset Summary'!$B:$B,K$407
  )
  /K418,
0)</f>
        <v>0</v>
      </c>
      <c r="L450" s="36">
        <f>IFERROR(
  SUMIFS(
  'Asset Summary'!$E:$E,
  'Asset Summary'!$A:$A,$D450,
  'Asset Summary'!$B:$B,L$407
  )
  /L418,
0)</f>
        <v>0</v>
      </c>
      <c r="M450" s="36">
        <f>IFERROR(
  SUMIFS(
  'Asset Summary'!$E:$E,
  'Asset Summary'!$A:$A,$D450,
  'Asset Summary'!$B:$B,M$407
  )
  /M418,
0)</f>
        <v>0</v>
      </c>
      <c r="N450" s="36">
        <f>IFERROR(
  SUMIFS(
  'Asset Summary'!$E:$E,
  'Asset Summary'!$A:$A,$D450,
  'Asset Summary'!$B:$B,N$407
  )
  /N418,
0)</f>
        <v>0</v>
      </c>
      <c r="O450" s="36">
        <f>IFERROR(
  SUMIFS(
  'Asset Summary'!$E:$E,
  'Asset Summary'!$A:$A,$D450,
  'Asset Summary'!$B:$B,O$407
  )
  /O418,
0)</f>
        <v>0</v>
      </c>
      <c r="P450" s="36">
        <f>IFERROR(
  SUMIFS(
  'Asset Summary'!$E:$E,
  'Asset Summary'!$A:$A,$D450,
  'Asset Summary'!$B:$B,P$407
  )
  /P418,
0)</f>
        <v>0</v>
      </c>
      <c r="Q450" s="36">
        <f>IFERROR(
  SUMIFS(
  'Asset Summary'!$E:$E,
  'Asset Summary'!$A:$A,$D450,
  'Asset Summary'!$B:$B,Q$407
  )
  /Q418,
0)</f>
        <v>0</v>
      </c>
      <c r="R450" s="36">
        <f>IFERROR(
  SUMIFS(
  'Asset Summary'!$E:$E,
  'Asset Summary'!$A:$A,$D450,
  'Asset Summary'!$B:$B,R$407
  )
  /R418,
0)</f>
        <v>0</v>
      </c>
      <c r="S450" s="36">
        <f>IFERROR(
  SUMIFS(
  'Asset Summary'!$E:$E,
  'Asset Summary'!$A:$A,$D450,
  'Asset Summary'!$B:$B,S$407
  )
  /S418,
0)</f>
        <v>0</v>
      </c>
      <c r="T450" s="36">
        <f>IFERROR(
  SUMIFS(
  'Asset Summary'!$E:$E,
  'Asset Summary'!$A:$A,$D450,
  'Asset Summary'!$B:$B,T$407
  )
  /T418,
0)</f>
        <v>0</v>
      </c>
      <c r="U450" s="36">
        <f>IFERROR(
  SUMIFS(
  'Asset Summary'!$E:$E,
  'Asset Summary'!$A:$A,$D450,
  'Asset Summary'!$B:$B,U$407
  )
  /U418,
0)</f>
        <v>0</v>
      </c>
      <c r="V450" s="36">
        <f>IFERROR(
  SUMIFS(
  'Asset Summary'!$E:$E,
  'Asset Summary'!$A:$A,$D450,
  'Asset Summary'!$B:$B,V$407
  )
  /V418,
0)</f>
        <v>0</v>
      </c>
      <c r="W450" s="36">
        <f>IFERROR(
  SUMIFS(
  'Asset Summary'!$E:$E,
  'Asset Summary'!$A:$A,$D450,
  'Asset Summary'!$B:$B,W$407
  )
  /W418,
0)</f>
        <v>0</v>
      </c>
      <c r="X450" s="36">
        <f>IFERROR(
  SUMIFS(
  'Asset Summary'!$E:$E,
  'Asset Summary'!$A:$A,$D450,
  'Asset Summary'!$B:$B,X$407
  )
  /X418,
0)</f>
        <v>0</v>
      </c>
      <c r="Y450" s="36">
        <f>IFERROR(
  SUMIFS(
  'Asset Summary'!$E:$E,
  'Asset Summary'!$A:$A,$D450,
  'Asset Summary'!$B:$B,Y$407
  )
  /Y418,
0)</f>
        <v>0</v>
      </c>
      <c r="Z450" s="36">
        <f>IFERROR(
  SUMIFS(
  'Asset Summary'!$E:$E,
  'Asset Summary'!$A:$A,$D450,
  'Asset Summary'!$B:$B,Z$407
  )
  /Z418,
0)</f>
        <v>0</v>
      </c>
      <c r="AA450" s="36">
        <f>IFERROR(
  SUMIFS(
  'Asset Summary'!$E:$E,
  'Asset Summary'!$A:$A,$D450,
  'Asset Summary'!$B:$B,AA$407
  )
  /AA418,
0)</f>
        <v>0</v>
      </c>
      <c r="AB450" s="36">
        <f>IFERROR(
  SUMIFS(
  'Asset Summary'!$E:$E,
  'Asset Summary'!$A:$A,$D450,
  'Asset Summary'!$B:$B,AB$407
  )
  /AB418,
0)</f>
        <v>0</v>
      </c>
      <c r="AC450" s="36">
        <f>IFERROR(
  SUMIFS(
  'Asset Summary'!$E:$E,
  'Asset Summary'!$A:$A,$D450,
  'Asset Summary'!$B:$B,AC$407
  )
  /AC418,
0)</f>
        <v>0</v>
      </c>
      <c r="AD450" s="36">
        <f>IFERROR(
  SUMIFS(
  'Asset Summary'!$E:$E,
  'Asset Summary'!$A:$A,$D450,
  'Asset Summary'!$B:$B,AD$407
  )
  /AD418,
0)</f>
        <v>0</v>
      </c>
      <c r="AH450" s="34" t="s">
        <v>422</v>
      </c>
    </row>
    <row r="451" spans="4:34" outlineLevel="1" x14ac:dyDescent="0.2">
      <c r="D451" s="8" t="s">
        <v>268</v>
      </c>
      <c r="E451" s="36">
        <f>IFERROR(
  SUMIFS(
  'Asset Summary'!$E:$E,
  'Asset Summary'!$A:$A,$D451,
  'Asset Summary'!$B:$B,E$407
  )
  /E419,
0)</f>
        <v>0</v>
      </c>
      <c r="F451" s="36">
        <f>IFERROR(
  SUMIFS(
  'Asset Summary'!$E:$E,
  'Asset Summary'!$A:$A,$D451,
  'Asset Summary'!$B:$B,F$407
  )
  /F419,
0)</f>
        <v>0</v>
      </c>
      <c r="G451" s="36">
        <f>IFERROR(
  SUMIFS(
  'Asset Summary'!$E:$E,
  'Asset Summary'!$A:$A,$D451,
  'Asset Summary'!$B:$B,G$407
  )
  /G419,
0)</f>
        <v>0</v>
      </c>
      <c r="H451" s="36">
        <f>IFERROR(
  SUMIFS(
  'Asset Summary'!$E:$E,
  'Asset Summary'!$A:$A,$D451,
  'Asset Summary'!$B:$B,H$407
  )
  /H419,
0)</f>
        <v>0</v>
      </c>
      <c r="I451" s="36">
        <f>IFERROR(
  SUMIFS(
  'Asset Summary'!$E:$E,
  'Asset Summary'!$A:$A,$D451,
  'Asset Summary'!$B:$B,I$407
  )
  /I419,
0)</f>
        <v>0</v>
      </c>
      <c r="J451" s="36">
        <f>IFERROR(
  SUMIFS(
  'Asset Summary'!$E:$E,
  'Asset Summary'!$A:$A,$D451,
  'Asset Summary'!$B:$B,J$407
  )
  /J419,
0)</f>
        <v>0</v>
      </c>
      <c r="K451" s="36">
        <f>IFERROR(
  SUMIFS(
  'Asset Summary'!$E:$E,
  'Asset Summary'!$A:$A,$D451,
  'Asset Summary'!$B:$B,K$407
  )
  /K419,
0)</f>
        <v>0</v>
      </c>
      <c r="L451" s="36">
        <f>IFERROR(
  SUMIFS(
  'Asset Summary'!$E:$E,
  'Asset Summary'!$A:$A,$D451,
  'Asset Summary'!$B:$B,L$407
  )
  /L419,
0)</f>
        <v>0</v>
      </c>
      <c r="M451" s="36">
        <f>IFERROR(
  SUMIFS(
  'Asset Summary'!$E:$E,
  'Asset Summary'!$A:$A,$D451,
  'Asset Summary'!$B:$B,M$407
  )
  /M419,
0)</f>
        <v>0</v>
      </c>
      <c r="N451" s="36">
        <f>IFERROR(
  SUMIFS(
  'Asset Summary'!$E:$E,
  'Asset Summary'!$A:$A,$D451,
  'Asset Summary'!$B:$B,N$407
  )
  /N419,
0)</f>
        <v>0</v>
      </c>
      <c r="O451" s="36">
        <f>IFERROR(
  SUMIFS(
  'Asset Summary'!$E:$E,
  'Asset Summary'!$A:$A,$D451,
  'Asset Summary'!$B:$B,O$407
  )
  /O419,
0)</f>
        <v>0</v>
      </c>
      <c r="P451" s="36">
        <f>IFERROR(
  SUMIFS(
  'Asset Summary'!$E:$E,
  'Asset Summary'!$A:$A,$D451,
  'Asset Summary'!$B:$B,P$407
  )
  /P419,
0)</f>
        <v>0</v>
      </c>
      <c r="Q451" s="36">
        <f>IFERROR(
  SUMIFS(
  'Asset Summary'!$E:$E,
  'Asset Summary'!$A:$A,$D451,
  'Asset Summary'!$B:$B,Q$407
  )
  /Q419,
0)</f>
        <v>0</v>
      </c>
      <c r="R451" s="36">
        <f>IFERROR(
  SUMIFS(
  'Asset Summary'!$E:$E,
  'Asset Summary'!$A:$A,$D451,
  'Asset Summary'!$B:$B,R$407
  )
  /R419,
0)</f>
        <v>0</v>
      </c>
      <c r="S451" s="36">
        <f>IFERROR(
  SUMIFS(
  'Asset Summary'!$E:$E,
  'Asset Summary'!$A:$A,$D451,
  'Asset Summary'!$B:$B,S$407
  )
  /S419,
0)</f>
        <v>0</v>
      </c>
      <c r="T451" s="36">
        <f>IFERROR(
  SUMIFS(
  'Asset Summary'!$E:$E,
  'Asset Summary'!$A:$A,$D451,
  'Asset Summary'!$B:$B,T$407
  )
  /T419,
0)</f>
        <v>0</v>
      </c>
      <c r="U451" s="36">
        <f>IFERROR(
  SUMIFS(
  'Asset Summary'!$E:$E,
  'Asset Summary'!$A:$A,$D451,
  'Asset Summary'!$B:$B,U$407
  )
  /U419,
0)</f>
        <v>0</v>
      </c>
      <c r="V451" s="36">
        <f>IFERROR(
  SUMIFS(
  'Asset Summary'!$E:$E,
  'Asset Summary'!$A:$A,$D451,
  'Asset Summary'!$B:$B,V$407
  )
  /V419,
0)</f>
        <v>0</v>
      </c>
      <c r="W451" s="36">
        <f>IFERROR(
  SUMIFS(
  'Asset Summary'!$E:$E,
  'Asset Summary'!$A:$A,$D451,
  'Asset Summary'!$B:$B,W$407
  )
  /W419,
0)</f>
        <v>0</v>
      </c>
      <c r="X451" s="36">
        <f>IFERROR(
  SUMIFS(
  'Asset Summary'!$E:$E,
  'Asset Summary'!$A:$A,$D451,
  'Asset Summary'!$B:$B,X$407
  )
  /X419,
0)</f>
        <v>0</v>
      </c>
      <c r="Y451" s="36">
        <f>IFERROR(
  SUMIFS(
  'Asset Summary'!$E:$E,
  'Asset Summary'!$A:$A,$D451,
  'Asset Summary'!$B:$B,Y$407
  )
  /Y419,
0)</f>
        <v>0</v>
      </c>
      <c r="Z451" s="36">
        <f>IFERROR(
  SUMIFS(
  'Asset Summary'!$E:$E,
  'Asset Summary'!$A:$A,$D451,
  'Asset Summary'!$B:$B,Z$407
  )
  /Z419,
0)</f>
        <v>0</v>
      </c>
      <c r="AA451" s="36">
        <f>IFERROR(
  SUMIFS(
  'Asset Summary'!$E:$E,
  'Asset Summary'!$A:$A,$D451,
  'Asset Summary'!$B:$B,AA$407
  )
  /AA419,
0)</f>
        <v>0</v>
      </c>
      <c r="AB451" s="36">
        <f>IFERROR(
  SUMIFS(
  'Asset Summary'!$E:$E,
  'Asset Summary'!$A:$A,$D451,
  'Asset Summary'!$B:$B,AB$407
  )
  /AB419,
0)</f>
        <v>0</v>
      </c>
      <c r="AC451" s="36">
        <f>IFERROR(
  SUMIFS(
  'Asset Summary'!$E:$E,
  'Asset Summary'!$A:$A,$D451,
  'Asset Summary'!$B:$B,AC$407
  )
  /AC419,
0)</f>
        <v>0</v>
      </c>
      <c r="AD451" s="36">
        <f>IFERROR(
  SUMIFS(
  'Asset Summary'!$E:$E,
  'Asset Summary'!$A:$A,$D451,
  'Asset Summary'!$B:$B,AD$407
  )
  /AD419,
0)</f>
        <v>0</v>
      </c>
      <c r="AH451" s="34" t="s">
        <v>422</v>
      </c>
    </row>
    <row r="452" spans="4:34" outlineLevel="1" x14ac:dyDescent="0.2">
      <c r="D452" s="8" t="s">
        <v>269</v>
      </c>
      <c r="E452" s="36">
        <f>IFERROR(
  SUMIFS(
  'Asset Summary'!$E:$E,
  'Asset Summary'!$A:$A,$D452,
  'Asset Summary'!$B:$B,E$407
  )
  /E420,
0)</f>
        <v>0</v>
      </c>
      <c r="F452" s="36">
        <f>IFERROR(
  SUMIFS(
  'Asset Summary'!$E:$E,
  'Asset Summary'!$A:$A,$D452,
  'Asset Summary'!$B:$B,F$407
  )
  /F420,
0)</f>
        <v>0</v>
      </c>
      <c r="G452" s="36">
        <f>IFERROR(
  SUMIFS(
  'Asset Summary'!$E:$E,
  'Asset Summary'!$A:$A,$D452,
  'Asset Summary'!$B:$B,G$407
  )
  /G420,
0)</f>
        <v>0</v>
      </c>
      <c r="H452" s="36">
        <f>IFERROR(
  SUMIFS(
  'Asset Summary'!$E:$E,
  'Asset Summary'!$A:$A,$D452,
  'Asset Summary'!$B:$B,H$407
  )
  /H420,
0)</f>
        <v>0</v>
      </c>
      <c r="I452" s="36">
        <f>IFERROR(
  SUMIFS(
  'Asset Summary'!$E:$E,
  'Asset Summary'!$A:$A,$D452,
  'Asset Summary'!$B:$B,I$407
  )
  /I420,
0)</f>
        <v>0</v>
      </c>
      <c r="J452" s="36">
        <f>IFERROR(
  SUMIFS(
  'Asset Summary'!$E:$E,
  'Asset Summary'!$A:$A,$D452,
  'Asset Summary'!$B:$B,J$407
  )
  /J420,
0)</f>
        <v>0</v>
      </c>
      <c r="K452" s="36">
        <f>IFERROR(
  SUMIFS(
  'Asset Summary'!$E:$E,
  'Asset Summary'!$A:$A,$D452,
  'Asset Summary'!$B:$B,K$407
  )
  /K420,
0)</f>
        <v>0</v>
      </c>
      <c r="L452" s="36">
        <f>IFERROR(
  SUMIFS(
  'Asset Summary'!$E:$E,
  'Asset Summary'!$A:$A,$D452,
  'Asset Summary'!$B:$B,L$407
  )
  /L420,
0)</f>
        <v>0</v>
      </c>
      <c r="M452" s="36">
        <f>IFERROR(
  SUMIFS(
  'Asset Summary'!$E:$E,
  'Asset Summary'!$A:$A,$D452,
  'Asset Summary'!$B:$B,M$407
  )
  /M420,
0)</f>
        <v>0</v>
      </c>
      <c r="N452" s="36">
        <f>IFERROR(
  SUMIFS(
  'Asset Summary'!$E:$E,
  'Asset Summary'!$A:$A,$D452,
  'Asset Summary'!$B:$B,N$407
  )
  /N420,
0)</f>
        <v>0</v>
      </c>
      <c r="O452" s="36">
        <f>IFERROR(
  SUMIFS(
  'Asset Summary'!$E:$E,
  'Asset Summary'!$A:$A,$D452,
  'Asset Summary'!$B:$B,O$407
  )
  /O420,
0)</f>
        <v>0</v>
      </c>
      <c r="P452" s="36">
        <f>IFERROR(
  SUMIFS(
  'Asset Summary'!$E:$E,
  'Asset Summary'!$A:$A,$D452,
  'Asset Summary'!$B:$B,P$407
  )
  /P420,
0)</f>
        <v>0</v>
      </c>
      <c r="Q452" s="36">
        <f>IFERROR(
  SUMIFS(
  'Asset Summary'!$E:$E,
  'Asset Summary'!$A:$A,$D452,
  'Asset Summary'!$B:$B,Q$407
  )
  /Q420,
0)</f>
        <v>0</v>
      </c>
      <c r="R452" s="36">
        <f>IFERROR(
  SUMIFS(
  'Asset Summary'!$E:$E,
  'Asset Summary'!$A:$A,$D452,
  'Asset Summary'!$B:$B,R$407
  )
  /R420,
0)</f>
        <v>0</v>
      </c>
      <c r="S452" s="36">
        <f>IFERROR(
  SUMIFS(
  'Asset Summary'!$E:$E,
  'Asset Summary'!$A:$A,$D452,
  'Asset Summary'!$B:$B,S$407
  )
  /S420,
0)</f>
        <v>0</v>
      </c>
      <c r="T452" s="36">
        <f>IFERROR(
  SUMIFS(
  'Asset Summary'!$E:$E,
  'Asset Summary'!$A:$A,$D452,
  'Asset Summary'!$B:$B,T$407
  )
  /T420,
0)</f>
        <v>0</v>
      </c>
      <c r="U452" s="36">
        <f>IFERROR(
  SUMIFS(
  'Asset Summary'!$E:$E,
  'Asset Summary'!$A:$A,$D452,
  'Asset Summary'!$B:$B,U$407
  )
  /U420,
0)</f>
        <v>0</v>
      </c>
      <c r="V452" s="36">
        <f>IFERROR(
  SUMIFS(
  'Asset Summary'!$E:$E,
  'Asset Summary'!$A:$A,$D452,
  'Asset Summary'!$B:$B,V$407
  )
  /V420,
0)</f>
        <v>0</v>
      </c>
      <c r="W452" s="36">
        <f>IFERROR(
  SUMIFS(
  'Asset Summary'!$E:$E,
  'Asset Summary'!$A:$A,$D452,
  'Asset Summary'!$B:$B,W$407
  )
  /W420,
0)</f>
        <v>0</v>
      </c>
      <c r="X452" s="36">
        <f>IFERROR(
  SUMIFS(
  'Asset Summary'!$E:$E,
  'Asset Summary'!$A:$A,$D452,
  'Asset Summary'!$B:$B,X$407
  )
  /X420,
0)</f>
        <v>0</v>
      </c>
      <c r="Y452" s="36">
        <f>IFERROR(
  SUMIFS(
  'Asset Summary'!$E:$E,
  'Asset Summary'!$A:$A,$D452,
  'Asset Summary'!$B:$B,Y$407
  )
  /Y420,
0)</f>
        <v>0</v>
      </c>
      <c r="Z452" s="36">
        <f>IFERROR(
  SUMIFS(
  'Asset Summary'!$E:$E,
  'Asset Summary'!$A:$A,$D452,
  'Asset Summary'!$B:$B,Z$407
  )
  /Z420,
0)</f>
        <v>0</v>
      </c>
      <c r="AA452" s="36">
        <f>IFERROR(
  SUMIFS(
  'Asset Summary'!$E:$E,
  'Asset Summary'!$A:$A,$D452,
  'Asset Summary'!$B:$B,AA$407
  )
  /AA420,
0)</f>
        <v>0</v>
      </c>
      <c r="AB452" s="36">
        <f>IFERROR(
  SUMIFS(
  'Asset Summary'!$E:$E,
  'Asset Summary'!$A:$A,$D452,
  'Asset Summary'!$B:$B,AB$407
  )
  /AB420,
0)</f>
        <v>0</v>
      </c>
      <c r="AC452" s="36">
        <f>IFERROR(
  SUMIFS(
  'Asset Summary'!$E:$E,
  'Asset Summary'!$A:$A,$D452,
  'Asset Summary'!$B:$B,AC$407
  )
  /AC420,
0)</f>
        <v>0</v>
      </c>
      <c r="AD452" s="36">
        <f>IFERROR(
  SUMIFS(
  'Asset Summary'!$E:$E,
  'Asset Summary'!$A:$A,$D452,
  'Asset Summary'!$B:$B,AD$407
  )
  /AD420,
0)</f>
        <v>0</v>
      </c>
      <c r="AH452" s="34" t="s">
        <v>422</v>
      </c>
    </row>
    <row r="453" spans="4:34" outlineLevel="1" x14ac:dyDescent="0.2">
      <c r="D453" s="8" t="s">
        <v>270</v>
      </c>
      <c r="E453" s="36">
        <f>IFERROR(
  SUMIFS(
  'Asset Summary'!$E:$E,
  'Asset Summary'!$A:$A,$D453,
  'Asset Summary'!$B:$B,E$407
  )
  /E421,
0)</f>
        <v>0</v>
      </c>
      <c r="F453" s="36">
        <f>IFERROR(
  SUMIFS(
  'Asset Summary'!$E:$E,
  'Asset Summary'!$A:$A,$D453,
  'Asset Summary'!$B:$B,F$407
  )
  /F421,
0)</f>
        <v>0</v>
      </c>
      <c r="G453" s="36">
        <f>IFERROR(
  SUMIFS(
  'Asset Summary'!$E:$E,
  'Asset Summary'!$A:$A,$D453,
  'Asset Summary'!$B:$B,G$407
  )
  /G421,
0)</f>
        <v>0</v>
      </c>
      <c r="H453" s="36">
        <f>IFERROR(
  SUMIFS(
  'Asset Summary'!$E:$E,
  'Asset Summary'!$A:$A,$D453,
  'Asset Summary'!$B:$B,H$407
  )
  /H421,
0)</f>
        <v>0</v>
      </c>
      <c r="I453" s="36">
        <f>IFERROR(
  SUMIFS(
  'Asset Summary'!$E:$E,
  'Asset Summary'!$A:$A,$D453,
  'Asset Summary'!$B:$B,I$407
  )
  /I421,
0)</f>
        <v>0</v>
      </c>
      <c r="J453" s="36">
        <f>IFERROR(
  SUMIFS(
  'Asset Summary'!$E:$E,
  'Asset Summary'!$A:$A,$D453,
  'Asset Summary'!$B:$B,J$407
  )
  /J421,
0)</f>
        <v>0</v>
      </c>
      <c r="K453" s="36">
        <f>IFERROR(
  SUMIFS(
  'Asset Summary'!$E:$E,
  'Asset Summary'!$A:$A,$D453,
  'Asset Summary'!$B:$B,K$407
  )
  /K421,
0)</f>
        <v>0</v>
      </c>
      <c r="L453" s="36">
        <f>IFERROR(
  SUMIFS(
  'Asset Summary'!$E:$E,
  'Asset Summary'!$A:$A,$D453,
  'Asset Summary'!$B:$B,L$407
  )
  /L421,
0)</f>
        <v>0</v>
      </c>
      <c r="M453" s="36">
        <f>IFERROR(
  SUMIFS(
  'Asset Summary'!$E:$E,
  'Asset Summary'!$A:$A,$D453,
  'Asset Summary'!$B:$B,M$407
  )
  /M421,
0)</f>
        <v>0</v>
      </c>
      <c r="N453" s="36">
        <f>IFERROR(
  SUMIFS(
  'Asset Summary'!$E:$E,
  'Asset Summary'!$A:$A,$D453,
  'Asset Summary'!$B:$B,N$407
  )
  /N421,
0)</f>
        <v>0</v>
      </c>
      <c r="O453" s="36">
        <f>IFERROR(
  SUMIFS(
  'Asset Summary'!$E:$E,
  'Asset Summary'!$A:$A,$D453,
  'Asset Summary'!$B:$B,O$407
  )
  /O421,
0)</f>
        <v>0</v>
      </c>
      <c r="P453" s="36">
        <f>IFERROR(
  SUMIFS(
  'Asset Summary'!$E:$E,
  'Asset Summary'!$A:$A,$D453,
  'Asset Summary'!$B:$B,P$407
  )
  /P421,
0)</f>
        <v>0</v>
      </c>
      <c r="Q453" s="36">
        <f>IFERROR(
  SUMIFS(
  'Asset Summary'!$E:$E,
  'Asset Summary'!$A:$A,$D453,
  'Asset Summary'!$B:$B,Q$407
  )
  /Q421,
0)</f>
        <v>0</v>
      </c>
      <c r="R453" s="36">
        <f>IFERROR(
  SUMIFS(
  'Asset Summary'!$E:$E,
  'Asset Summary'!$A:$A,$D453,
  'Asset Summary'!$B:$B,R$407
  )
  /R421,
0)</f>
        <v>0</v>
      </c>
      <c r="S453" s="36">
        <f>IFERROR(
  SUMIFS(
  'Asset Summary'!$E:$E,
  'Asset Summary'!$A:$A,$D453,
  'Asset Summary'!$B:$B,S$407
  )
  /S421,
0)</f>
        <v>0</v>
      </c>
      <c r="T453" s="36">
        <f>IFERROR(
  SUMIFS(
  'Asset Summary'!$E:$E,
  'Asset Summary'!$A:$A,$D453,
  'Asset Summary'!$B:$B,T$407
  )
  /T421,
0)</f>
        <v>0</v>
      </c>
      <c r="U453" s="36">
        <f>IFERROR(
  SUMIFS(
  'Asset Summary'!$E:$E,
  'Asset Summary'!$A:$A,$D453,
  'Asset Summary'!$B:$B,U$407
  )
  /U421,
0)</f>
        <v>0</v>
      </c>
      <c r="V453" s="36">
        <f>IFERROR(
  SUMIFS(
  'Asset Summary'!$E:$E,
  'Asset Summary'!$A:$A,$D453,
  'Asset Summary'!$B:$B,V$407
  )
  /V421,
0)</f>
        <v>0</v>
      </c>
      <c r="W453" s="36">
        <f>IFERROR(
  SUMIFS(
  'Asset Summary'!$E:$E,
  'Asset Summary'!$A:$A,$D453,
  'Asset Summary'!$B:$B,W$407
  )
  /W421,
0)</f>
        <v>0</v>
      </c>
      <c r="X453" s="36">
        <f>IFERROR(
  SUMIFS(
  'Asset Summary'!$E:$E,
  'Asset Summary'!$A:$A,$D453,
  'Asset Summary'!$B:$B,X$407
  )
  /X421,
0)</f>
        <v>0</v>
      </c>
      <c r="Y453" s="36">
        <f>IFERROR(
  SUMIFS(
  'Asset Summary'!$E:$E,
  'Asset Summary'!$A:$A,$D453,
  'Asset Summary'!$B:$B,Y$407
  )
  /Y421,
0)</f>
        <v>0</v>
      </c>
      <c r="Z453" s="36">
        <f>IFERROR(
  SUMIFS(
  'Asset Summary'!$E:$E,
  'Asset Summary'!$A:$A,$D453,
  'Asset Summary'!$B:$B,Z$407
  )
  /Z421,
0)</f>
        <v>0</v>
      </c>
      <c r="AA453" s="36">
        <f>IFERROR(
  SUMIFS(
  'Asset Summary'!$E:$E,
  'Asset Summary'!$A:$A,$D453,
  'Asset Summary'!$B:$B,AA$407
  )
  /AA421,
0)</f>
        <v>0</v>
      </c>
      <c r="AB453" s="36">
        <f>IFERROR(
  SUMIFS(
  'Asset Summary'!$E:$E,
  'Asset Summary'!$A:$A,$D453,
  'Asset Summary'!$B:$B,AB$407
  )
  /AB421,
0)</f>
        <v>0</v>
      </c>
      <c r="AC453" s="36">
        <f>IFERROR(
  SUMIFS(
  'Asset Summary'!$E:$E,
  'Asset Summary'!$A:$A,$D453,
  'Asset Summary'!$B:$B,AC$407
  )
  /AC421,
0)</f>
        <v>0</v>
      </c>
      <c r="AD453" s="36">
        <f>IFERROR(
  SUMIFS(
  'Asset Summary'!$E:$E,
  'Asset Summary'!$A:$A,$D453,
  'Asset Summary'!$B:$B,AD$407
  )
  /AD421,
0)</f>
        <v>0</v>
      </c>
      <c r="AH453" s="34" t="s">
        <v>422</v>
      </c>
    </row>
    <row r="454" spans="4:34" outlineLevel="1" x14ac:dyDescent="0.2">
      <c r="D454" s="8" t="s">
        <v>271</v>
      </c>
      <c r="E454" s="36">
        <f>IFERROR(
  SUMIFS(
  'Asset Summary'!$E:$E,
  'Asset Summary'!$A:$A,$D454,
  'Asset Summary'!$B:$B,E$407
  )
  /E422,
0)</f>
        <v>0</v>
      </c>
      <c r="F454" s="36">
        <f>IFERROR(
  SUMIFS(
  'Asset Summary'!$E:$E,
  'Asset Summary'!$A:$A,$D454,
  'Asset Summary'!$B:$B,F$407
  )
  /F422,
0)</f>
        <v>0</v>
      </c>
      <c r="G454" s="36">
        <f>IFERROR(
  SUMIFS(
  'Asset Summary'!$E:$E,
  'Asset Summary'!$A:$A,$D454,
  'Asset Summary'!$B:$B,G$407
  )
  /G422,
0)</f>
        <v>0</v>
      </c>
      <c r="H454" s="36">
        <f>IFERROR(
  SUMIFS(
  'Asset Summary'!$E:$E,
  'Asset Summary'!$A:$A,$D454,
  'Asset Summary'!$B:$B,H$407
  )
  /H422,
0)</f>
        <v>0</v>
      </c>
      <c r="I454" s="36">
        <f>IFERROR(
  SUMIFS(
  'Asset Summary'!$E:$E,
  'Asset Summary'!$A:$A,$D454,
  'Asset Summary'!$B:$B,I$407
  )
  /I422,
0)</f>
        <v>0</v>
      </c>
      <c r="J454" s="36">
        <f>IFERROR(
  SUMIFS(
  'Asset Summary'!$E:$E,
  'Asset Summary'!$A:$A,$D454,
  'Asset Summary'!$B:$B,J$407
  )
  /J422,
0)</f>
        <v>0</v>
      </c>
      <c r="K454" s="36">
        <f>IFERROR(
  SUMIFS(
  'Asset Summary'!$E:$E,
  'Asset Summary'!$A:$A,$D454,
  'Asset Summary'!$B:$B,K$407
  )
  /K422,
0)</f>
        <v>0</v>
      </c>
      <c r="L454" s="36">
        <f>IFERROR(
  SUMIFS(
  'Asset Summary'!$E:$E,
  'Asset Summary'!$A:$A,$D454,
  'Asset Summary'!$B:$B,L$407
  )
  /L422,
0)</f>
        <v>0</v>
      </c>
      <c r="M454" s="36">
        <f>IFERROR(
  SUMIFS(
  'Asset Summary'!$E:$E,
  'Asset Summary'!$A:$A,$D454,
  'Asset Summary'!$B:$B,M$407
  )
  /M422,
0)</f>
        <v>0</v>
      </c>
      <c r="N454" s="36">
        <f>IFERROR(
  SUMIFS(
  'Asset Summary'!$E:$E,
  'Asset Summary'!$A:$A,$D454,
  'Asset Summary'!$B:$B,N$407
  )
  /N422,
0)</f>
        <v>0</v>
      </c>
      <c r="O454" s="36">
        <f>IFERROR(
  SUMIFS(
  'Asset Summary'!$E:$E,
  'Asset Summary'!$A:$A,$D454,
  'Asset Summary'!$B:$B,O$407
  )
  /O422,
0)</f>
        <v>0</v>
      </c>
      <c r="P454" s="36">
        <f>IFERROR(
  SUMIFS(
  'Asset Summary'!$E:$E,
  'Asset Summary'!$A:$A,$D454,
  'Asset Summary'!$B:$B,P$407
  )
  /P422,
0)</f>
        <v>0</v>
      </c>
      <c r="Q454" s="36">
        <f>IFERROR(
  SUMIFS(
  'Asset Summary'!$E:$E,
  'Asset Summary'!$A:$A,$D454,
  'Asset Summary'!$B:$B,Q$407
  )
  /Q422,
0)</f>
        <v>0</v>
      </c>
      <c r="R454" s="36">
        <f>IFERROR(
  SUMIFS(
  'Asset Summary'!$E:$E,
  'Asset Summary'!$A:$A,$D454,
  'Asset Summary'!$B:$B,R$407
  )
  /R422,
0)</f>
        <v>0</v>
      </c>
      <c r="S454" s="36">
        <f>IFERROR(
  SUMIFS(
  'Asset Summary'!$E:$E,
  'Asset Summary'!$A:$A,$D454,
  'Asset Summary'!$B:$B,S$407
  )
  /S422,
0)</f>
        <v>0</v>
      </c>
      <c r="T454" s="36">
        <f>IFERROR(
  SUMIFS(
  'Asset Summary'!$E:$E,
  'Asset Summary'!$A:$A,$D454,
  'Asset Summary'!$B:$B,T$407
  )
  /T422,
0)</f>
        <v>0</v>
      </c>
      <c r="U454" s="36">
        <f>IFERROR(
  SUMIFS(
  'Asset Summary'!$E:$E,
  'Asset Summary'!$A:$A,$D454,
  'Asset Summary'!$B:$B,U$407
  )
  /U422,
0)</f>
        <v>0</v>
      </c>
      <c r="V454" s="36">
        <f>IFERROR(
  SUMIFS(
  'Asset Summary'!$E:$E,
  'Asset Summary'!$A:$A,$D454,
  'Asset Summary'!$B:$B,V$407
  )
  /V422,
0)</f>
        <v>0</v>
      </c>
      <c r="W454" s="36">
        <f>IFERROR(
  SUMIFS(
  'Asset Summary'!$E:$E,
  'Asset Summary'!$A:$A,$D454,
  'Asset Summary'!$B:$B,W$407
  )
  /W422,
0)</f>
        <v>0</v>
      </c>
      <c r="X454" s="36">
        <f>IFERROR(
  SUMIFS(
  'Asset Summary'!$E:$E,
  'Asset Summary'!$A:$A,$D454,
  'Asset Summary'!$B:$B,X$407
  )
  /X422,
0)</f>
        <v>0</v>
      </c>
      <c r="Y454" s="36">
        <f>IFERROR(
  SUMIFS(
  'Asset Summary'!$E:$E,
  'Asset Summary'!$A:$A,$D454,
  'Asset Summary'!$B:$B,Y$407
  )
  /Y422,
0)</f>
        <v>0</v>
      </c>
      <c r="Z454" s="36">
        <f>IFERROR(
  SUMIFS(
  'Asset Summary'!$E:$E,
  'Asset Summary'!$A:$A,$D454,
  'Asset Summary'!$B:$B,Z$407
  )
  /Z422,
0)</f>
        <v>0</v>
      </c>
      <c r="AA454" s="36">
        <f>IFERROR(
  SUMIFS(
  'Asset Summary'!$E:$E,
  'Asset Summary'!$A:$A,$D454,
  'Asset Summary'!$B:$B,AA$407
  )
  /AA422,
0)</f>
        <v>0</v>
      </c>
      <c r="AB454" s="36">
        <f>IFERROR(
  SUMIFS(
  'Asset Summary'!$E:$E,
  'Asset Summary'!$A:$A,$D454,
  'Asset Summary'!$B:$B,AB$407
  )
  /AB422,
0)</f>
        <v>0</v>
      </c>
      <c r="AC454" s="36">
        <f>IFERROR(
  SUMIFS(
  'Asset Summary'!$E:$E,
  'Asset Summary'!$A:$A,$D454,
  'Asset Summary'!$B:$B,AC$407
  )
  /AC422,
0)</f>
        <v>0</v>
      </c>
      <c r="AD454" s="36">
        <f>IFERROR(
  SUMIFS(
  'Asset Summary'!$E:$E,
  'Asset Summary'!$A:$A,$D454,
  'Asset Summary'!$B:$B,AD$407
  )
  /AD422,
0)</f>
        <v>1</v>
      </c>
      <c r="AH454" s="34" t="s">
        <v>422</v>
      </c>
    </row>
    <row r="455" spans="4:34" outlineLevel="1" x14ac:dyDescent="0.2">
      <c r="D455" s="8" t="s">
        <v>272</v>
      </c>
      <c r="E455" s="36">
        <f>IFERROR(
  SUMIFS(
  'Asset Summary'!$E:$E,
  'Asset Summary'!$A:$A,$D455,
  'Asset Summary'!$B:$B,E$407
  )
  /E423,
0)</f>
        <v>0</v>
      </c>
      <c r="F455" s="36">
        <f>IFERROR(
  SUMIFS(
  'Asset Summary'!$E:$E,
  'Asset Summary'!$A:$A,$D455,
  'Asset Summary'!$B:$B,F$407
  )
  /F423,
0)</f>
        <v>0</v>
      </c>
      <c r="G455" s="36">
        <f>IFERROR(
  SUMIFS(
  'Asset Summary'!$E:$E,
  'Asset Summary'!$A:$A,$D455,
  'Asset Summary'!$B:$B,G$407
  )
  /G423,
0)</f>
        <v>0</v>
      </c>
      <c r="H455" s="36">
        <f>IFERROR(
  SUMIFS(
  'Asset Summary'!$E:$E,
  'Asset Summary'!$A:$A,$D455,
  'Asset Summary'!$B:$B,H$407
  )
  /H423,
0)</f>
        <v>0</v>
      </c>
      <c r="I455" s="36">
        <f>IFERROR(
  SUMIFS(
  'Asset Summary'!$E:$E,
  'Asset Summary'!$A:$A,$D455,
  'Asset Summary'!$B:$B,I$407
  )
  /I423,
0)</f>
        <v>0</v>
      </c>
      <c r="J455" s="36">
        <f>IFERROR(
  SUMIFS(
  'Asset Summary'!$E:$E,
  'Asset Summary'!$A:$A,$D455,
  'Asset Summary'!$B:$B,J$407
  )
  /J423,
0)</f>
        <v>0</v>
      </c>
      <c r="K455" s="36">
        <f>IFERROR(
  SUMIFS(
  'Asset Summary'!$E:$E,
  'Asset Summary'!$A:$A,$D455,
  'Asset Summary'!$B:$B,K$407
  )
  /K423,
0)</f>
        <v>0</v>
      </c>
      <c r="L455" s="36">
        <f>IFERROR(
  SUMIFS(
  'Asset Summary'!$E:$E,
  'Asset Summary'!$A:$A,$D455,
  'Asset Summary'!$B:$B,L$407
  )
  /L423,
0)</f>
        <v>0</v>
      </c>
      <c r="M455" s="36">
        <f>IFERROR(
  SUMIFS(
  'Asset Summary'!$E:$E,
  'Asset Summary'!$A:$A,$D455,
  'Asset Summary'!$B:$B,M$407
  )
  /M423,
0)</f>
        <v>0</v>
      </c>
      <c r="N455" s="36">
        <f>IFERROR(
  SUMIFS(
  'Asset Summary'!$E:$E,
  'Asset Summary'!$A:$A,$D455,
  'Asset Summary'!$B:$B,N$407
  )
  /N423,
0)</f>
        <v>0</v>
      </c>
      <c r="O455" s="36">
        <f>IFERROR(
  SUMIFS(
  'Asset Summary'!$E:$E,
  'Asset Summary'!$A:$A,$D455,
  'Asset Summary'!$B:$B,O$407
  )
  /O423,
0)</f>
        <v>0</v>
      </c>
      <c r="P455" s="36">
        <f>IFERROR(
  SUMIFS(
  'Asset Summary'!$E:$E,
  'Asset Summary'!$A:$A,$D455,
  'Asset Summary'!$B:$B,P$407
  )
  /P423,
0)</f>
        <v>0</v>
      </c>
      <c r="Q455" s="36">
        <f>IFERROR(
  SUMIFS(
  'Asset Summary'!$E:$E,
  'Asset Summary'!$A:$A,$D455,
  'Asset Summary'!$B:$B,Q$407
  )
  /Q423,
0)</f>
        <v>0</v>
      </c>
      <c r="R455" s="36">
        <f>IFERROR(
  SUMIFS(
  'Asset Summary'!$E:$E,
  'Asset Summary'!$A:$A,$D455,
  'Asset Summary'!$B:$B,R$407
  )
  /R423,
0)</f>
        <v>0</v>
      </c>
      <c r="S455" s="36">
        <f>IFERROR(
  SUMIFS(
  'Asset Summary'!$E:$E,
  'Asset Summary'!$A:$A,$D455,
  'Asset Summary'!$B:$B,S$407
  )
  /S423,
0)</f>
        <v>0</v>
      </c>
      <c r="T455" s="36">
        <f>IFERROR(
  SUMIFS(
  'Asset Summary'!$E:$E,
  'Asset Summary'!$A:$A,$D455,
  'Asset Summary'!$B:$B,T$407
  )
  /T423,
0)</f>
        <v>0</v>
      </c>
      <c r="U455" s="36">
        <f>IFERROR(
  SUMIFS(
  'Asset Summary'!$E:$E,
  'Asset Summary'!$A:$A,$D455,
  'Asset Summary'!$B:$B,U$407
  )
  /U423,
0)</f>
        <v>0</v>
      </c>
      <c r="V455" s="36">
        <f>IFERROR(
  SUMIFS(
  'Asset Summary'!$E:$E,
  'Asset Summary'!$A:$A,$D455,
  'Asset Summary'!$B:$B,V$407
  )
  /V423,
0)</f>
        <v>0</v>
      </c>
      <c r="W455" s="36">
        <f>IFERROR(
  SUMIFS(
  'Asset Summary'!$E:$E,
  'Asset Summary'!$A:$A,$D455,
  'Asset Summary'!$B:$B,W$407
  )
  /W423,
0)</f>
        <v>0</v>
      </c>
      <c r="X455" s="36">
        <f>IFERROR(
  SUMIFS(
  'Asset Summary'!$E:$E,
  'Asset Summary'!$A:$A,$D455,
  'Asset Summary'!$B:$B,X$407
  )
  /X423,
0)</f>
        <v>0</v>
      </c>
      <c r="Y455" s="36">
        <f>IFERROR(
  SUMIFS(
  'Asset Summary'!$E:$E,
  'Asset Summary'!$A:$A,$D455,
  'Asset Summary'!$B:$B,Y$407
  )
  /Y423,
0)</f>
        <v>0</v>
      </c>
      <c r="Z455" s="36">
        <f>IFERROR(
  SUMIFS(
  'Asset Summary'!$E:$E,
  'Asset Summary'!$A:$A,$D455,
  'Asset Summary'!$B:$B,Z$407
  )
  /Z423,
0)</f>
        <v>0</v>
      </c>
      <c r="AA455" s="36">
        <f>IFERROR(
  SUMIFS(
  'Asset Summary'!$E:$E,
  'Asset Summary'!$A:$A,$D455,
  'Asset Summary'!$B:$B,AA$407
  )
  /AA423,
0)</f>
        <v>0</v>
      </c>
      <c r="AB455" s="36">
        <f>IFERROR(
  SUMIFS(
  'Asset Summary'!$E:$E,
  'Asset Summary'!$A:$A,$D455,
  'Asset Summary'!$B:$B,AB$407
  )
  /AB423,
0)</f>
        <v>0</v>
      </c>
      <c r="AC455" s="36">
        <f>IFERROR(
  SUMIFS(
  'Asset Summary'!$E:$E,
  'Asset Summary'!$A:$A,$D455,
  'Asset Summary'!$B:$B,AC$407
  )
  /AC423,
0)</f>
        <v>0</v>
      </c>
      <c r="AD455" s="36">
        <f>IFERROR(
  SUMIFS(
  'Asset Summary'!$E:$E,
  'Asset Summary'!$A:$A,$D455,
  'Asset Summary'!$B:$B,AD$407
  )
  /AD423,
0)</f>
        <v>0</v>
      </c>
      <c r="AH455" s="34" t="s">
        <v>422</v>
      </c>
    </row>
    <row r="456" spans="4:34" outlineLevel="1" x14ac:dyDescent="0.2">
      <c r="D456" s="8" t="s">
        <v>273</v>
      </c>
      <c r="E456" s="36">
        <f>IFERROR(
  SUMIFS(
  'Asset Summary'!$E:$E,
  'Asset Summary'!$A:$A,$D456,
  'Asset Summary'!$B:$B,E$407
  )
  /E424,
0)</f>
        <v>0</v>
      </c>
      <c r="F456" s="36">
        <f>IFERROR(
  SUMIFS(
  'Asset Summary'!$E:$E,
  'Asset Summary'!$A:$A,$D456,
  'Asset Summary'!$B:$B,F$407
  )
  /F424,
0)</f>
        <v>0</v>
      </c>
      <c r="G456" s="36">
        <f>IFERROR(
  SUMIFS(
  'Asset Summary'!$E:$E,
  'Asset Summary'!$A:$A,$D456,
  'Asset Summary'!$B:$B,G$407
  )
  /G424,
0)</f>
        <v>0</v>
      </c>
      <c r="H456" s="36">
        <f>IFERROR(
  SUMIFS(
  'Asset Summary'!$E:$E,
  'Asset Summary'!$A:$A,$D456,
  'Asset Summary'!$B:$B,H$407
  )
  /H424,
0)</f>
        <v>0</v>
      </c>
      <c r="I456" s="36">
        <f>IFERROR(
  SUMIFS(
  'Asset Summary'!$E:$E,
  'Asset Summary'!$A:$A,$D456,
  'Asset Summary'!$B:$B,I$407
  )
  /I424,
0)</f>
        <v>0</v>
      </c>
      <c r="J456" s="36">
        <f>IFERROR(
  SUMIFS(
  'Asset Summary'!$E:$E,
  'Asset Summary'!$A:$A,$D456,
  'Asset Summary'!$B:$B,J$407
  )
  /J424,
0)</f>
        <v>0</v>
      </c>
      <c r="K456" s="36">
        <f>IFERROR(
  SUMIFS(
  'Asset Summary'!$E:$E,
  'Asset Summary'!$A:$A,$D456,
  'Asset Summary'!$B:$B,K$407
  )
  /K424,
0)</f>
        <v>0</v>
      </c>
      <c r="L456" s="36">
        <f>IFERROR(
  SUMIFS(
  'Asset Summary'!$E:$E,
  'Asset Summary'!$A:$A,$D456,
  'Asset Summary'!$B:$B,L$407
  )
  /L424,
0)</f>
        <v>0</v>
      </c>
      <c r="M456" s="36">
        <f>IFERROR(
  SUMIFS(
  'Asset Summary'!$E:$E,
  'Asset Summary'!$A:$A,$D456,
  'Asset Summary'!$B:$B,M$407
  )
  /M424,
0)</f>
        <v>0</v>
      </c>
      <c r="N456" s="36">
        <f>IFERROR(
  SUMIFS(
  'Asset Summary'!$E:$E,
  'Asset Summary'!$A:$A,$D456,
  'Asset Summary'!$B:$B,N$407
  )
  /N424,
0)</f>
        <v>0</v>
      </c>
      <c r="O456" s="36">
        <f>IFERROR(
  SUMIFS(
  'Asset Summary'!$E:$E,
  'Asset Summary'!$A:$A,$D456,
  'Asset Summary'!$B:$B,O$407
  )
  /O424,
0)</f>
        <v>0</v>
      </c>
      <c r="P456" s="36">
        <f>IFERROR(
  SUMIFS(
  'Asset Summary'!$E:$E,
  'Asset Summary'!$A:$A,$D456,
  'Asset Summary'!$B:$B,P$407
  )
  /P424,
0)</f>
        <v>0</v>
      </c>
      <c r="Q456" s="36">
        <f>IFERROR(
  SUMIFS(
  'Asset Summary'!$E:$E,
  'Asset Summary'!$A:$A,$D456,
  'Asset Summary'!$B:$B,Q$407
  )
  /Q424,
0)</f>
        <v>0</v>
      </c>
      <c r="R456" s="36">
        <f>IFERROR(
  SUMIFS(
  'Asset Summary'!$E:$E,
  'Asset Summary'!$A:$A,$D456,
  'Asset Summary'!$B:$B,R$407
  )
  /R424,
0)</f>
        <v>0</v>
      </c>
      <c r="S456" s="36">
        <f>IFERROR(
  SUMIFS(
  'Asset Summary'!$E:$E,
  'Asset Summary'!$A:$A,$D456,
  'Asset Summary'!$B:$B,S$407
  )
  /S424,
0)</f>
        <v>0</v>
      </c>
      <c r="T456" s="36">
        <f>IFERROR(
  SUMIFS(
  'Asset Summary'!$E:$E,
  'Asset Summary'!$A:$A,$D456,
  'Asset Summary'!$B:$B,T$407
  )
  /T424,
0)</f>
        <v>0</v>
      </c>
      <c r="U456" s="36">
        <f>IFERROR(
  SUMIFS(
  'Asset Summary'!$E:$E,
  'Asset Summary'!$A:$A,$D456,
  'Asset Summary'!$B:$B,U$407
  )
  /U424,
0)</f>
        <v>0</v>
      </c>
      <c r="V456" s="36">
        <f>IFERROR(
  SUMIFS(
  'Asset Summary'!$E:$E,
  'Asset Summary'!$A:$A,$D456,
  'Asset Summary'!$B:$B,V$407
  )
  /V424,
0)</f>
        <v>0</v>
      </c>
      <c r="W456" s="36">
        <f>IFERROR(
  SUMIFS(
  'Asset Summary'!$E:$E,
  'Asset Summary'!$A:$A,$D456,
  'Asset Summary'!$B:$B,W$407
  )
  /W424,
0)</f>
        <v>0</v>
      </c>
      <c r="X456" s="36">
        <f>IFERROR(
  SUMIFS(
  'Asset Summary'!$E:$E,
  'Asset Summary'!$A:$A,$D456,
  'Asset Summary'!$B:$B,X$407
  )
  /X424,
0)</f>
        <v>0</v>
      </c>
      <c r="Y456" s="36">
        <f>IFERROR(
  SUMIFS(
  'Asset Summary'!$E:$E,
  'Asset Summary'!$A:$A,$D456,
  'Asset Summary'!$B:$B,Y$407
  )
  /Y424,
0)</f>
        <v>0</v>
      </c>
      <c r="Z456" s="36">
        <f>IFERROR(
  SUMIFS(
  'Asset Summary'!$E:$E,
  'Asset Summary'!$A:$A,$D456,
  'Asset Summary'!$B:$B,Z$407
  )
  /Z424,
0)</f>
        <v>0</v>
      </c>
      <c r="AA456" s="36">
        <f>IFERROR(
  SUMIFS(
  'Asset Summary'!$E:$E,
  'Asset Summary'!$A:$A,$D456,
  'Asset Summary'!$B:$B,AA$407
  )
  /AA424,
0)</f>
        <v>0</v>
      </c>
      <c r="AB456" s="36">
        <f>IFERROR(
  SUMIFS(
  'Asset Summary'!$E:$E,
  'Asset Summary'!$A:$A,$D456,
  'Asset Summary'!$B:$B,AB$407
  )
  /AB424,
0)</f>
        <v>0</v>
      </c>
      <c r="AC456" s="36">
        <f>IFERROR(
  SUMIFS(
  'Asset Summary'!$E:$E,
  'Asset Summary'!$A:$A,$D456,
  'Asset Summary'!$B:$B,AC$407
  )
  /AC424,
0)</f>
        <v>0</v>
      </c>
      <c r="AD456" s="36">
        <f>IFERROR(
  SUMIFS(
  'Asset Summary'!$E:$E,
  'Asset Summary'!$A:$A,$D456,
  'Asset Summary'!$B:$B,AD$407
  )
  /AD424,
0)</f>
        <v>0</v>
      </c>
      <c r="AH456" s="34" t="s">
        <v>422</v>
      </c>
    </row>
    <row r="457" spans="4:34" outlineLevel="1" x14ac:dyDescent="0.2">
      <c r="D457" s="8" t="s">
        <v>274</v>
      </c>
      <c r="E457" s="36">
        <f>IFERROR(
  SUMIFS(
  'Asset Summary'!$E:$E,
  'Asset Summary'!$A:$A,$D457,
  'Asset Summary'!$B:$B,E$407
  )
  /E425,
0)</f>
        <v>0</v>
      </c>
      <c r="F457" s="36">
        <f>IFERROR(
  SUMIFS(
  'Asset Summary'!$E:$E,
  'Asset Summary'!$A:$A,$D457,
  'Asset Summary'!$B:$B,F$407
  )
  /F425,
0)</f>
        <v>0</v>
      </c>
      <c r="G457" s="36">
        <f>IFERROR(
  SUMIFS(
  'Asset Summary'!$E:$E,
  'Asset Summary'!$A:$A,$D457,
  'Asset Summary'!$B:$B,G$407
  )
  /G425,
0)</f>
        <v>0</v>
      </c>
      <c r="H457" s="36">
        <f>IFERROR(
  SUMIFS(
  'Asset Summary'!$E:$E,
  'Asset Summary'!$A:$A,$D457,
  'Asset Summary'!$B:$B,H$407
  )
  /H425,
0)</f>
        <v>0</v>
      </c>
      <c r="I457" s="36">
        <f>IFERROR(
  SUMIFS(
  'Asset Summary'!$E:$E,
  'Asset Summary'!$A:$A,$D457,
  'Asset Summary'!$B:$B,I$407
  )
  /I425,
0)</f>
        <v>0</v>
      </c>
      <c r="J457" s="36">
        <f>IFERROR(
  SUMIFS(
  'Asset Summary'!$E:$E,
  'Asset Summary'!$A:$A,$D457,
  'Asset Summary'!$B:$B,J$407
  )
  /J425,
0)</f>
        <v>0</v>
      </c>
      <c r="K457" s="36">
        <f>IFERROR(
  SUMIFS(
  'Asset Summary'!$E:$E,
  'Asset Summary'!$A:$A,$D457,
  'Asset Summary'!$B:$B,K$407
  )
  /K425,
0)</f>
        <v>0</v>
      </c>
      <c r="L457" s="36">
        <f>IFERROR(
  SUMIFS(
  'Asset Summary'!$E:$E,
  'Asset Summary'!$A:$A,$D457,
  'Asset Summary'!$B:$B,L$407
  )
  /L425,
0)</f>
        <v>0</v>
      </c>
      <c r="M457" s="36">
        <f>IFERROR(
  SUMIFS(
  'Asset Summary'!$E:$E,
  'Asset Summary'!$A:$A,$D457,
  'Asset Summary'!$B:$B,M$407
  )
  /M425,
0)</f>
        <v>0</v>
      </c>
      <c r="N457" s="36">
        <f>IFERROR(
  SUMIFS(
  'Asset Summary'!$E:$E,
  'Asset Summary'!$A:$A,$D457,
  'Asset Summary'!$B:$B,N$407
  )
  /N425,
0)</f>
        <v>0</v>
      </c>
      <c r="O457" s="36">
        <f>IFERROR(
  SUMIFS(
  'Asset Summary'!$E:$E,
  'Asset Summary'!$A:$A,$D457,
  'Asset Summary'!$B:$B,O$407
  )
  /O425,
0)</f>
        <v>0</v>
      </c>
      <c r="P457" s="36">
        <f>IFERROR(
  SUMIFS(
  'Asset Summary'!$E:$E,
  'Asset Summary'!$A:$A,$D457,
  'Asset Summary'!$B:$B,P$407
  )
  /P425,
0)</f>
        <v>0</v>
      </c>
      <c r="Q457" s="36">
        <f>IFERROR(
  SUMIFS(
  'Asset Summary'!$E:$E,
  'Asset Summary'!$A:$A,$D457,
  'Asset Summary'!$B:$B,Q$407
  )
  /Q425,
0)</f>
        <v>0</v>
      </c>
      <c r="R457" s="36">
        <f>IFERROR(
  SUMIFS(
  'Asset Summary'!$E:$E,
  'Asset Summary'!$A:$A,$D457,
  'Asset Summary'!$B:$B,R$407
  )
  /R425,
0)</f>
        <v>0</v>
      </c>
      <c r="S457" s="36">
        <f>IFERROR(
  SUMIFS(
  'Asset Summary'!$E:$E,
  'Asset Summary'!$A:$A,$D457,
  'Asset Summary'!$B:$B,S$407
  )
  /S425,
0)</f>
        <v>0</v>
      </c>
      <c r="T457" s="36">
        <f>IFERROR(
  SUMIFS(
  'Asset Summary'!$E:$E,
  'Asset Summary'!$A:$A,$D457,
  'Asset Summary'!$B:$B,T$407
  )
  /T425,
0)</f>
        <v>0</v>
      </c>
      <c r="U457" s="36">
        <f>IFERROR(
  SUMIFS(
  'Asset Summary'!$E:$E,
  'Asset Summary'!$A:$A,$D457,
  'Asset Summary'!$B:$B,U$407
  )
  /U425,
0)</f>
        <v>0</v>
      </c>
      <c r="V457" s="36">
        <f>IFERROR(
  SUMIFS(
  'Asset Summary'!$E:$E,
  'Asset Summary'!$A:$A,$D457,
  'Asset Summary'!$B:$B,V$407
  )
  /V425,
0)</f>
        <v>0</v>
      </c>
      <c r="W457" s="36">
        <f>IFERROR(
  SUMIFS(
  'Asset Summary'!$E:$E,
  'Asset Summary'!$A:$A,$D457,
  'Asset Summary'!$B:$B,W$407
  )
  /W425,
0)</f>
        <v>0</v>
      </c>
      <c r="X457" s="36">
        <f>IFERROR(
  SUMIFS(
  'Asset Summary'!$E:$E,
  'Asset Summary'!$A:$A,$D457,
  'Asset Summary'!$B:$B,X$407
  )
  /X425,
0)</f>
        <v>0</v>
      </c>
      <c r="Y457" s="36">
        <f>IFERROR(
  SUMIFS(
  'Asset Summary'!$E:$E,
  'Asset Summary'!$A:$A,$D457,
  'Asset Summary'!$B:$B,Y$407
  )
  /Y425,
0)</f>
        <v>0</v>
      </c>
      <c r="Z457" s="36">
        <f>IFERROR(
  SUMIFS(
  'Asset Summary'!$E:$E,
  'Asset Summary'!$A:$A,$D457,
  'Asset Summary'!$B:$B,Z$407
  )
  /Z425,
0)</f>
        <v>0</v>
      </c>
      <c r="AA457" s="36">
        <f>IFERROR(
  SUMIFS(
  'Asset Summary'!$E:$E,
  'Asset Summary'!$A:$A,$D457,
  'Asset Summary'!$B:$B,AA$407
  )
  /AA425,
0)</f>
        <v>0</v>
      </c>
      <c r="AB457" s="36">
        <f>IFERROR(
  SUMIFS(
  'Asset Summary'!$E:$E,
  'Asset Summary'!$A:$A,$D457,
  'Asset Summary'!$B:$B,AB$407
  )
  /AB425,
0)</f>
        <v>0</v>
      </c>
      <c r="AC457" s="36">
        <f>IFERROR(
  SUMIFS(
  'Asset Summary'!$E:$E,
  'Asset Summary'!$A:$A,$D457,
  'Asset Summary'!$B:$B,AC$407
  )
  /AC425,
0)</f>
        <v>0</v>
      </c>
      <c r="AD457" s="36">
        <f>IFERROR(
  SUMIFS(
  'Asset Summary'!$E:$E,
  'Asset Summary'!$A:$A,$D457,
  'Asset Summary'!$B:$B,AD$407
  )
  /AD425,
0)</f>
        <v>1</v>
      </c>
      <c r="AH457" s="34" t="s">
        <v>422</v>
      </c>
    </row>
    <row r="458" spans="4:34" outlineLevel="1" x14ac:dyDescent="0.2">
      <c r="D458" s="8" t="s">
        <v>275</v>
      </c>
      <c r="E458" s="36">
        <f>IFERROR(
  SUMIFS(
  'Asset Summary'!$E:$E,
  'Asset Summary'!$A:$A,$D458,
  'Asset Summary'!$B:$B,E$407
  )
  /E426,
0)</f>
        <v>0</v>
      </c>
      <c r="F458" s="36">
        <f>IFERROR(
  SUMIFS(
  'Asset Summary'!$E:$E,
  'Asset Summary'!$A:$A,$D458,
  'Asset Summary'!$B:$B,F$407
  )
  /F426,
0)</f>
        <v>0</v>
      </c>
      <c r="G458" s="36">
        <f>IFERROR(
  SUMIFS(
  'Asset Summary'!$E:$E,
  'Asset Summary'!$A:$A,$D458,
  'Asset Summary'!$B:$B,G$407
  )
  /G426,
0)</f>
        <v>0</v>
      </c>
      <c r="H458" s="36">
        <f>IFERROR(
  SUMIFS(
  'Asset Summary'!$E:$E,
  'Asset Summary'!$A:$A,$D458,
  'Asset Summary'!$B:$B,H$407
  )
  /H426,
0)</f>
        <v>0</v>
      </c>
      <c r="I458" s="36">
        <f>IFERROR(
  SUMIFS(
  'Asset Summary'!$E:$E,
  'Asset Summary'!$A:$A,$D458,
  'Asset Summary'!$B:$B,I$407
  )
  /I426,
0)</f>
        <v>0</v>
      </c>
      <c r="J458" s="36">
        <f>IFERROR(
  SUMIFS(
  'Asset Summary'!$E:$E,
  'Asset Summary'!$A:$A,$D458,
  'Asset Summary'!$B:$B,J$407
  )
  /J426,
0)</f>
        <v>0</v>
      </c>
      <c r="K458" s="36">
        <f>IFERROR(
  SUMIFS(
  'Asset Summary'!$E:$E,
  'Asset Summary'!$A:$A,$D458,
  'Asset Summary'!$B:$B,K$407
  )
  /K426,
0)</f>
        <v>0</v>
      </c>
      <c r="L458" s="36">
        <f>IFERROR(
  SUMIFS(
  'Asset Summary'!$E:$E,
  'Asset Summary'!$A:$A,$D458,
  'Asset Summary'!$B:$B,L$407
  )
  /L426,
0)</f>
        <v>0</v>
      </c>
      <c r="M458" s="36">
        <f>IFERROR(
  SUMIFS(
  'Asset Summary'!$E:$E,
  'Asset Summary'!$A:$A,$D458,
  'Asset Summary'!$B:$B,M$407
  )
  /M426,
0)</f>
        <v>0</v>
      </c>
      <c r="N458" s="36">
        <f>IFERROR(
  SUMIFS(
  'Asset Summary'!$E:$E,
  'Asset Summary'!$A:$A,$D458,
  'Asset Summary'!$B:$B,N$407
  )
  /N426,
0)</f>
        <v>0</v>
      </c>
      <c r="O458" s="36">
        <f>IFERROR(
  SUMIFS(
  'Asset Summary'!$E:$E,
  'Asset Summary'!$A:$A,$D458,
  'Asset Summary'!$B:$B,O$407
  )
  /O426,
0)</f>
        <v>0</v>
      </c>
      <c r="P458" s="36">
        <f>IFERROR(
  SUMIFS(
  'Asset Summary'!$E:$E,
  'Asset Summary'!$A:$A,$D458,
  'Asset Summary'!$B:$B,P$407
  )
  /P426,
0)</f>
        <v>0</v>
      </c>
      <c r="Q458" s="36">
        <f>IFERROR(
  SUMIFS(
  'Asset Summary'!$E:$E,
  'Asset Summary'!$A:$A,$D458,
  'Asset Summary'!$B:$B,Q$407
  )
  /Q426,
0)</f>
        <v>0</v>
      </c>
      <c r="R458" s="36">
        <f>IFERROR(
  SUMIFS(
  'Asset Summary'!$E:$E,
  'Asset Summary'!$A:$A,$D458,
  'Asset Summary'!$B:$B,R$407
  )
  /R426,
0)</f>
        <v>0</v>
      </c>
      <c r="S458" s="36">
        <f>IFERROR(
  SUMIFS(
  'Asset Summary'!$E:$E,
  'Asset Summary'!$A:$A,$D458,
  'Asset Summary'!$B:$B,S$407
  )
  /S426,
0)</f>
        <v>0</v>
      </c>
      <c r="T458" s="36">
        <f>IFERROR(
  SUMIFS(
  'Asset Summary'!$E:$E,
  'Asset Summary'!$A:$A,$D458,
  'Asset Summary'!$B:$B,T$407
  )
  /T426,
0)</f>
        <v>0</v>
      </c>
      <c r="U458" s="36">
        <f>IFERROR(
  SUMIFS(
  'Asset Summary'!$E:$E,
  'Asset Summary'!$A:$A,$D458,
  'Asset Summary'!$B:$B,U$407
  )
  /U426,
0)</f>
        <v>0</v>
      </c>
      <c r="V458" s="36">
        <f>IFERROR(
  SUMIFS(
  'Asset Summary'!$E:$E,
  'Asset Summary'!$A:$A,$D458,
  'Asset Summary'!$B:$B,V$407
  )
  /V426,
0)</f>
        <v>0</v>
      </c>
      <c r="W458" s="36">
        <f>IFERROR(
  SUMIFS(
  'Asset Summary'!$E:$E,
  'Asset Summary'!$A:$A,$D458,
  'Asset Summary'!$B:$B,W$407
  )
  /W426,
0)</f>
        <v>0</v>
      </c>
      <c r="X458" s="36">
        <f>IFERROR(
  SUMIFS(
  'Asset Summary'!$E:$E,
  'Asset Summary'!$A:$A,$D458,
  'Asset Summary'!$B:$B,X$407
  )
  /X426,
0)</f>
        <v>0</v>
      </c>
      <c r="Y458" s="36">
        <f>IFERROR(
  SUMIFS(
  'Asset Summary'!$E:$E,
  'Asset Summary'!$A:$A,$D458,
  'Asset Summary'!$B:$B,Y$407
  )
  /Y426,
0)</f>
        <v>0</v>
      </c>
      <c r="Z458" s="36">
        <f>IFERROR(
  SUMIFS(
  'Asset Summary'!$E:$E,
  'Asset Summary'!$A:$A,$D458,
  'Asset Summary'!$B:$B,Z$407
  )
  /Z426,
0)</f>
        <v>0</v>
      </c>
      <c r="AA458" s="36">
        <f>IFERROR(
  SUMIFS(
  'Asset Summary'!$E:$E,
  'Asset Summary'!$A:$A,$D458,
  'Asset Summary'!$B:$B,AA$407
  )
  /AA426,
0)</f>
        <v>0</v>
      </c>
      <c r="AB458" s="36">
        <f>IFERROR(
  SUMIFS(
  'Asset Summary'!$E:$E,
  'Asset Summary'!$A:$A,$D458,
  'Asset Summary'!$B:$B,AB$407
  )
  /AB426,
0)</f>
        <v>0</v>
      </c>
      <c r="AC458" s="36">
        <f>IFERROR(
  SUMIFS(
  'Asset Summary'!$E:$E,
  'Asset Summary'!$A:$A,$D458,
  'Asset Summary'!$B:$B,AC$407
  )
  /AC426,
0)</f>
        <v>0</v>
      </c>
      <c r="AD458" s="36">
        <f>IFERROR(
  SUMIFS(
  'Asset Summary'!$E:$E,
  'Asset Summary'!$A:$A,$D458,
  'Asset Summary'!$B:$B,AD$407
  )
  /AD426,
0)</f>
        <v>0</v>
      </c>
      <c r="AH458" s="34" t="s">
        <v>422</v>
      </c>
    </row>
    <row r="459" spans="4:34" outlineLevel="1" x14ac:dyDescent="0.2">
      <c r="D459" s="8" t="s">
        <v>276</v>
      </c>
      <c r="E459" s="36">
        <f>IFERROR(
  SUMIFS(
  'Asset Summary'!$E:$E,
  'Asset Summary'!$A:$A,$D459,
  'Asset Summary'!$B:$B,E$407
  )
  /E427,
0)</f>
        <v>0</v>
      </c>
      <c r="F459" s="36">
        <f>IFERROR(
  SUMIFS(
  'Asset Summary'!$E:$E,
  'Asset Summary'!$A:$A,$D459,
  'Asset Summary'!$B:$B,F$407
  )
  /F427,
0)</f>
        <v>0</v>
      </c>
      <c r="G459" s="36">
        <f>IFERROR(
  SUMIFS(
  'Asset Summary'!$E:$E,
  'Asset Summary'!$A:$A,$D459,
  'Asset Summary'!$B:$B,G$407
  )
  /G427,
0)</f>
        <v>0</v>
      </c>
      <c r="H459" s="36">
        <f>IFERROR(
  SUMIFS(
  'Asset Summary'!$E:$E,
  'Asset Summary'!$A:$A,$D459,
  'Asset Summary'!$B:$B,H$407
  )
  /H427,
0)</f>
        <v>0</v>
      </c>
      <c r="I459" s="36">
        <f>IFERROR(
  SUMIFS(
  'Asset Summary'!$E:$E,
  'Asset Summary'!$A:$A,$D459,
  'Asset Summary'!$B:$B,I$407
  )
  /I427,
0)</f>
        <v>0</v>
      </c>
      <c r="J459" s="36">
        <f>IFERROR(
  SUMIFS(
  'Asset Summary'!$E:$E,
  'Asset Summary'!$A:$A,$D459,
  'Asset Summary'!$B:$B,J$407
  )
  /J427,
0)</f>
        <v>0</v>
      </c>
      <c r="K459" s="36">
        <f>IFERROR(
  SUMIFS(
  'Asset Summary'!$E:$E,
  'Asset Summary'!$A:$A,$D459,
  'Asset Summary'!$B:$B,K$407
  )
  /K427,
0)</f>
        <v>0</v>
      </c>
      <c r="L459" s="36">
        <f>IFERROR(
  SUMIFS(
  'Asset Summary'!$E:$E,
  'Asset Summary'!$A:$A,$D459,
  'Asset Summary'!$B:$B,L$407
  )
  /L427,
0)</f>
        <v>0</v>
      </c>
      <c r="M459" s="36">
        <f>IFERROR(
  SUMIFS(
  'Asset Summary'!$E:$E,
  'Asset Summary'!$A:$A,$D459,
  'Asset Summary'!$B:$B,M$407
  )
  /M427,
0)</f>
        <v>0</v>
      </c>
      <c r="N459" s="36">
        <f>IFERROR(
  SUMIFS(
  'Asset Summary'!$E:$E,
  'Asset Summary'!$A:$A,$D459,
  'Asset Summary'!$B:$B,N$407
  )
  /N427,
0)</f>
        <v>0</v>
      </c>
      <c r="O459" s="36">
        <f>IFERROR(
  SUMIFS(
  'Asset Summary'!$E:$E,
  'Asset Summary'!$A:$A,$D459,
  'Asset Summary'!$B:$B,O$407
  )
  /O427,
0)</f>
        <v>0</v>
      </c>
      <c r="P459" s="36">
        <f>IFERROR(
  SUMIFS(
  'Asset Summary'!$E:$E,
  'Asset Summary'!$A:$A,$D459,
  'Asset Summary'!$B:$B,P$407
  )
  /P427,
0)</f>
        <v>0</v>
      </c>
      <c r="Q459" s="36">
        <f>IFERROR(
  SUMIFS(
  'Asset Summary'!$E:$E,
  'Asset Summary'!$A:$A,$D459,
  'Asset Summary'!$B:$B,Q$407
  )
  /Q427,
0)</f>
        <v>0</v>
      </c>
      <c r="R459" s="36">
        <f>IFERROR(
  SUMIFS(
  'Asset Summary'!$E:$E,
  'Asset Summary'!$A:$A,$D459,
  'Asset Summary'!$B:$B,R$407
  )
  /R427,
0)</f>
        <v>0</v>
      </c>
      <c r="S459" s="36">
        <f>IFERROR(
  SUMIFS(
  'Asset Summary'!$E:$E,
  'Asset Summary'!$A:$A,$D459,
  'Asset Summary'!$B:$B,S$407
  )
  /S427,
0)</f>
        <v>0</v>
      </c>
      <c r="T459" s="36">
        <f>IFERROR(
  SUMIFS(
  'Asset Summary'!$E:$E,
  'Asset Summary'!$A:$A,$D459,
  'Asset Summary'!$B:$B,T$407
  )
  /T427,
0)</f>
        <v>0</v>
      </c>
      <c r="U459" s="36">
        <f>IFERROR(
  SUMIFS(
  'Asset Summary'!$E:$E,
  'Asset Summary'!$A:$A,$D459,
  'Asset Summary'!$B:$B,U$407
  )
  /U427,
0)</f>
        <v>0</v>
      </c>
      <c r="V459" s="36">
        <f>IFERROR(
  SUMIFS(
  'Asset Summary'!$E:$E,
  'Asset Summary'!$A:$A,$D459,
  'Asset Summary'!$B:$B,V$407
  )
  /V427,
0)</f>
        <v>0</v>
      </c>
      <c r="W459" s="36">
        <f>IFERROR(
  SUMIFS(
  'Asset Summary'!$E:$E,
  'Asset Summary'!$A:$A,$D459,
  'Asset Summary'!$B:$B,W$407
  )
  /W427,
0)</f>
        <v>0</v>
      </c>
      <c r="X459" s="36">
        <f>IFERROR(
  SUMIFS(
  'Asset Summary'!$E:$E,
  'Asset Summary'!$A:$A,$D459,
  'Asset Summary'!$B:$B,X$407
  )
  /X427,
0)</f>
        <v>0</v>
      </c>
      <c r="Y459" s="36">
        <f>IFERROR(
  SUMIFS(
  'Asset Summary'!$E:$E,
  'Asset Summary'!$A:$A,$D459,
  'Asset Summary'!$B:$B,Y$407
  )
  /Y427,
0)</f>
        <v>0</v>
      </c>
      <c r="Z459" s="36">
        <f>IFERROR(
  SUMIFS(
  'Asset Summary'!$E:$E,
  'Asset Summary'!$A:$A,$D459,
  'Asset Summary'!$B:$B,Z$407
  )
  /Z427,
0)</f>
        <v>0</v>
      </c>
      <c r="AA459" s="36">
        <f>IFERROR(
  SUMIFS(
  'Asset Summary'!$E:$E,
  'Asset Summary'!$A:$A,$D459,
  'Asset Summary'!$B:$B,AA$407
  )
  /AA427,
0)</f>
        <v>0</v>
      </c>
      <c r="AB459" s="36">
        <f>IFERROR(
  SUMIFS(
  'Asset Summary'!$E:$E,
  'Asset Summary'!$A:$A,$D459,
  'Asset Summary'!$B:$B,AB$407
  )
  /AB427,
0)</f>
        <v>0</v>
      </c>
      <c r="AC459" s="36">
        <f>IFERROR(
  SUMIFS(
  'Asset Summary'!$E:$E,
  'Asset Summary'!$A:$A,$D459,
  'Asset Summary'!$B:$B,AC$407
  )
  /AC427,
0)</f>
        <v>0</v>
      </c>
      <c r="AD459" s="36">
        <f>IFERROR(
  SUMIFS(
  'Asset Summary'!$E:$E,
  'Asset Summary'!$A:$A,$D459,
  'Asset Summary'!$B:$B,AD$407
  )
  /AD427,
0)</f>
        <v>0</v>
      </c>
      <c r="AH459" s="34" t="s">
        <v>422</v>
      </c>
    </row>
    <row r="460" spans="4:34" outlineLevel="1" x14ac:dyDescent="0.2">
      <c r="D460" s="8" t="s">
        <v>277</v>
      </c>
      <c r="E460" s="36">
        <f>IFERROR(
  SUMIFS(
  'Asset Summary'!$E:$E,
  'Asset Summary'!$A:$A,$D460,
  'Asset Summary'!$B:$B,E$407
  )
  /E428,
0)</f>
        <v>0</v>
      </c>
      <c r="F460" s="36">
        <f>IFERROR(
  SUMIFS(
  'Asset Summary'!$E:$E,
  'Asset Summary'!$A:$A,$D460,
  'Asset Summary'!$B:$B,F$407
  )
  /F428,
0)</f>
        <v>0</v>
      </c>
      <c r="G460" s="36">
        <f>IFERROR(
  SUMIFS(
  'Asset Summary'!$E:$E,
  'Asset Summary'!$A:$A,$D460,
  'Asset Summary'!$B:$B,G$407
  )
  /G428,
0)</f>
        <v>0</v>
      </c>
      <c r="H460" s="36">
        <f>IFERROR(
  SUMIFS(
  'Asset Summary'!$E:$E,
  'Asset Summary'!$A:$A,$D460,
  'Asset Summary'!$B:$B,H$407
  )
  /H428,
0)</f>
        <v>0</v>
      </c>
      <c r="I460" s="36">
        <f>IFERROR(
  SUMIFS(
  'Asset Summary'!$E:$E,
  'Asset Summary'!$A:$A,$D460,
  'Asset Summary'!$B:$B,I$407
  )
  /I428,
0)</f>
        <v>0</v>
      </c>
      <c r="J460" s="36">
        <f>IFERROR(
  SUMIFS(
  'Asset Summary'!$E:$E,
  'Asset Summary'!$A:$A,$D460,
  'Asset Summary'!$B:$B,J$407
  )
  /J428,
0)</f>
        <v>0</v>
      </c>
      <c r="K460" s="36">
        <f>IFERROR(
  SUMIFS(
  'Asset Summary'!$E:$E,
  'Asset Summary'!$A:$A,$D460,
  'Asset Summary'!$B:$B,K$407
  )
  /K428,
0)</f>
        <v>0</v>
      </c>
      <c r="L460" s="36">
        <f>IFERROR(
  SUMIFS(
  'Asset Summary'!$E:$E,
  'Asset Summary'!$A:$A,$D460,
  'Asset Summary'!$B:$B,L$407
  )
  /L428,
0)</f>
        <v>0</v>
      </c>
      <c r="M460" s="36">
        <f>IFERROR(
  SUMIFS(
  'Asset Summary'!$E:$E,
  'Asset Summary'!$A:$A,$D460,
  'Asset Summary'!$B:$B,M$407
  )
  /M428,
0)</f>
        <v>0</v>
      </c>
      <c r="N460" s="36">
        <f>IFERROR(
  SUMIFS(
  'Asset Summary'!$E:$E,
  'Asset Summary'!$A:$A,$D460,
  'Asset Summary'!$B:$B,N$407
  )
  /N428,
0)</f>
        <v>0</v>
      </c>
      <c r="O460" s="36">
        <f>IFERROR(
  SUMIFS(
  'Asset Summary'!$E:$E,
  'Asset Summary'!$A:$A,$D460,
  'Asset Summary'!$B:$B,O$407
  )
  /O428,
0)</f>
        <v>0</v>
      </c>
      <c r="P460" s="36">
        <f>IFERROR(
  SUMIFS(
  'Asset Summary'!$E:$E,
  'Asset Summary'!$A:$A,$D460,
  'Asset Summary'!$B:$B,P$407
  )
  /P428,
0)</f>
        <v>0</v>
      </c>
      <c r="Q460" s="36">
        <f>IFERROR(
  SUMIFS(
  'Asset Summary'!$E:$E,
  'Asset Summary'!$A:$A,$D460,
  'Asset Summary'!$B:$B,Q$407
  )
  /Q428,
0)</f>
        <v>0</v>
      </c>
      <c r="R460" s="36">
        <f>IFERROR(
  SUMIFS(
  'Asset Summary'!$E:$E,
  'Asset Summary'!$A:$A,$D460,
  'Asset Summary'!$B:$B,R$407
  )
  /R428,
0)</f>
        <v>0</v>
      </c>
      <c r="S460" s="36">
        <f>IFERROR(
  SUMIFS(
  'Asset Summary'!$E:$E,
  'Asset Summary'!$A:$A,$D460,
  'Asset Summary'!$B:$B,S$407
  )
  /S428,
0)</f>
        <v>0</v>
      </c>
      <c r="T460" s="36">
        <f>IFERROR(
  SUMIFS(
  'Asset Summary'!$E:$E,
  'Asset Summary'!$A:$A,$D460,
  'Asset Summary'!$B:$B,T$407
  )
  /T428,
0)</f>
        <v>0</v>
      </c>
      <c r="U460" s="36">
        <f>IFERROR(
  SUMIFS(
  'Asset Summary'!$E:$E,
  'Asset Summary'!$A:$A,$D460,
  'Asset Summary'!$B:$B,U$407
  )
  /U428,
0)</f>
        <v>0</v>
      </c>
      <c r="V460" s="36">
        <f>IFERROR(
  SUMIFS(
  'Asset Summary'!$E:$E,
  'Asset Summary'!$A:$A,$D460,
  'Asset Summary'!$B:$B,V$407
  )
  /V428,
0)</f>
        <v>0</v>
      </c>
      <c r="W460" s="36">
        <f>IFERROR(
  SUMIFS(
  'Asset Summary'!$E:$E,
  'Asset Summary'!$A:$A,$D460,
  'Asset Summary'!$B:$B,W$407
  )
  /W428,
0)</f>
        <v>0</v>
      </c>
      <c r="X460" s="36">
        <f>IFERROR(
  SUMIFS(
  'Asset Summary'!$E:$E,
  'Asset Summary'!$A:$A,$D460,
  'Asset Summary'!$B:$B,X$407
  )
  /X428,
0)</f>
        <v>0</v>
      </c>
      <c r="Y460" s="36">
        <f>IFERROR(
  SUMIFS(
  'Asset Summary'!$E:$E,
  'Asset Summary'!$A:$A,$D460,
  'Asset Summary'!$B:$B,Y$407
  )
  /Y428,
0)</f>
        <v>0</v>
      </c>
      <c r="Z460" s="36">
        <f>IFERROR(
  SUMIFS(
  'Asset Summary'!$E:$E,
  'Asset Summary'!$A:$A,$D460,
  'Asset Summary'!$B:$B,Z$407
  )
  /Z428,
0)</f>
        <v>0</v>
      </c>
      <c r="AA460" s="36">
        <f>IFERROR(
  SUMIFS(
  'Asset Summary'!$E:$E,
  'Asset Summary'!$A:$A,$D460,
  'Asset Summary'!$B:$B,AA$407
  )
  /AA428,
0)</f>
        <v>0</v>
      </c>
      <c r="AB460" s="36">
        <f>IFERROR(
  SUMIFS(
  'Asset Summary'!$E:$E,
  'Asset Summary'!$A:$A,$D460,
  'Asset Summary'!$B:$B,AB$407
  )
  /AB428,
0)</f>
        <v>0</v>
      </c>
      <c r="AC460" s="36">
        <f>IFERROR(
  SUMIFS(
  'Asset Summary'!$E:$E,
  'Asset Summary'!$A:$A,$D460,
  'Asset Summary'!$B:$B,AC$407
  )
  /AC428,
0)</f>
        <v>0</v>
      </c>
      <c r="AD460" s="36">
        <f>IFERROR(
  SUMIFS(
  'Asset Summary'!$E:$E,
  'Asset Summary'!$A:$A,$D460,
  'Asset Summary'!$B:$B,AD$407
  )
  /AD428,
0)</f>
        <v>0</v>
      </c>
      <c r="AH460" s="34" t="s">
        <v>422</v>
      </c>
    </row>
    <row r="461" spans="4:34" outlineLevel="1" x14ac:dyDescent="0.2">
      <c r="D461" s="8" t="s">
        <v>278</v>
      </c>
      <c r="E461" s="36">
        <f>IFERROR(
  SUMIFS(
  'Asset Summary'!$E:$E,
  'Asset Summary'!$A:$A,$D461,
  'Asset Summary'!$B:$B,E$407
  )
  /E429,
0)</f>
        <v>0</v>
      </c>
      <c r="F461" s="36">
        <f>IFERROR(
  SUMIFS(
  'Asset Summary'!$E:$E,
  'Asset Summary'!$A:$A,$D461,
  'Asset Summary'!$B:$B,F$407
  )
  /F429,
0)</f>
        <v>0</v>
      </c>
      <c r="G461" s="36">
        <f>IFERROR(
  SUMIFS(
  'Asset Summary'!$E:$E,
  'Asset Summary'!$A:$A,$D461,
  'Asset Summary'!$B:$B,G$407
  )
  /G429,
0)</f>
        <v>0</v>
      </c>
      <c r="H461" s="36">
        <f>IFERROR(
  SUMIFS(
  'Asset Summary'!$E:$E,
  'Asset Summary'!$A:$A,$D461,
  'Asset Summary'!$B:$B,H$407
  )
  /H429,
0)</f>
        <v>0</v>
      </c>
      <c r="I461" s="36">
        <f>IFERROR(
  SUMIFS(
  'Asset Summary'!$E:$E,
  'Asset Summary'!$A:$A,$D461,
  'Asset Summary'!$B:$B,I$407
  )
  /I429,
0)</f>
        <v>0</v>
      </c>
      <c r="J461" s="36">
        <f>IFERROR(
  SUMIFS(
  'Asset Summary'!$E:$E,
  'Asset Summary'!$A:$A,$D461,
  'Asset Summary'!$B:$B,J$407
  )
  /J429,
0)</f>
        <v>0</v>
      </c>
      <c r="K461" s="36">
        <f>IFERROR(
  SUMIFS(
  'Asset Summary'!$E:$E,
  'Asset Summary'!$A:$A,$D461,
  'Asset Summary'!$B:$B,K$407
  )
  /K429,
0)</f>
        <v>0</v>
      </c>
      <c r="L461" s="36">
        <f>IFERROR(
  SUMIFS(
  'Asset Summary'!$E:$E,
  'Asset Summary'!$A:$A,$D461,
  'Asset Summary'!$B:$B,L$407
  )
  /L429,
0)</f>
        <v>0</v>
      </c>
      <c r="M461" s="36">
        <f>IFERROR(
  SUMIFS(
  'Asset Summary'!$E:$E,
  'Asset Summary'!$A:$A,$D461,
  'Asset Summary'!$B:$B,M$407
  )
  /M429,
0)</f>
        <v>0</v>
      </c>
      <c r="N461" s="36">
        <f>IFERROR(
  SUMIFS(
  'Asset Summary'!$E:$E,
  'Asset Summary'!$A:$A,$D461,
  'Asset Summary'!$B:$B,N$407
  )
  /N429,
0)</f>
        <v>0</v>
      </c>
      <c r="O461" s="36">
        <f>IFERROR(
  SUMIFS(
  'Asset Summary'!$E:$E,
  'Asset Summary'!$A:$A,$D461,
  'Asset Summary'!$B:$B,O$407
  )
  /O429,
0)</f>
        <v>0</v>
      </c>
      <c r="P461" s="36">
        <f>IFERROR(
  SUMIFS(
  'Asset Summary'!$E:$E,
  'Asset Summary'!$A:$A,$D461,
  'Asset Summary'!$B:$B,P$407
  )
  /P429,
0)</f>
        <v>0</v>
      </c>
      <c r="Q461" s="36">
        <f>IFERROR(
  SUMIFS(
  'Asset Summary'!$E:$E,
  'Asset Summary'!$A:$A,$D461,
  'Asset Summary'!$B:$B,Q$407
  )
  /Q429,
0)</f>
        <v>0</v>
      </c>
      <c r="R461" s="36">
        <f>IFERROR(
  SUMIFS(
  'Asset Summary'!$E:$E,
  'Asset Summary'!$A:$A,$D461,
  'Asset Summary'!$B:$B,R$407
  )
  /R429,
0)</f>
        <v>0</v>
      </c>
      <c r="S461" s="36">
        <f>IFERROR(
  SUMIFS(
  'Asset Summary'!$E:$E,
  'Asset Summary'!$A:$A,$D461,
  'Asset Summary'!$B:$B,S$407
  )
  /S429,
0)</f>
        <v>0</v>
      </c>
      <c r="T461" s="36">
        <f>IFERROR(
  SUMIFS(
  'Asset Summary'!$E:$E,
  'Asset Summary'!$A:$A,$D461,
  'Asset Summary'!$B:$B,T$407
  )
  /T429,
0)</f>
        <v>0</v>
      </c>
      <c r="U461" s="36">
        <f>IFERROR(
  SUMIFS(
  'Asset Summary'!$E:$E,
  'Asset Summary'!$A:$A,$D461,
  'Asset Summary'!$B:$B,U$407
  )
  /U429,
0)</f>
        <v>0</v>
      </c>
      <c r="V461" s="36">
        <f>IFERROR(
  SUMIFS(
  'Asset Summary'!$E:$E,
  'Asset Summary'!$A:$A,$D461,
  'Asset Summary'!$B:$B,V$407
  )
  /V429,
0)</f>
        <v>0</v>
      </c>
      <c r="W461" s="36">
        <f>IFERROR(
  SUMIFS(
  'Asset Summary'!$E:$E,
  'Asset Summary'!$A:$A,$D461,
  'Asset Summary'!$B:$B,W$407
  )
  /W429,
0)</f>
        <v>0</v>
      </c>
      <c r="X461" s="36">
        <f>IFERROR(
  SUMIFS(
  'Asset Summary'!$E:$E,
  'Asset Summary'!$A:$A,$D461,
  'Asset Summary'!$B:$B,X$407
  )
  /X429,
0)</f>
        <v>0</v>
      </c>
      <c r="Y461" s="36">
        <f>IFERROR(
  SUMIFS(
  'Asset Summary'!$E:$E,
  'Asset Summary'!$A:$A,$D461,
  'Asset Summary'!$B:$B,Y$407
  )
  /Y429,
0)</f>
        <v>0</v>
      </c>
      <c r="Z461" s="36">
        <f>IFERROR(
  SUMIFS(
  'Asset Summary'!$E:$E,
  'Asset Summary'!$A:$A,$D461,
  'Asset Summary'!$B:$B,Z$407
  )
  /Z429,
0)</f>
        <v>0</v>
      </c>
      <c r="AA461" s="36">
        <f>IFERROR(
  SUMIFS(
  'Asset Summary'!$E:$E,
  'Asset Summary'!$A:$A,$D461,
  'Asset Summary'!$B:$B,AA$407
  )
  /AA429,
0)</f>
        <v>0</v>
      </c>
      <c r="AB461" s="36">
        <f>IFERROR(
  SUMIFS(
  'Asset Summary'!$E:$E,
  'Asset Summary'!$A:$A,$D461,
  'Asset Summary'!$B:$B,AB$407
  )
  /AB429,
0)</f>
        <v>0</v>
      </c>
      <c r="AC461" s="36">
        <f>IFERROR(
  SUMIFS(
  'Asset Summary'!$E:$E,
  'Asset Summary'!$A:$A,$D461,
  'Asset Summary'!$B:$B,AC$407
  )
  /AC429,
0)</f>
        <v>0</v>
      </c>
      <c r="AD461" s="36">
        <f>IFERROR(
  SUMIFS(
  'Asset Summary'!$E:$E,
  'Asset Summary'!$A:$A,$D461,
  'Asset Summary'!$B:$B,AD$407
  )
  /AD429,
0)</f>
        <v>1</v>
      </c>
      <c r="AH461" s="34" t="s">
        <v>422</v>
      </c>
    </row>
    <row r="462" spans="4:34" outlineLevel="1" x14ac:dyDescent="0.2">
      <c r="D462" s="8" t="s">
        <v>279</v>
      </c>
      <c r="E462" s="36">
        <f>IFERROR(
  SUMIFS(
  'Asset Summary'!$E:$E,
  'Asset Summary'!$A:$A,$D462,
  'Asset Summary'!$B:$B,E$407
  )
  /E430,
0)</f>
        <v>0</v>
      </c>
      <c r="F462" s="36">
        <f>IFERROR(
  SUMIFS(
  'Asset Summary'!$E:$E,
  'Asset Summary'!$A:$A,$D462,
  'Asset Summary'!$B:$B,F$407
  )
  /F430,
0)</f>
        <v>0</v>
      </c>
      <c r="G462" s="36">
        <f>IFERROR(
  SUMIFS(
  'Asset Summary'!$E:$E,
  'Asset Summary'!$A:$A,$D462,
  'Asset Summary'!$B:$B,G$407
  )
  /G430,
0)</f>
        <v>0</v>
      </c>
      <c r="H462" s="36">
        <f>IFERROR(
  SUMIFS(
  'Asset Summary'!$E:$E,
  'Asset Summary'!$A:$A,$D462,
  'Asset Summary'!$B:$B,H$407
  )
  /H430,
0)</f>
        <v>0</v>
      </c>
      <c r="I462" s="36">
        <f>IFERROR(
  SUMIFS(
  'Asset Summary'!$E:$E,
  'Asset Summary'!$A:$A,$D462,
  'Asset Summary'!$B:$B,I$407
  )
  /I430,
0)</f>
        <v>0</v>
      </c>
      <c r="J462" s="36">
        <f>IFERROR(
  SUMIFS(
  'Asset Summary'!$E:$E,
  'Asset Summary'!$A:$A,$D462,
  'Asset Summary'!$B:$B,J$407
  )
  /J430,
0)</f>
        <v>0</v>
      </c>
      <c r="K462" s="36">
        <f>IFERROR(
  SUMIFS(
  'Asset Summary'!$E:$E,
  'Asset Summary'!$A:$A,$D462,
  'Asset Summary'!$B:$B,K$407
  )
  /K430,
0)</f>
        <v>0</v>
      </c>
      <c r="L462" s="36">
        <f>IFERROR(
  SUMIFS(
  'Asset Summary'!$E:$E,
  'Asset Summary'!$A:$A,$D462,
  'Asset Summary'!$B:$B,L$407
  )
  /L430,
0)</f>
        <v>0</v>
      </c>
      <c r="M462" s="36">
        <f>IFERROR(
  SUMIFS(
  'Asset Summary'!$E:$E,
  'Asset Summary'!$A:$A,$D462,
  'Asset Summary'!$B:$B,M$407
  )
  /M430,
0)</f>
        <v>0</v>
      </c>
      <c r="N462" s="36">
        <f>IFERROR(
  SUMIFS(
  'Asset Summary'!$E:$E,
  'Asset Summary'!$A:$A,$D462,
  'Asset Summary'!$B:$B,N$407
  )
  /N430,
0)</f>
        <v>0</v>
      </c>
      <c r="O462" s="36">
        <f>IFERROR(
  SUMIFS(
  'Asset Summary'!$E:$E,
  'Asset Summary'!$A:$A,$D462,
  'Asset Summary'!$B:$B,O$407
  )
  /O430,
0)</f>
        <v>0</v>
      </c>
      <c r="P462" s="36">
        <f>IFERROR(
  SUMIFS(
  'Asset Summary'!$E:$E,
  'Asset Summary'!$A:$A,$D462,
  'Asset Summary'!$B:$B,P$407
  )
  /P430,
0)</f>
        <v>0</v>
      </c>
      <c r="Q462" s="36">
        <f>IFERROR(
  SUMIFS(
  'Asset Summary'!$E:$E,
  'Asset Summary'!$A:$A,$D462,
  'Asset Summary'!$B:$B,Q$407
  )
  /Q430,
0)</f>
        <v>0</v>
      </c>
      <c r="R462" s="36">
        <f>IFERROR(
  SUMIFS(
  'Asset Summary'!$E:$E,
  'Asset Summary'!$A:$A,$D462,
  'Asset Summary'!$B:$B,R$407
  )
  /R430,
0)</f>
        <v>0</v>
      </c>
      <c r="S462" s="36">
        <f>IFERROR(
  SUMIFS(
  'Asset Summary'!$E:$E,
  'Asset Summary'!$A:$A,$D462,
  'Asset Summary'!$B:$B,S$407
  )
  /S430,
0)</f>
        <v>0</v>
      </c>
      <c r="T462" s="36">
        <f>IFERROR(
  SUMIFS(
  'Asset Summary'!$E:$E,
  'Asset Summary'!$A:$A,$D462,
  'Asset Summary'!$B:$B,T$407
  )
  /T430,
0)</f>
        <v>0</v>
      </c>
      <c r="U462" s="36">
        <f>IFERROR(
  SUMIFS(
  'Asset Summary'!$E:$E,
  'Asset Summary'!$A:$A,$D462,
  'Asset Summary'!$B:$B,U$407
  )
  /U430,
0)</f>
        <v>0</v>
      </c>
      <c r="V462" s="36">
        <f>IFERROR(
  SUMIFS(
  'Asset Summary'!$E:$E,
  'Asset Summary'!$A:$A,$D462,
  'Asset Summary'!$B:$B,V$407
  )
  /V430,
0)</f>
        <v>0</v>
      </c>
      <c r="W462" s="36">
        <f>IFERROR(
  SUMIFS(
  'Asset Summary'!$E:$E,
  'Asset Summary'!$A:$A,$D462,
  'Asset Summary'!$B:$B,W$407
  )
  /W430,
0)</f>
        <v>0</v>
      </c>
      <c r="X462" s="36">
        <f>IFERROR(
  SUMIFS(
  'Asset Summary'!$E:$E,
  'Asset Summary'!$A:$A,$D462,
  'Asset Summary'!$B:$B,X$407
  )
  /X430,
0)</f>
        <v>0</v>
      </c>
      <c r="Y462" s="36">
        <f>IFERROR(
  SUMIFS(
  'Asset Summary'!$E:$E,
  'Asset Summary'!$A:$A,$D462,
  'Asset Summary'!$B:$B,Y$407
  )
  /Y430,
0)</f>
        <v>0</v>
      </c>
      <c r="Z462" s="36">
        <f>IFERROR(
  SUMIFS(
  'Asset Summary'!$E:$E,
  'Asset Summary'!$A:$A,$D462,
  'Asset Summary'!$B:$B,Z$407
  )
  /Z430,
0)</f>
        <v>0</v>
      </c>
      <c r="AA462" s="36">
        <f>IFERROR(
  SUMIFS(
  'Asset Summary'!$E:$E,
  'Asset Summary'!$A:$A,$D462,
  'Asset Summary'!$B:$B,AA$407
  )
  /AA430,
0)</f>
        <v>0</v>
      </c>
      <c r="AB462" s="36">
        <f>IFERROR(
  SUMIFS(
  'Asset Summary'!$E:$E,
  'Asset Summary'!$A:$A,$D462,
  'Asset Summary'!$B:$B,AB$407
  )
  /AB430,
0)</f>
        <v>0</v>
      </c>
      <c r="AC462" s="36">
        <f>IFERROR(
  SUMIFS(
  'Asset Summary'!$E:$E,
  'Asset Summary'!$A:$A,$D462,
  'Asset Summary'!$B:$B,AC$407
  )
  /AC430,
0)</f>
        <v>0</v>
      </c>
      <c r="AD462" s="36">
        <f>IFERROR(
  SUMIFS(
  'Asset Summary'!$E:$E,
  'Asset Summary'!$A:$A,$D462,
  'Asset Summary'!$B:$B,AD$407
  )
  /AD430,
0)</f>
        <v>0</v>
      </c>
      <c r="AH462" s="34" t="s">
        <v>422</v>
      </c>
    </row>
    <row r="463" spans="4:34" outlineLevel="1" x14ac:dyDescent="0.2">
      <c r="D463" s="8" t="s">
        <v>280</v>
      </c>
      <c r="E463" s="36">
        <f>IFERROR(
  SUMIFS(
  'Asset Summary'!$E:$E,
  'Asset Summary'!$A:$A,$D463,
  'Asset Summary'!$B:$B,E$407
  )
  /E431,
0)</f>
        <v>0</v>
      </c>
      <c r="F463" s="36">
        <f>IFERROR(
  SUMIFS(
  'Asset Summary'!$E:$E,
  'Asset Summary'!$A:$A,$D463,
  'Asset Summary'!$B:$B,F$407
  )
  /F431,
0)</f>
        <v>0</v>
      </c>
      <c r="G463" s="36">
        <f>IFERROR(
  SUMIFS(
  'Asset Summary'!$E:$E,
  'Asset Summary'!$A:$A,$D463,
  'Asset Summary'!$B:$B,G$407
  )
  /G431,
0)</f>
        <v>0</v>
      </c>
      <c r="H463" s="36">
        <f>IFERROR(
  SUMIFS(
  'Asset Summary'!$E:$E,
  'Asset Summary'!$A:$A,$D463,
  'Asset Summary'!$B:$B,H$407
  )
  /H431,
0)</f>
        <v>0</v>
      </c>
      <c r="I463" s="36">
        <f>IFERROR(
  SUMIFS(
  'Asset Summary'!$E:$E,
  'Asset Summary'!$A:$A,$D463,
  'Asset Summary'!$B:$B,I$407
  )
  /I431,
0)</f>
        <v>0</v>
      </c>
      <c r="J463" s="36">
        <f>IFERROR(
  SUMIFS(
  'Asset Summary'!$E:$E,
  'Asset Summary'!$A:$A,$D463,
  'Asset Summary'!$B:$B,J$407
  )
  /J431,
0)</f>
        <v>0</v>
      </c>
      <c r="K463" s="36">
        <f>IFERROR(
  SUMIFS(
  'Asset Summary'!$E:$E,
  'Asset Summary'!$A:$A,$D463,
  'Asset Summary'!$B:$B,K$407
  )
  /K431,
0)</f>
        <v>0</v>
      </c>
      <c r="L463" s="36">
        <f>IFERROR(
  SUMIFS(
  'Asset Summary'!$E:$E,
  'Asset Summary'!$A:$A,$D463,
  'Asset Summary'!$B:$B,L$407
  )
  /L431,
0)</f>
        <v>0</v>
      </c>
      <c r="M463" s="36">
        <f>IFERROR(
  SUMIFS(
  'Asset Summary'!$E:$E,
  'Asset Summary'!$A:$A,$D463,
  'Asset Summary'!$B:$B,M$407
  )
  /M431,
0)</f>
        <v>0</v>
      </c>
      <c r="N463" s="36">
        <f>IFERROR(
  SUMIFS(
  'Asset Summary'!$E:$E,
  'Asset Summary'!$A:$A,$D463,
  'Asset Summary'!$B:$B,N$407
  )
  /N431,
0)</f>
        <v>0</v>
      </c>
      <c r="O463" s="36">
        <f>IFERROR(
  SUMIFS(
  'Asset Summary'!$E:$E,
  'Asset Summary'!$A:$A,$D463,
  'Asset Summary'!$B:$B,O$407
  )
  /O431,
0)</f>
        <v>0</v>
      </c>
      <c r="P463" s="36">
        <f>IFERROR(
  SUMIFS(
  'Asset Summary'!$E:$E,
  'Asset Summary'!$A:$A,$D463,
  'Asset Summary'!$B:$B,P$407
  )
  /P431,
0)</f>
        <v>0</v>
      </c>
      <c r="Q463" s="36">
        <f>IFERROR(
  SUMIFS(
  'Asset Summary'!$E:$E,
  'Asset Summary'!$A:$A,$D463,
  'Asset Summary'!$B:$B,Q$407
  )
  /Q431,
0)</f>
        <v>0</v>
      </c>
      <c r="R463" s="36">
        <f>IFERROR(
  SUMIFS(
  'Asset Summary'!$E:$E,
  'Asset Summary'!$A:$A,$D463,
  'Asset Summary'!$B:$B,R$407
  )
  /R431,
0)</f>
        <v>0</v>
      </c>
      <c r="S463" s="36">
        <f>IFERROR(
  SUMIFS(
  'Asset Summary'!$E:$E,
  'Asset Summary'!$A:$A,$D463,
  'Asset Summary'!$B:$B,S$407
  )
  /S431,
0)</f>
        <v>0</v>
      </c>
      <c r="T463" s="36">
        <f>IFERROR(
  SUMIFS(
  'Asset Summary'!$E:$E,
  'Asset Summary'!$A:$A,$D463,
  'Asset Summary'!$B:$B,T$407
  )
  /T431,
0)</f>
        <v>0</v>
      </c>
      <c r="U463" s="36">
        <f>IFERROR(
  SUMIFS(
  'Asset Summary'!$E:$E,
  'Asset Summary'!$A:$A,$D463,
  'Asset Summary'!$B:$B,U$407
  )
  /U431,
0)</f>
        <v>0</v>
      </c>
      <c r="V463" s="36">
        <f>IFERROR(
  SUMIFS(
  'Asset Summary'!$E:$E,
  'Asset Summary'!$A:$A,$D463,
  'Asset Summary'!$B:$B,V$407
  )
  /V431,
0)</f>
        <v>0</v>
      </c>
      <c r="W463" s="36">
        <f>IFERROR(
  SUMIFS(
  'Asset Summary'!$E:$E,
  'Asset Summary'!$A:$A,$D463,
  'Asset Summary'!$B:$B,W$407
  )
  /W431,
0)</f>
        <v>0</v>
      </c>
      <c r="X463" s="36">
        <f>IFERROR(
  SUMIFS(
  'Asset Summary'!$E:$E,
  'Asset Summary'!$A:$A,$D463,
  'Asset Summary'!$B:$B,X$407
  )
  /X431,
0)</f>
        <v>0</v>
      </c>
      <c r="Y463" s="36">
        <f>IFERROR(
  SUMIFS(
  'Asset Summary'!$E:$E,
  'Asset Summary'!$A:$A,$D463,
  'Asset Summary'!$B:$B,Y$407
  )
  /Y431,
0)</f>
        <v>0</v>
      </c>
      <c r="Z463" s="36">
        <f>IFERROR(
  SUMIFS(
  'Asset Summary'!$E:$E,
  'Asset Summary'!$A:$A,$D463,
  'Asset Summary'!$B:$B,Z$407
  )
  /Z431,
0)</f>
        <v>0</v>
      </c>
      <c r="AA463" s="36">
        <f>IFERROR(
  SUMIFS(
  'Asset Summary'!$E:$E,
  'Asset Summary'!$A:$A,$D463,
  'Asset Summary'!$B:$B,AA$407
  )
  /AA431,
0)</f>
        <v>0</v>
      </c>
      <c r="AB463" s="36">
        <f>IFERROR(
  SUMIFS(
  'Asset Summary'!$E:$E,
  'Asset Summary'!$A:$A,$D463,
  'Asset Summary'!$B:$B,AB$407
  )
  /AB431,
0)</f>
        <v>0</v>
      </c>
      <c r="AC463" s="36">
        <f>IFERROR(
  SUMIFS(
  'Asset Summary'!$E:$E,
  'Asset Summary'!$A:$A,$D463,
  'Asset Summary'!$B:$B,AC$407
  )
  /AC431,
0)</f>
        <v>0</v>
      </c>
      <c r="AD463" s="36">
        <f>IFERROR(
  SUMIFS(
  'Asset Summary'!$E:$E,
  'Asset Summary'!$A:$A,$D463,
  'Asset Summary'!$B:$B,AD$407
  )
  /AD431,
0)</f>
        <v>1</v>
      </c>
      <c r="AH463" s="34" t="s">
        <v>422</v>
      </c>
    </row>
    <row r="464" spans="4:34" outlineLevel="1" x14ac:dyDescent="0.2">
      <c r="D464" s="8" t="s">
        <v>281</v>
      </c>
      <c r="E464" s="36">
        <f>IFERROR(
  SUMIFS(
  'Asset Summary'!$E:$E,
  'Asset Summary'!$A:$A,$D464,
  'Asset Summary'!$B:$B,E$407
  )
  /E432,
0)</f>
        <v>0</v>
      </c>
      <c r="F464" s="36">
        <f>IFERROR(
  SUMIFS(
  'Asset Summary'!$E:$E,
  'Asset Summary'!$A:$A,$D464,
  'Asset Summary'!$B:$B,F$407
  )
  /F432,
0)</f>
        <v>0</v>
      </c>
      <c r="G464" s="36">
        <f>IFERROR(
  SUMIFS(
  'Asset Summary'!$E:$E,
  'Asset Summary'!$A:$A,$D464,
  'Asset Summary'!$B:$B,G$407
  )
  /G432,
0)</f>
        <v>0</v>
      </c>
      <c r="H464" s="36">
        <f>IFERROR(
  SUMIFS(
  'Asset Summary'!$E:$E,
  'Asset Summary'!$A:$A,$D464,
  'Asset Summary'!$B:$B,H$407
  )
  /H432,
0)</f>
        <v>0</v>
      </c>
      <c r="I464" s="36">
        <f>IFERROR(
  SUMIFS(
  'Asset Summary'!$E:$E,
  'Asset Summary'!$A:$A,$D464,
  'Asset Summary'!$B:$B,I$407
  )
  /I432,
0)</f>
        <v>0</v>
      </c>
      <c r="J464" s="36">
        <f>IFERROR(
  SUMIFS(
  'Asset Summary'!$E:$E,
  'Asset Summary'!$A:$A,$D464,
  'Asset Summary'!$B:$B,J$407
  )
  /J432,
0)</f>
        <v>0</v>
      </c>
      <c r="K464" s="36">
        <f>IFERROR(
  SUMIFS(
  'Asset Summary'!$E:$E,
  'Asset Summary'!$A:$A,$D464,
  'Asset Summary'!$B:$B,K$407
  )
  /K432,
0)</f>
        <v>0</v>
      </c>
      <c r="L464" s="36">
        <f>IFERROR(
  SUMIFS(
  'Asset Summary'!$E:$E,
  'Asset Summary'!$A:$A,$D464,
  'Asset Summary'!$B:$B,L$407
  )
  /L432,
0)</f>
        <v>0</v>
      </c>
      <c r="M464" s="36">
        <f>IFERROR(
  SUMIFS(
  'Asset Summary'!$E:$E,
  'Asset Summary'!$A:$A,$D464,
  'Asset Summary'!$B:$B,M$407
  )
  /M432,
0)</f>
        <v>0</v>
      </c>
      <c r="N464" s="36">
        <f>IFERROR(
  SUMIFS(
  'Asset Summary'!$E:$E,
  'Asset Summary'!$A:$A,$D464,
  'Asset Summary'!$B:$B,N$407
  )
  /N432,
0)</f>
        <v>0</v>
      </c>
      <c r="O464" s="36">
        <f>IFERROR(
  SUMIFS(
  'Asset Summary'!$E:$E,
  'Asset Summary'!$A:$A,$D464,
  'Asset Summary'!$B:$B,O$407
  )
  /O432,
0)</f>
        <v>0</v>
      </c>
      <c r="P464" s="36">
        <f>IFERROR(
  SUMIFS(
  'Asset Summary'!$E:$E,
  'Asset Summary'!$A:$A,$D464,
  'Asset Summary'!$B:$B,P$407
  )
  /P432,
0)</f>
        <v>0</v>
      </c>
      <c r="Q464" s="36">
        <f>IFERROR(
  SUMIFS(
  'Asset Summary'!$E:$E,
  'Asset Summary'!$A:$A,$D464,
  'Asset Summary'!$B:$B,Q$407
  )
  /Q432,
0)</f>
        <v>0</v>
      </c>
      <c r="R464" s="36">
        <f>IFERROR(
  SUMIFS(
  'Asset Summary'!$E:$E,
  'Asset Summary'!$A:$A,$D464,
  'Asset Summary'!$B:$B,R$407
  )
  /R432,
0)</f>
        <v>0</v>
      </c>
      <c r="S464" s="36">
        <f>IFERROR(
  SUMIFS(
  'Asset Summary'!$E:$E,
  'Asset Summary'!$A:$A,$D464,
  'Asset Summary'!$B:$B,S$407
  )
  /S432,
0)</f>
        <v>0</v>
      </c>
      <c r="T464" s="36">
        <f>IFERROR(
  SUMIFS(
  'Asset Summary'!$E:$E,
  'Asset Summary'!$A:$A,$D464,
  'Asset Summary'!$B:$B,T$407
  )
  /T432,
0)</f>
        <v>0</v>
      </c>
      <c r="U464" s="36">
        <f>IFERROR(
  SUMIFS(
  'Asset Summary'!$E:$E,
  'Asset Summary'!$A:$A,$D464,
  'Asset Summary'!$B:$B,U$407
  )
  /U432,
0)</f>
        <v>0</v>
      </c>
      <c r="V464" s="36">
        <f>IFERROR(
  SUMIFS(
  'Asset Summary'!$E:$E,
  'Asset Summary'!$A:$A,$D464,
  'Asset Summary'!$B:$B,V$407
  )
  /V432,
0)</f>
        <v>0</v>
      </c>
      <c r="W464" s="36">
        <f>IFERROR(
  SUMIFS(
  'Asset Summary'!$E:$E,
  'Asset Summary'!$A:$A,$D464,
  'Asset Summary'!$B:$B,W$407
  )
  /W432,
0)</f>
        <v>0</v>
      </c>
      <c r="X464" s="36">
        <f>IFERROR(
  SUMIFS(
  'Asset Summary'!$E:$E,
  'Asset Summary'!$A:$A,$D464,
  'Asset Summary'!$B:$B,X$407
  )
  /X432,
0)</f>
        <v>0</v>
      </c>
      <c r="Y464" s="36">
        <f>IFERROR(
  SUMIFS(
  'Asset Summary'!$E:$E,
  'Asset Summary'!$A:$A,$D464,
  'Asset Summary'!$B:$B,Y$407
  )
  /Y432,
0)</f>
        <v>0</v>
      </c>
      <c r="Z464" s="36">
        <f>IFERROR(
  SUMIFS(
  'Asset Summary'!$E:$E,
  'Asset Summary'!$A:$A,$D464,
  'Asset Summary'!$B:$B,Z$407
  )
  /Z432,
0)</f>
        <v>0</v>
      </c>
      <c r="AA464" s="36">
        <f>IFERROR(
  SUMIFS(
  'Asset Summary'!$E:$E,
  'Asset Summary'!$A:$A,$D464,
  'Asset Summary'!$B:$B,AA$407
  )
  /AA432,
0)</f>
        <v>0</v>
      </c>
      <c r="AB464" s="36">
        <f>IFERROR(
  SUMIFS(
  'Asset Summary'!$E:$E,
  'Asset Summary'!$A:$A,$D464,
  'Asset Summary'!$B:$B,AB$407
  )
  /AB432,
0)</f>
        <v>0</v>
      </c>
      <c r="AC464" s="36">
        <f>IFERROR(
  SUMIFS(
  'Asset Summary'!$E:$E,
  'Asset Summary'!$A:$A,$D464,
  'Asset Summary'!$B:$B,AC$407
  )
  /AC432,
0)</f>
        <v>0</v>
      </c>
      <c r="AD464" s="36">
        <f>IFERROR(
  SUMIFS(
  'Asset Summary'!$E:$E,
  'Asset Summary'!$A:$A,$D464,
  'Asset Summary'!$B:$B,AD$407
  )
  /AD432,
0)</f>
        <v>0</v>
      </c>
      <c r="AH464" s="34" t="s">
        <v>422</v>
      </c>
    </row>
    <row r="465" spans="4:34" outlineLevel="1" x14ac:dyDescent="0.2">
      <c r="D465" s="8" t="s">
        <v>282</v>
      </c>
      <c r="E465" s="36">
        <f>IFERROR(
  SUMIFS(
  'Asset Summary'!$E:$E,
  'Asset Summary'!$A:$A,$D465,
  'Asset Summary'!$B:$B,E$407
  )
  /E433,
0)</f>
        <v>0</v>
      </c>
      <c r="F465" s="36">
        <f>IFERROR(
  SUMIFS(
  'Asset Summary'!$E:$E,
  'Asset Summary'!$A:$A,$D465,
  'Asset Summary'!$B:$B,F$407
  )
  /F433,
0)</f>
        <v>0</v>
      </c>
      <c r="G465" s="36">
        <f>IFERROR(
  SUMIFS(
  'Asset Summary'!$E:$E,
  'Asset Summary'!$A:$A,$D465,
  'Asset Summary'!$B:$B,G$407
  )
  /G433,
0)</f>
        <v>0</v>
      </c>
      <c r="H465" s="36">
        <f>IFERROR(
  SUMIFS(
  'Asset Summary'!$E:$E,
  'Asset Summary'!$A:$A,$D465,
  'Asset Summary'!$B:$B,H$407
  )
  /H433,
0)</f>
        <v>0</v>
      </c>
      <c r="I465" s="36">
        <f>IFERROR(
  SUMIFS(
  'Asset Summary'!$E:$E,
  'Asset Summary'!$A:$A,$D465,
  'Asset Summary'!$B:$B,I$407
  )
  /I433,
0)</f>
        <v>0</v>
      </c>
      <c r="J465" s="36">
        <f>IFERROR(
  SUMIFS(
  'Asset Summary'!$E:$E,
  'Asset Summary'!$A:$A,$D465,
  'Asset Summary'!$B:$B,J$407
  )
  /J433,
0)</f>
        <v>0</v>
      </c>
      <c r="K465" s="36">
        <f>IFERROR(
  SUMIFS(
  'Asset Summary'!$E:$E,
  'Asset Summary'!$A:$A,$D465,
  'Asset Summary'!$B:$B,K$407
  )
  /K433,
0)</f>
        <v>0</v>
      </c>
      <c r="L465" s="36">
        <f>IFERROR(
  SUMIFS(
  'Asset Summary'!$E:$E,
  'Asset Summary'!$A:$A,$D465,
  'Asset Summary'!$B:$B,L$407
  )
  /L433,
0)</f>
        <v>0</v>
      </c>
      <c r="M465" s="36">
        <f>IFERROR(
  SUMIFS(
  'Asset Summary'!$E:$E,
  'Asset Summary'!$A:$A,$D465,
  'Asset Summary'!$B:$B,M$407
  )
  /M433,
0)</f>
        <v>0</v>
      </c>
      <c r="N465" s="36">
        <f>IFERROR(
  SUMIFS(
  'Asset Summary'!$E:$E,
  'Asset Summary'!$A:$A,$D465,
  'Asset Summary'!$B:$B,N$407
  )
  /N433,
0)</f>
        <v>0</v>
      </c>
      <c r="O465" s="36">
        <f>IFERROR(
  SUMIFS(
  'Asset Summary'!$E:$E,
  'Asset Summary'!$A:$A,$D465,
  'Asset Summary'!$B:$B,O$407
  )
  /O433,
0)</f>
        <v>0</v>
      </c>
      <c r="P465" s="36">
        <f>IFERROR(
  SUMIFS(
  'Asset Summary'!$E:$E,
  'Asset Summary'!$A:$A,$D465,
  'Asset Summary'!$B:$B,P$407
  )
  /P433,
0)</f>
        <v>0</v>
      </c>
      <c r="Q465" s="36">
        <f>IFERROR(
  SUMIFS(
  'Asset Summary'!$E:$E,
  'Asset Summary'!$A:$A,$D465,
  'Asset Summary'!$B:$B,Q$407
  )
  /Q433,
0)</f>
        <v>0</v>
      </c>
      <c r="R465" s="36">
        <f>IFERROR(
  SUMIFS(
  'Asset Summary'!$E:$E,
  'Asset Summary'!$A:$A,$D465,
  'Asset Summary'!$B:$B,R$407
  )
  /R433,
0)</f>
        <v>0</v>
      </c>
      <c r="S465" s="36">
        <f>IFERROR(
  SUMIFS(
  'Asset Summary'!$E:$E,
  'Asset Summary'!$A:$A,$D465,
  'Asset Summary'!$B:$B,S$407
  )
  /S433,
0)</f>
        <v>0</v>
      </c>
      <c r="T465" s="36">
        <f>IFERROR(
  SUMIFS(
  'Asset Summary'!$E:$E,
  'Asset Summary'!$A:$A,$D465,
  'Asset Summary'!$B:$B,T$407
  )
  /T433,
0)</f>
        <v>0</v>
      </c>
      <c r="U465" s="36">
        <f>IFERROR(
  SUMIFS(
  'Asset Summary'!$E:$E,
  'Asset Summary'!$A:$A,$D465,
  'Asset Summary'!$B:$B,U$407
  )
  /U433,
0)</f>
        <v>0</v>
      </c>
      <c r="V465" s="36">
        <f>IFERROR(
  SUMIFS(
  'Asset Summary'!$E:$E,
  'Asset Summary'!$A:$A,$D465,
  'Asset Summary'!$B:$B,V$407
  )
  /V433,
0)</f>
        <v>0</v>
      </c>
      <c r="W465" s="36">
        <f>IFERROR(
  SUMIFS(
  'Asset Summary'!$E:$E,
  'Asset Summary'!$A:$A,$D465,
  'Asset Summary'!$B:$B,W$407
  )
  /W433,
0)</f>
        <v>0</v>
      </c>
      <c r="X465" s="36">
        <f>IFERROR(
  SUMIFS(
  'Asset Summary'!$E:$E,
  'Asset Summary'!$A:$A,$D465,
  'Asset Summary'!$B:$B,X$407
  )
  /X433,
0)</f>
        <v>0</v>
      </c>
      <c r="Y465" s="36">
        <f>IFERROR(
  SUMIFS(
  'Asset Summary'!$E:$E,
  'Asset Summary'!$A:$A,$D465,
  'Asset Summary'!$B:$B,Y$407
  )
  /Y433,
0)</f>
        <v>0</v>
      </c>
      <c r="Z465" s="36">
        <f>IFERROR(
  SUMIFS(
  'Asset Summary'!$E:$E,
  'Asset Summary'!$A:$A,$D465,
  'Asset Summary'!$B:$B,Z$407
  )
  /Z433,
0)</f>
        <v>0</v>
      </c>
      <c r="AA465" s="36">
        <f>IFERROR(
  SUMIFS(
  'Asset Summary'!$E:$E,
  'Asset Summary'!$A:$A,$D465,
  'Asset Summary'!$B:$B,AA$407
  )
  /AA433,
0)</f>
        <v>0</v>
      </c>
      <c r="AB465" s="36">
        <f>IFERROR(
  SUMIFS(
  'Asset Summary'!$E:$E,
  'Asset Summary'!$A:$A,$D465,
  'Asset Summary'!$B:$B,AB$407
  )
  /AB433,
0)</f>
        <v>0</v>
      </c>
      <c r="AC465" s="36">
        <f>IFERROR(
  SUMIFS(
  'Asset Summary'!$E:$E,
  'Asset Summary'!$A:$A,$D465,
  'Asset Summary'!$B:$B,AC$407
  )
  /AC433,
0)</f>
        <v>0</v>
      </c>
      <c r="AD465" s="36">
        <f>IFERROR(
  SUMIFS(
  'Asset Summary'!$E:$E,
  'Asset Summary'!$A:$A,$D465,
  'Asset Summary'!$B:$B,AD$407
  )
  /AD433,
0)</f>
        <v>0</v>
      </c>
      <c r="AH465" s="34" t="s">
        <v>422</v>
      </c>
    </row>
    <row r="466" spans="4:34" outlineLevel="1" x14ac:dyDescent="0.2">
      <c r="D466" s="8" t="s">
        <v>283</v>
      </c>
      <c r="E466" s="36">
        <f>IFERROR(
  SUMIFS(
  'Asset Summary'!$E:$E,
  'Asset Summary'!$A:$A,$D466,
  'Asset Summary'!$B:$B,E$407
  )
  /E434,
0)</f>
        <v>0</v>
      </c>
      <c r="F466" s="36">
        <f>IFERROR(
  SUMIFS(
  'Asset Summary'!$E:$E,
  'Asset Summary'!$A:$A,$D466,
  'Asset Summary'!$B:$B,F$407
  )
  /F434,
0)</f>
        <v>0</v>
      </c>
      <c r="G466" s="36">
        <f>IFERROR(
  SUMIFS(
  'Asset Summary'!$E:$E,
  'Asset Summary'!$A:$A,$D466,
  'Asset Summary'!$B:$B,G$407
  )
  /G434,
0)</f>
        <v>0</v>
      </c>
      <c r="H466" s="36">
        <f>IFERROR(
  SUMIFS(
  'Asset Summary'!$E:$E,
  'Asset Summary'!$A:$A,$D466,
  'Asset Summary'!$B:$B,H$407
  )
  /H434,
0)</f>
        <v>0</v>
      </c>
      <c r="I466" s="36">
        <f>IFERROR(
  SUMIFS(
  'Asset Summary'!$E:$E,
  'Asset Summary'!$A:$A,$D466,
  'Asset Summary'!$B:$B,I$407
  )
  /I434,
0)</f>
        <v>0</v>
      </c>
      <c r="J466" s="36">
        <f>IFERROR(
  SUMIFS(
  'Asset Summary'!$E:$E,
  'Asset Summary'!$A:$A,$D466,
  'Asset Summary'!$B:$B,J$407
  )
  /J434,
0)</f>
        <v>0</v>
      </c>
      <c r="K466" s="36">
        <f>IFERROR(
  SUMIFS(
  'Asset Summary'!$E:$E,
  'Asset Summary'!$A:$A,$D466,
  'Asset Summary'!$B:$B,K$407
  )
  /K434,
0)</f>
        <v>0</v>
      </c>
      <c r="L466" s="36">
        <f>IFERROR(
  SUMIFS(
  'Asset Summary'!$E:$E,
  'Asset Summary'!$A:$A,$D466,
  'Asset Summary'!$B:$B,L$407
  )
  /L434,
0)</f>
        <v>0</v>
      </c>
      <c r="M466" s="36">
        <f>IFERROR(
  SUMIFS(
  'Asset Summary'!$E:$E,
  'Asset Summary'!$A:$A,$D466,
  'Asset Summary'!$B:$B,M$407
  )
  /M434,
0)</f>
        <v>0</v>
      </c>
      <c r="N466" s="36">
        <f>IFERROR(
  SUMIFS(
  'Asset Summary'!$E:$E,
  'Asset Summary'!$A:$A,$D466,
  'Asset Summary'!$B:$B,N$407
  )
  /N434,
0)</f>
        <v>0</v>
      </c>
      <c r="O466" s="36">
        <f>IFERROR(
  SUMIFS(
  'Asset Summary'!$E:$E,
  'Asset Summary'!$A:$A,$D466,
  'Asset Summary'!$B:$B,O$407
  )
  /O434,
0)</f>
        <v>0</v>
      </c>
      <c r="P466" s="36">
        <f>IFERROR(
  SUMIFS(
  'Asset Summary'!$E:$E,
  'Asset Summary'!$A:$A,$D466,
  'Asset Summary'!$B:$B,P$407
  )
  /P434,
0)</f>
        <v>0</v>
      </c>
      <c r="Q466" s="36">
        <f>IFERROR(
  SUMIFS(
  'Asset Summary'!$E:$E,
  'Asset Summary'!$A:$A,$D466,
  'Asset Summary'!$B:$B,Q$407
  )
  /Q434,
0)</f>
        <v>0</v>
      </c>
      <c r="R466" s="36">
        <f>IFERROR(
  SUMIFS(
  'Asset Summary'!$E:$E,
  'Asset Summary'!$A:$A,$D466,
  'Asset Summary'!$B:$B,R$407
  )
  /R434,
0)</f>
        <v>0</v>
      </c>
      <c r="S466" s="36">
        <f>IFERROR(
  SUMIFS(
  'Asset Summary'!$E:$E,
  'Asset Summary'!$A:$A,$D466,
  'Asset Summary'!$B:$B,S$407
  )
  /S434,
0)</f>
        <v>0</v>
      </c>
      <c r="T466" s="36">
        <f>IFERROR(
  SUMIFS(
  'Asset Summary'!$E:$E,
  'Asset Summary'!$A:$A,$D466,
  'Asset Summary'!$B:$B,T$407
  )
  /T434,
0)</f>
        <v>0</v>
      </c>
      <c r="U466" s="36">
        <f>IFERROR(
  SUMIFS(
  'Asset Summary'!$E:$E,
  'Asset Summary'!$A:$A,$D466,
  'Asset Summary'!$B:$B,U$407
  )
  /U434,
0)</f>
        <v>0</v>
      </c>
      <c r="V466" s="36">
        <f>IFERROR(
  SUMIFS(
  'Asset Summary'!$E:$E,
  'Asset Summary'!$A:$A,$D466,
  'Asset Summary'!$B:$B,V$407
  )
  /V434,
0)</f>
        <v>0</v>
      </c>
      <c r="W466" s="36">
        <f>IFERROR(
  SUMIFS(
  'Asset Summary'!$E:$E,
  'Asset Summary'!$A:$A,$D466,
  'Asset Summary'!$B:$B,W$407
  )
  /W434,
0)</f>
        <v>0</v>
      </c>
      <c r="X466" s="36">
        <f>IFERROR(
  SUMIFS(
  'Asset Summary'!$E:$E,
  'Asset Summary'!$A:$A,$D466,
  'Asset Summary'!$B:$B,X$407
  )
  /X434,
0)</f>
        <v>0</v>
      </c>
      <c r="Y466" s="36">
        <f>IFERROR(
  SUMIFS(
  'Asset Summary'!$E:$E,
  'Asset Summary'!$A:$A,$D466,
  'Asset Summary'!$B:$B,Y$407
  )
  /Y434,
0)</f>
        <v>0</v>
      </c>
      <c r="Z466" s="36">
        <f>IFERROR(
  SUMIFS(
  'Asset Summary'!$E:$E,
  'Asset Summary'!$A:$A,$D466,
  'Asset Summary'!$B:$B,Z$407
  )
  /Z434,
0)</f>
        <v>0</v>
      </c>
      <c r="AA466" s="36">
        <f>IFERROR(
  SUMIFS(
  'Asset Summary'!$E:$E,
  'Asset Summary'!$A:$A,$D466,
  'Asset Summary'!$B:$B,AA$407
  )
  /AA434,
0)</f>
        <v>0</v>
      </c>
      <c r="AB466" s="36">
        <f>IFERROR(
  SUMIFS(
  'Asset Summary'!$E:$E,
  'Asset Summary'!$A:$A,$D466,
  'Asset Summary'!$B:$B,AB$407
  )
  /AB434,
0)</f>
        <v>0</v>
      </c>
      <c r="AC466" s="36">
        <f>IFERROR(
  SUMIFS(
  'Asset Summary'!$E:$E,
  'Asset Summary'!$A:$A,$D466,
  'Asset Summary'!$B:$B,AC$407
  )
  /AC434,
0)</f>
        <v>0</v>
      </c>
      <c r="AD466" s="36">
        <f>IFERROR(
  SUMIFS(
  'Asset Summary'!$E:$E,
  'Asset Summary'!$A:$A,$D466,
  'Asset Summary'!$B:$B,AD$407
  )
  /AD434,
0)</f>
        <v>1</v>
      </c>
      <c r="AH466" s="34" t="s">
        <v>422</v>
      </c>
    </row>
    <row r="467" spans="4:34" outlineLevel="1" x14ac:dyDescent="0.2">
      <c r="D467" s="8" t="s">
        <v>284</v>
      </c>
      <c r="E467" s="36">
        <f>IFERROR(
  SUMIFS(
  'Asset Summary'!$E:$E,
  'Asset Summary'!$A:$A,$D467,
  'Asset Summary'!$B:$B,E$407
  )
  /E435,
0)</f>
        <v>0</v>
      </c>
      <c r="F467" s="36">
        <f>IFERROR(
  SUMIFS(
  'Asset Summary'!$E:$E,
  'Asset Summary'!$A:$A,$D467,
  'Asset Summary'!$B:$B,F$407
  )
  /F435,
0)</f>
        <v>0</v>
      </c>
      <c r="G467" s="36">
        <f>IFERROR(
  SUMIFS(
  'Asset Summary'!$E:$E,
  'Asset Summary'!$A:$A,$D467,
  'Asset Summary'!$B:$B,G$407
  )
  /G435,
0)</f>
        <v>0</v>
      </c>
      <c r="H467" s="36">
        <f>IFERROR(
  SUMIFS(
  'Asset Summary'!$E:$E,
  'Asset Summary'!$A:$A,$D467,
  'Asset Summary'!$B:$B,H$407
  )
  /H435,
0)</f>
        <v>0</v>
      </c>
      <c r="I467" s="36">
        <f>IFERROR(
  SUMIFS(
  'Asset Summary'!$E:$E,
  'Asset Summary'!$A:$A,$D467,
  'Asset Summary'!$B:$B,I$407
  )
  /I435,
0)</f>
        <v>0</v>
      </c>
      <c r="J467" s="36">
        <f>IFERROR(
  SUMIFS(
  'Asset Summary'!$E:$E,
  'Asset Summary'!$A:$A,$D467,
  'Asset Summary'!$B:$B,J$407
  )
  /J435,
0)</f>
        <v>0</v>
      </c>
      <c r="K467" s="36">
        <f>IFERROR(
  SUMIFS(
  'Asset Summary'!$E:$E,
  'Asset Summary'!$A:$A,$D467,
  'Asset Summary'!$B:$B,K$407
  )
  /K435,
0)</f>
        <v>0</v>
      </c>
      <c r="L467" s="36">
        <f>IFERROR(
  SUMIFS(
  'Asset Summary'!$E:$E,
  'Asset Summary'!$A:$A,$D467,
  'Asset Summary'!$B:$B,L$407
  )
  /L435,
0)</f>
        <v>0</v>
      </c>
      <c r="M467" s="36">
        <f>IFERROR(
  SUMIFS(
  'Asset Summary'!$E:$E,
  'Asset Summary'!$A:$A,$D467,
  'Asset Summary'!$B:$B,M$407
  )
  /M435,
0)</f>
        <v>0</v>
      </c>
      <c r="N467" s="36">
        <f>IFERROR(
  SUMIFS(
  'Asset Summary'!$E:$E,
  'Asset Summary'!$A:$A,$D467,
  'Asset Summary'!$B:$B,N$407
  )
  /N435,
0)</f>
        <v>0</v>
      </c>
      <c r="O467" s="36">
        <f>IFERROR(
  SUMIFS(
  'Asset Summary'!$E:$E,
  'Asset Summary'!$A:$A,$D467,
  'Asset Summary'!$B:$B,O$407
  )
  /O435,
0)</f>
        <v>0</v>
      </c>
      <c r="P467" s="36">
        <f>IFERROR(
  SUMIFS(
  'Asset Summary'!$E:$E,
  'Asset Summary'!$A:$A,$D467,
  'Asset Summary'!$B:$B,P$407
  )
  /P435,
0)</f>
        <v>0</v>
      </c>
      <c r="Q467" s="36">
        <f>IFERROR(
  SUMIFS(
  'Asset Summary'!$E:$E,
  'Asset Summary'!$A:$A,$D467,
  'Asset Summary'!$B:$B,Q$407
  )
  /Q435,
0)</f>
        <v>0</v>
      </c>
      <c r="R467" s="36">
        <f>IFERROR(
  SUMIFS(
  'Asset Summary'!$E:$E,
  'Asset Summary'!$A:$A,$D467,
  'Asset Summary'!$B:$B,R$407
  )
  /R435,
0)</f>
        <v>0</v>
      </c>
      <c r="S467" s="36">
        <f>IFERROR(
  SUMIFS(
  'Asset Summary'!$E:$E,
  'Asset Summary'!$A:$A,$D467,
  'Asset Summary'!$B:$B,S$407
  )
  /S435,
0)</f>
        <v>0</v>
      </c>
      <c r="T467" s="36">
        <f>IFERROR(
  SUMIFS(
  'Asset Summary'!$E:$E,
  'Asset Summary'!$A:$A,$D467,
  'Asset Summary'!$B:$B,T$407
  )
  /T435,
0)</f>
        <v>0</v>
      </c>
      <c r="U467" s="36">
        <f>IFERROR(
  SUMIFS(
  'Asset Summary'!$E:$E,
  'Asset Summary'!$A:$A,$D467,
  'Asset Summary'!$B:$B,U$407
  )
  /U435,
0)</f>
        <v>0</v>
      </c>
      <c r="V467" s="36">
        <f>IFERROR(
  SUMIFS(
  'Asset Summary'!$E:$E,
  'Asset Summary'!$A:$A,$D467,
  'Asset Summary'!$B:$B,V$407
  )
  /V435,
0)</f>
        <v>0</v>
      </c>
      <c r="W467" s="36">
        <f>IFERROR(
  SUMIFS(
  'Asset Summary'!$E:$E,
  'Asset Summary'!$A:$A,$D467,
  'Asset Summary'!$B:$B,W$407
  )
  /W435,
0)</f>
        <v>0</v>
      </c>
      <c r="X467" s="36">
        <f>IFERROR(
  SUMIFS(
  'Asset Summary'!$E:$E,
  'Asset Summary'!$A:$A,$D467,
  'Asset Summary'!$B:$B,X$407
  )
  /X435,
0)</f>
        <v>0</v>
      </c>
      <c r="Y467" s="36">
        <f>IFERROR(
  SUMIFS(
  'Asset Summary'!$E:$E,
  'Asset Summary'!$A:$A,$D467,
  'Asset Summary'!$B:$B,Y$407
  )
  /Y435,
0)</f>
        <v>0</v>
      </c>
      <c r="Z467" s="36">
        <f>IFERROR(
  SUMIFS(
  'Asset Summary'!$E:$E,
  'Asset Summary'!$A:$A,$D467,
  'Asset Summary'!$B:$B,Z$407
  )
  /Z435,
0)</f>
        <v>0</v>
      </c>
      <c r="AA467" s="36">
        <f>IFERROR(
  SUMIFS(
  'Asset Summary'!$E:$E,
  'Asset Summary'!$A:$A,$D467,
  'Asset Summary'!$B:$B,AA$407
  )
  /AA435,
0)</f>
        <v>0</v>
      </c>
      <c r="AB467" s="36">
        <f>IFERROR(
  SUMIFS(
  'Asset Summary'!$E:$E,
  'Asset Summary'!$A:$A,$D467,
  'Asset Summary'!$B:$B,AB$407
  )
  /AB435,
0)</f>
        <v>0</v>
      </c>
      <c r="AC467" s="36">
        <f>IFERROR(
  SUMIFS(
  'Asset Summary'!$E:$E,
  'Asset Summary'!$A:$A,$D467,
  'Asset Summary'!$B:$B,AC$407
  )
  /AC435,
0)</f>
        <v>0</v>
      </c>
      <c r="AD467" s="36">
        <f>IFERROR(
  SUMIFS(
  'Asset Summary'!$E:$E,
  'Asset Summary'!$A:$A,$D467,
  'Asset Summary'!$B:$B,AD$407
  )
  /AD435,
0)</f>
        <v>0</v>
      </c>
      <c r="AH467" s="34" t="s">
        <v>422</v>
      </c>
    </row>
    <row r="468" spans="4:34" ht="12.6" outlineLevel="1" thickBot="1" x14ac:dyDescent="0.25">
      <c r="D468" s="9" t="s">
        <v>139</v>
      </c>
      <c r="E468" s="17">
        <f t="shared" ref="E468" si="588">SUM(E440:E467)</f>
        <v>0</v>
      </c>
      <c r="F468" s="17">
        <f t="shared" ref="F468:AD468" si="589">SUM(F440:F467)</f>
        <v>0</v>
      </c>
      <c r="G468" s="17">
        <f t="shared" si="589"/>
        <v>0</v>
      </c>
      <c r="H468" s="17">
        <f t="shared" si="589"/>
        <v>0</v>
      </c>
      <c r="I468" s="17">
        <f t="shared" si="589"/>
        <v>0</v>
      </c>
      <c r="J468" s="17">
        <f t="shared" si="589"/>
        <v>0</v>
      </c>
      <c r="K468" s="17">
        <f t="shared" si="589"/>
        <v>0</v>
      </c>
      <c r="L468" s="17">
        <f t="shared" si="589"/>
        <v>0</v>
      </c>
      <c r="M468" s="17">
        <f t="shared" si="589"/>
        <v>0</v>
      </c>
      <c r="N468" s="17">
        <f t="shared" si="589"/>
        <v>0</v>
      </c>
      <c r="O468" s="17">
        <f t="shared" si="589"/>
        <v>0</v>
      </c>
      <c r="P468" s="17">
        <f t="shared" si="589"/>
        <v>0</v>
      </c>
      <c r="Q468" s="17">
        <f t="shared" si="589"/>
        <v>0</v>
      </c>
      <c r="R468" s="17">
        <f t="shared" si="589"/>
        <v>0</v>
      </c>
      <c r="S468" s="17">
        <f t="shared" si="589"/>
        <v>0</v>
      </c>
      <c r="T468" s="17">
        <f t="shared" si="589"/>
        <v>0</v>
      </c>
      <c r="U468" s="17">
        <f t="shared" si="589"/>
        <v>0</v>
      </c>
      <c r="V468" s="17">
        <f t="shared" si="589"/>
        <v>0</v>
      </c>
      <c r="W468" s="17">
        <f t="shared" si="589"/>
        <v>0</v>
      </c>
      <c r="X468" s="17">
        <f t="shared" si="589"/>
        <v>0</v>
      </c>
      <c r="Y468" s="17">
        <f t="shared" si="589"/>
        <v>0</v>
      </c>
      <c r="Z468" s="17">
        <f t="shared" si="589"/>
        <v>0</v>
      </c>
      <c r="AA468" s="17">
        <f t="shared" si="589"/>
        <v>0</v>
      </c>
      <c r="AB468" s="17">
        <f t="shared" si="589"/>
        <v>0</v>
      </c>
      <c r="AC468" s="17">
        <f t="shared" si="589"/>
        <v>0</v>
      </c>
      <c r="AD468" s="17">
        <f t="shared" si="589"/>
        <v>6</v>
      </c>
      <c r="AH468" s="34" t="s">
        <v>422</v>
      </c>
    </row>
    <row r="469" spans="4:34" ht="12" outlineLevel="1" thickTop="1" x14ac:dyDescent="0.2">
      <c r="AH469" s="34" t="s">
        <v>422</v>
      </c>
    </row>
    <row r="470" spans="4:34" ht="13.2" outlineLevel="1" x14ac:dyDescent="0.2">
      <c r="E470" s="2" t="s">
        <v>303</v>
      </c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F470" s="2"/>
      <c r="AH470" s="34" t="s">
        <v>422</v>
      </c>
    </row>
    <row r="471" spans="4:34" outlineLevel="1" x14ac:dyDescent="0.2">
      <c r="E471" s="7">
        <v>43831</v>
      </c>
      <c r="F471" s="7">
        <f t="shared" ref="F471:AC471" si="590">EDATE(E471,12)</f>
        <v>44197</v>
      </c>
      <c r="G471" s="7">
        <f t="shared" si="590"/>
        <v>44562</v>
      </c>
      <c r="H471" s="7">
        <f t="shared" si="590"/>
        <v>44927</v>
      </c>
      <c r="I471" s="7">
        <f t="shared" si="590"/>
        <v>45292</v>
      </c>
      <c r="J471" s="7">
        <f t="shared" si="590"/>
        <v>45658</v>
      </c>
      <c r="K471" s="7">
        <f t="shared" si="590"/>
        <v>46023</v>
      </c>
      <c r="L471" s="7">
        <f t="shared" si="590"/>
        <v>46388</v>
      </c>
      <c r="M471" s="7">
        <f t="shared" si="590"/>
        <v>46753</v>
      </c>
      <c r="N471" s="7">
        <f t="shared" si="590"/>
        <v>47119</v>
      </c>
      <c r="O471" s="7">
        <f t="shared" si="590"/>
        <v>47484</v>
      </c>
      <c r="P471" s="7">
        <f t="shared" si="590"/>
        <v>47849</v>
      </c>
      <c r="Q471" s="7">
        <f t="shared" si="590"/>
        <v>48214</v>
      </c>
      <c r="R471" s="7">
        <f t="shared" si="590"/>
        <v>48580</v>
      </c>
      <c r="S471" s="7">
        <f t="shared" si="590"/>
        <v>48945</v>
      </c>
      <c r="T471" s="7">
        <f t="shared" si="590"/>
        <v>49310</v>
      </c>
      <c r="U471" s="7">
        <f t="shared" si="590"/>
        <v>49675</v>
      </c>
      <c r="V471" s="7">
        <f t="shared" si="590"/>
        <v>50041</v>
      </c>
      <c r="W471" s="7">
        <f t="shared" si="590"/>
        <v>50406</v>
      </c>
      <c r="X471" s="7">
        <f t="shared" si="590"/>
        <v>50771</v>
      </c>
      <c r="Y471" s="7">
        <f t="shared" si="590"/>
        <v>51136</v>
      </c>
      <c r="Z471" s="7">
        <f t="shared" si="590"/>
        <v>51502</v>
      </c>
      <c r="AA471" s="7">
        <f t="shared" si="590"/>
        <v>51867</v>
      </c>
      <c r="AB471" s="7">
        <f t="shared" si="590"/>
        <v>52232</v>
      </c>
      <c r="AC471" s="7">
        <f t="shared" si="590"/>
        <v>52597</v>
      </c>
      <c r="AD471" s="7">
        <f>EDATE(AC471,12)</f>
        <v>52963</v>
      </c>
      <c r="AF471" s="7">
        <f>EDATE(AE471,12)</f>
        <v>366</v>
      </c>
      <c r="AH471" s="34" t="s">
        <v>422</v>
      </c>
    </row>
    <row r="472" spans="4:34" outlineLevel="1" x14ac:dyDescent="0.2">
      <c r="D472" s="8" t="s">
        <v>257</v>
      </c>
      <c r="E472" s="14">
        <f>0.000001 * SUM(
  SUMIFS(
  'Asset Summary'!$G:$G,
  'Asset Summary'!$A:$A,$D472,
  'Asset Summary'!$B:$B,E$407
  )+
  SUMIFS(
  'Asset Summary'!$H:$H,
  'Asset Summary'!$A:$A,$D472,
  'Asset Summary'!$B:$B,E$407
  )
)</f>
        <v>0</v>
      </c>
      <c r="F472" s="14">
        <f>0.000001 * SUM(
  SUMIFS(
  'Asset Summary'!$G:$G,
  'Asset Summary'!$A:$A,$D472,
  'Asset Summary'!$B:$B,F$407
  )+
  SUMIFS(
  'Asset Summary'!$H:$H,
  'Asset Summary'!$A:$A,$D472,
  'Asset Summary'!$B:$B,F$407
  )
)</f>
        <v>0</v>
      </c>
      <c r="G472" s="14">
        <f>0.000001 * SUM(
  SUMIFS(
  'Asset Summary'!$G:$G,
  'Asset Summary'!$A:$A,$D472,
  'Asset Summary'!$B:$B,G$407
  )+
  SUMIFS(
  'Asset Summary'!$H:$H,
  'Asset Summary'!$A:$A,$D472,
  'Asset Summary'!$B:$B,G$407
  )
)</f>
        <v>0</v>
      </c>
      <c r="H472" s="14">
        <f>0.000001 * SUM(
  SUMIFS(
  'Asset Summary'!$G:$G,
  'Asset Summary'!$A:$A,$D472,
  'Asset Summary'!$B:$B,H$407
  )+
  SUMIFS(
  'Asset Summary'!$H:$H,
  'Asset Summary'!$A:$A,$D472,
  'Asset Summary'!$B:$B,H$407
  )
)</f>
        <v>0</v>
      </c>
      <c r="I472" s="14">
        <f>0.000001 * SUM(
  SUMIFS(
  'Asset Summary'!$G:$G,
  'Asset Summary'!$A:$A,$D472,
  'Asset Summary'!$B:$B,I$407
  )+
  SUMIFS(
  'Asset Summary'!$H:$H,
  'Asset Summary'!$A:$A,$D472,
  'Asset Summary'!$B:$B,I$407
  )
)</f>
        <v>0</v>
      </c>
      <c r="J472" s="14">
        <f>0.000001 * SUM(
  SUMIFS(
  'Asset Summary'!$G:$G,
  'Asset Summary'!$A:$A,$D472,
  'Asset Summary'!$B:$B,J$407
  )+
  SUMIFS(
  'Asset Summary'!$H:$H,
  'Asset Summary'!$A:$A,$D472,
  'Asset Summary'!$B:$B,J$407
  )
)</f>
        <v>0</v>
      </c>
      <c r="K472" s="14">
        <f>0.000001 * SUM(
  SUMIFS(
  'Asset Summary'!$G:$G,
  'Asset Summary'!$A:$A,$D472,
  'Asset Summary'!$B:$B,K$407
  )+
  SUMIFS(
  'Asset Summary'!$H:$H,
  'Asset Summary'!$A:$A,$D472,
  'Asset Summary'!$B:$B,K$407
  )
)</f>
        <v>0</v>
      </c>
      <c r="L472" s="14">
        <f>0.000001 * SUM(
  SUMIFS(
  'Asset Summary'!$G:$G,
  'Asset Summary'!$A:$A,$D472,
  'Asset Summary'!$B:$B,L$407
  )+
  SUMIFS(
  'Asset Summary'!$H:$H,
  'Asset Summary'!$A:$A,$D472,
  'Asset Summary'!$B:$B,L$407
  )
)</f>
        <v>0</v>
      </c>
      <c r="M472" s="14">
        <f>0.000001 * SUM(
  SUMIFS(
  'Asset Summary'!$G:$G,
  'Asset Summary'!$A:$A,$D472,
  'Asset Summary'!$B:$B,M$407
  )+
  SUMIFS(
  'Asset Summary'!$H:$H,
  'Asset Summary'!$A:$A,$D472,
  'Asset Summary'!$B:$B,M$407
  )
)</f>
        <v>0</v>
      </c>
      <c r="N472" s="14">
        <f>0.000001 * SUM(
  SUMIFS(
  'Asset Summary'!$G:$G,
  'Asset Summary'!$A:$A,$D472,
  'Asset Summary'!$B:$B,N$407
  )+
  SUMIFS(
  'Asset Summary'!$H:$H,
  'Asset Summary'!$A:$A,$D472,
  'Asset Summary'!$B:$B,N$407
  )
)</f>
        <v>0</v>
      </c>
      <c r="O472" s="14">
        <f>0.000001 * SUM(
  SUMIFS(
  'Asset Summary'!$G:$G,
  'Asset Summary'!$A:$A,$D472,
  'Asset Summary'!$B:$B,O$407
  )+
  SUMIFS(
  'Asset Summary'!$H:$H,
  'Asset Summary'!$A:$A,$D472,
  'Asset Summary'!$B:$B,O$407
  )
)</f>
        <v>0</v>
      </c>
      <c r="P472" s="14">
        <f>0.000001 * SUM(
  SUMIFS(
  'Asset Summary'!$G:$G,
  'Asset Summary'!$A:$A,$D472,
  'Asset Summary'!$B:$B,P$407
  )+
  SUMIFS(
  'Asset Summary'!$H:$H,
  'Asset Summary'!$A:$A,$D472,
  'Asset Summary'!$B:$B,P$407
  )
)</f>
        <v>0</v>
      </c>
      <c r="Q472" s="14">
        <f>0.000001 * SUM(
  SUMIFS(
  'Asset Summary'!$G:$G,
  'Asset Summary'!$A:$A,$D472,
  'Asset Summary'!$B:$B,Q$407
  )+
  SUMIFS(
  'Asset Summary'!$H:$H,
  'Asset Summary'!$A:$A,$D472,
  'Asset Summary'!$B:$B,Q$407
  )
)</f>
        <v>0</v>
      </c>
      <c r="R472" s="14">
        <f>0.000001 * SUM(
  SUMIFS(
  'Asset Summary'!$G:$G,
  'Asset Summary'!$A:$A,$D472,
  'Asset Summary'!$B:$B,R$407
  )+
  SUMIFS(
  'Asset Summary'!$H:$H,
  'Asset Summary'!$A:$A,$D472,
  'Asset Summary'!$B:$B,R$407
  )
)</f>
        <v>0</v>
      </c>
      <c r="S472" s="14">
        <f>0.000001 * SUM(
  SUMIFS(
  'Asset Summary'!$G:$G,
  'Asset Summary'!$A:$A,$D472,
  'Asset Summary'!$B:$B,S$407
  )+
  SUMIFS(
  'Asset Summary'!$H:$H,
  'Asset Summary'!$A:$A,$D472,
  'Asset Summary'!$B:$B,S$407
  )
)</f>
        <v>0</v>
      </c>
      <c r="T472" s="14">
        <f>0.000001 * SUM(
  SUMIFS(
  'Asset Summary'!$G:$G,
  'Asset Summary'!$A:$A,$D472,
  'Asset Summary'!$B:$B,T$407
  )+
  SUMIFS(
  'Asset Summary'!$H:$H,
  'Asset Summary'!$A:$A,$D472,
  'Asset Summary'!$B:$B,T$407
  )
)</f>
        <v>0</v>
      </c>
      <c r="U472" s="14">
        <f>0.000001 * SUM(
  SUMIFS(
  'Asset Summary'!$G:$G,
  'Asset Summary'!$A:$A,$D472,
  'Asset Summary'!$B:$B,U$407
  )+
  SUMIFS(
  'Asset Summary'!$H:$H,
  'Asset Summary'!$A:$A,$D472,
  'Asset Summary'!$B:$B,U$407
  )
)</f>
        <v>0</v>
      </c>
      <c r="V472" s="14">
        <f>0.000001 * SUM(
  SUMIFS(
  'Asset Summary'!$G:$G,
  'Asset Summary'!$A:$A,$D472,
  'Asset Summary'!$B:$B,V$407
  )+
  SUMIFS(
  'Asset Summary'!$H:$H,
  'Asset Summary'!$A:$A,$D472,
  'Asset Summary'!$B:$B,V$407
  )
)</f>
        <v>0</v>
      </c>
      <c r="W472" s="14">
        <f>0.000001 * SUM(
  SUMIFS(
  'Asset Summary'!$G:$G,
  'Asset Summary'!$A:$A,$D472,
  'Asset Summary'!$B:$B,W$407
  )+
  SUMIFS(
  'Asset Summary'!$H:$H,
  'Asset Summary'!$A:$A,$D472,
  'Asset Summary'!$B:$B,W$407
  )
)</f>
        <v>0</v>
      </c>
      <c r="X472" s="14">
        <f>0.000001 * SUM(
  SUMIFS(
  'Asset Summary'!$G:$G,
  'Asset Summary'!$A:$A,$D472,
  'Asset Summary'!$B:$B,X$407
  )+
  SUMIFS(
  'Asset Summary'!$H:$H,
  'Asset Summary'!$A:$A,$D472,
  'Asset Summary'!$B:$B,X$407
  )
)</f>
        <v>0</v>
      </c>
      <c r="Y472" s="14">
        <f>0.000001 * SUM(
  SUMIFS(
  'Asset Summary'!$G:$G,
  'Asset Summary'!$A:$A,$D472,
  'Asset Summary'!$B:$B,Y$407
  )+
  SUMIFS(
  'Asset Summary'!$H:$H,
  'Asset Summary'!$A:$A,$D472,
  'Asset Summary'!$B:$B,Y$407
  )
)</f>
        <v>0</v>
      </c>
      <c r="Z472" s="14">
        <f>0.000001 * SUM(
  SUMIFS(
  'Asset Summary'!$G:$G,
  'Asset Summary'!$A:$A,$D472,
  'Asset Summary'!$B:$B,Z$407
  )+
  SUMIFS(
  'Asset Summary'!$H:$H,
  'Asset Summary'!$A:$A,$D472,
  'Asset Summary'!$B:$B,Z$407
  )
)</f>
        <v>0</v>
      </c>
      <c r="AA472" s="14">
        <f>0.000001 * SUM(
  SUMIFS(
  'Asset Summary'!$G:$G,
  'Asset Summary'!$A:$A,$D472,
  'Asset Summary'!$B:$B,AA$407
  )+
  SUMIFS(
  'Asset Summary'!$H:$H,
  'Asset Summary'!$A:$A,$D472,
  'Asset Summary'!$B:$B,AA$407
  )
)</f>
        <v>0</v>
      </c>
      <c r="AB472" s="14">
        <f>0.000001 * SUM(
  SUMIFS(
  'Asset Summary'!$G:$G,
  'Asset Summary'!$A:$A,$D472,
  'Asset Summary'!$B:$B,AB$407
  )+
  SUMIFS(
  'Asset Summary'!$H:$H,
  'Asset Summary'!$A:$A,$D472,
  'Asset Summary'!$B:$B,AB$407
  )
)</f>
        <v>0</v>
      </c>
      <c r="AC472" s="14">
        <f>0.000001 * SUM(
  SUMIFS(
  'Asset Summary'!$G:$G,
  'Asset Summary'!$A:$A,$D472,
  'Asset Summary'!$B:$B,AC$407
  )+
  SUMIFS(
  'Asset Summary'!$H:$H,
  'Asset Summary'!$A:$A,$D472,
  'Asset Summary'!$B:$B,AC$407
  )
)</f>
        <v>0</v>
      </c>
      <c r="AD472" s="14">
        <f>0.000001 * SUM(
  SUMIFS(
  'Asset Summary'!$G:$G,
  'Asset Summary'!$A:$A,$D472,
  'Asset Summary'!$B:$B,AD$407
  )+
  SUMIFS(
  'Asset Summary'!$H:$H,
  'Asset Summary'!$A:$A,$D472,
  'Asset Summary'!$B:$B,AD$407
  )
)</f>
        <v>0</v>
      </c>
      <c r="AF472" s="14">
        <f>0.000001 * SUM(
  SUMIFS(
  'Asset Summary'!$G:$G,
  'Asset Summary'!$A:$A,$D472,
  'Asset Summary'!$B:$B,AF$407
  )+
  SUMIFS(
  'Asset Summary'!$H:$H,
  'Asset Summary'!$A:$A,$D472,
  'Asset Summary'!$B:$B,AF$407
  )
)</f>
        <v>0</v>
      </c>
      <c r="AH472" s="34" t="s">
        <v>422</v>
      </c>
    </row>
    <row r="473" spans="4:34" outlineLevel="1" x14ac:dyDescent="0.2">
      <c r="D473" s="8" t="s">
        <v>258</v>
      </c>
      <c r="E473" s="14">
        <f>0.000001 * SUM(
  SUMIFS(
  'Asset Summary'!$G:$G,
  'Asset Summary'!$A:$A,$D473,
  'Asset Summary'!$B:$B,E$407
  )+
  SUMIFS(
  'Asset Summary'!$H:$H,
  'Asset Summary'!$A:$A,$D473,
  'Asset Summary'!$B:$B,E$407
  )
)</f>
        <v>0</v>
      </c>
      <c r="F473" s="14">
        <f>0.000001 * SUM(
  SUMIFS(
  'Asset Summary'!$G:$G,
  'Asset Summary'!$A:$A,$D473,
  'Asset Summary'!$B:$B,F$407
  )+
  SUMIFS(
  'Asset Summary'!$H:$H,
  'Asset Summary'!$A:$A,$D473,
  'Asset Summary'!$B:$B,F$407
  )
)</f>
        <v>0</v>
      </c>
      <c r="G473" s="14">
        <f>0.000001 * SUM(
  SUMIFS(
  'Asset Summary'!$G:$G,
  'Asset Summary'!$A:$A,$D473,
  'Asset Summary'!$B:$B,G$407
  )+
  SUMIFS(
  'Asset Summary'!$H:$H,
  'Asset Summary'!$A:$A,$D473,
  'Asset Summary'!$B:$B,G$407
  )
)</f>
        <v>0</v>
      </c>
      <c r="H473" s="14">
        <f>0.000001 * SUM(
  SUMIFS(
  'Asset Summary'!$G:$G,
  'Asset Summary'!$A:$A,$D473,
  'Asset Summary'!$B:$B,H$407
  )+
  SUMIFS(
  'Asset Summary'!$H:$H,
  'Asset Summary'!$A:$A,$D473,
  'Asset Summary'!$B:$B,H$407
  )
)</f>
        <v>0</v>
      </c>
      <c r="I473" s="14">
        <f>0.000001 * SUM(
  SUMIFS(
  'Asset Summary'!$G:$G,
  'Asset Summary'!$A:$A,$D473,
  'Asset Summary'!$B:$B,I$407
  )+
  SUMIFS(
  'Asset Summary'!$H:$H,
  'Asset Summary'!$A:$A,$D473,
  'Asset Summary'!$B:$B,I$407
  )
)</f>
        <v>0</v>
      </c>
      <c r="J473" s="14">
        <f>0.000001 * SUM(
  SUMIFS(
  'Asset Summary'!$G:$G,
  'Asset Summary'!$A:$A,$D473,
  'Asset Summary'!$B:$B,J$407
  )+
  SUMIFS(
  'Asset Summary'!$H:$H,
  'Asset Summary'!$A:$A,$D473,
  'Asset Summary'!$B:$B,J$407
  )
)</f>
        <v>0</v>
      </c>
      <c r="K473" s="14">
        <f>0.000001 * SUM(
  SUMIFS(
  'Asset Summary'!$G:$G,
  'Asset Summary'!$A:$A,$D473,
  'Asset Summary'!$B:$B,K$407
  )+
  SUMIFS(
  'Asset Summary'!$H:$H,
  'Asset Summary'!$A:$A,$D473,
  'Asset Summary'!$B:$B,K$407
  )
)</f>
        <v>0</v>
      </c>
      <c r="L473" s="14">
        <f>0.000001 * SUM(
  SUMIFS(
  'Asset Summary'!$G:$G,
  'Asset Summary'!$A:$A,$D473,
  'Asset Summary'!$B:$B,L$407
  )+
  SUMIFS(
  'Asset Summary'!$H:$H,
  'Asset Summary'!$A:$A,$D473,
  'Asset Summary'!$B:$B,L$407
  )
)</f>
        <v>0</v>
      </c>
      <c r="M473" s="14">
        <f>0.000001 * SUM(
  SUMIFS(
  'Asset Summary'!$G:$G,
  'Asset Summary'!$A:$A,$D473,
  'Asset Summary'!$B:$B,M$407
  )+
  SUMIFS(
  'Asset Summary'!$H:$H,
  'Asset Summary'!$A:$A,$D473,
  'Asset Summary'!$B:$B,M$407
  )
)</f>
        <v>0</v>
      </c>
      <c r="N473" s="14">
        <f>0.000001 * SUM(
  SUMIFS(
  'Asset Summary'!$G:$G,
  'Asset Summary'!$A:$A,$D473,
  'Asset Summary'!$B:$B,N$407
  )+
  SUMIFS(
  'Asset Summary'!$H:$H,
  'Asset Summary'!$A:$A,$D473,
  'Asset Summary'!$B:$B,N$407
  )
)</f>
        <v>0</v>
      </c>
      <c r="O473" s="14">
        <f>0.000001 * SUM(
  SUMIFS(
  'Asset Summary'!$G:$G,
  'Asset Summary'!$A:$A,$D473,
  'Asset Summary'!$B:$B,O$407
  )+
  SUMIFS(
  'Asset Summary'!$H:$H,
  'Asset Summary'!$A:$A,$D473,
  'Asset Summary'!$B:$B,O$407
  )
)</f>
        <v>0</v>
      </c>
      <c r="P473" s="14">
        <f>0.000001 * SUM(
  SUMIFS(
  'Asset Summary'!$G:$G,
  'Asset Summary'!$A:$A,$D473,
  'Asset Summary'!$B:$B,P$407
  )+
  SUMIFS(
  'Asset Summary'!$H:$H,
  'Asset Summary'!$A:$A,$D473,
  'Asset Summary'!$B:$B,P$407
  )
)</f>
        <v>0</v>
      </c>
      <c r="Q473" s="14">
        <f>0.000001 * SUM(
  SUMIFS(
  'Asset Summary'!$G:$G,
  'Asset Summary'!$A:$A,$D473,
  'Asset Summary'!$B:$B,Q$407
  )+
  SUMIFS(
  'Asset Summary'!$H:$H,
  'Asset Summary'!$A:$A,$D473,
  'Asset Summary'!$B:$B,Q$407
  )
)</f>
        <v>0</v>
      </c>
      <c r="R473" s="14">
        <f>0.000001 * SUM(
  SUMIFS(
  'Asset Summary'!$G:$G,
  'Asset Summary'!$A:$A,$D473,
  'Asset Summary'!$B:$B,R$407
  )+
  SUMIFS(
  'Asset Summary'!$H:$H,
  'Asset Summary'!$A:$A,$D473,
  'Asset Summary'!$B:$B,R$407
  )
)</f>
        <v>0</v>
      </c>
      <c r="S473" s="14">
        <f>0.000001 * SUM(
  SUMIFS(
  'Asset Summary'!$G:$G,
  'Asset Summary'!$A:$A,$D473,
  'Asset Summary'!$B:$B,S$407
  )+
  SUMIFS(
  'Asset Summary'!$H:$H,
  'Asset Summary'!$A:$A,$D473,
  'Asset Summary'!$B:$B,S$407
  )
)</f>
        <v>0</v>
      </c>
      <c r="T473" s="14">
        <f>0.000001 * SUM(
  SUMIFS(
  'Asset Summary'!$G:$G,
  'Asset Summary'!$A:$A,$D473,
  'Asset Summary'!$B:$B,T$407
  )+
  SUMIFS(
  'Asset Summary'!$H:$H,
  'Asset Summary'!$A:$A,$D473,
  'Asset Summary'!$B:$B,T$407
  )
)</f>
        <v>0</v>
      </c>
      <c r="U473" s="14">
        <f>0.000001 * SUM(
  SUMIFS(
  'Asset Summary'!$G:$G,
  'Asset Summary'!$A:$A,$D473,
  'Asset Summary'!$B:$B,U$407
  )+
  SUMIFS(
  'Asset Summary'!$H:$H,
  'Asset Summary'!$A:$A,$D473,
  'Asset Summary'!$B:$B,U$407
  )
)</f>
        <v>0</v>
      </c>
      <c r="V473" s="14">
        <f>0.000001 * SUM(
  SUMIFS(
  'Asset Summary'!$G:$G,
  'Asset Summary'!$A:$A,$D473,
  'Asset Summary'!$B:$B,V$407
  )+
  SUMIFS(
  'Asset Summary'!$H:$H,
  'Asset Summary'!$A:$A,$D473,
  'Asset Summary'!$B:$B,V$407
  )
)</f>
        <v>0</v>
      </c>
      <c r="W473" s="14">
        <f>0.000001 * SUM(
  SUMIFS(
  'Asset Summary'!$G:$G,
  'Asset Summary'!$A:$A,$D473,
  'Asset Summary'!$B:$B,W$407
  )+
  SUMIFS(
  'Asset Summary'!$H:$H,
  'Asset Summary'!$A:$A,$D473,
  'Asset Summary'!$B:$B,W$407
  )
)</f>
        <v>0</v>
      </c>
      <c r="X473" s="14">
        <f>0.000001 * SUM(
  SUMIFS(
  'Asset Summary'!$G:$G,
  'Asset Summary'!$A:$A,$D473,
  'Asset Summary'!$B:$B,X$407
  )+
  SUMIFS(
  'Asset Summary'!$H:$H,
  'Asset Summary'!$A:$A,$D473,
  'Asset Summary'!$B:$B,X$407
  )
)</f>
        <v>0</v>
      </c>
      <c r="Y473" s="14">
        <f>0.000001 * SUM(
  SUMIFS(
  'Asset Summary'!$G:$G,
  'Asset Summary'!$A:$A,$D473,
  'Asset Summary'!$B:$B,Y$407
  )+
  SUMIFS(
  'Asset Summary'!$H:$H,
  'Asset Summary'!$A:$A,$D473,
  'Asset Summary'!$B:$B,Y$407
  )
)</f>
        <v>0</v>
      </c>
      <c r="Z473" s="14">
        <f>0.000001 * SUM(
  SUMIFS(
  'Asset Summary'!$G:$G,
  'Asset Summary'!$A:$A,$D473,
  'Asset Summary'!$B:$B,Z$407
  )+
  SUMIFS(
  'Asset Summary'!$H:$H,
  'Asset Summary'!$A:$A,$D473,
  'Asset Summary'!$B:$B,Z$407
  )
)</f>
        <v>0</v>
      </c>
      <c r="AA473" s="14">
        <f>0.000001 * SUM(
  SUMIFS(
  'Asset Summary'!$G:$G,
  'Asset Summary'!$A:$A,$D473,
  'Asset Summary'!$B:$B,AA$407
  )+
  SUMIFS(
  'Asset Summary'!$H:$H,
  'Asset Summary'!$A:$A,$D473,
  'Asset Summary'!$B:$B,AA$407
  )
)</f>
        <v>0</v>
      </c>
      <c r="AB473" s="14">
        <f>0.000001 * SUM(
  SUMIFS(
  'Asset Summary'!$G:$G,
  'Asset Summary'!$A:$A,$D473,
  'Asset Summary'!$B:$B,AB$407
  )+
  SUMIFS(
  'Asset Summary'!$H:$H,
  'Asset Summary'!$A:$A,$D473,
  'Asset Summary'!$B:$B,AB$407
  )
)</f>
        <v>0</v>
      </c>
      <c r="AC473" s="14">
        <f>0.000001 * SUM(
  SUMIFS(
  'Asset Summary'!$G:$G,
  'Asset Summary'!$A:$A,$D473,
  'Asset Summary'!$B:$B,AC$407
  )+
  SUMIFS(
  'Asset Summary'!$H:$H,
  'Asset Summary'!$A:$A,$D473,
  'Asset Summary'!$B:$B,AC$407
  )
)</f>
        <v>0</v>
      </c>
      <c r="AD473" s="14">
        <f>0.000001 * SUM(
  SUMIFS(
  'Asset Summary'!$G:$G,
  'Asset Summary'!$A:$A,$D473,
  'Asset Summary'!$B:$B,AD$407
  )+
  SUMIFS(
  'Asset Summary'!$H:$H,
  'Asset Summary'!$A:$A,$D473,
  'Asset Summary'!$B:$B,AD$407
  )
)</f>
        <v>0</v>
      </c>
      <c r="AF473" s="14">
        <f>0.000001 * SUM(
  SUMIFS(
  'Asset Summary'!$G:$G,
  'Asset Summary'!$A:$A,$D473,
  'Asset Summary'!$B:$B,AF$407
  )+
  SUMIFS(
  'Asset Summary'!$H:$H,
  'Asset Summary'!$A:$A,$D473,
  'Asset Summary'!$B:$B,AF$407
  )
)</f>
        <v>0</v>
      </c>
      <c r="AH473" s="34" t="s">
        <v>422</v>
      </c>
    </row>
    <row r="474" spans="4:34" outlineLevel="1" x14ac:dyDescent="0.2">
      <c r="D474" s="8" t="s">
        <v>259</v>
      </c>
      <c r="E474" s="14">
        <f>0.000001 * SUM(
  SUMIFS(
  'Asset Summary'!$G:$G,
  'Asset Summary'!$A:$A,$D474,
  'Asset Summary'!$B:$B,E$407
  )+
  SUMIFS(
  'Asset Summary'!$H:$H,
  'Asset Summary'!$A:$A,$D474,
  'Asset Summary'!$B:$B,E$407
  )
)</f>
        <v>0</v>
      </c>
      <c r="F474" s="14">
        <f>0.000001 * SUM(
  SUMIFS(
  'Asset Summary'!$G:$G,
  'Asset Summary'!$A:$A,$D474,
  'Asset Summary'!$B:$B,F$407
  )+
  SUMIFS(
  'Asset Summary'!$H:$H,
  'Asset Summary'!$A:$A,$D474,
  'Asset Summary'!$B:$B,F$407
  )
)</f>
        <v>0</v>
      </c>
      <c r="G474" s="14">
        <f>0.000001 * SUM(
  SUMIFS(
  'Asset Summary'!$G:$G,
  'Asset Summary'!$A:$A,$D474,
  'Asset Summary'!$B:$B,G$407
  )+
  SUMIFS(
  'Asset Summary'!$H:$H,
  'Asset Summary'!$A:$A,$D474,
  'Asset Summary'!$B:$B,G$407
  )
)</f>
        <v>0</v>
      </c>
      <c r="H474" s="14">
        <f>0.000001 * SUM(
  SUMIFS(
  'Asset Summary'!$G:$G,
  'Asset Summary'!$A:$A,$D474,
  'Asset Summary'!$B:$B,H$407
  )+
  SUMIFS(
  'Asset Summary'!$H:$H,
  'Asset Summary'!$A:$A,$D474,
  'Asset Summary'!$B:$B,H$407
  )
)</f>
        <v>0</v>
      </c>
      <c r="I474" s="14">
        <f>0.000001 * SUM(
  SUMIFS(
  'Asset Summary'!$G:$G,
  'Asset Summary'!$A:$A,$D474,
  'Asset Summary'!$B:$B,I$407
  )+
  SUMIFS(
  'Asset Summary'!$H:$H,
  'Asset Summary'!$A:$A,$D474,
  'Asset Summary'!$B:$B,I$407
  )
)</f>
        <v>0</v>
      </c>
      <c r="J474" s="14">
        <f>0.000001 * SUM(
  SUMIFS(
  'Asset Summary'!$G:$G,
  'Asset Summary'!$A:$A,$D474,
  'Asset Summary'!$B:$B,J$407
  )+
  SUMIFS(
  'Asset Summary'!$H:$H,
  'Asset Summary'!$A:$A,$D474,
  'Asset Summary'!$B:$B,J$407
  )
)</f>
        <v>0</v>
      </c>
      <c r="K474" s="14">
        <f>0.000001 * SUM(
  SUMIFS(
  'Asset Summary'!$G:$G,
  'Asset Summary'!$A:$A,$D474,
  'Asset Summary'!$B:$B,K$407
  )+
  SUMIFS(
  'Asset Summary'!$H:$H,
  'Asset Summary'!$A:$A,$D474,
  'Asset Summary'!$B:$B,K$407
  )
)</f>
        <v>0</v>
      </c>
      <c r="L474" s="14">
        <f>0.000001 * SUM(
  SUMIFS(
  'Asset Summary'!$G:$G,
  'Asset Summary'!$A:$A,$D474,
  'Asset Summary'!$B:$B,L$407
  )+
  SUMIFS(
  'Asset Summary'!$H:$H,
  'Asset Summary'!$A:$A,$D474,
  'Asset Summary'!$B:$B,L$407
  )
)</f>
        <v>0</v>
      </c>
      <c r="M474" s="14">
        <f>0.000001 * SUM(
  SUMIFS(
  'Asset Summary'!$G:$G,
  'Asset Summary'!$A:$A,$D474,
  'Asset Summary'!$B:$B,M$407
  )+
  SUMIFS(
  'Asset Summary'!$H:$H,
  'Asset Summary'!$A:$A,$D474,
  'Asset Summary'!$B:$B,M$407
  )
)</f>
        <v>0</v>
      </c>
      <c r="N474" s="14">
        <f>0.000001 * SUM(
  SUMIFS(
  'Asset Summary'!$G:$G,
  'Asset Summary'!$A:$A,$D474,
  'Asset Summary'!$B:$B,N$407
  )+
  SUMIFS(
  'Asset Summary'!$H:$H,
  'Asset Summary'!$A:$A,$D474,
  'Asset Summary'!$B:$B,N$407
  )
)</f>
        <v>0</v>
      </c>
      <c r="O474" s="14">
        <f>0.000001 * SUM(
  SUMIFS(
  'Asset Summary'!$G:$G,
  'Asset Summary'!$A:$A,$D474,
  'Asset Summary'!$B:$B,O$407
  )+
  SUMIFS(
  'Asset Summary'!$H:$H,
  'Asset Summary'!$A:$A,$D474,
  'Asset Summary'!$B:$B,O$407
  )
)</f>
        <v>0</v>
      </c>
      <c r="P474" s="14">
        <f>0.000001 * SUM(
  SUMIFS(
  'Asset Summary'!$G:$G,
  'Asset Summary'!$A:$A,$D474,
  'Asset Summary'!$B:$B,P$407
  )+
  SUMIFS(
  'Asset Summary'!$H:$H,
  'Asset Summary'!$A:$A,$D474,
  'Asset Summary'!$B:$B,P$407
  )
)</f>
        <v>0</v>
      </c>
      <c r="Q474" s="14">
        <f>0.000001 * SUM(
  SUMIFS(
  'Asset Summary'!$G:$G,
  'Asset Summary'!$A:$A,$D474,
  'Asset Summary'!$B:$B,Q$407
  )+
  SUMIFS(
  'Asset Summary'!$H:$H,
  'Asset Summary'!$A:$A,$D474,
  'Asset Summary'!$B:$B,Q$407
  )
)</f>
        <v>0</v>
      </c>
      <c r="R474" s="14">
        <f>0.000001 * SUM(
  SUMIFS(
  'Asset Summary'!$G:$G,
  'Asset Summary'!$A:$A,$D474,
  'Asset Summary'!$B:$B,R$407
  )+
  SUMIFS(
  'Asset Summary'!$H:$H,
  'Asset Summary'!$A:$A,$D474,
  'Asset Summary'!$B:$B,R$407
  )
)</f>
        <v>0</v>
      </c>
      <c r="S474" s="14">
        <f>0.000001 * SUM(
  SUMIFS(
  'Asset Summary'!$G:$G,
  'Asset Summary'!$A:$A,$D474,
  'Asset Summary'!$B:$B,S$407
  )+
  SUMIFS(
  'Asset Summary'!$H:$H,
  'Asset Summary'!$A:$A,$D474,
  'Asset Summary'!$B:$B,S$407
  )
)</f>
        <v>0</v>
      </c>
      <c r="T474" s="14">
        <f>0.000001 * SUM(
  SUMIFS(
  'Asset Summary'!$G:$G,
  'Asset Summary'!$A:$A,$D474,
  'Asset Summary'!$B:$B,T$407
  )+
  SUMIFS(
  'Asset Summary'!$H:$H,
  'Asset Summary'!$A:$A,$D474,
  'Asset Summary'!$B:$B,T$407
  )
)</f>
        <v>0</v>
      </c>
      <c r="U474" s="14">
        <f>0.000001 * SUM(
  SUMIFS(
  'Asset Summary'!$G:$G,
  'Asset Summary'!$A:$A,$D474,
  'Asset Summary'!$B:$B,U$407
  )+
  SUMIFS(
  'Asset Summary'!$H:$H,
  'Asset Summary'!$A:$A,$D474,
  'Asset Summary'!$B:$B,U$407
  )
)</f>
        <v>0</v>
      </c>
      <c r="V474" s="14">
        <f>0.000001 * SUM(
  SUMIFS(
  'Asset Summary'!$G:$G,
  'Asset Summary'!$A:$A,$D474,
  'Asset Summary'!$B:$B,V$407
  )+
  SUMIFS(
  'Asset Summary'!$H:$H,
  'Asset Summary'!$A:$A,$D474,
  'Asset Summary'!$B:$B,V$407
  )
)</f>
        <v>0</v>
      </c>
      <c r="W474" s="14">
        <f>0.000001 * SUM(
  SUMIFS(
  'Asset Summary'!$G:$G,
  'Asset Summary'!$A:$A,$D474,
  'Asset Summary'!$B:$B,W$407
  )+
  SUMIFS(
  'Asset Summary'!$H:$H,
  'Asset Summary'!$A:$A,$D474,
  'Asset Summary'!$B:$B,W$407
  )
)</f>
        <v>0</v>
      </c>
      <c r="X474" s="14">
        <f>0.000001 * SUM(
  SUMIFS(
  'Asset Summary'!$G:$G,
  'Asset Summary'!$A:$A,$D474,
  'Asset Summary'!$B:$B,X$407
  )+
  SUMIFS(
  'Asset Summary'!$H:$H,
  'Asset Summary'!$A:$A,$D474,
  'Asset Summary'!$B:$B,X$407
  )
)</f>
        <v>0</v>
      </c>
      <c r="Y474" s="14">
        <f>0.000001 * SUM(
  SUMIFS(
  'Asset Summary'!$G:$G,
  'Asset Summary'!$A:$A,$D474,
  'Asset Summary'!$B:$B,Y$407
  )+
  SUMIFS(
  'Asset Summary'!$H:$H,
  'Asset Summary'!$A:$A,$D474,
  'Asset Summary'!$B:$B,Y$407
  )
)</f>
        <v>0</v>
      </c>
      <c r="Z474" s="14">
        <f>0.000001 * SUM(
  SUMIFS(
  'Asset Summary'!$G:$G,
  'Asset Summary'!$A:$A,$D474,
  'Asset Summary'!$B:$B,Z$407
  )+
  SUMIFS(
  'Asset Summary'!$H:$H,
  'Asset Summary'!$A:$A,$D474,
  'Asset Summary'!$B:$B,Z$407
  )
)</f>
        <v>0</v>
      </c>
      <c r="AA474" s="14">
        <f>0.000001 * SUM(
  SUMIFS(
  'Asset Summary'!$G:$G,
  'Asset Summary'!$A:$A,$D474,
  'Asset Summary'!$B:$B,AA$407
  )+
  SUMIFS(
  'Asset Summary'!$H:$H,
  'Asset Summary'!$A:$A,$D474,
  'Asset Summary'!$B:$B,AA$407
  )
)</f>
        <v>0</v>
      </c>
      <c r="AB474" s="14">
        <f>0.000001 * SUM(
  SUMIFS(
  'Asset Summary'!$G:$G,
  'Asset Summary'!$A:$A,$D474,
  'Asset Summary'!$B:$B,AB$407
  )+
  SUMIFS(
  'Asset Summary'!$H:$H,
  'Asset Summary'!$A:$A,$D474,
  'Asset Summary'!$B:$B,AB$407
  )
)</f>
        <v>0</v>
      </c>
      <c r="AC474" s="14">
        <f>0.000001 * SUM(
  SUMIFS(
  'Asset Summary'!$G:$G,
  'Asset Summary'!$A:$A,$D474,
  'Asset Summary'!$B:$B,AC$407
  )+
  SUMIFS(
  'Asset Summary'!$H:$H,
  'Asset Summary'!$A:$A,$D474,
  'Asset Summary'!$B:$B,AC$407
  )
)</f>
        <v>0</v>
      </c>
      <c r="AD474" s="14">
        <f>0.000001 * SUM(
  SUMIFS(
  'Asset Summary'!$G:$G,
  'Asset Summary'!$A:$A,$D474,
  'Asset Summary'!$B:$B,AD$407
  )+
  SUMIFS(
  'Asset Summary'!$H:$H,
  'Asset Summary'!$A:$A,$D474,
  'Asset Summary'!$B:$B,AD$407
  )
)</f>
        <v>0</v>
      </c>
      <c r="AF474" s="14">
        <f>0.000001 * SUM(
  SUMIFS(
  'Asset Summary'!$G:$G,
  'Asset Summary'!$A:$A,$D474,
  'Asset Summary'!$B:$B,AF$407
  )+
  SUMIFS(
  'Asset Summary'!$H:$H,
  'Asset Summary'!$A:$A,$D474,
  'Asset Summary'!$B:$B,AF$407
  )
)</f>
        <v>0</v>
      </c>
      <c r="AH474" s="34" t="s">
        <v>422</v>
      </c>
    </row>
    <row r="475" spans="4:34" outlineLevel="1" x14ac:dyDescent="0.2">
      <c r="D475" s="8" t="s">
        <v>260</v>
      </c>
      <c r="E475" s="14">
        <f>0.000001 * SUM(
  SUMIFS(
  'Asset Summary'!$G:$G,
  'Asset Summary'!$A:$A,$D475,
  'Asset Summary'!$B:$B,E$407
  )+
  SUMIFS(
  'Asset Summary'!$H:$H,
  'Asset Summary'!$A:$A,$D475,
  'Asset Summary'!$B:$B,E$407
  )
)</f>
        <v>0</v>
      </c>
      <c r="F475" s="14">
        <f>0.000001 * SUM(
  SUMIFS(
  'Asset Summary'!$G:$G,
  'Asset Summary'!$A:$A,$D475,
  'Asset Summary'!$B:$B,F$407
  )+
  SUMIFS(
  'Asset Summary'!$H:$H,
  'Asset Summary'!$A:$A,$D475,
  'Asset Summary'!$B:$B,F$407
  )
)</f>
        <v>0</v>
      </c>
      <c r="G475" s="14">
        <f>0.000001 * SUM(
  SUMIFS(
  'Asset Summary'!$G:$G,
  'Asset Summary'!$A:$A,$D475,
  'Asset Summary'!$B:$B,G$407
  )+
  SUMIFS(
  'Asset Summary'!$H:$H,
  'Asset Summary'!$A:$A,$D475,
  'Asset Summary'!$B:$B,G$407
  )
)</f>
        <v>0</v>
      </c>
      <c r="H475" s="14">
        <f>0.000001 * SUM(
  SUMIFS(
  'Asset Summary'!$G:$G,
  'Asset Summary'!$A:$A,$D475,
  'Asset Summary'!$B:$B,H$407
  )+
  SUMIFS(
  'Asset Summary'!$H:$H,
  'Asset Summary'!$A:$A,$D475,
  'Asset Summary'!$B:$B,H$407
  )
)</f>
        <v>0</v>
      </c>
      <c r="I475" s="14">
        <f>0.000001 * SUM(
  SUMIFS(
  'Asset Summary'!$G:$G,
  'Asset Summary'!$A:$A,$D475,
  'Asset Summary'!$B:$B,I$407
  )+
  SUMIFS(
  'Asset Summary'!$H:$H,
  'Asset Summary'!$A:$A,$D475,
  'Asset Summary'!$B:$B,I$407
  )
)</f>
        <v>0</v>
      </c>
      <c r="J475" s="14">
        <f>0.000001 * SUM(
  SUMIFS(
  'Asset Summary'!$G:$G,
  'Asset Summary'!$A:$A,$D475,
  'Asset Summary'!$B:$B,J$407
  )+
  SUMIFS(
  'Asset Summary'!$H:$H,
  'Asset Summary'!$A:$A,$D475,
  'Asset Summary'!$B:$B,J$407
  )
)</f>
        <v>0</v>
      </c>
      <c r="K475" s="14">
        <f>0.000001 * SUM(
  SUMIFS(
  'Asset Summary'!$G:$G,
  'Asset Summary'!$A:$A,$D475,
  'Asset Summary'!$B:$B,K$407
  )+
  SUMIFS(
  'Asset Summary'!$H:$H,
  'Asset Summary'!$A:$A,$D475,
  'Asset Summary'!$B:$B,K$407
  )
)</f>
        <v>0</v>
      </c>
      <c r="L475" s="14">
        <f>0.000001 * SUM(
  SUMIFS(
  'Asset Summary'!$G:$G,
  'Asset Summary'!$A:$A,$D475,
  'Asset Summary'!$B:$B,L$407
  )+
  SUMIFS(
  'Asset Summary'!$H:$H,
  'Asset Summary'!$A:$A,$D475,
  'Asset Summary'!$B:$B,L$407
  )
)</f>
        <v>0</v>
      </c>
      <c r="M475" s="14">
        <f>0.000001 * SUM(
  SUMIFS(
  'Asset Summary'!$G:$G,
  'Asset Summary'!$A:$A,$D475,
  'Asset Summary'!$B:$B,M$407
  )+
  SUMIFS(
  'Asset Summary'!$H:$H,
  'Asset Summary'!$A:$A,$D475,
  'Asset Summary'!$B:$B,M$407
  )
)</f>
        <v>0</v>
      </c>
      <c r="N475" s="14">
        <f>0.000001 * SUM(
  SUMIFS(
  'Asset Summary'!$G:$G,
  'Asset Summary'!$A:$A,$D475,
  'Asset Summary'!$B:$B,N$407
  )+
  SUMIFS(
  'Asset Summary'!$H:$H,
  'Asset Summary'!$A:$A,$D475,
  'Asset Summary'!$B:$B,N$407
  )
)</f>
        <v>0</v>
      </c>
      <c r="O475" s="14">
        <f>0.000001 * SUM(
  SUMIFS(
  'Asset Summary'!$G:$G,
  'Asset Summary'!$A:$A,$D475,
  'Asset Summary'!$B:$B,O$407
  )+
  SUMIFS(
  'Asset Summary'!$H:$H,
  'Asset Summary'!$A:$A,$D475,
  'Asset Summary'!$B:$B,O$407
  )
)</f>
        <v>0</v>
      </c>
      <c r="P475" s="14">
        <f>0.000001 * SUM(
  SUMIFS(
  'Asset Summary'!$G:$G,
  'Asset Summary'!$A:$A,$D475,
  'Asset Summary'!$B:$B,P$407
  )+
  SUMIFS(
  'Asset Summary'!$H:$H,
  'Asset Summary'!$A:$A,$D475,
  'Asset Summary'!$B:$B,P$407
  )
)</f>
        <v>0</v>
      </c>
      <c r="Q475" s="14">
        <f>0.000001 * SUM(
  SUMIFS(
  'Asset Summary'!$G:$G,
  'Asset Summary'!$A:$A,$D475,
  'Asset Summary'!$B:$B,Q$407
  )+
  SUMIFS(
  'Asset Summary'!$H:$H,
  'Asset Summary'!$A:$A,$D475,
  'Asset Summary'!$B:$B,Q$407
  )
)</f>
        <v>0</v>
      </c>
      <c r="R475" s="14">
        <f>0.000001 * SUM(
  SUMIFS(
  'Asset Summary'!$G:$G,
  'Asset Summary'!$A:$A,$D475,
  'Asset Summary'!$B:$B,R$407
  )+
  SUMIFS(
  'Asset Summary'!$H:$H,
  'Asset Summary'!$A:$A,$D475,
  'Asset Summary'!$B:$B,R$407
  )
)</f>
        <v>0</v>
      </c>
      <c r="S475" s="14">
        <f>0.000001 * SUM(
  SUMIFS(
  'Asset Summary'!$G:$G,
  'Asset Summary'!$A:$A,$D475,
  'Asset Summary'!$B:$B,S$407
  )+
  SUMIFS(
  'Asset Summary'!$H:$H,
  'Asset Summary'!$A:$A,$D475,
  'Asset Summary'!$B:$B,S$407
  )
)</f>
        <v>0</v>
      </c>
      <c r="T475" s="14">
        <f>0.000001 * SUM(
  SUMIFS(
  'Asset Summary'!$G:$G,
  'Asset Summary'!$A:$A,$D475,
  'Asset Summary'!$B:$B,T$407
  )+
  SUMIFS(
  'Asset Summary'!$H:$H,
  'Asset Summary'!$A:$A,$D475,
  'Asset Summary'!$B:$B,T$407
  )
)</f>
        <v>0</v>
      </c>
      <c r="U475" s="14">
        <f>0.000001 * SUM(
  SUMIFS(
  'Asset Summary'!$G:$G,
  'Asset Summary'!$A:$A,$D475,
  'Asset Summary'!$B:$B,U$407
  )+
  SUMIFS(
  'Asset Summary'!$H:$H,
  'Asset Summary'!$A:$A,$D475,
  'Asset Summary'!$B:$B,U$407
  )
)</f>
        <v>0</v>
      </c>
      <c r="V475" s="14">
        <f>0.000001 * SUM(
  SUMIFS(
  'Asset Summary'!$G:$G,
  'Asset Summary'!$A:$A,$D475,
  'Asset Summary'!$B:$B,V$407
  )+
  SUMIFS(
  'Asset Summary'!$H:$H,
  'Asset Summary'!$A:$A,$D475,
  'Asset Summary'!$B:$B,V$407
  )
)</f>
        <v>0</v>
      </c>
      <c r="W475" s="14">
        <f>0.000001 * SUM(
  SUMIFS(
  'Asset Summary'!$G:$G,
  'Asset Summary'!$A:$A,$D475,
  'Asset Summary'!$B:$B,W$407
  )+
  SUMIFS(
  'Asset Summary'!$H:$H,
  'Asset Summary'!$A:$A,$D475,
  'Asset Summary'!$B:$B,W$407
  )
)</f>
        <v>0</v>
      </c>
      <c r="X475" s="14">
        <f>0.000001 * SUM(
  SUMIFS(
  'Asset Summary'!$G:$G,
  'Asset Summary'!$A:$A,$D475,
  'Asset Summary'!$B:$B,X$407
  )+
  SUMIFS(
  'Asset Summary'!$H:$H,
  'Asset Summary'!$A:$A,$D475,
  'Asset Summary'!$B:$B,X$407
  )
)</f>
        <v>0</v>
      </c>
      <c r="Y475" s="14">
        <f>0.000001 * SUM(
  SUMIFS(
  'Asset Summary'!$G:$G,
  'Asset Summary'!$A:$A,$D475,
  'Asset Summary'!$B:$B,Y$407
  )+
  SUMIFS(
  'Asset Summary'!$H:$H,
  'Asset Summary'!$A:$A,$D475,
  'Asset Summary'!$B:$B,Y$407
  )
)</f>
        <v>0</v>
      </c>
      <c r="Z475" s="14">
        <f>0.000001 * SUM(
  SUMIFS(
  'Asset Summary'!$G:$G,
  'Asset Summary'!$A:$A,$D475,
  'Asset Summary'!$B:$B,Z$407
  )+
  SUMIFS(
  'Asset Summary'!$H:$H,
  'Asset Summary'!$A:$A,$D475,
  'Asset Summary'!$B:$B,Z$407
  )
)</f>
        <v>0</v>
      </c>
      <c r="AA475" s="14">
        <f>0.000001 * SUM(
  SUMIFS(
  'Asset Summary'!$G:$G,
  'Asset Summary'!$A:$A,$D475,
  'Asset Summary'!$B:$B,AA$407
  )+
  SUMIFS(
  'Asset Summary'!$H:$H,
  'Asset Summary'!$A:$A,$D475,
  'Asset Summary'!$B:$B,AA$407
  )
)</f>
        <v>0</v>
      </c>
      <c r="AB475" s="14">
        <f>0.000001 * SUM(
  SUMIFS(
  'Asset Summary'!$G:$G,
  'Asset Summary'!$A:$A,$D475,
  'Asset Summary'!$B:$B,AB$407
  )+
  SUMIFS(
  'Asset Summary'!$H:$H,
  'Asset Summary'!$A:$A,$D475,
  'Asset Summary'!$B:$B,AB$407
  )
)</f>
        <v>0</v>
      </c>
      <c r="AC475" s="14">
        <f>0.000001 * SUM(
  SUMIFS(
  'Asset Summary'!$G:$G,
  'Asset Summary'!$A:$A,$D475,
  'Asset Summary'!$B:$B,AC$407
  )+
  SUMIFS(
  'Asset Summary'!$H:$H,
  'Asset Summary'!$A:$A,$D475,
  'Asset Summary'!$B:$B,AC$407
  )
)</f>
        <v>0</v>
      </c>
      <c r="AD475" s="14">
        <f>0.000001 * SUM(
  SUMIFS(
  'Asset Summary'!$G:$G,
  'Asset Summary'!$A:$A,$D475,
  'Asset Summary'!$B:$B,AD$407
  )+
  SUMIFS(
  'Asset Summary'!$H:$H,
  'Asset Summary'!$A:$A,$D475,
  'Asset Summary'!$B:$B,AD$407
  )
)</f>
        <v>0</v>
      </c>
      <c r="AF475" s="14">
        <f>0.000001 * SUM(
  SUMIFS(
  'Asset Summary'!$G:$G,
  'Asset Summary'!$A:$A,$D475,
  'Asset Summary'!$B:$B,AF$407
  )+
  SUMIFS(
  'Asset Summary'!$H:$H,
  'Asset Summary'!$A:$A,$D475,
  'Asset Summary'!$B:$B,AF$407
  )
)</f>
        <v>0</v>
      </c>
      <c r="AH475" s="34" t="s">
        <v>422</v>
      </c>
    </row>
    <row r="476" spans="4:34" outlineLevel="1" x14ac:dyDescent="0.2">
      <c r="D476" s="8" t="s">
        <v>261</v>
      </c>
      <c r="E476" s="14">
        <f>0.000001 * SUM(
  SUMIFS(
  'Asset Summary'!$G:$G,
  'Asset Summary'!$A:$A,$D476,
  'Asset Summary'!$B:$B,E$407
  )+
  SUMIFS(
  'Asset Summary'!$H:$H,
  'Asset Summary'!$A:$A,$D476,
  'Asset Summary'!$B:$B,E$407
  )
)</f>
        <v>0</v>
      </c>
      <c r="F476" s="14">
        <f>0.000001 * SUM(
  SUMIFS(
  'Asset Summary'!$G:$G,
  'Asset Summary'!$A:$A,$D476,
  'Asset Summary'!$B:$B,F$407
  )+
  SUMIFS(
  'Asset Summary'!$H:$H,
  'Asset Summary'!$A:$A,$D476,
  'Asset Summary'!$B:$B,F$407
  )
)</f>
        <v>0</v>
      </c>
      <c r="G476" s="14">
        <f>0.000001 * SUM(
  SUMIFS(
  'Asset Summary'!$G:$G,
  'Asset Summary'!$A:$A,$D476,
  'Asset Summary'!$B:$B,G$407
  )+
  SUMIFS(
  'Asset Summary'!$H:$H,
  'Asset Summary'!$A:$A,$D476,
  'Asset Summary'!$B:$B,G$407
  )
)</f>
        <v>0</v>
      </c>
      <c r="H476" s="14">
        <f>0.000001 * SUM(
  SUMIFS(
  'Asset Summary'!$G:$G,
  'Asset Summary'!$A:$A,$D476,
  'Asset Summary'!$B:$B,H$407
  )+
  SUMIFS(
  'Asset Summary'!$H:$H,
  'Asset Summary'!$A:$A,$D476,
  'Asset Summary'!$B:$B,H$407
  )
)</f>
        <v>0</v>
      </c>
      <c r="I476" s="14">
        <f>0.000001 * SUM(
  SUMIFS(
  'Asset Summary'!$G:$G,
  'Asset Summary'!$A:$A,$D476,
  'Asset Summary'!$B:$B,I$407
  )+
  SUMIFS(
  'Asset Summary'!$H:$H,
  'Asset Summary'!$A:$A,$D476,
  'Asset Summary'!$B:$B,I$407
  )
)</f>
        <v>0</v>
      </c>
      <c r="J476" s="14">
        <f>0.000001 * SUM(
  SUMIFS(
  'Asset Summary'!$G:$G,
  'Asset Summary'!$A:$A,$D476,
  'Asset Summary'!$B:$B,J$407
  )+
  SUMIFS(
  'Asset Summary'!$H:$H,
  'Asset Summary'!$A:$A,$D476,
  'Asset Summary'!$B:$B,J$407
  )
)</f>
        <v>0</v>
      </c>
      <c r="K476" s="14">
        <f>0.000001 * SUM(
  SUMIFS(
  'Asset Summary'!$G:$G,
  'Asset Summary'!$A:$A,$D476,
  'Asset Summary'!$B:$B,K$407
  )+
  SUMIFS(
  'Asset Summary'!$H:$H,
  'Asset Summary'!$A:$A,$D476,
  'Asset Summary'!$B:$B,K$407
  )
)</f>
        <v>0</v>
      </c>
      <c r="L476" s="14">
        <f>0.000001 * SUM(
  SUMIFS(
  'Asset Summary'!$G:$G,
  'Asset Summary'!$A:$A,$D476,
  'Asset Summary'!$B:$B,L$407
  )+
  SUMIFS(
  'Asset Summary'!$H:$H,
  'Asset Summary'!$A:$A,$D476,
  'Asset Summary'!$B:$B,L$407
  )
)</f>
        <v>0</v>
      </c>
      <c r="M476" s="14">
        <f>0.000001 * SUM(
  SUMIFS(
  'Asset Summary'!$G:$G,
  'Asset Summary'!$A:$A,$D476,
  'Asset Summary'!$B:$B,M$407
  )+
  SUMIFS(
  'Asset Summary'!$H:$H,
  'Asset Summary'!$A:$A,$D476,
  'Asset Summary'!$B:$B,M$407
  )
)</f>
        <v>0</v>
      </c>
      <c r="N476" s="14">
        <f>0.000001 * SUM(
  SUMIFS(
  'Asset Summary'!$G:$G,
  'Asset Summary'!$A:$A,$D476,
  'Asset Summary'!$B:$B,N$407
  )+
  SUMIFS(
  'Asset Summary'!$H:$H,
  'Asset Summary'!$A:$A,$D476,
  'Asset Summary'!$B:$B,N$407
  )
)</f>
        <v>0</v>
      </c>
      <c r="O476" s="14">
        <f>0.000001 * SUM(
  SUMIFS(
  'Asset Summary'!$G:$G,
  'Asset Summary'!$A:$A,$D476,
  'Asset Summary'!$B:$B,O$407
  )+
  SUMIFS(
  'Asset Summary'!$H:$H,
  'Asset Summary'!$A:$A,$D476,
  'Asset Summary'!$B:$B,O$407
  )
)</f>
        <v>0</v>
      </c>
      <c r="P476" s="14">
        <f>0.000001 * SUM(
  SUMIFS(
  'Asset Summary'!$G:$G,
  'Asset Summary'!$A:$A,$D476,
  'Asset Summary'!$B:$B,P$407
  )+
  SUMIFS(
  'Asset Summary'!$H:$H,
  'Asset Summary'!$A:$A,$D476,
  'Asset Summary'!$B:$B,P$407
  )
)</f>
        <v>0</v>
      </c>
      <c r="Q476" s="14">
        <f>0.000001 * SUM(
  SUMIFS(
  'Asset Summary'!$G:$G,
  'Asset Summary'!$A:$A,$D476,
  'Asset Summary'!$B:$B,Q$407
  )+
  SUMIFS(
  'Asset Summary'!$H:$H,
  'Asset Summary'!$A:$A,$D476,
  'Asset Summary'!$B:$B,Q$407
  )
)</f>
        <v>0</v>
      </c>
      <c r="R476" s="14">
        <f>0.000001 * SUM(
  SUMIFS(
  'Asset Summary'!$G:$G,
  'Asset Summary'!$A:$A,$D476,
  'Asset Summary'!$B:$B,R$407
  )+
  SUMIFS(
  'Asset Summary'!$H:$H,
  'Asset Summary'!$A:$A,$D476,
  'Asset Summary'!$B:$B,R$407
  )
)</f>
        <v>0</v>
      </c>
      <c r="S476" s="14">
        <f>0.000001 * SUM(
  SUMIFS(
  'Asset Summary'!$G:$G,
  'Asset Summary'!$A:$A,$D476,
  'Asset Summary'!$B:$B,S$407
  )+
  SUMIFS(
  'Asset Summary'!$H:$H,
  'Asset Summary'!$A:$A,$D476,
  'Asset Summary'!$B:$B,S$407
  )
)</f>
        <v>0</v>
      </c>
      <c r="T476" s="14">
        <f>0.000001 * SUM(
  SUMIFS(
  'Asset Summary'!$G:$G,
  'Asset Summary'!$A:$A,$D476,
  'Asset Summary'!$B:$B,T$407
  )+
  SUMIFS(
  'Asset Summary'!$H:$H,
  'Asset Summary'!$A:$A,$D476,
  'Asset Summary'!$B:$B,T$407
  )
)</f>
        <v>0</v>
      </c>
      <c r="U476" s="14">
        <f>0.000001 * SUM(
  SUMIFS(
  'Asset Summary'!$G:$G,
  'Asset Summary'!$A:$A,$D476,
  'Asset Summary'!$B:$B,U$407
  )+
  SUMIFS(
  'Asset Summary'!$H:$H,
  'Asset Summary'!$A:$A,$D476,
  'Asset Summary'!$B:$B,U$407
  )
)</f>
        <v>0</v>
      </c>
      <c r="V476" s="14">
        <f>0.000001 * SUM(
  SUMIFS(
  'Asset Summary'!$G:$G,
  'Asset Summary'!$A:$A,$D476,
  'Asset Summary'!$B:$B,V$407
  )+
  SUMIFS(
  'Asset Summary'!$H:$H,
  'Asset Summary'!$A:$A,$D476,
  'Asset Summary'!$B:$B,V$407
  )
)</f>
        <v>0</v>
      </c>
      <c r="W476" s="14">
        <f>0.000001 * SUM(
  SUMIFS(
  'Asset Summary'!$G:$G,
  'Asset Summary'!$A:$A,$D476,
  'Asset Summary'!$B:$B,W$407
  )+
  SUMIFS(
  'Asset Summary'!$H:$H,
  'Asset Summary'!$A:$A,$D476,
  'Asset Summary'!$B:$B,W$407
  )
)</f>
        <v>0</v>
      </c>
      <c r="X476" s="14">
        <f>0.000001 * SUM(
  SUMIFS(
  'Asset Summary'!$G:$G,
  'Asset Summary'!$A:$A,$D476,
  'Asset Summary'!$B:$B,X$407
  )+
  SUMIFS(
  'Asset Summary'!$H:$H,
  'Asset Summary'!$A:$A,$D476,
  'Asset Summary'!$B:$B,X$407
  )
)</f>
        <v>0</v>
      </c>
      <c r="Y476" s="14">
        <f>0.000001 * SUM(
  SUMIFS(
  'Asset Summary'!$G:$G,
  'Asset Summary'!$A:$A,$D476,
  'Asset Summary'!$B:$B,Y$407
  )+
  SUMIFS(
  'Asset Summary'!$H:$H,
  'Asset Summary'!$A:$A,$D476,
  'Asset Summary'!$B:$B,Y$407
  )
)</f>
        <v>0</v>
      </c>
      <c r="Z476" s="14">
        <f>0.000001 * SUM(
  SUMIFS(
  'Asset Summary'!$G:$G,
  'Asset Summary'!$A:$A,$D476,
  'Asset Summary'!$B:$B,Z$407
  )+
  SUMIFS(
  'Asset Summary'!$H:$H,
  'Asset Summary'!$A:$A,$D476,
  'Asset Summary'!$B:$B,Z$407
  )
)</f>
        <v>0</v>
      </c>
      <c r="AA476" s="14">
        <f>0.000001 * SUM(
  SUMIFS(
  'Asset Summary'!$G:$G,
  'Asset Summary'!$A:$A,$D476,
  'Asset Summary'!$B:$B,AA$407
  )+
  SUMIFS(
  'Asset Summary'!$H:$H,
  'Asset Summary'!$A:$A,$D476,
  'Asset Summary'!$B:$B,AA$407
  )
)</f>
        <v>0</v>
      </c>
      <c r="AB476" s="14">
        <f>0.000001 * SUM(
  SUMIFS(
  'Asset Summary'!$G:$G,
  'Asset Summary'!$A:$A,$D476,
  'Asset Summary'!$B:$B,AB$407
  )+
  SUMIFS(
  'Asset Summary'!$H:$H,
  'Asset Summary'!$A:$A,$D476,
  'Asset Summary'!$B:$B,AB$407
  )
)</f>
        <v>0</v>
      </c>
      <c r="AC476" s="14">
        <f>0.000001 * SUM(
  SUMIFS(
  'Asset Summary'!$G:$G,
  'Asset Summary'!$A:$A,$D476,
  'Asset Summary'!$B:$B,AC$407
  )+
  SUMIFS(
  'Asset Summary'!$H:$H,
  'Asset Summary'!$A:$A,$D476,
  'Asset Summary'!$B:$B,AC$407
  )
)</f>
        <v>0</v>
      </c>
      <c r="AD476" s="14">
        <f>0.000001 * SUM(
  SUMIFS(
  'Asset Summary'!$G:$G,
  'Asset Summary'!$A:$A,$D476,
  'Asset Summary'!$B:$B,AD$407
  )+
  SUMIFS(
  'Asset Summary'!$H:$H,
  'Asset Summary'!$A:$A,$D476,
  'Asset Summary'!$B:$B,AD$407
  )
)</f>
        <v>0</v>
      </c>
      <c r="AF476" s="14">
        <f>0.000001 * SUM(
  SUMIFS(
  'Asset Summary'!$G:$G,
  'Asset Summary'!$A:$A,$D476,
  'Asset Summary'!$B:$B,AF$407
  )+
  SUMIFS(
  'Asset Summary'!$H:$H,
  'Asset Summary'!$A:$A,$D476,
  'Asset Summary'!$B:$B,AF$407
  )
)</f>
        <v>0</v>
      </c>
      <c r="AH476" s="34" t="s">
        <v>422</v>
      </c>
    </row>
    <row r="477" spans="4:34" outlineLevel="1" x14ac:dyDescent="0.2">
      <c r="D477" s="8" t="s">
        <v>262</v>
      </c>
      <c r="E477" s="14">
        <f>0.000001 * SUM(
  SUMIFS(
  'Asset Summary'!$G:$G,
  'Asset Summary'!$A:$A,$D477,
  'Asset Summary'!$B:$B,E$407
  )+
  SUMIFS(
  'Asset Summary'!$H:$H,
  'Asset Summary'!$A:$A,$D477,
  'Asset Summary'!$B:$B,E$407
  )
)</f>
        <v>0</v>
      </c>
      <c r="F477" s="14">
        <f>0.000001 * SUM(
  SUMIFS(
  'Asset Summary'!$G:$G,
  'Asset Summary'!$A:$A,$D477,
  'Asset Summary'!$B:$B,F$407
  )+
  SUMIFS(
  'Asset Summary'!$H:$H,
  'Asset Summary'!$A:$A,$D477,
  'Asset Summary'!$B:$B,F$407
  )
)</f>
        <v>0</v>
      </c>
      <c r="G477" s="14">
        <f>0.000001 * SUM(
  SUMIFS(
  'Asset Summary'!$G:$G,
  'Asset Summary'!$A:$A,$D477,
  'Asset Summary'!$B:$B,G$407
  )+
  SUMIFS(
  'Asset Summary'!$H:$H,
  'Asset Summary'!$A:$A,$D477,
  'Asset Summary'!$B:$B,G$407
  )
)</f>
        <v>0</v>
      </c>
      <c r="H477" s="14">
        <f>0.000001 * SUM(
  SUMIFS(
  'Asset Summary'!$G:$G,
  'Asset Summary'!$A:$A,$D477,
  'Asset Summary'!$B:$B,H$407
  )+
  SUMIFS(
  'Asset Summary'!$H:$H,
  'Asset Summary'!$A:$A,$D477,
  'Asset Summary'!$B:$B,H$407
  )
)</f>
        <v>0</v>
      </c>
      <c r="I477" s="14">
        <f>0.000001 * SUM(
  SUMIFS(
  'Asset Summary'!$G:$G,
  'Asset Summary'!$A:$A,$D477,
  'Asset Summary'!$B:$B,I$407
  )+
  SUMIFS(
  'Asset Summary'!$H:$H,
  'Asset Summary'!$A:$A,$D477,
  'Asset Summary'!$B:$B,I$407
  )
)</f>
        <v>0</v>
      </c>
      <c r="J477" s="14">
        <f>0.000001 * SUM(
  SUMIFS(
  'Asset Summary'!$G:$G,
  'Asset Summary'!$A:$A,$D477,
  'Asset Summary'!$B:$B,J$407
  )+
  SUMIFS(
  'Asset Summary'!$H:$H,
  'Asset Summary'!$A:$A,$D477,
  'Asset Summary'!$B:$B,J$407
  )
)</f>
        <v>0</v>
      </c>
      <c r="K477" s="14">
        <f>0.000001 * SUM(
  SUMIFS(
  'Asset Summary'!$G:$G,
  'Asset Summary'!$A:$A,$D477,
  'Asset Summary'!$B:$B,K$407
  )+
  SUMIFS(
  'Asset Summary'!$H:$H,
  'Asset Summary'!$A:$A,$D477,
  'Asset Summary'!$B:$B,K$407
  )
)</f>
        <v>0</v>
      </c>
      <c r="L477" s="14">
        <f>0.000001 * SUM(
  SUMIFS(
  'Asset Summary'!$G:$G,
  'Asset Summary'!$A:$A,$D477,
  'Asset Summary'!$B:$B,L$407
  )+
  SUMIFS(
  'Asset Summary'!$H:$H,
  'Asset Summary'!$A:$A,$D477,
  'Asset Summary'!$B:$B,L$407
  )
)</f>
        <v>0</v>
      </c>
      <c r="M477" s="14">
        <f>0.000001 * SUM(
  SUMIFS(
  'Asset Summary'!$G:$G,
  'Asset Summary'!$A:$A,$D477,
  'Asset Summary'!$B:$B,M$407
  )+
  SUMIFS(
  'Asset Summary'!$H:$H,
  'Asset Summary'!$A:$A,$D477,
  'Asset Summary'!$B:$B,M$407
  )
)</f>
        <v>0</v>
      </c>
      <c r="N477" s="14">
        <f>0.000001 * SUM(
  SUMIFS(
  'Asset Summary'!$G:$G,
  'Asset Summary'!$A:$A,$D477,
  'Asset Summary'!$B:$B,N$407
  )+
  SUMIFS(
  'Asset Summary'!$H:$H,
  'Asset Summary'!$A:$A,$D477,
  'Asset Summary'!$B:$B,N$407
  )
)</f>
        <v>0</v>
      </c>
      <c r="O477" s="14">
        <f>0.000001 * SUM(
  SUMIFS(
  'Asset Summary'!$G:$G,
  'Asset Summary'!$A:$A,$D477,
  'Asset Summary'!$B:$B,O$407
  )+
  SUMIFS(
  'Asset Summary'!$H:$H,
  'Asset Summary'!$A:$A,$D477,
  'Asset Summary'!$B:$B,O$407
  )
)</f>
        <v>0</v>
      </c>
      <c r="P477" s="14">
        <f>0.000001 * SUM(
  SUMIFS(
  'Asset Summary'!$G:$G,
  'Asset Summary'!$A:$A,$D477,
  'Asset Summary'!$B:$B,P$407
  )+
  SUMIFS(
  'Asset Summary'!$H:$H,
  'Asset Summary'!$A:$A,$D477,
  'Asset Summary'!$B:$B,P$407
  )
)</f>
        <v>0</v>
      </c>
      <c r="Q477" s="14">
        <f>0.000001 * SUM(
  SUMIFS(
  'Asset Summary'!$G:$G,
  'Asset Summary'!$A:$A,$D477,
  'Asset Summary'!$B:$B,Q$407
  )+
  SUMIFS(
  'Asset Summary'!$H:$H,
  'Asset Summary'!$A:$A,$D477,
  'Asset Summary'!$B:$B,Q$407
  )
)</f>
        <v>0</v>
      </c>
      <c r="R477" s="14">
        <f>0.000001 * SUM(
  SUMIFS(
  'Asset Summary'!$G:$G,
  'Asset Summary'!$A:$A,$D477,
  'Asset Summary'!$B:$B,R$407
  )+
  SUMIFS(
  'Asset Summary'!$H:$H,
  'Asset Summary'!$A:$A,$D477,
  'Asset Summary'!$B:$B,R$407
  )
)</f>
        <v>0</v>
      </c>
      <c r="S477" s="14">
        <f>0.000001 * SUM(
  SUMIFS(
  'Asset Summary'!$G:$G,
  'Asset Summary'!$A:$A,$D477,
  'Asset Summary'!$B:$B,S$407
  )+
  SUMIFS(
  'Asset Summary'!$H:$H,
  'Asset Summary'!$A:$A,$D477,
  'Asset Summary'!$B:$B,S$407
  )
)</f>
        <v>0</v>
      </c>
      <c r="T477" s="14">
        <f>0.000001 * SUM(
  SUMIFS(
  'Asset Summary'!$G:$G,
  'Asset Summary'!$A:$A,$D477,
  'Asset Summary'!$B:$B,T$407
  )+
  SUMIFS(
  'Asset Summary'!$H:$H,
  'Asset Summary'!$A:$A,$D477,
  'Asset Summary'!$B:$B,T$407
  )
)</f>
        <v>0</v>
      </c>
      <c r="U477" s="14">
        <f>0.000001 * SUM(
  SUMIFS(
  'Asset Summary'!$G:$G,
  'Asset Summary'!$A:$A,$D477,
  'Asset Summary'!$B:$B,U$407
  )+
  SUMIFS(
  'Asset Summary'!$H:$H,
  'Asset Summary'!$A:$A,$D477,
  'Asset Summary'!$B:$B,U$407
  )
)</f>
        <v>0</v>
      </c>
      <c r="V477" s="14">
        <f>0.000001 * SUM(
  SUMIFS(
  'Asset Summary'!$G:$G,
  'Asset Summary'!$A:$A,$D477,
  'Asset Summary'!$B:$B,V$407
  )+
  SUMIFS(
  'Asset Summary'!$H:$H,
  'Asset Summary'!$A:$A,$D477,
  'Asset Summary'!$B:$B,V$407
  )
)</f>
        <v>0</v>
      </c>
      <c r="W477" s="14">
        <f>0.000001 * SUM(
  SUMIFS(
  'Asset Summary'!$G:$G,
  'Asset Summary'!$A:$A,$D477,
  'Asset Summary'!$B:$B,W$407
  )+
  SUMIFS(
  'Asset Summary'!$H:$H,
  'Asset Summary'!$A:$A,$D477,
  'Asset Summary'!$B:$B,W$407
  )
)</f>
        <v>0</v>
      </c>
      <c r="X477" s="14">
        <f>0.000001 * SUM(
  SUMIFS(
  'Asset Summary'!$G:$G,
  'Asset Summary'!$A:$A,$D477,
  'Asset Summary'!$B:$B,X$407
  )+
  SUMIFS(
  'Asset Summary'!$H:$H,
  'Asset Summary'!$A:$A,$D477,
  'Asset Summary'!$B:$B,X$407
  )
)</f>
        <v>0</v>
      </c>
      <c r="Y477" s="14">
        <f>0.000001 * SUM(
  SUMIFS(
  'Asset Summary'!$G:$G,
  'Asset Summary'!$A:$A,$D477,
  'Asset Summary'!$B:$B,Y$407
  )+
  SUMIFS(
  'Asset Summary'!$H:$H,
  'Asset Summary'!$A:$A,$D477,
  'Asset Summary'!$B:$B,Y$407
  )
)</f>
        <v>0</v>
      </c>
      <c r="Z477" s="14">
        <f>0.000001 * SUM(
  SUMIFS(
  'Asset Summary'!$G:$G,
  'Asset Summary'!$A:$A,$D477,
  'Asset Summary'!$B:$B,Z$407
  )+
  SUMIFS(
  'Asset Summary'!$H:$H,
  'Asset Summary'!$A:$A,$D477,
  'Asset Summary'!$B:$B,Z$407
  )
)</f>
        <v>0</v>
      </c>
      <c r="AA477" s="14">
        <f>0.000001 * SUM(
  SUMIFS(
  'Asset Summary'!$G:$G,
  'Asset Summary'!$A:$A,$D477,
  'Asset Summary'!$B:$B,AA$407
  )+
  SUMIFS(
  'Asset Summary'!$H:$H,
  'Asset Summary'!$A:$A,$D477,
  'Asset Summary'!$B:$B,AA$407
  )
)</f>
        <v>0</v>
      </c>
      <c r="AB477" s="14">
        <f>0.000001 * SUM(
  SUMIFS(
  'Asset Summary'!$G:$G,
  'Asset Summary'!$A:$A,$D477,
  'Asset Summary'!$B:$B,AB$407
  )+
  SUMIFS(
  'Asset Summary'!$H:$H,
  'Asset Summary'!$A:$A,$D477,
  'Asset Summary'!$B:$B,AB$407
  )
)</f>
        <v>0</v>
      </c>
      <c r="AC477" s="14">
        <f>0.000001 * SUM(
  SUMIFS(
  'Asset Summary'!$G:$G,
  'Asset Summary'!$A:$A,$D477,
  'Asset Summary'!$B:$B,AC$407
  )+
  SUMIFS(
  'Asset Summary'!$H:$H,
  'Asset Summary'!$A:$A,$D477,
  'Asset Summary'!$B:$B,AC$407
  )
)</f>
        <v>0</v>
      </c>
      <c r="AD477" s="14">
        <f>0.000001 * SUM(
  SUMIFS(
  'Asset Summary'!$G:$G,
  'Asset Summary'!$A:$A,$D477,
  'Asset Summary'!$B:$B,AD$407
  )+
  SUMIFS(
  'Asset Summary'!$H:$H,
  'Asset Summary'!$A:$A,$D477,
  'Asset Summary'!$B:$B,AD$407
  )
)</f>
        <v>6.7679479999999987</v>
      </c>
      <c r="AF477" s="14">
        <f>0.000001 * SUM(
  SUMIFS(
  'Asset Summary'!$G:$G,
  'Asset Summary'!$A:$A,$D477,
  'Asset Summary'!$B:$B,AF$407
  )+
  SUMIFS(
  'Asset Summary'!$H:$H,
  'Asset Summary'!$A:$A,$D477,
  'Asset Summary'!$B:$B,AF$407
  )
)</f>
        <v>0</v>
      </c>
      <c r="AH477" s="34" t="s">
        <v>422</v>
      </c>
    </row>
    <row r="478" spans="4:34" outlineLevel="1" x14ac:dyDescent="0.2">
      <c r="D478" s="8" t="s">
        <v>263</v>
      </c>
      <c r="E478" s="14">
        <f>0.000001 * SUM(
  SUMIFS(
  'Asset Summary'!$G:$G,
  'Asset Summary'!$A:$A,$D478,
  'Asset Summary'!$B:$B,E$407
  )+
  SUMIFS(
  'Asset Summary'!$H:$H,
  'Asset Summary'!$A:$A,$D478,
  'Asset Summary'!$B:$B,E$407
  )
)</f>
        <v>0</v>
      </c>
      <c r="F478" s="14">
        <f>0.000001 * SUM(
  SUMIFS(
  'Asset Summary'!$G:$G,
  'Asset Summary'!$A:$A,$D478,
  'Asset Summary'!$B:$B,F$407
  )+
  SUMIFS(
  'Asset Summary'!$H:$H,
  'Asset Summary'!$A:$A,$D478,
  'Asset Summary'!$B:$B,F$407
  )
)</f>
        <v>0</v>
      </c>
      <c r="G478" s="14">
        <f>0.000001 * SUM(
  SUMIFS(
  'Asset Summary'!$G:$G,
  'Asset Summary'!$A:$A,$D478,
  'Asset Summary'!$B:$B,G$407
  )+
  SUMIFS(
  'Asset Summary'!$H:$H,
  'Asset Summary'!$A:$A,$D478,
  'Asset Summary'!$B:$B,G$407
  )
)</f>
        <v>0</v>
      </c>
      <c r="H478" s="14">
        <f>0.000001 * SUM(
  SUMIFS(
  'Asset Summary'!$G:$G,
  'Asset Summary'!$A:$A,$D478,
  'Asset Summary'!$B:$B,H$407
  )+
  SUMIFS(
  'Asset Summary'!$H:$H,
  'Asset Summary'!$A:$A,$D478,
  'Asset Summary'!$B:$B,H$407
  )
)</f>
        <v>0</v>
      </c>
      <c r="I478" s="14">
        <f>0.000001 * SUM(
  SUMIFS(
  'Asset Summary'!$G:$G,
  'Asset Summary'!$A:$A,$D478,
  'Asset Summary'!$B:$B,I$407
  )+
  SUMIFS(
  'Asset Summary'!$H:$H,
  'Asset Summary'!$A:$A,$D478,
  'Asset Summary'!$B:$B,I$407
  )
)</f>
        <v>0</v>
      </c>
      <c r="J478" s="14">
        <f>0.000001 * SUM(
  SUMIFS(
  'Asset Summary'!$G:$G,
  'Asset Summary'!$A:$A,$D478,
  'Asset Summary'!$B:$B,J$407
  )+
  SUMIFS(
  'Asset Summary'!$H:$H,
  'Asset Summary'!$A:$A,$D478,
  'Asset Summary'!$B:$B,J$407
  )
)</f>
        <v>0</v>
      </c>
      <c r="K478" s="14">
        <f>0.000001 * SUM(
  SUMIFS(
  'Asset Summary'!$G:$G,
  'Asset Summary'!$A:$A,$D478,
  'Asset Summary'!$B:$B,K$407
  )+
  SUMIFS(
  'Asset Summary'!$H:$H,
  'Asset Summary'!$A:$A,$D478,
  'Asset Summary'!$B:$B,K$407
  )
)</f>
        <v>0</v>
      </c>
      <c r="L478" s="14">
        <f>0.000001 * SUM(
  SUMIFS(
  'Asset Summary'!$G:$G,
  'Asset Summary'!$A:$A,$D478,
  'Asset Summary'!$B:$B,L$407
  )+
  SUMIFS(
  'Asset Summary'!$H:$H,
  'Asset Summary'!$A:$A,$D478,
  'Asset Summary'!$B:$B,L$407
  )
)</f>
        <v>0</v>
      </c>
      <c r="M478" s="14">
        <f>0.000001 * SUM(
  SUMIFS(
  'Asset Summary'!$G:$G,
  'Asset Summary'!$A:$A,$D478,
  'Asset Summary'!$B:$B,M$407
  )+
  SUMIFS(
  'Asset Summary'!$H:$H,
  'Asset Summary'!$A:$A,$D478,
  'Asset Summary'!$B:$B,M$407
  )
)</f>
        <v>0</v>
      </c>
      <c r="N478" s="14">
        <f>0.000001 * SUM(
  SUMIFS(
  'Asset Summary'!$G:$G,
  'Asset Summary'!$A:$A,$D478,
  'Asset Summary'!$B:$B,N$407
  )+
  SUMIFS(
  'Asset Summary'!$H:$H,
  'Asset Summary'!$A:$A,$D478,
  'Asset Summary'!$B:$B,N$407
  )
)</f>
        <v>0</v>
      </c>
      <c r="O478" s="14">
        <f>0.000001 * SUM(
  SUMIFS(
  'Asset Summary'!$G:$G,
  'Asset Summary'!$A:$A,$D478,
  'Asset Summary'!$B:$B,O$407
  )+
  SUMIFS(
  'Asset Summary'!$H:$H,
  'Asset Summary'!$A:$A,$D478,
  'Asset Summary'!$B:$B,O$407
  )
)</f>
        <v>0</v>
      </c>
      <c r="P478" s="14">
        <f>0.000001 * SUM(
  SUMIFS(
  'Asset Summary'!$G:$G,
  'Asset Summary'!$A:$A,$D478,
  'Asset Summary'!$B:$B,P$407
  )+
  SUMIFS(
  'Asset Summary'!$H:$H,
  'Asset Summary'!$A:$A,$D478,
  'Asset Summary'!$B:$B,P$407
  )
)</f>
        <v>0</v>
      </c>
      <c r="Q478" s="14">
        <f>0.000001 * SUM(
  SUMIFS(
  'Asset Summary'!$G:$G,
  'Asset Summary'!$A:$A,$D478,
  'Asset Summary'!$B:$B,Q$407
  )+
  SUMIFS(
  'Asset Summary'!$H:$H,
  'Asset Summary'!$A:$A,$D478,
  'Asset Summary'!$B:$B,Q$407
  )
)</f>
        <v>0</v>
      </c>
      <c r="R478" s="14">
        <f>0.000001 * SUM(
  SUMIFS(
  'Asset Summary'!$G:$G,
  'Asset Summary'!$A:$A,$D478,
  'Asset Summary'!$B:$B,R$407
  )+
  SUMIFS(
  'Asset Summary'!$H:$H,
  'Asset Summary'!$A:$A,$D478,
  'Asset Summary'!$B:$B,R$407
  )
)</f>
        <v>0</v>
      </c>
      <c r="S478" s="14">
        <f>0.000001 * SUM(
  SUMIFS(
  'Asset Summary'!$G:$G,
  'Asset Summary'!$A:$A,$D478,
  'Asset Summary'!$B:$B,S$407
  )+
  SUMIFS(
  'Asset Summary'!$H:$H,
  'Asset Summary'!$A:$A,$D478,
  'Asset Summary'!$B:$B,S$407
  )
)</f>
        <v>0</v>
      </c>
      <c r="T478" s="14">
        <f>0.000001 * SUM(
  SUMIFS(
  'Asset Summary'!$G:$G,
  'Asset Summary'!$A:$A,$D478,
  'Asset Summary'!$B:$B,T$407
  )+
  SUMIFS(
  'Asset Summary'!$H:$H,
  'Asset Summary'!$A:$A,$D478,
  'Asset Summary'!$B:$B,T$407
  )
)</f>
        <v>0</v>
      </c>
      <c r="U478" s="14">
        <f>0.000001 * SUM(
  SUMIFS(
  'Asset Summary'!$G:$G,
  'Asset Summary'!$A:$A,$D478,
  'Asset Summary'!$B:$B,U$407
  )+
  SUMIFS(
  'Asset Summary'!$H:$H,
  'Asset Summary'!$A:$A,$D478,
  'Asset Summary'!$B:$B,U$407
  )
)</f>
        <v>0</v>
      </c>
      <c r="V478" s="14">
        <f>0.000001 * SUM(
  SUMIFS(
  'Asset Summary'!$G:$G,
  'Asset Summary'!$A:$A,$D478,
  'Asset Summary'!$B:$B,V$407
  )+
  SUMIFS(
  'Asset Summary'!$H:$H,
  'Asset Summary'!$A:$A,$D478,
  'Asset Summary'!$B:$B,V$407
  )
)</f>
        <v>0</v>
      </c>
      <c r="W478" s="14">
        <f>0.000001 * SUM(
  SUMIFS(
  'Asset Summary'!$G:$G,
  'Asset Summary'!$A:$A,$D478,
  'Asset Summary'!$B:$B,W$407
  )+
  SUMIFS(
  'Asset Summary'!$H:$H,
  'Asset Summary'!$A:$A,$D478,
  'Asset Summary'!$B:$B,W$407
  )
)</f>
        <v>0</v>
      </c>
      <c r="X478" s="14">
        <f>0.000001 * SUM(
  SUMIFS(
  'Asset Summary'!$G:$G,
  'Asset Summary'!$A:$A,$D478,
  'Asset Summary'!$B:$B,X$407
  )+
  SUMIFS(
  'Asset Summary'!$H:$H,
  'Asset Summary'!$A:$A,$D478,
  'Asset Summary'!$B:$B,X$407
  )
)</f>
        <v>0</v>
      </c>
      <c r="Y478" s="14">
        <f>0.000001 * SUM(
  SUMIFS(
  'Asset Summary'!$G:$G,
  'Asset Summary'!$A:$A,$D478,
  'Asset Summary'!$B:$B,Y$407
  )+
  SUMIFS(
  'Asset Summary'!$H:$H,
  'Asset Summary'!$A:$A,$D478,
  'Asset Summary'!$B:$B,Y$407
  )
)</f>
        <v>0</v>
      </c>
      <c r="Z478" s="14">
        <f>0.000001 * SUM(
  SUMIFS(
  'Asset Summary'!$G:$G,
  'Asset Summary'!$A:$A,$D478,
  'Asset Summary'!$B:$B,Z$407
  )+
  SUMIFS(
  'Asset Summary'!$H:$H,
  'Asset Summary'!$A:$A,$D478,
  'Asset Summary'!$B:$B,Z$407
  )
)</f>
        <v>0</v>
      </c>
      <c r="AA478" s="14">
        <f>0.000001 * SUM(
  SUMIFS(
  'Asset Summary'!$G:$G,
  'Asset Summary'!$A:$A,$D478,
  'Asset Summary'!$B:$B,AA$407
  )+
  SUMIFS(
  'Asset Summary'!$H:$H,
  'Asset Summary'!$A:$A,$D478,
  'Asset Summary'!$B:$B,AA$407
  )
)</f>
        <v>0</v>
      </c>
      <c r="AB478" s="14">
        <f>0.000001 * SUM(
  SUMIFS(
  'Asset Summary'!$G:$G,
  'Asset Summary'!$A:$A,$D478,
  'Asset Summary'!$B:$B,AB$407
  )+
  SUMIFS(
  'Asset Summary'!$H:$H,
  'Asset Summary'!$A:$A,$D478,
  'Asset Summary'!$B:$B,AB$407
  )
)</f>
        <v>0</v>
      </c>
      <c r="AC478" s="14">
        <f>0.000001 * SUM(
  SUMIFS(
  'Asset Summary'!$G:$G,
  'Asset Summary'!$A:$A,$D478,
  'Asset Summary'!$B:$B,AC$407
  )+
  SUMIFS(
  'Asset Summary'!$H:$H,
  'Asset Summary'!$A:$A,$D478,
  'Asset Summary'!$B:$B,AC$407
  )
)</f>
        <v>0</v>
      </c>
      <c r="AD478" s="14">
        <f>0.000001 * SUM(
  SUMIFS(
  'Asset Summary'!$G:$G,
  'Asset Summary'!$A:$A,$D478,
  'Asset Summary'!$B:$B,AD$407
  )+
  SUMIFS(
  'Asset Summary'!$H:$H,
  'Asset Summary'!$A:$A,$D478,
  'Asset Summary'!$B:$B,AD$407
  )
)</f>
        <v>0</v>
      </c>
      <c r="AF478" s="14">
        <f>0.000001 * SUM(
  SUMIFS(
  'Asset Summary'!$G:$G,
  'Asset Summary'!$A:$A,$D478,
  'Asset Summary'!$B:$B,AF$407
  )+
  SUMIFS(
  'Asset Summary'!$H:$H,
  'Asset Summary'!$A:$A,$D478,
  'Asset Summary'!$B:$B,AF$407
  )
)</f>
        <v>0</v>
      </c>
      <c r="AH478" s="34" t="s">
        <v>422</v>
      </c>
    </row>
    <row r="479" spans="4:34" outlineLevel="1" x14ac:dyDescent="0.2">
      <c r="D479" s="8" t="s">
        <v>264</v>
      </c>
      <c r="E479" s="14">
        <f>0.000001 * SUM(
  SUMIFS(
  'Asset Summary'!$G:$G,
  'Asset Summary'!$A:$A,$D479,
  'Asset Summary'!$B:$B,E$407
  )+
  SUMIFS(
  'Asset Summary'!$H:$H,
  'Asset Summary'!$A:$A,$D479,
  'Asset Summary'!$B:$B,E$407
  )
)</f>
        <v>0</v>
      </c>
      <c r="F479" s="14">
        <f>0.000001 * SUM(
  SUMIFS(
  'Asset Summary'!$G:$G,
  'Asset Summary'!$A:$A,$D479,
  'Asset Summary'!$B:$B,F$407
  )+
  SUMIFS(
  'Asset Summary'!$H:$H,
  'Asset Summary'!$A:$A,$D479,
  'Asset Summary'!$B:$B,F$407
  )
)</f>
        <v>0</v>
      </c>
      <c r="G479" s="14">
        <f>0.000001 * SUM(
  SUMIFS(
  'Asset Summary'!$G:$G,
  'Asset Summary'!$A:$A,$D479,
  'Asset Summary'!$B:$B,G$407
  )+
  SUMIFS(
  'Asset Summary'!$H:$H,
  'Asset Summary'!$A:$A,$D479,
  'Asset Summary'!$B:$B,G$407
  )
)</f>
        <v>0</v>
      </c>
      <c r="H479" s="14">
        <f>0.000001 * SUM(
  SUMIFS(
  'Asset Summary'!$G:$G,
  'Asset Summary'!$A:$A,$D479,
  'Asset Summary'!$B:$B,H$407
  )+
  SUMIFS(
  'Asset Summary'!$H:$H,
  'Asset Summary'!$A:$A,$D479,
  'Asset Summary'!$B:$B,H$407
  )
)</f>
        <v>0</v>
      </c>
      <c r="I479" s="14">
        <f>0.000001 * SUM(
  SUMIFS(
  'Asset Summary'!$G:$G,
  'Asset Summary'!$A:$A,$D479,
  'Asset Summary'!$B:$B,I$407
  )+
  SUMIFS(
  'Asset Summary'!$H:$H,
  'Asset Summary'!$A:$A,$D479,
  'Asset Summary'!$B:$B,I$407
  )
)</f>
        <v>0</v>
      </c>
      <c r="J479" s="14">
        <f>0.000001 * SUM(
  SUMIFS(
  'Asset Summary'!$G:$G,
  'Asset Summary'!$A:$A,$D479,
  'Asset Summary'!$B:$B,J$407
  )+
  SUMIFS(
  'Asset Summary'!$H:$H,
  'Asset Summary'!$A:$A,$D479,
  'Asset Summary'!$B:$B,J$407
  )
)</f>
        <v>0</v>
      </c>
      <c r="K479" s="14">
        <f>0.000001 * SUM(
  SUMIFS(
  'Asset Summary'!$G:$G,
  'Asset Summary'!$A:$A,$D479,
  'Asset Summary'!$B:$B,K$407
  )+
  SUMIFS(
  'Asset Summary'!$H:$H,
  'Asset Summary'!$A:$A,$D479,
  'Asset Summary'!$B:$B,K$407
  )
)</f>
        <v>0</v>
      </c>
      <c r="L479" s="14">
        <f>0.000001 * SUM(
  SUMIFS(
  'Asset Summary'!$G:$G,
  'Asset Summary'!$A:$A,$D479,
  'Asset Summary'!$B:$B,L$407
  )+
  SUMIFS(
  'Asset Summary'!$H:$H,
  'Asset Summary'!$A:$A,$D479,
  'Asset Summary'!$B:$B,L$407
  )
)</f>
        <v>0</v>
      </c>
      <c r="M479" s="14">
        <f>0.000001 * SUM(
  SUMIFS(
  'Asset Summary'!$G:$G,
  'Asset Summary'!$A:$A,$D479,
  'Asset Summary'!$B:$B,M$407
  )+
  SUMIFS(
  'Asset Summary'!$H:$H,
  'Asset Summary'!$A:$A,$D479,
  'Asset Summary'!$B:$B,M$407
  )
)</f>
        <v>0</v>
      </c>
      <c r="N479" s="14">
        <f>0.000001 * SUM(
  SUMIFS(
  'Asset Summary'!$G:$G,
  'Asset Summary'!$A:$A,$D479,
  'Asset Summary'!$B:$B,N$407
  )+
  SUMIFS(
  'Asset Summary'!$H:$H,
  'Asset Summary'!$A:$A,$D479,
  'Asset Summary'!$B:$B,N$407
  )
)</f>
        <v>0</v>
      </c>
      <c r="O479" s="14">
        <f>0.000001 * SUM(
  SUMIFS(
  'Asset Summary'!$G:$G,
  'Asset Summary'!$A:$A,$D479,
  'Asset Summary'!$B:$B,O$407
  )+
  SUMIFS(
  'Asset Summary'!$H:$H,
  'Asset Summary'!$A:$A,$D479,
  'Asset Summary'!$B:$B,O$407
  )
)</f>
        <v>0</v>
      </c>
      <c r="P479" s="14">
        <f>0.000001 * SUM(
  SUMIFS(
  'Asset Summary'!$G:$G,
  'Asset Summary'!$A:$A,$D479,
  'Asset Summary'!$B:$B,P$407
  )+
  SUMIFS(
  'Asset Summary'!$H:$H,
  'Asset Summary'!$A:$A,$D479,
  'Asset Summary'!$B:$B,P$407
  )
)</f>
        <v>0</v>
      </c>
      <c r="Q479" s="14">
        <f>0.000001 * SUM(
  SUMIFS(
  'Asset Summary'!$G:$G,
  'Asset Summary'!$A:$A,$D479,
  'Asset Summary'!$B:$B,Q$407
  )+
  SUMIFS(
  'Asset Summary'!$H:$H,
  'Asset Summary'!$A:$A,$D479,
  'Asset Summary'!$B:$B,Q$407
  )
)</f>
        <v>0</v>
      </c>
      <c r="R479" s="14">
        <f>0.000001 * SUM(
  SUMIFS(
  'Asset Summary'!$G:$G,
  'Asset Summary'!$A:$A,$D479,
  'Asset Summary'!$B:$B,R$407
  )+
  SUMIFS(
  'Asset Summary'!$H:$H,
  'Asset Summary'!$A:$A,$D479,
  'Asset Summary'!$B:$B,R$407
  )
)</f>
        <v>0</v>
      </c>
      <c r="S479" s="14">
        <f>0.000001 * SUM(
  SUMIFS(
  'Asset Summary'!$G:$G,
  'Asset Summary'!$A:$A,$D479,
  'Asset Summary'!$B:$B,S$407
  )+
  SUMIFS(
  'Asset Summary'!$H:$H,
  'Asset Summary'!$A:$A,$D479,
  'Asset Summary'!$B:$B,S$407
  )
)</f>
        <v>0</v>
      </c>
      <c r="T479" s="14">
        <f>0.000001 * SUM(
  SUMIFS(
  'Asset Summary'!$G:$G,
  'Asset Summary'!$A:$A,$D479,
  'Asset Summary'!$B:$B,T$407
  )+
  SUMIFS(
  'Asset Summary'!$H:$H,
  'Asset Summary'!$A:$A,$D479,
  'Asset Summary'!$B:$B,T$407
  )
)</f>
        <v>0</v>
      </c>
      <c r="U479" s="14">
        <f>0.000001 * SUM(
  SUMIFS(
  'Asset Summary'!$G:$G,
  'Asset Summary'!$A:$A,$D479,
  'Asset Summary'!$B:$B,U$407
  )+
  SUMIFS(
  'Asset Summary'!$H:$H,
  'Asset Summary'!$A:$A,$D479,
  'Asset Summary'!$B:$B,U$407
  )
)</f>
        <v>0</v>
      </c>
      <c r="V479" s="14">
        <f>0.000001 * SUM(
  SUMIFS(
  'Asset Summary'!$G:$G,
  'Asset Summary'!$A:$A,$D479,
  'Asset Summary'!$B:$B,V$407
  )+
  SUMIFS(
  'Asset Summary'!$H:$H,
  'Asset Summary'!$A:$A,$D479,
  'Asset Summary'!$B:$B,V$407
  )
)</f>
        <v>0</v>
      </c>
      <c r="W479" s="14">
        <f>0.000001 * SUM(
  SUMIFS(
  'Asset Summary'!$G:$G,
  'Asset Summary'!$A:$A,$D479,
  'Asset Summary'!$B:$B,W$407
  )+
  SUMIFS(
  'Asset Summary'!$H:$H,
  'Asset Summary'!$A:$A,$D479,
  'Asset Summary'!$B:$B,W$407
  )
)</f>
        <v>0</v>
      </c>
      <c r="X479" s="14">
        <f>0.000001 * SUM(
  SUMIFS(
  'Asset Summary'!$G:$G,
  'Asset Summary'!$A:$A,$D479,
  'Asset Summary'!$B:$B,X$407
  )+
  SUMIFS(
  'Asset Summary'!$H:$H,
  'Asset Summary'!$A:$A,$D479,
  'Asset Summary'!$B:$B,X$407
  )
)</f>
        <v>0</v>
      </c>
      <c r="Y479" s="14">
        <f>0.000001 * SUM(
  SUMIFS(
  'Asset Summary'!$G:$G,
  'Asset Summary'!$A:$A,$D479,
  'Asset Summary'!$B:$B,Y$407
  )+
  SUMIFS(
  'Asset Summary'!$H:$H,
  'Asset Summary'!$A:$A,$D479,
  'Asset Summary'!$B:$B,Y$407
  )
)</f>
        <v>0</v>
      </c>
      <c r="Z479" s="14">
        <f>0.000001 * SUM(
  SUMIFS(
  'Asset Summary'!$G:$G,
  'Asset Summary'!$A:$A,$D479,
  'Asset Summary'!$B:$B,Z$407
  )+
  SUMIFS(
  'Asset Summary'!$H:$H,
  'Asset Summary'!$A:$A,$D479,
  'Asset Summary'!$B:$B,Z$407
  )
)</f>
        <v>0</v>
      </c>
      <c r="AA479" s="14">
        <f>0.000001 * SUM(
  SUMIFS(
  'Asset Summary'!$G:$G,
  'Asset Summary'!$A:$A,$D479,
  'Asset Summary'!$B:$B,AA$407
  )+
  SUMIFS(
  'Asset Summary'!$H:$H,
  'Asset Summary'!$A:$A,$D479,
  'Asset Summary'!$B:$B,AA$407
  )
)</f>
        <v>0</v>
      </c>
      <c r="AB479" s="14">
        <f>0.000001 * SUM(
  SUMIFS(
  'Asset Summary'!$G:$G,
  'Asset Summary'!$A:$A,$D479,
  'Asset Summary'!$B:$B,AB$407
  )+
  SUMIFS(
  'Asset Summary'!$H:$H,
  'Asset Summary'!$A:$A,$D479,
  'Asset Summary'!$B:$B,AB$407
  )
)</f>
        <v>0</v>
      </c>
      <c r="AC479" s="14">
        <f>0.000001 * SUM(
  SUMIFS(
  'Asset Summary'!$G:$G,
  'Asset Summary'!$A:$A,$D479,
  'Asset Summary'!$B:$B,AC$407
  )+
  SUMIFS(
  'Asset Summary'!$H:$H,
  'Asset Summary'!$A:$A,$D479,
  'Asset Summary'!$B:$B,AC$407
  )
)</f>
        <v>0</v>
      </c>
      <c r="AD479" s="14">
        <f>0.000001 * SUM(
  SUMIFS(
  'Asset Summary'!$G:$G,
  'Asset Summary'!$A:$A,$D479,
  'Asset Summary'!$B:$B,AD$407
  )+
  SUMIFS(
  'Asset Summary'!$H:$H,
  'Asset Summary'!$A:$A,$D479,
  'Asset Summary'!$B:$B,AD$407
  )
)</f>
        <v>0</v>
      </c>
      <c r="AF479" s="14">
        <f>0.000001 * SUM(
  SUMIFS(
  'Asset Summary'!$G:$G,
  'Asset Summary'!$A:$A,$D479,
  'Asset Summary'!$B:$B,AF$407
  )+
  SUMIFS(
  'Asset Summary'!$H:$H,
  'Asset Summary'!$A:$A,$D479,
  'Asset Summary'!$B:$B,AF$407
  )
)</f>
        <v>0</v>
      </c>
      <c r="AH479" s="34" t="s">
        <v>422</v>
      </c>
    </row>
    <row r="480" spans="4:34" outlineLevel="1" x14ac:dyDescent="0.2">
      <c r="D480" s="8" t="s">
        <v>265</v>
      </c>
      <c r="E480" s="14">
        <f>0.000001 * SUM(
  SUMIFS(
  'Asset Summary'!$G:$G,
  'Asset Summary'!$A:$A,$D480,
  'Asset Summary'!$B:$B,E$407
  )+
  SUMIFS(
  'Asset Summary'!$H:$H,
  'Asset Summary'!$A:$A,$D480,
  'Asset Summary'!$B:$B,E$407
  )
)</f>
        <v>0</v>
      </c>
      <c r="F480" s="14">
        <f>0.000001 * SUM(
  SUMIFS(
  'Asset Summary'!$G:$G,
  'Asset Summary'!$A:$A,$D480,
  'Asset Summary'!$B:$B,F$407
  )+
  SUMIFS(
  'Asset Summary'!$H:$H,
  'Asset Summary'!$A:$A,$D480,
  'Asset Summary'!$B:$B,F$407
  )
)</f>
        <v>0</v>
      </c>
      <c r="G480" s="14">
        <f>0.000001 * SUM(
  SUMIFS(
  'Asset Summary'!$G:$G,
  'Asset Summary'!$A:$A,$D480,
  'Asset Summary'!$B:$B,G$407
  )+
  SUMIFS(
  'Asset Summary'!$H:$H,
  'Asset Summary'!$A:$A,$D480,
  'Asset Summary'!$B:$B,G$407
  )
)</f>
        <v>0</v>
      </c>
      <c r="H480" s="14">
        <f>0.000001 * SUM(
  SUMIFS(
  'Asset Summary'!$G:$G,
  'Asset Summary'!$A:$A,$D480,
  'Asset Summary'!$B:$B,H$407
  )+
  SUMIFS(
  'Asset Summary'!$H:$H,
  'Asset Summary'!$A:$A,$D480,
  'Asset Summary'!$B:$B,H$407
  )
)</f>
        <v>0</v>
      </c>
      <c r="I480" s="14">
        <f>0.000001 * SUM(
  SUMIFS(
  'Asset Summary'!$G:$G,
  'Asset Summary'!$A:$A,$D480,
  'Asset Summary'!$B:$B,I$407
  )+
  SUMIFS(
  'Asset Summary'!$H:$H,
  'Asset Summary'!$A:$A,$D480,
  'Asset Summary'!$B:$B,I$407
  )
)</f>
        <v>0</v>
      </c>
      <c r="J480" s="14">
        <f>0.000001 * SUM(
  SUMIFS(
  'Asset Summary'!$G:$G,
  'Asset Summary'!$A:$A,$D480,
  'Asset Summary'!$B:$B,J$407
  )+
  SUMIFS(
  'Asset Summary'!$H:$H,
  'Asset Summary'!$A:$A,$D480,
  'Asset Summary'!$B:$B,J$407
  )
)</f>
        <v>0</v>
      </c>
      <c r="K480" s="14">
        <f>0.000001 * SUM(
  SUMIFS(
  'Asset Summary'!$G:$G,
  'Asset Summary'!$A:$A,$D480,
  'Asset Summary'!$B:$B,K$407
  )+
  SUMIFS(
  'Asset Summary'!$H:$H,
  'Asset Summary'!$A:$A,$D480,
  'Asset Summary'!$B:$B,K$407
  )
)</f>
        <v>0</v>
      </c>
      <c r="L480" s="14">
        <f>0.000001 * SUM(
  SUMIFS(
  'Asset Summary'!$G:$G,
  'Asset Summary'!$A:$A,$D480,
  'Asset Summary'!$B:$B,L$407
  )+
  SUMIFS(
  'Asset Summary'!$H:$H,
  'Asset Summary'!$A:$A,$D480,
  'Asset Summary'!$B:$B,L$407
  )
)</f>
        <v>0</v>
      </c>
      <c r="M480" s="14">
        <f>0.000001 * SUM(
  SUMIFS(
  'Asset Summary'!$G:$G,
  'Asset Summary'!$A:$A,$D480,
  'Asset Summary'!$B:$B,M$407
  )+
  SUMIFS(
  'Asset Summary'!$H:$H,
  'Asset Summary'!$A:$A,$D480,
  'Asset Summary'!$B:$B,M$407
  )
)</f>
        <v>0</v>
      </c>
      <c r="N480" s="14">
        <f>0.000001 * SUM(
  SUMIFS(
  'Asset Summary'!$G:$G,
  'Asset Summary'!$A:$A,$D480,
  'Asset Summary'!$B:$B,N$407
  )+
  SUMIFS(
  'Asset Summary'!$H:$H,
  'Asset Summary'!$A:$A,$D480,
  'Asset Summary'!$B:$B,N$407
  )
)</f>
        <v>0</v>
      </c>
      <c r="O480" s="14">
        <f>0.000001 * SUM(
  SUMIFS(
  'Asset Summary'!$G:$G,
  'Asset Summary'!$A:$A,$D480,
  'Asset Summary'!$B:$B,O$407
  )+
  SUMIFS(
  'Asset Summary'!$H:$H,
  'Asset Summary'!$A:$A,$D480,
  'Asset Summary'!$B:$B,O$407
  )
)</f>
        <v>0</v>
      </c>
      <c r="P480" s="14">
        <f>0.000001 * SUM(
  SUMIFS(
  'Asset Summary'!$G:$G,
  'Asset Summary'!$A:$A,$D480,
  'Asset Summary'!$B:$B,P$407
  )+
  SUMIFS(
  'Asset Summary'!$H:$H,
  'Asset Summary'!$A:$A,$D480,
  'Asset Summary'!$B:$B,P$407
  )
)</f>
        <v>0</v>
      </c>
      <c r="Q480" s="14">
        <f>0.000001 * SUM(
  SUMIFS(
  'Asset Summary'!$G:$G,
  'Asset Summary'!$A:$A,$D480,
  'Asset Summary'!$B:$B,Q$407
  )+
  SUMIFS(
  'Asset Summary'!$H:$H,
  'Asset Summary'!$A:$A,$D480,
  'Asset Summary'!$B:$B,Q$407
  )
)</f>
        <v>0</v>
      </c>
      <c r="R480" s="14">
        <f>0.000001 * SUM(
  SUMIFS(
  'Asset Summary'!$G:$G,
  'Asset Summary'!$A:$A,$D480,
  'Asset Summary'!$B:$B,R$407
  )+
  SUMIFS(
  'Asset Summary'!$H:$H,
  'Asset Summary'!$A:$A,$D480,
  'Asset Summary'!$B:$B,R$407
  )
)</f>
        <v>0</v>
      </c>
      <c r="S480" s="14">
        <f>0.000001 * SUM(
  SUMIFS(
  'Asset Summary'!$G:$G,
  'Asset Summary'!$A:$A,$D480,
  'Asset Summary'!$B:$B,S$407
  )+
  SUMIFS(
  'Asset Summary'!$H:$H,
  'Asset Summary'!$A:$A,$D480,
  'Asset Summary'!$B:$B,S$407
  )
)</f>
        <v>0</v>
      </c>
      <c r="T480" s="14">
        <f>0.000001 * SUM(
  SUMIFS(
  'Asset Summary'!$G:$G,
  'Asset Summary'!$A:$A,$D480,
  'Asset Summary'!$B:$B,T$407
  )+
  SUMIFS(
  'Asset Summary'!$H:$H,
  'Asset Summary'!$A:$A,$D480,
  'Asset Summary'!$B:$B,T$407
  )
)</f>
        <v>0</v>
      </c>
      <c r="U480" s="14">
        <f>0.000001 * SUM(
  SUMIFS(
  'Asset Summary'!$G:$G,
  'Asset Summary'!$A:$A,$D480,
  'Asset Summary'!$B:$B,U$407
  )+
  SUMIFS(
  'Asset Summary'!$H:$H,
  'Asset Summary'!$A:$A,$D480,
  'Asset Summary'!$B:$B,U$407
  )
)</f>
        <v>0</v>
      </c>
      <c r="V480" s="14">
        <f>0.000001 * SUM(
  SUMIFS(
  'Asset Summary'!$G:$G,
  'Asset Summary'!$A:$A,$D480,
  'Asset Summary'!$B:$B,V$407
  )+
  SUMIFS(
  'Asset Summary'!$H:$H,
  'Asset Summary'!$A:$A,$D480,
  'Asset Summary'!$B:$B,V$407
  )
)</f>
        <v>0</v>
      </c>
      <c r="W480" s="14">
        <f>0.000001 * SUM(
  SUMIFS(
  'Asset Summary'!$G:$G,
  'Asset Summary'!$A:$A,$D480,
  'Asset Summary'!$B:$B,W$407
  )+
  SUMIFS(
  'Asset Summary'!$H:$H,
  'Asset Summary'!$A:$A,$D480,
  'Asset Summary'!$B:$B,W$407
  )
)</f>
        <v>0</v>
      </c>
      <c r="X480" s="14">
        <f>0.000001 * SUM(
  SUMIFS(
  'Asset Summary'!$G:$G,
  'Asset Summary'!$A:$A,$D480,
  'Asset Summary'!$B:$B,X$407
  )+
  SUMIFS(
  'Asset Summary'!$H:$H,
  'Asset Summary'!$A:$A,$D480,
  'Asset Summary'!$B:$B,X$407
  )
)</f>
        <v>0</v>
      </c>
      <c r="Y480" s="14">
        <f>0.000001 * SUM(
  SUMIFS(
  'Asset Summary'!$G:$G,
  'Asset Summary'!$A:$A,$D480,
  'Asset Summary'!$B:$B,Y$407
  )+
  SUMIFS(
  'Asset Summary'!$H:$H,
  'Asset Summary'!$A:$A,$D480,
  'Asset Summary'!$B:$B,Y$407
  )
)</f>
        <v>0</v>
      </c>
      <c r="Z480" s="14">
        <f>0.000001 * SUM(
  SUMIFS(
  'Asset Summary'!$G:$G,
  'Asset Summary'!$A:$A,$D480,
  'Asset Summary'!$B:$B,Z$407
  )+
  SUMIFS(
  'Asset Summary'!$H:$H,
  'Asset Summary'!$A:$A,$D480,
  'Asset Summary'!$B:$B,Z$407
  )
)</f>
        <v>0</v>
      </c>
      <c r="AA480" s="14">
        <f>0.000001 * SUM(
  SUMIFS(
  'Asset Summary'!$G:$G,
  'Asset Summary'!$A:$A,$D480,
  'Asset Summary'!$B:$B,AA$407
  )+
  SUMIFS(
  'Asset Summary'!$H:$H,
  'Asset Summary'!$A:$A,$D480,
  'Asset Summary'!$B:$B,AA$407
  )
)</f>
        <v>0</v>
      </c>
      <c r="AB480" s="14">
        <f>0.000001 * SUM(
  SUMIFS(
  'Asset Summary'!$G:$G,
  'Asset Summary'!$A:$A,$D480,
  'Asset Summary'!$B:$B,AB$407
  )+
  SUMIFS(
  'Asset Summary'!$H:$H,
  'Asset Summary'!$A:$A,$D480,
  'Asset Summary'!$B:$B,AB$407
  )
)</f>
        <v>0</v>
      </c>
      <c r="AC480" s="14">
        <f>0.000001 * SUM(
  SUMIFS(
  'Asset Summary'!$G:$G,
  'Asset Summary'!$A:$A,$D480,
  'Asset Summary'!$B:$B,AC$407
  )+
  SUMIFS(
  'Asset Summary'!$H:$H,
  'Asset Summary'!$A:$A,$D480,
  'Asset Summary'!$B:$B,AC$407
  )
)</f>
        <v>0</v>
      </c>
      <c r="AD480" s="14">
        <f>0.000001 * SUM(
  SUMIFS(
  'Asset Summary'!$G:$G,
  'Asset Summary'!$A:$A,$D480,
  'Asset Summary'!$B:$B,AD$407
  )+
  SUMIFS(
  'Asset Summary'!$H:$H,
  'Asset Summary'!$A:$A,$D480,
  'Asset Summary'!$B:$B,AD$407
  )
)</f>
        <v>0</v>
      </c>
      <c r="AF480" s="14">
        <f>0.000001 * SUM(
  SUMIFS(
  'Asset Summary'!$G:$G,
  'Asset Summary'!$A:$A,$D480,
  'Asset Summary'!$B:$B,AF$407
  )+
  SUMIFS(
  'Asset Summary'!$H:$H,
  'Asset Summary'!$A:$A,$D480,
  'Asset Summary'!$B:$B,AF$407
  )
)</f>
        <v>0</v>
      </c>
      <c r="AH480" s="34" t="s">
        <v>422</v>
      </c>
    </row>
    <row r="481" spans="4:34" outlineLevel="1" x14ac:dyDescent="0.2">
      <c r="D481" s="8" t="s">
        <v>266</v>
      </c>
      <c r="E481" s="14">
        <f>0.000001 * SUM(
  SUMIFS(
  'Asset Summary'!$G:$G,
  'Asset Summary'!$A:$A,$D481,
  'Asset Summary'!$B:$B,E$407
  )+
  SUMIFS(
  'Asset Summary'!$H:$H,
  'Asset Summary'!$A:$A,$D481,
  'Asset Summary'!$B:$B,E$407
  )
)</f>
        <v>0</v>
      </c>
      <c r="F481" s="14">
        <f>0.000001 * SUM(
  SUMIFS(
  'Asset Summary'!$G:$G,
  'Asset Summary'!$A:$A,$D481,
  'Asset Summary'!$B:$B,F$407
  )+
  SUMIFS(
  'Asset Summary'!$H:$H,
  'Asset Summary'!$A:$A,$D481,
  'Asset Summary'!$B:$B,F$407
  )
)</f>
        <v>0</v>
      </c>
      <c r="G481" s="14">
        <f>0.000001 * SUM(
  SUMIFS(
  'Asset Summary'!$G:$G,
  'Asset Summary'!$A:$A,$D481,
  'Asset Summary'!$B:$B,G$407
  )+
  SUMIFS(
  'Asset Summary'!$H:$H,
  'Asset Summary'!$A:$A,$D481,
  'Asset Summary'!$B:$B,G$407
  )
)</f>
        <v>0</v>
      </c>
      <c r="H481" s="14">
        <f>0.000001 * SUM(
  SUMIFS(
  'Asset Summary'!$G:$G,
  'Asset Summary'!$A:$A,$D481,
  'Asset Summary'!$B:$B,H$407
  )+
  SUMIFS(
  'Asset Summary'!$H:$H,
  'Asset Summary'!$A:$A,$D481,
  'Asset Summary'!$B:$B,H$407
  )
)</f>
        <v>0</v>
      </c>
      <c r="I481" s="14">
        <f>0.000001 * SUM(
  SUMIFS(
  'Asset Summary'!$G:$G,
  'Asset Summary'!$A:$A,$D481,
  'Asset Summary'!$B:$B,I$407
  )+
  SUMIFS(
  'Asset Summary'!$H:$H,
  'Asset Summary'!$A:$A,$D481,
  'Asset Summary'!$B:$B,I$407
  )
)</f>
        <v>0</v>
      </c>
      <c r="J481" s="14">
        <f>0.000001 * SUM(
  SUMIFS(
  'Asset Summary'!$G:$G,
  'Asset Summary'!$A:$A,$D481,
  'Asset Summary'!$B:$B,J$407
  )+
  SUMIFS(
  'Asset Summary'!$H:$H,
  'Asset Summary'!$A:$A,$D481,
  'Asset Summary'!$B:$B,J$407
  )
)</f>
        <v>0</v>
      </c>
      <c r="K481" s="14">
        <f>0.000001 * SUM(
  SUMIFS(
  'Asset Summary'!$G:$G,
  'Asset Summary'!$A:$A,$D481,
  'Asset Summary'!$B:$B,K$407
  )+
  SUMIFS(
  'Asset Summary'!$H:$H,
  'Asset Summary'!$A:$A,$D481,
  'Asset Summary'!$B:$B,K$407
  )
)</f>
        <v>0</v>
      </c>
      <c r="L481" s="14">
        <f>0.000001 * SUM(
  SUMIFS(
  'Asset Summary'!$G:$G,
  'Asset Summary'!$A:$A,$D481,
  'Asset Summary'!$B:$B,L$407
  )+
  SUMIFS(
  'Asset Summary'!$H:$H,
  'Asset Summary'!$A:$A,$D481,
  'Asset Summary'!$B:$B,L$407
  )
)</f>
        <v>0</v>
      </c>
      <c r="M481" s="14">
        <f>0.000001 * SUM(
  SUMIFS(
  'Asset Summary'!$G:$G,
  'Asset Summary'!$A:$A,$D481,
  'Asset Summary'!$B:$B,M$407
  )+
  SUMIFS(
  'Asset Summary'!$H:$H,
  'Asset Summary'!$A:$A,$D481,
  'Asset Summary'!$B:$B,M$407
  )
)</f>
        <v>0</v>
      </c>
      <c r="N481" s="14">
        <f>0.000001 * SUM(
  SUMIFS(
  'Asset Summary'!$G:$G,
  'Asset Summary'!$A:$A,$D481,
  'Asset Summary'!$B:$B,N$407
  )+
  SUMIFS(
  'Asset Summary'!$H:$H,
  'Asset Summary'!$A:$A,$D481,
  'Asset Summary'!$B:$B,N$407
  )
)</f>
        <v>0</v>
      </c>
      <c r="O481" s="14">
        <f>0.000001 * SUM(
  SUMIFS(
  'Asset Summary'!$G:$G,
  'Asset Summary'!$A:$A,$D481,
  'Asset Summary'!$B:$B,O$407
  )+
  SUMIFS(
  'Asset Summary'!$H:$H,
  'Asset Summary'!$A:$A,$D481,
  'Asset Summary'!$B:$B,O$407
  )
)</f>
        <v>0</v>
      </c>
      <c r="P481" s="14">
        <f>0.000001 * SUM(
  SUMIFS(
  'Asset Summary'!$G:$G,
  'Asset Summary'!$A:$A,$D481,
  'Asset Summary'!$B:$B,P$407
  )+
  SUMIFS(
  'Asset Summary'!$H:$H,
  'Asset Summary'!$A:$A,$D481,
  'Asset Summary'!$B:$B,P$407
  )
)</f>
        <v>0</v>
      </c>
      <c r="Q481" s="14">
        <f>0.000001 * SUM(
  SUMIFS(
  'Asset Summary'!$G:$G,
  'Asset Summary'!$A:$A,$D481,
  'Asset Summary'!$B:$B,Q$407
  )+
  SUMIFS(
  'Asset Summary'!$H:$H,
  'Asset Summary'!$A:$A,$D481,
  'Asset Summary'!$B:$B,Q$407
  )
)</f>
        <v>0</v>
      </c>
      <c r="R481" s="14">
        <f>0.000001 * SUM(
  SUMIFS(
  'Asset Summary'!$G:$G,
  'Asset Summary'!$A:$A,$D481,
  'Asset Summary'!$B:$B,R$407
  )+
  SUMIFS(
  'Asset Summary'!$H:$H,
  'Asset Summary'!$A:$A,$D481,
  'Asset Summary'!$B:$B,R$407
  )
)</f>
        <v>0</v>
      </c>
      <c r="S481" s="14">
        <f>0.000001 * SUM(
  SUMIFS(
  'Asset Summary'!$G:$G,
  'Asset Summary'!$A:$A,$D481,
  'Asset Summary'!$B:$B,S$407
  )+
  SUMIFS(
  'Asset Summary'!$H:$H,
  'Asset Summary'!$A:$A,$D481,
  'Asset Summary'!$B:$B,S$407
  )
)</f>
        <v>0</v>
      </c>
      <c r="T481" s="14">
        <f>0.000001 * SUM(
  SUMIFS(
  'Asset Summary'!$G:$G,
  'Asset Summary'!$A:$A,$D481,
  'Asset Summary'!$B:$B,T$407
  )+
  SUMIFS(
  'Asset Summary'!$H:$H,
  'Asset Summary'!$A:$A,$D481,
  'Asset Summary'!$B:$B,T$407
  )
)</f>
        <v>0</v>
      </c>
      <c r="U481" s="14">
        <f>0.000001 * SUM(
  SUMIFS(
  'Asset Summary'!$G:$G,
  'Asset Summary'!$A:$A,$D481,
  'Asset Summary'!$B:$B,U$407
  )+
  SUMIFS(
  'Asset Summary'!$H:$H,
  'Asset Summary'!$A:$A,$D481,
  'Asset Summary'!$B:$B,U$407
  )
)</f>
        <v>0</v>
      </c>
      <c r="V481" s="14">
        <f>0.000001 * SUM(
  SUMIFS(
  'Asset Summary'!$G:$G,
  'Asset Summary'!$A:$A,$D481,
  'Asset Summary'!$B:$B,V$407
  )+
  SUMIFS(
  'Asset Summary'!$H:$H,
  'Asset Summary'!$A:$A,$D481,
  'Asset Summary'!$B:$B,V$407
  )
)</f>
        <v>0</v>
      </c>
      <c r="W481" s="14">
        <f>0.000001 * SUM(
  SUMIFS(
  'Asset Summary'!$G:$G,
  'Asset Summary'!$A:$A,$D481,
  'Asset Summary'!$B:$B,W$407
  )+
  SUMIFS(
  'Asset Summary'!$H:$H,
  'Asset Summary'!$A:$A,$D481,
  'Asset Summary'!$B:$B,W$407
  )
)</f>
        <v>0</v>
      </c>
      <c r="X481" s="14">
        <f>0.000001 * SUM(
  SUMIFS(
  'Asset Summary'!$G:$G,
  'Asset Summary'!$A:$A,$D481,
  'Asset Summary'!$B:$B,X$407
  )+
  SUMIFS(
  'Asset Summary'!$H:$H,
  'Asset Summary'!$A:$A,$D481,
  'Asset Summary'!$B:$B,X$407
  )
)</f>
        <v>0</v>
      </c>
      <c r="Y481" s="14">
        <f>0.000001 * SUM(
  SUMIFS(
  'Asset Summary'!$G:$G,
  'Asset Summary'!$A:$A,$D481,
  'Asset Summary'!$B:$B,Y$407
  )+
  SUMIFS(
  'Asset Summary'!$H:$H,
  'Asset Summary'!$A:$A,$D481,
  'Asset Summary'!$B:$B,Y$407
  )
)</f>
        <v>0</v>
      </c>
      <c r="Z481" s="14">
        <f>0.000001 * SUM(
  SUMIFS(
  'Asset Summary'!$G:$G,
  'Asset Summary'!$A:$A,$D481,
  'Asset Summary'!$B:$B,Z$407
  )+
  SUMIFS(
  'Asset Summary'!$H:$H,
  'Asset Summary'!$A:$A,$D481,
  'Asset Summary'!$B:$B,Z$407
  )
)</f>
        <v>0</v>
      </c>
      <c r="AA481" s="14">
        <f>0.000001 * SUM(
  SUMIFS(
  'Asset Summary'!$G:$G,
  'Asset Summary'!$A:$A,$D481,
  'Asset Summary'!$B:$B,AA$407
  )+
  SUMIFS(
  'Asset Summary'!$H:$H,
  'Asset Summary'!$A:$A,$D481,
  'Asset Summary'!$B:$B,AA$407
  )
)</f>
        <v>0</v>
      </c>
      <c r="AB481" s="14">
        <f>0.000001 * SUM(
  SUMIFS(
  'Asset Summary'!$G:$G,
  'Asset Summary'!$A:$A,$D481,
  'Asset Summary'!$B:$B,AB$407
  )+
  SUMIFS(
  'Asset Summary'!$H:$H,
  'Asset Summary'!$A:$A,$D481,
  'Asset Summary'!$B:$B,AB$407
  )
)</f>
        <v>0</v>
      </c>
      <c r="AC481" s="14">
        <f>0.000001 * SUM(
  SUMIFS(
  'Asset Summary'!$G:$G,
  'Asset Summary'!$A:$A,$D481,
  'Asset Summary'!$B:$B,AC$407
  )+
  SUMIFS(
  'Asset Summary'!$H:$H,
  'Asset Summary'!$A:$A,$D481,
  'Asset Summary'!$B:$B,AC$407
  )
)</f>
        <v>0</v>
      </c>
      <c r="AD481" s="14">
        <f>0.000001 * SUM(
  SUMIFS(
  'Asset Summary'!$G:$G,
  'Asset Summary'!$A:$A,$D481,
  'Asset Summary'!$B:$B,AD$407
  )+
  SUMIFS(
  'Asset Summary'!$H:$H,
  'Asset Summary'!$A:$A,$D481,
  'Asset Summary'!$B:$B,AD$407
  )
)</f>
        <v>0</v>
      </c>
      <c r="AF481" s="14">
        <f>0.000001 * SUM(
  SUMIFS(
  'Asset Summary'!$G:$G,
  'Asset Summary'!$A:$A,$D481,
  'Asset Summary'!$B:$B,AF$407
  )+
  SUMIFS(
  'Asset Summary'!$H:$H,
  'Asset Summary'!$A:$A,$D481,
  'Asset Summary'!$B:$B,AF$407
  )
)</f>
        <v>0</v>
      </c>
      <c r="AH481" s="34" t="s">
        <v>422</v>
      </c>
    </row>
    <row r="482" spans="4:34" outlineLevel="1" x14ac:dyDescent="0.2">
      <c r="D482" s="8" t="s">
        <v>267</v>
      </c>
      <c r="E482" s="14">
        <f>0.000001 * SUM(
  SUMIFS(
  'Asset Summary'!$G:$G,
  'Asset Summary'!$A:$A,$D482,
  'Asset Summary'!$B:$B,E$407
  )+
  SUMIFS(
  'Asset Summary'!$H:$H,
  'Asset Summary'!$A:$A,$D482,
  'Asset Summary'!$B:$B,E$407
  )
)</f>
        <v>0</v>
      </c>
      <c r="F482" s="14">
        <f>0.000001 * SUM(
  SUMIFS(
  'Asset Summary'!$G:$G,
  'Asset Summary'!$A:$A,$D482,
  'Asset Summary'!$B:$B,F$407
  )+
  SUMIFS(
  'Asset Summary'!$H:$H,
  'Asset Summary'!$A:$A,$D482,
  'Asset Summary'!$B:$B,F$407
  )
)</f>
        <v>0</v>
      </c>
      <c r="G482" s="14">
        <f>0.000001 * SUM(
  SUMIFS(
  'Asset Summary'!$G:$G,
  'Asset Summary'!$A:$A,$D482,
  'Asset Summary'!$B:$B,G$407
  )+
  SUMIFS(
  'Asset Summary'!$H:$H,
  'Asset Summary'!$A:$A,$D482,
  'Asset Summary'!$B:$B,G$407
  )
)</f>
        <v>0</v>
      </c>
      <c r="H482" s="14">
        <f>0.000001 * SUM(
  SUMIFS(
  'Asset Summary'!$G:$G,
  'Asset Summary'!$A:$A,$D482,
  'Asset Summary'!$B:$B,H$407
  )+
  SUMIFS(
  'Asset Summary'!$H:$H,
  'Asset Summary'!$A:$A,$D482,
  'Asset Summary'!$B:$B,H$407
  )
)</f>
        <v>0</v>
      </c>
      <c r="I482" s="14">
        <f>0.000001 * SUM(
  SUMIFS(
  'Asset Summary'!$G:$G,
  'Asset Summary'!$A:$A,$D482,
  'Asset Summary'!$B:$B,I$407
  )+
  SUMIFS(
  'Asset Summary'!$H:$H,
  'Asset Summary'!$A:$A,$D482,
  'Asset Summary'!$B:$B,I$407
  )
)</f>
        <v>0</v>
      </c>
      <c r="J482" s="14">
        <f>0.000001 * SUM(
  SUMIFS(
  'Asset Summary'!$G:$G,
  'Asset Summary'!$A:$A,$D482,
  'Asset Summary'!$B:$B,J$407
  )+
  SUMIFS(
  'Asset Summary'!$H:$H,
  'Asset Summary'!$A:$A,$D482,
  'Asset Summary'!$B:$B,J$407
  )
)</f>
        <v>0</v>
      </c>
      <c r="K482" s="14">
        <f>0.000001 * SUM(
  SUMIFS(
  'Asset Summary'!$G:$G,
  'Asset Summary'!$A:$A,$D482,
  'Asset Summary'!$B:$B,K$407
  )+
  SUMIFS(
  'Asset Summary'!$H:$H,
  'Asset Summary'!$A:$A,$D482,
  'Asset Summary'!$B:$B,K$407
  )
)</f>
        <v>0</v>
      </c>
      <c r="L482" s="14">
        <f>0.000001 * SUM(
  SUMIFS(
  'Asset Summary'!$G:$G,
  'Asset Summary'!$A:$A,$D482,
  'Asset Summary'!$B:$B,L$407
  )+
  SUMIFS(
  'Asset Summary'!$H:$H,
  'Asset Summary'!$A:$A,$D482,
  'Asset Summary'!$B:$B,L$407
  )
)</f>
        <v>0</v>
      </c>
      <c r="M482" s="14">
        <f>0.000001 * SUM(
  SUMIFS(
  'Asset Summary'!$G:$G,
  'Asset Summary'!$A:$A,$D482,
  'Asset Summary'!$B:$B,M$407
  )+
  SUMIFS(
  'Asset Summary'!$H:$H,
  'Asset Summary'!$A:$A,$D482,
  'Asset Summary'!$B:$B,M$407
  )
)</f>
        <v>0</v>
      </c>
      <c r="N482" s="14">
        <f>0.000001 * SUM(
  SUMIFS(
  'Asset Summary'!$G:$G,
  'Asset Summary'!$A:$A,$D482,
  'Asset Summary'!$B:$B,N$407
  )+
  SUMIFS(
  'Asset Summary'!$H:$H,
  'Asset Summary'!$A:$A,$D482,
  'Asset Summary'!$B:$B,N$407
  )
)</f>
        <v>0</v>
      </c>
      <c r="O482" s="14">
        <f>0.000001 * SUM(
  SUMIFS(
  'Asset Summary'!$G:$G,
  'Asset Summary'!$A:$A,$D482,
  'Asset Summary'!$B:$B,O$407
  )+
  SUMIFS(
  'Asset Summary'!$H:$H,
  'Asset Summary'!$A:$A,$D482,
  'Asset Summary'!$B:$B,O$407
  )
)</f>
        <v>0</v>
      </c>
      <c r="P482" s="14">
        <f>0.000001 * SUM(
  SUMIFS(
  'Asset Summary'!$G:$G,
  'Asset Summary'!$A:$A,$D482,
  'Asset Summary'!$B:$B,P$407
  )+
  SUMIFS(
  'Asset Summary'!$H:$H,
  'Asset Summary'!$A:$A,$D482,
  'Asset Summary'!$B:$B,P$407
  )
)</f>
        <v>0</v>
      </c>
      <c r="Q482" s="14">
        <f>0.000001 * SUM(
  SUMIFS(
  'Asset Summary'!$G:$G,
  'Asset Summary'!$A:$A,$D482,
  'Asset Summary'!$B:$B,Q$407
  )+
  SUMIFS(
  'Asset Summary'!$H:$H,
  'Asset Summary'!$A:$A,$D482,
  'Asset Summary'!$B:$B,Q$407
  )
)</f>
        <v>0</v>
      </c>
      <c r="R482" s="14">
        <f>0.000001 * SUM(
  SUMIFS(
  'Asset Summary'!$G:$G,
  'Asset Summary'!$A:$A,$D482,
  'Asset Summary'!$B:$B,R$407
  )+
  SUMIFS(
  'Asset Summary'!$H:$H,
  'Asset Summary'!$A:$A,$D482,
  'Asset Summary'!$B:$B,R$407
  )
)</f>
        <v>0</v>
      </c>
      <c r="S482" s="14">
        <f>0.000001 * SUM(
  SUMIFS(
  'Asset Summary'!$G:$G,
  'Asset Summary'!$A:$A,$D482,
  'Asset Summary'!$B:$B,S$407
  )+
  SUMIFS(
  'Asset Summary'!$H:$H,
  'Asset Summary'!$A:$A,$D482,
  'Asset Summary'!$B:$B,S$407
  )
)</f>
        <v>0</v>
      </c>
      <c r="T482" s="14">
        <f>0.000001 * SUM(
  SUMIFS(
  'Asset Summary'!$G:$G,
  'Asset Summary'!$A:$A,$D482,
  'Asset Summary'!$B:$B,T$407
  )+
  SUMIFS(
  'Asset Summary'!$H:$H,
  'Asset Summary'!$A:$A,$D482,
  'Asset Summary'!$B:$B,T$407
  )
)</f>
        <v>0</v>
      </c>
      <c r="U482" s="14">
        <f>0.000001 * SUM(
  SUMIFS(
  'Asset Summary'!$G:$G,
  'Asset Summary'!$A:$A,$D482,
  'Asset Summary'!$B:$B,U$407
  )+
  SUMIFS(
  'Asset Summary'!$H:$H,
  'Asset Summary'!$A:$A,$D482,
  'Asset Summary'!$B:$B,U$407
  )
)</f>
        <v>0</v>
      </c>
      <c r="V482" s="14">
        <f>0.000001 * SUM(
  SUMIFS(
  'Asset Summary'!$G:$G,
  'Asset Summary'!$A:$A,$D482,
  'Asset Summary'!$B:$B,V$407
  )+
  SUMIFS(
  'Asset Summary'!$H:$H,
  'Asset Summary'!$A:$A,$D482,
  'Asset Summary'!$B:$B,V$407
  )
)</f>
        <v>0</v>
      </c>
      <c r="W482" s="14">
        <f>0.000001 * SUM(
  SUMIFS(
  'Asset Summary'!$G:$G,
  'Asset Summary'!$A:$A,$D482,
  'Asset Summary'!$B:$B,W$407
  )+
  SUMIFS(
  'Asset Summary'!$H:$H,
  'Asset Summary'!$A:$A,$D482,
  'Asset Summary'!$B:$B,W$407
  )
)</f>
        <v>0</v>
      </c>
      <c r="X482" s="14">
        <f>0.000001 * SUM(
  SUMIFS(
  'Asset Summary'!$G:$G,
  'Asset Summary'!$A:$A,$D482,
  'Asset Summary'!$B:$B,X$407
  )+
  SUMIFS(
  'Asset Summary'!$H:$H,
  'Asset Summary'!$A:$A,$D482,
  'Asset Summary'!$B:$B,X$407
  )
)</f>
        <v>0</v>
      </c>
      <c r="Y482" s="14">
        <f>0.000001 * SUM(
  SUMIFS(
  'Asset Summary'!$G:$G,
  'Asset Summary'!$A:$A,$D482,
  'Asset Summary'!$B:$B,Y$407
  )+
  SUMIFS(
  'Asset Summary'!$H:$H,
  'Asset Summary'!$A:$A,$D482,
  'Asset Summary'!$B:$B,Y$407
  )
)</f>
        <v>0</v>
      </c>
      <c r="Z482" s="14">
        <f>0.000001 * SUM(
  SUMIFS(
  'Asset Summary'!$G:$G,
  'Asset Summary'!$A:$A,$D482,
  'Asset Summary'!$B:$B,Z$407
  )+
  SUMIFS(
  'Asset Summary'!$H:$H,
  'Asset Summary'!$A:$A,$D482,
  'Asset Summary'!$B:$B,Z$407
  )
)</f>
        <v>0</v>
      </c>
      <c r="AA482" s="14">
        <f>0.000001 * SUM(
  SUMIFS(
  'Asset Summary'!$G:$G,
  'Asset Summary'!$A:$A,$D482,
  'Asset Summary'!$B:$B,AA$407
  )+
  SUMIFS(
  'Asset Summary'!$H:$H,
  'Asset Summary'!$A:$A,$D482,
  'Asset Summary'!$B:$B,AA$407
  )
)</f>
        <v>0</v>
      </c>
      <c r="AB482" s="14">
        <f>0.000001 * SUM(
  SUMIFS(
  'Asset Summary'!$G:$G,
  'Asset Summary'!$A:$A,$D482,
  'Asset Summary'!$B:$B,AB$407
  )+
  SUMIFS(
  'Asset Summary'!$H:$H,
  'Asset Summary'!$A:$A,$D482,
  'Asset Summary'!$B:$B,AB$407
  )
)</f>
        <v>0</v>
      </c>
      <c r="AC482" s="14">
        <f>0.000001 * SUM(
  SUMIFS(
  'Asset Summary'!$G:$G,
  'Asset Summary'!$A:$A,$D482,
  'Asset Summary'!$B:$B,AC$407
  )+
  SUMIFS(
  'Asset Summary'!$H:$H,
  'Asset Summary'!$A:$A,$D482,
  'Asset Summary'!$B:$B,AC$407
  )
)</f>
        <v>0</v>
      </c>
      <c r="AD482" s="14">
        <f>0.000001 * SUM(
  SUMIFS(
  'Asset Summary'!$G:$G,
  'Asset Summary'!$A:$A,$D482,
  'Asset Summary'!$B:$B,AD$407
  )+
  SUMIFS(
  'Asset Summary'!$H:$H,
  'Asset Summary'!$A:$A,$D482,
  'Asset Summary'!$B:$B,AD$407
  )
)</f>
        <v>0</v>
      </c>
      <c r="AF482" s="14">
        <f>0.000001 * SUM(
  SUMIFS(
  'Asset Summary'!$G:$G,
  'Asset Summary'!$A:$A,$D482,
  'Asset Summary'!$B:$B,AF$407
  )+
  SUMIFS(
  'Asset Summary'!$H:$H,
  'Asset Summary'!$A:$A,$D482,
  'Asset Summary'!$B:$B,AF$407
  )
)</f>
        <v>0</v>
      </c>
      <c r="AH482" s="34" t="s">
        <v>422</v>
      </c>
    </row>
    <row r="483" spans="4:34" outlineLevel="1" x14ac:dyDescent="0.2">
      <c r="D483" s="8" t="s">
        <v>268</v>
      </c>
      <c r="E483" s="14">
        <f>0.000001 * SUM(
  SUMIFS(
  'Asset Summary'!$G:$G,
  'Asset Summary'!$A:$A,$D483,
  'Asset Summary'!$B:$B,E$407
  )+
  SUMIFS(
  'Asset Summary'!$H:$H,
  'Asset Summary'!$A:$A,$D483,
  'Asset Summary'!$B:$B,E$407
  )
)</f>
        <v>0</v>
      </c>
      <c r="F483" s="14">
        <f>0.000001 * SUM(
  SUMIFS(
  'Asset Summary'!$G:$G,
  'Asset Summary'!$A:$A,$D483,
  'Asset Summary'!$B:$B,F$407
  )+
  SUMIFS(
  'Asset Summary'!$H:$H,
  'Asset Summary'!$A:$A,$D483,
  'Asset Summary'!$B:$B,F$407
  )
)</f>
        <v>0</v>
      </c>
      <c r="G483" s="14">
        <f>0.000001 * SUM(
  SUMIFS(
  'Asset Summary'!$G:$G,
  'Asset Summary'!$A:$A,$D483,
  'Asset Summary'!$B:$B,G$407
  )+
  SUMIFS(
  'Asset Summary'!$H:$H,
  'Asset Summary'!$A:$A,$D483,
  'Asset Summary'!$B:$B,G$407
  )
)</f>
        <v>0</v>
      </c>
      <c r="H483" s="14">
        <f>0.000001 * SUM(
  SUMIFS(
  'Asset Summary'!$G:$G,
  'Asset Summary'!$A:$A,$D483,
  'Asset Summary'!$B:$B,H$407
  )+
  SUMIFS(
  'Asset Summary'!$H:$H,
  'Asset Summary'!$A:$A,$D483,
  'Asset Summary'!$B:$B,H$407
  )
)</f>
        <v>0</v>
      </c>
      <c r="I483" s="14">
        <f>0.000001 * SUM(
  SUMIFS(
  'Asset Summary'!$G:$G,
  'Asset Summary'!$A:$A,$D483,
  'Asset Summary'!$B:$B,I$407
  )+
  SUMIFS(
  'Asset Summary'!$H:$H,
  'Asset Summary'!$A:$A,$D483,
  'Asset Summary'!$B:$B,I$407
  )
)</f>
        <v>0</v>
      </c>
      <c r="J483" s="14">
        <f>0.000001 * SUM(
  SUMIFS(
  'Asset Summary'!$G:$G,
  'Asset Summary'!$A:$A,$D483,
  'Asset Summary'!$B:$B,J$407
  )+
  SUMIFS(
  'Asset Summary'!$H:$H,
  'Asset Summary'!$A:$A,$D483,
  'Asset Summary'!$B:$B,J$407
  )
)</f>
        <v>0</v>
      </c>
      <c r="K483" s="14">
        <f>0.000001 * SUM(
  SUMIFS(
  'Asset Summary'!$G:$G,
  'Asset Summary'!$A:$A,$D483,
  'Asset Summary'!$B:$B,K$407
  )+
  SUMIFS(
  'Asset Summary'!$H:$H,
  'Asset Summary'!$A:$A,$D483,
  'Asset Summary'!$B:$B,K$407
  )
)</f>
        <v>0</v>
      </c>
      <c r="L483" s="14">
        <f>0.000001 * SUM(
  SUMIFS(
  'Asset Summary'!$G:$G,
  'Asset Summary'!$A:$A,$D483,
  'Asset Summary'!$B:$B,L$407
  )+
  SUMIFS(
  'Asset Summary'!$H:$H,
  'Asset Summary'!$A:$A,$D483,
  'Asset Summary'!$B:$B,L$407
  )
)</f>
        <v>0</v>
      </c>
      <c r="M483" s="14">
        <f>0.000001 * SUM(
  SUMIFS(
  'Asset Summary'!$G:$G,
  'Asset Summary'!$A:$A,$D483,
  'Asset Summary'!$B:$B,M$407
  )+
  SUMIFS(
  'Asset Summary'!$H:$H,
  'Asset Summary'!$A:$A,$D483,
  'Asset Summary'!$B:$B,M$407
  )
)</f>
        <v>0</v>
      </c>
      <c r="N483" s="14">
        <f>0.000001 * SUM(
  SUMIFS(
  'Asset Summary'!$G:$G,
  'Asset Summary'!$A:$A,$D483,
  'Asset Summary'!$B:$B,N$407
  )+
  SUMIFS(
  'Asset Summary'!$H:$H,
  'Asset Summary'!$A:$A,$D483,
  'Asset Summary'!$B:$B,N$407
  )
)</f>
        <v>0</v>
      </c>
      <c r="O483" s="14">
        <f>0.000001 * SUM(
  SUMIFS(
  'Asset Summary'!$G:$G,
  'Asset Summary'!$A:$A,$D483,
  'Asset Summary'!$B:$B,O$407
  )+
  SUMIFS(
  'Asset Summary'!$H:$H,
  'Asset Summary'!$A:$A,$D483,
  'Asset Summary'!$B:$B,O$407
  )
)</f>
        <v>0</v>
      </c>
      <c r="P483" s="14">
        <f>0.000001 * SUM(
  SUMIFS(
  'Asset Summary'!$G:$G,
  'Asset Summary'!$A:$A,$D483,
  'Asset Summary'!$B:$B,P$407
  )+
  SUMIFS(
  'Asset Summary'!$H:$H,
  'Asset Summary'!$A:$A,$D483,
  'Asset Summary'!$B:$B,P$407
  )
)</f>
        <v>0</v>
      </c>
      <c r="Q483" s="14">
        <f>0.000001 * SUM(
  SUMIFS(
  'Asset Summary'!$G:$G,
  'Asset Summary'!$A:$A,$D483,
  'Asset Summary'!$B:$B,Q$407
  )+
  SUMIFS(
  'Asset Summary'!$H:$H,
  'Asset Summary'!$A:$A,$D483,
  'Asset Summary'!$B:$B,Q$407
  )
)</f>
        <v>0</v>
      </c>
      <c r="R483" s="14">
        <f>0.000001 * SUM(
  SUMIFS(
  'Asset Summary'!$G:$G,
  'Asset Summary'!$A:$A,$D483,
  'Asset Summary'!$B:$B,R$407
  )+
  SUMIFS(
  'Asset Summary'!$H:$H,
  'Asset Summary'!$A:$A,$D483,
  'Asset Summary'!$B:$B,R$407
  )
)</f>
        <v>0</v>
      </c>
      <c r="S483" s="14">
        <f>0.000001 * SUM(
  SUMIFS(
  'Asset Summary'!$G:$G,
  'Asset Summary'!$A:$A,$D483,
  'Asset Summary'!$B:$B,S$407
  )+
  SUMIFS(
  'Asset Summary'!$H:$H,
  'Asset Summary'!$A:$A,$D483,
  'Asset Summary'!$B:$B,S$407
  )
)</f>
        <v>0</v>
      </c>
      <c r="T483" s="14">
        <f>0.000001 * SUM(
  SUMIFS(
  'Asset Summary'!$G:$G,
  'Asset Summary'!$A:$A,$D483,
  'Asset Summary'!$B:$B,T$407
  )+
  SUMIFS(
  'Asset Summary'!$H:$H,
  'Asset Summary'!$A:$A,$D483,
  'Asset Summary'!$B:$B,T$407
  )
)</f>
        <v>0</v>
      </c>
      <c r="U483" s="14">
        <f>0.000001 * SUM(
  SUMIFS(
  'Asset Summary'!$G:$G,
  'Asset Summary'!$A:$A,$D483,
  'Asset Summary'!$B:$B,U$407
  )+
  SUMIFS(
  'Asset Summary'!$H:$H,
  'Asset Summary'!$A:$A,$D483,
  'Asset Summary'!$B:$B,U$407
  )
)</f>
        <v>0</v>
      </c>
      <c r="V483" s="14">
        <f>0.000001 * SUM(
  SUMIFS(
  'Asset Summary'!$G:$G,
  'Asset Summary'!$A:$A,$D483,
  'Asset Summary'!$B:$B,V$407
  )+
  SUMIFS(
  'Asset Summary'!$H:$H,
  'Asset Summary'!$A:$A,$D483,
  'Asset Summary'!$B:$B,V$407
  )
)</f>
        <v>0</v>
      </c>
      <c r="W483" s="14">
        <f>0.000001 * SUM(
  SUMIFS(
  'Asset Summary'!$G:$G,
  'Asset Summary'!$A:$A,$D483,
  'Asset Summary'!$B:$B,W$407
  )+
  SUMIFS(
  'Asset Summary'!$H:$H,
  'Asset Summary'!$A:$A,$D483,
  'Asset Summary'!$B:$B,W$407
  )
)</f>
        <v>0</v>
      </c>
      <c r="X483" s="14">
        <f>0.000001 * SUM(
  SUMIFS(
  'Asset Summary'!$G:$G,
  'Asset Summary'!$A:$A,$D483,
  'Asset Summary'!$B:$B,X$407
  )+
  SUMIFS(
  'Asset Summary'!$H:$H,
  'Asset Summary'!$A:$A,$D483,
  'Asset Summary'!$B:$B,X$407
  )
)</f>
        <v>0</v>
      </c>
      <c r="Y483" s="14">
        <f>0.000001 * SUM(
  SUMIFS(
  'Asset Summary'!$G:$G,
  'Asset Summary'!$A:$A,$D483,
  'Asset Summary'!$B:$B,Y$407
  )+
  SUMIFS(
  'Asset Summary'!$H:$H,
  'Asset Summary'!$A:$A,$D483,
  'Asset Summary'!$B:$B,Y$407
  )
)</f>
        <v>0</v>
      </c>
      <c r="Z483" s="14">
        <f>0.000001 * SUM(
  SUMIFS(
  'Asset Summary'!$G:$G,
  'Asset Summary'!$A:$A,$D483,
  'Asset Summary'!$B:$B,Z$407
  )+
  SUMIFS(
  'Asset Summary'!$H:$H,
  'Asset Summary'!$A:$A,$D483,
  'Asset Summary'!$B:$B,Z$407
  )
)</f>
        <v>0</v>
      </c>
      <c r="AA483" s="14">
        <f>0.000001 * SUM(
  SUMIFS(
  'Asset Summary'!$G:$G,
  'Asset Summary'!$A:$A,$D483,
  'Asset Summary'!$B:$B,AA$407
  )+
  SUMIFS(
  'Asset Summary'!$H:$H,
  'Asset Summary'!$A:$A,$D483,
  'Asset Summary'!$B:$B,AA$407
  )
)</f>
        <v>0</v>
      </c>
      <c r="AB483" s="14">
        <f>0.000001 * SUM(
  SUMIFS(
  'Asset Summary'!$G:$G,
  'Asset Summary'!$A:$A,$D483,
  'Asset Summary'!$B:$B,AB$407
  )+
  SUMIFS(
  'Asset Summary'!$H:$H,
  'Asset Summary'!$A:$A,$D483,
  'Asset Summary'!$B:$B,AB$407
  )
)</f>
        <v>0</v>
      </c>
      <c r="AC483" s="14">
        <f>0.000001 * SUM(
  SUMIFS(
  'Asset Summary'!$G:$G,
  'Asset Summary'!$A:$A,$D483,
  'Asset Summary'!$B:$B,AC$407
  )+
  SUMIFS(
  'Asset Summary'!$H:$H,
  'Asset Summary'!$A:$A,$D483,
  'Asset Summary'!$B:$B,AC$407
  )
)</f>
        <v>0</v>
      </c>
      <c r="AD483" s="14">
        <f>0.000001 * SUM(
  SUMIFS(
  'Asset Summary'!$G:$G,
  'Asset Summary'!$A:$A,$D483,
  'Asset Summary'!$B:$B,AD$407
  )+
  SUMIFS(
  'Asset Summary'!$H:$H,
  'Asset Summary'!$A:$A,$D483,
  'Asset Summary'!$B:$B,AD$407
  )
)</f>
        <v>0</v>
      </c>
      <c r="AF483" s="14">
        <f>0.000001 * SUM(
  SUMIFS(
  'Asset Summary'!$G:$G,
  'Asset Summary'!$A:$A,$D483,
  'Asset Summary'!$B:$B,AF$407
  )+
  SUMIFS(
  'Asset Summary'!$H:$H,
  'Asset Summary'!$A:$A,$D483,
  'Asset Summary'!$B:$B,AF$407
  )
)</f>
        <v>0</v>
      </c>
      <c r="AH483" s="34" t="s">
        <v>422</v>
      </c>
    </row>
    <row r="484" spans="4:34" outlineLevel="1" x14ac:dyDescent="0.2">
      <c r="D484" s="8" t="s">
        <v>269</v>
      </c>
      <c r="E484" s="14">
        <f>0.000001 * SUM(
  SUMIFS(
  'Asset Summary'!$G:$G,
  'Asset Summary'!$A:$A,$D484,
  'Asset Summary'!$B:$B,E$407
  )+
  SUMIFS(
  'Asset Summary'!$H:$H,
  'Asset Summary'!$A:$A,$D484,
  'Asset Summary'!$B:$B,E$407
  )
)</f>
        <v>0</v>
      </c>
      <c r="F484" s="14">
        <f>0.000001 * SUM(
  SUMIFS(
  'Asset Summary'!$G:$G,
  'Asset Summary'!$A:$A,$D484,
  'Asset Summary'!$B:$B,F$407
  )+
  SUMIFS(
  'Asset Summary'!$H:$H,
  'Asset Summary'!$A:$A,$D484,
  'Asset Summary'!$B:$B,F$407
  )
)</f>
        <v>0</v>
      </c>
      <c r="G484" s="14">
        <f>0.000001 * SUM(
  SUMIFS(
  'Asset Summary'!$G:$G,
  'Asset Summary'!$A:$A,$D484,
  'Asset Summary'!$B:$B,G$407
  )+
  SUMIFS(
  'Asset Summary'!$H:$H,
  'Asset Summary'!$A:$A,$D484,
  'Asset Summary'!$B:$B,G$407
  )
)</f>
        <v>0</v>
      </c>
      <c r="H484" s="14">
        <f>0.000001 * SUM(
  SUMIFS(
  'Asset Summary'!$G:$G,
  'Asset Summary'!$A:$A,$D484,
  'Asset Summary'!$B:$B,H$407
  )+
  SUMIFS(
  'Asset Summary'!$H:$H,
  'Asset Summary'!$A:$A,$D484,
  'Asset Summary'!$B:$B,H$407
  )
)</f>
        <v>0</v>
      </c>
      <c r="I484" s="14">
        <f>0.000001 * SUM(
  SUMIFS(
  'Asset Summary'!$G:$G,
  'Asset Summary'!$A:$A,$D484,
  'Asset Summary'!$B:$B,I$407
  )+
  SUMIFS(
  'Asset Summary'!$H:$H,
  'Asset Summary'!$A:$A,$D484,
  'Asset Summary'!$B:$B,I$407
  )
)</f>
        <v>0</v>
      </c>
      <c r="J484" s="14">
        <f>0.000001 * SUM(
  SUMIFS(
  'Asset Summary'!$G:$G,
  'Asset Summary'!$A:$A,$D484,
  'Asset Summary'!$B:$B,J$407
  )+
  SUMIFS(
  'Asset Summary'!$H:$H,
  'Asset Summary'!$A:$A,$D484,
  'Asset Summary'!$B:$B,J$407
  )
)</f>
        <v>0</v>
      </c>
      <c r="K484" s="14">
        <f>0.000001 * SUM(
  SUMIFS(
  'Asset Summary'!$G:$G,
  'Asset Summary'!$A:$A,$D484,
  'Asset Summary'!$B:$B,K$407
  )+
  SUMIFS(
  'Asset Summary'!$H:$H,
  'Asset Summary'!$A:$A,$D484,
  'Asset Summary'!$B:$B,K$407
  )
)</f>
        <v>0</v>
      </c>
      <c r="L484" s="14">
        <f>0.000001 * SUM(
  SUMIFS(
  'Asset Summary'!$G:$G,
  'Asset Summary'!$A:$A,$D484,
  'Asset Summary'!$B:$B,L$407
  )+
  SUMIFS(
  'Asset Summary'!$H:$H,
  'Asset Summary'!$A:$A,$D484,
  'Asset Summary'!$B:$B,L$407
  )
)</f>
        <v>0</v>
      </c>
      <c r="M484" s="14">
        <f>0.000001 * SUM(
  SUMIFS(
  'Asset Summary'!$G:$G,
  'Asset Summary'!$A:$A,$D484,
  'Asset Summary'!$B:$B,M$407
  )+
  SUMIFS(
  'Asset Summary'!$H:$H,
  'Asset Summary'!$A:$A,$D484,
  'Asset Summary'!$B:$B,M$407
  )
)</f>
        <v>0</v>
      </c>
      <c r="N484" s="14">
        <f>0.000001 * SUM(
  SUMIFS(
  'Asset Summary'!$G:$G,
  'Asset Summary'!$A:$A,$D484,
  'Asset Summary'!$B:$B,N$407
  )+
  SUMIFS(
  'Asset Summary'!$H:$H,
  'Asset Summary'!$A:$A,$D484,
  'Asset Summary'!$B:$B,N$407
  )
)</f>
        <v>0</v>
      </c>
      <c r="O484" s="14">
        <f>0.000001 * SUM(
  SUMIFS(
  'Asset Summary'!$G:$G,
  'Asset Summary'!$A:$A,$D484,
  'Asset Summary'!$B:$B,O$407
  )+
  SUMIFS(
  'Asset Summary'!$H:$H,
  'Asset Summary'!$A:$A,$D484,
  'Asset Summary'!$B:$B,O$407
  )
)</f>
        <v>0</v>
      </c>
      <c r="P484" s="14">
        <f>0.000001 * SUM(
  SUMIFS(
  'Asset Summary'!$G:$G,
  'Asset Summary'!$A:$A,$D484,
  'Asset Summary'!$B:$B,P$407
  )+
  SUMIFS(
  'Asset Summary'!$H:$H,
  'Asset Summary'!$A:$A,$D484,
  'Asset Summary'!$B:$B,P$407
  )
)</f>
        <v>0</v>
      </c>
      <c r="Q484" s="14">
        <f>0.000001 * SUM(
  SUMIFS(
  'Asset Summary'!$G:$G,
  'Asset Summary'!$A:$A,$D484,
  'Asset Summary'!$B:$B,Q$407
  )+
  SUMIFS(
  'Asset Summary'!$H:$H,
  'Asset Summary'!$A:$A,$D484,
  'Asset Summary'!$B:$B,Q$407
  )
)</f>
        <v>0</v>
      </c>
      <c r="R484" s="14">
        <f>0.000001 * SUM(
  SUMIFS(
  'Asset Summary'!$G:$G,
  'Asset Summary'!$A:$A,$D484,
  'Asset Summary'!$B:$B,R$407
  )+
  SUMIFS(
  'Asset Summary'!$H:$H,
  'Asset Summary'!$A:$A,$D484,
  'Asset Summary'!$B:$B,R$407
  )
)</f>
        <v>0</v>
      </c>
      <c r="S484" s="14">
        <f>0.000001 * SUM(
  SUMIFS(
  'Asset Summary'!$G:$G,
  'Asset Summary'!$A:$A,$D484,
  'Asset Summary'!$B:$B,S$407
  )+
  SUMIFS(
  'Asset Summary'!$H:$H,
  'Asset Summary'!$A:$A,$D484,
  'Asset Summary'!$B:$B,S$407
  )
)</f>
        <v>0</v>
      </c>
      <c r="T484" s="14">
        <f>0.000001 * SUM(
  SUMIFS(
  'Asset Summary'!$G:$G,
  'Asset Summary'!$A:$A,$D484,
  'Asset Summary'!$B:$B,T$407
  )+
  SUMIFS(
  'Asset Summary'!$H:$H,
  'Asset Summary'!$A:$A,$D484,
  'Asset Summary'!$B:$B,T$407
  )
)</f>
        <v>0</v>
      </c>
      <c r="U484" s="14">
        <f>0.000001 * SUM(
  SUMIFS(
  'Asset Summary'!$G:$G,
  'Asset Summary'!$A:$A,$D484,
  'Asset Summary'!$B:$B,U$407
  )+
  SUMIFS(
  'Asset Summary'!$H:$H,
  'Asset Summary'!$A:$A,$D484,
  'Asset Summary'!$B:$B,U$407
  )
)</f>
        <v>0</v>
      </c>
      <c r="V484" s="14">
        <f>0.000001 * SUM(
  SUMIFS(
  'Asset Summary'!$G:$G,
  'Asset Summary'!$A:$A,$D484,
  'Asset Summary'!$B:$B,V$407
  )+
  SUMIFS(
  'Asset Summary'!$H:$H,
  'Asset Summary'!$A:$A,$D484,
  'Asset Summary'!$B:$B,V$407
  )
)</f>
        <v>0</v>
      </c>
      <c r="W484" s="14">
        <f>0.000001 * SUM(
  SUMIFS(
  'Asset Summary'!$G:$G,
  'Asset Summary'!$A:$A,$D484,
  'Asset Summary'!$B:$B,W$407
  )+
  SUMIFS(
  'Asset Summary'!$H:$H,
  'Asset Summary'!$A:$A,$D484,
  'Asset Summary'!$B:$B,W$407
  )
)</f>
        <v>0</v>
      </c>
      <c r="X484" s="14">
        <f>0.000001 * SUM(
  SUMIFS(
  'Asset Summary'!$G:$G,
  'Asset Summary'!$A:$A,$D484,
  'Asset Summary'!$B:$B,X$407
  )+
  SUMIFS(
  'Asset Summary'!$H:$H,
  'Asset Summary'!$A:$A,$D484,
  'Asset Summary'!$B:$B,X$407
  )
)</f>
        <v>0</v>
      </c>
      <c r="Y484" s="14">
        <f>0.000001 * SUM(
  SUMIFS(
  'Asset Summary'!$G:$G,
  'Asset Summary'!$A:$A,$D484,
  'Asset Summary'!$B:$B,Y$407
  )+
  SUMIFS(
  'Asset Summary'!$H:$H,
  'Asset Summary'!$A:$A,$D484,
  'Asset Summary'!$B:$B,Y$407
  )
)</f>
        <v>0</v>
      </c>
      <c r="Z484" s="14">
        <f>0.000001 * SUM(
  SUMIFS(
  'Asset Summary'!$G:$G,
  'Asset Summary'!$A:$A,$D484,
  'Asset Summary'!$B:$B,Z$407
  )+
  SUMIFS(
  'Asset Summary'!$H:$H,
  'Asset Summary'!$A:$A,$D484,
  'Asset Summary'!$B:$B,Z$407
  )
)</f>
        <v>0</v>
      </c>
      <c r="AA484" s="14">
        <f>0.000001 * SUM(
  SUMIFS(
  'Asset Summary'!$G:$G,
  'Asset Summary'!$A:$A,$D484,
  'Asset Summary'!$B:$B,AA$407
  )+
  SUMIFS(
  'Asset Summary'!$H:$H,
  'Asset Summary'!$A:$A,$D484,
  'Asset Summary'!$B:$B,AA$407
  )
)</f>
        <v>0</v>
      </c>
      <c r="AB484" s="14">
        <f>0.000001 * SUM(
  SUMIFS(
  'Asset Summary'!$G:$G,
  'Asset Summary'!$A:$A,$D484,
  'Asset Summary'!$B:$B,AB$407
  )+
  SUMIFS(
  'Asset Summary'!$H:$H,
  'Asset Summary'!$A:$A,$D484,
  'Asset Summary'!$B:$B,AB$407
  )
)</f>
        <v>0</v>
      </c>
      <c r="AC484" s="14">
        <f>0.000001 * SUM(
  SUMIFS(
  'Asset Summary'!$G:$G,
  'Asset Summary'!$A:$A,$D484,
  'Asset Summary'!$B:$B,AC$407
  )+
  SUMIFS(
  'Asset Summary'!$H:$H,
  'Asset Summary'!$A:$A,$D484,
  'Asset Summary'!$B:$B,AC$407
  )
)</f>
        <v>0</v>
      </c>
      <c r="AD484" s="14">
        <f>0.000001 * SUM(
  SUMIFS(
  'Asset Summary'!$G:$G,
  'Asset Summary'!$A:$A,$D484,
  'Asset Summary'!$B:$B,AD$407
  )+
  SUMIFS(
  'Asset Summary'!$H:$H,
  'Asset Summary'!$A:$A,$D484,
  'Asset Summary'!$B:$B,AD$407
  )
)</f>
        <v>0</v>
      </c>
      <c r="AF484" s="14">
        <f>0.000001 * SUM(
  SUMIFS(
  'Asset Summary'!$G:$G,
  'Asset Summary'!$A:$A,$D484,
  'Asset Summary'!$B:$B,AF$407
  )+
  SUMIFS(
  'Asset Summary'!$H:$H,
  'Asset Summary'!$A:$A,$D484,
  'Asset Summary'!$B:$B,AF$407
  )
)</f>
        <v>0</v>
      </c>
      <c r="AH484" s="34" t="s">
        <v>422</v>
      </c>
    </row>
    <row r="485" spans="4:34" outlineLevel="1" x14ac:dyDescent="0.2">
      <c r="D485" s="8" t="s">
        <v>270</v>
      </c>
      <c r="E485" s="14">
        <f>0.000001 * SUM(
  SUMIFS(
  'Asset Summary'!$G:$G,
  'Asset Summary'!$A:$A,$D485,
  'Asset Summary'!$B:$B,E$407
  )+
  SUMIFS(
  'Asset Summary'!$H:$H,
  'Asset Summary'!$A:$A,$D485,
  'Asset Summary'!$B:$B,E$407
  )
)</f>
        <v>0</v>
      </c>
      <c r="F485" s="14">
        <f>0.000001 * SUM(
  SUMIFS(
  'Asset Summary'!$G:$G,
  'Asset Summary'!$A:$A,$D485,
  'Asset Summary'!$B:$B,F$407
  )+
  SUMIFS(
  'Asset Summary'!$H:$H,
  'Asset Summary'!$A:$A,$D485,
  'Asset Summary'!$B:$B,F$407
  )
)</f>
        <v>0</v>
      </c>
      <c r="G485" s="14">
        <f>0.000001 * SUM(
  SUMIFS(
  'Asset Summary'!$G:$G,
  'Asset Summary'!$A:$A,$D485,
  'Asset Summary'!$B:$B,G$407
  )+
  SUMIFS(
  'Asset Summary'!$H:$H,
  'Asset Summary'!$A:$A,$D485,
  'Asset Summary'!$B:$B,G$407
  )
)</f>
        <v>0</v>
      </c>
      <c r="H485" s="14">
        <f>0.000001 * SUM(
  SUMIFS(
  'Asset Summary'!$G:$G,
  'Asset Summary'!$A:$A,$D485,
  'Asset Summary'!$B:$B,H$407
  )+
  SUMIFS(
  'Asset Summary'!$H:$H,
  'Asset Summary'!$A:$A,$D485,
  'Asset Summary'!$B:$B,H$407
  )
)</f>
        <v>0</v>
      </c>
      <c r="I485" s="14">
        <f>0.000001 * SUM(
  SUMIFS(
  'Asset Summary'!$G:$G,
  'Asset Summary'!$A:$A,$D485,
  'Asset Summary'!$B:$B,I$407
  )+
  SUMIFS(
  'Asset Summary'!$H:$H,
  'Asset Summary'!$A:$A,$D485,
  'Asset Summary'!$B:$B,I$407
  )
)</f>
        <v>0</v>
      </c>
      <c r="J485" s="14">
        <f>0.000001 * SUM(
  SUMIFS(
  'Asset Summary'!$G:$G,
  'Asset Summary'!$A:$A,$D485,
  'Asset Summary'!$B:$B,J$407
  )+
  SUMIFS(
  'Asset Summary'!$H:$H,
  'Asset Summary'!$A:$A,$D485,
  'Asset Summary'!$B:$B,J$407
  )
)</f>
        <v>0</v>
      </c>
      <c r="K485" s="14">
        <f>0.000001 * SUM(
  SUMIFS(
  'Asset Summary'!$G:$G,
  'Asset Summary'!$A:$A,$D485,
  'Asset Summary'!$B:$B,K$407
  )+
  SUMIFS(
  'Asset Summary'!$H:$H,
  'Asset Summary'!$A:$A,$D485,
  'Asset Summary'!$B:$B,K$407
  )
)</f>
        <v>0</v>
      </c>
      <c r="L485" s="14">
        <f>0.000001 * SUM(
  SUMIFS(
  'Asset Summary'!$G:$G,
  'Asset Summary'!$A:$A,$D485,
  'Asset Summary'!$B:$B,L$407
  )+
  SUMIFS(
  'Asset Summary'!$H:$H,
  'Asset Summary'!$A:$A,$D485,
  'Asset Summary'!$B:$B,L$407
  )
)</f>
        <v>0</v>
      </c>
      <c r="M485" s="14">
        <f>0.000001 * SUM(
  SUMIFS(
  'Asset Summary'!$G:$G,
  'Asset Summary'!$A:$A,$D485,
  'Asset Summary'!$B:$B,M$407
  )+
  SUMIFS(
  'Asset Summary'!$H:$H,
  'Asset Summary'!$A:$A,$D485,
  'Asset Summary'!$B:$B,M$407
  )
)</f>
        <v>0</v>
      </c>
      <c r="N485" s="14">
        <f>0.000001 * SUM(
  SUMIFS(
  'Asset Summary'!$G:$G,
  'Asset Summary'!$A:$A,$D485,
  'Asset Summary'!$B:$B,N$407
  )+
  SUMIFS(
  'Asset Summary'!$H:$H,
  'Asset Summary'!$A:$A,$D485,
  'Asset Summary'!$B:$B,N$407
  )
)</f>
        <v>0</v>
      </c>
      <c r="O485" s="14">
        <f>0.000001 * SUM(
  SUMIFS(
  'Asset Summary'!$G:$G,
  'Asset Summary'!$A:$A,$D485,
  'Asset Summary'!$B:$B,O$407
  )+
  SUMIFS(
  'Asset Summary'!$H:$H,
  'Asset Summary'!$A:$A,$D485,
  'Asset Summary'!$B:$B,O$407
  )
)</f>
        <v>0</v>
      </c>
      <c r="P485" s="14">
        <f>0.000001 * SUM(
  SUMIFS(
  'Asset Summary'!$G:$G,
  'Asset Summary'!$A:$A,$D485,
  'Asset Summary'!$B:$B,P$407
  )+
  SUMIFS(
  'Asset Summary'!$H:$H,
  'Asset Summary'!$A:$A,$D485,
  'Asset Summary'!$B:$B,P$407
  )
)</f>
        <v>0</v>
      </c>
      <c r="Q485" s="14">
        <f>0.000001 * SUM(
  SUMIFS(
  'Asset Summary'!$G:$G,
  'Asset Summary'!$A:$A,$D485,
  'Asset Summary'!$B:$B,Q$407
  )+
  SUMIFS(
  'Asset Summary'!$H:$H,
  'Asset Summary'!$A:$A,$D485,
  'Asset Summary'!$B:$B,Q$407
  )
)</f>
        <v>0</v>
      </c>
      <c r="R485" s="14">
        <f>0.000001 * SUM(
  SUMIFS(
  'Asset Summary'!$G:$G,
  'Asset Summary'!$A:$A,$D485,
  'Asset Summary'!$B:$B,R$407
  )+
  SUMIFS(
  'Asset Summary'!$H:$H,
  'Asset Summary'!$A:$A,$D485,
  'Asset Summary'!$B:$B,R$407
  )
)</f>
        <v>0</v>
      </c>
      <c r="S485" s="14">
        <f>0.000001 * SUM(
  SUMIFS(
  'Asset Summary'!$G:$G,
  'Asset Summary'!$A:$A,$D485,
  'Asset Summary'!$B:$B,S$407
  )+
  SUMIFS(
  'Asset Summary'!$H:$H,
  'Asset Summary'!$A:$A,$D485,
  'Asset Summary'!$B:$B,S$407
  )
)</f>
        <v>0</v>
      </c>
      <c r="T485" s="14">
        <f>0.000001 * SUM(
  SUMIFS(
  'Asset Summary'!$G:$G,
  'Asset Summary'!$A:$A,$D485,
  'Asset Summary'!$B:$B,T$407
  )+
  SUMIFS(
  'Asset Summary'!$H:$H,
  'Asset Summary'!$A:$A,$D485,
  'Asset Summary'!$B:$B,T$407
  )
)</f>
        <v>0</v>
      </c>
      <c r="U485" s="14">
        <f>0.000001 * SUM(
  SUMIFS(
  'Asset Summary'!$G:$G,
  'Asset Summary'!$A:$A,$D485,
  'Asset Summary'!$B:$B,U$407
  )+
  SUMIFS(
  'Asset Summary'!$H:$H,
  'Asset Summary'!$A:$A,$D485,
  'Asset Summary'!$B:$B,U$407
  )
)</f>
        <v>0</v>
      </c>
      <c r="V485" s="14">
        <f>0.000001 * SUM(
  SUMIFS(
  'Asset Summary'!$G:$G,
  'Asset Summary'!$A:$A,$D485,
  'Asset Summary'!$B:$B,V$407
  )+
  SUMIFS(
  'Asset Summary'!$H:$H,
  'Asset Summary'!$A:$A,$D485,
  'Asset Summary'!$B:$B,V$407
  )
)</f>
        <v>0</v>
      </c>
      <c r="W485" s="14">
        <f>0.000001 * SUM(
  SUMIFS(
  'Asset Summary'!$G:$G,
  'Asset Summary'!$A:$A,$D485,
  'Asset Summary'!$B:$B,W$407
  )+
  SUMIFS(
  'Asset Summary'!$H:$H,
  'Asset Summary'!$A:$A,$D485,
  'Asset Summary'!$B:$B,W$407
  )
)</f>
        <v>0</v>
      </c>
      <c r="X485" s="14">
        <f>0.000001 * SUM(
  SUMIFS(
  'Asset Summary'!$G:$G,
  'Asset Summary'!$A:$A,$D485,
  'Asset Summary'!$B:$B,X$407
  )+
  SUMIFS(
  'Asset Summary'!$H:$H,
  'Asset Summary'!$A:$A,$D485,
  'Asset Summary'!$B:$B,X$407
  )
)</f>
        <v>0</v>
      </c>
      <c r="Y485" s="14">
        <f>0.000001 * SUM(
  SUMIFS(
  'Asset Summary'!$G:$G,
  'Asset Summary'!$A:$A,$D485,
  'Asset Summary'!$B:$B,Y$407
  )+
  SUMIFS(
  'Asset Summary'!$H:$H,
  'Asset Summary'!$A:$A,$D485,
  'Asset Summary'!$B:$B,Y$407
  )
)</f>
        <v>0</v>
      </c>
      <c r="Z485" s="14">
        <f>0.000001 * SUM(
  SUMIFS(
  'Asset Summary'!$G:$G,
  'Asset Summary'!$A:$A,$D485,
  'Asset Summary'!$B:$B,Z$407
  )+
  SUMIFS(
  'Asset Summary'!$H:$H,
  'Asset Summary'!$A:$A,$D485,
  'Asset Summary'!$B:$B,Z$407
  )
)</f>
        <v>0</v>
      </c>
      <c r="AA485" s="14">
        <f>0.000001 * SUM(
  SUMIFS(
  'Asset Summary'!$G:$G,
  'Asset Summary'!$A:$A,$D485,
  'Asset Summary'!$B:$B,AA$407
  )+
  SUMIFS(
  'Asset Summary'!$H:$H,
  'Asset Summary'!$A:$A,$D485,
  'Asset Summary'!$B:$B,AA$407
  )
)</f>
        <v>0</v>
      </c>
      <c r="AB485" s="14">
        <f>0.000001 * SUM(
  SUMIFS(
  'Asset Summary'!$G:$G,
  'Asset Summary'!$A:$A,$D485,
  'Asset Summary'!$B:$B,AB$407
  )+
  SUMIFS(
  'Asset Summary'!$H:$H,
  'Asset Summary'!$A:$A,$D485,
  'Asset Summary'!$B:$B,AB$407
  )
)</f>
        <v>0</v>
      </c>
      <c r="AC485" s="14">
        <f>0.000001 * SUM(
  SUMIFS(
  'Asset Summary'!$G:$G,
  'Asset Summary'!$A:$A,$D485,
  'Asset Summary'!$B:$B,AC$407
  )+
  SUMIFS(
  'Asset Summary'!$H:$H,
  'Asset Summary'!$A:$A,$D485,
  'Asset Summary'!$B:$B,AC$407
  )
)</f>
        <v>0</v>
      </c>
      <c r="AD485" s="14">
        <f>0.000001 * SUM(
  SUMIFS(
  'Asset Summary'!$G:$G,
  'Asset Summary'!$A:$A,$D485,
  'Asset Summary'!$B:$B,AD$407
  )+
  SUMIFS(
  'Asset Summary'!$H:$H,
  'Asset Summary'!$A:$A,$D485,
  'Asset Summary'!$B:$B,AD$407
  )
)</f>
        <v>0</v>
      </c>
      <c r="AF485" s="14">
        <f>0.000001 * SUM(
  SUMIFS(
  'Asset Summary'!$G:$G,
  'Asset Summary'!$A:$A,$D485,
  'Asset Summary'!$B:$B,AF$407
  )+
  SUMIFS(
  'Asset Summary'!$H:$H,
  'Asset Summary'!$A:$A,$D485,
  'Asset Summary'!$B:$B,AF$407
  )
)</f>
        <v>0</v>
      </c>
      <c r="AH485" s="34" t="s">
        <v>422</v>
      </c>
    </row>
    <row r="486" spans="4:34" outlineLevel="1" x14ac:dyDescent="0.2">
      <c r="D486" s="8" t="s">
        <v>271</v>
      </c>
      <c r="E486" s="14">
        <f>0.000001 * SUM(
  SUMIFS(
  'Asset Summary'!$G:$G,
  'Asset Summary'!$A:$A,$D486,
  'Asset Summary'!$B:$B,E$407
  )+
  SUMIFS(
  'Asset Summary'!$H:$H,
  'Asset Summary'!$A:$A,$D486,
  'Asset Summary'!$B:$B,E$407
  )
)</f>
        <v>0</v>
      </c>
      <c r="F486" s="14">
        <f>0.000001 * SUM(
  SUMIFS(
  'Asset Summary'!$G:$G,
  'Asset Summary'!$A:$A,$D486,
  'Asset Summary'!$B:$B,F$407
  )+
  SUMIFS(
  'Asset Summary'!$H:$H,
  'Asset Summary'!$A:$A,$D486,
  'Asset Summary'!$B:$B,F$407
  )
)</f>
        <v>0</v>
      </c>
      <c r="G486" s="14">
        <f>0.000001 * SUM(
  SUMIFS(
  'Asset Summary'!$G:$G,
  'Asset Summary'!$A:$A,$D486,
  'Asset Summary'!$B:$B,G$407
  )+
  SUMIFS(
  'Asset Summary'!$H:$H,
  'Asset Summary'!$A:$A,$D486,
  'Asset Summary'!$B:$B,G$407
  )
)</f>
        <v>0</v>
      </c>
      <c r="H486" s="14">
        <f>0.000001 * SUM(
  SUMIFS(
  'Asset Summary'!$G:$G,
  'Asset Summary'!$A:$A,$D486,
  'Asset Summary'!$B:$B,H$407
  )+
  SUMIFS(
  'Asset Summary'!$H:$H,
  'Asset Summary'!$A:$A,$D486,
  'Asset Summary'!$B:$B,H$407
  )
)</f>
        <v>0</v>
      </c>
      <c r="I486" s="14">
        <f>0.000001 * SUM(
  SUMIFS(
  'Asset Summary'!$G:$G,
  'Asset Summary'!$A:$A,$D486,
  'Asset Summary'!$B:$B,I$407
  )+
  SUMIFS(
  'Asset Summary'!$H:$H,
  'Asset Summary'!$A:$A,$D486,
  'Asset Summary'!$B:$B,I$407
  )
)</f>
        <v>0</v>
      </c>
      <c r="J486" s="14">
        <f>0.000001 * SUM(
  SUMIFS(
  'Asset Summary'!$G:$G,
  'Asset Summary'!$A:$A,$D486,
  'Asset Summary'!$B:$B,J$407
  )+
  SUMIFS(
  'Asset Summary'!$H:$H,
  'Asset Summary'!$A:$A,$D486,
  'Asset Summary'!$B:$B,J$407
  )
)</f>
        <v>0</v>
      </c>
      <c r="K486" s="14">
        <f>0.000001 * SUM(
  SUMIFS(
  'Asset Summary'!$G:$G,
  'Asset Summary'!$A:$A,$D486,
  'Asset Summary'!$B:$B,K$407
  )+
  SUMIFS(
  'Asset Summary'!$H:$H,
  'Asset Summary'!$A:$A,$D486,
  'Asset Summary'!$B:$B,K$407
  )
)</f>
        <v>0</v>
      </c>
      <c r="L486" s="14">
        <f>0.000001 * SUM(
  SUMIFS(
  'Asset Summary'!$G:$G,
  'Asset Summary'!$A:$A,$D486,
  'Asset Summary'!$B:$B,L$407
  )+
  SUMIFS(
  'Asset Summary'!$H:$H,
  'Asset Summary'!$A:$A,$D486,
  'Asset Summary'!$B:$B,L$407
  )
)</f>
        <v>0</v>
      </c>
      <c r="M486" s="14">
        <f>0.000001 * SUM(
  SUMIFS(
  'Asset Summary'!$G:$G,
  'Asset Summary'!$A:$A,$D486,
  'Asset Summary'!$B:$B,M$407
  )+
  SUMIFS(
  'Asset Summary'!$H:$H,
  'Asset Summary'!$A:$A,$D486,
  'Asset Summary'!$B:$B,M$407
  )
)</f>
        <v>0</v>
      </c>
      <c r="N486" s="14">
        <f>0.000001 * SUM(
  SUMIFS(
  'Asset Summary'!$G:$G,
  'Asset Summary'!$A:$A,$D486,
  'Asset Summary'!$B:$B,N$407
  )+
  SUMIFS(
  'Asset Summary'!$H:$H,
  'Asset Summary'!$A:$A,$D486,
  'Asset Summary'!$B:$B,N$407
  )
)</f>
        <v>0</v>
      </c>
      <c r="O486" s="14">
        <f>0.000001 * SUM(
  SUMIFS(
  'Asset Summary'!$G:$G,
  'Asset Summary'!$A:$A,$D486,
  'Asset Summary'!$B:$B,O$407
  )+
  SUMIFS(
  'Asset Summary'!$H:$H,
  'Asset Summary'!$A:$A,$D486,
  'Asset Summary'!$B:$B,O$407
  )
)</f>
        <v>0</v>
      </c>
      <c r="P486" s="14">
        <f>0.000001 * SUM(
  SUMIFS(
  'Asset Summary'!$G:$G,
  'Asset Summary'!$A:$A,$D486,
  'Asset Summary'!$B:$B,P$407
  )+
  SUMIFS(
  'Asset Summary'!$H:$H,
  'Asset Summary'!$A:$A,$D486,
  'Asset Summary'!$B:$B,P$407
  )
)</f>
        <v>0</v>
      </c>
      <c r="Q486" s="14">
        <f>0.000001 * SUM(
  SUMIFS(
  'Asset Summary'!$G:$G,
  'Asset Summary'!$A:$A,$D486,
  'Asset Summary'!$B:$B,Q$407
  )+
  SUMIFS(
  'Asset Summary'!$H:$H,
  'Asset Summary'!$A:$A,$D486,
  'Asset Summary'!$B:$B,Q$407
  )
)</f>
        <v>0</v>
      </c>
      <c r="R486" s="14">
        <f>0.000001 * SUM(
  SUMIFS(
  'Asset Summary'!$G:$G,
  'Asset Summary'!$A:$A,$D486,
  'Asset Summary'!$B:$B,R$407
  )+
  SUMIFS(
  'Asset Summary'!$H:$H,
  'Asset Summary'!$A:$A,$D486,
  'Asset Summary'!$B:$B,R$407
  )
)</f>
        <v>0</v>
      </c>
      <c r="S486" s="14">
        <f>0.000001 * SUM(
  SUMIFS(
  'Asset Summary'!$G:$G,
  'Asset Summary'!$A:$A,$D486,
  'Asset Summary'!$B:$B,S$407
  )+
  SUMIFS(
  'Asset Summary'!$H:$H,
  'Asset Summary'!$A:$A,$D486,
  'Asset Summary'!$B:$B,S$407
  )
)</f>
        <v>0</v>
      </c>
      <c r="T486" s="14">
        <f>0.000001 * SUM(
  SUMIFS(
  'Asset Summary'!$G:$G,
  'Asset Summary'!$A:$A,$D486,
  'Asset Summary'!$B:$B,T$407
  )+
  SUMIFS(
  'Asset Summary'!$H:$H,
  'Asset Summary'!$A:$A,$D486,
  'Asset Summary'!$B:$B,T$407
  )
)</f>
        <v>0</v>
      </c>
      <c r="U486" s="14">
        <f>0.000001 * SUM(
  SUMIFS(
  'Asset Summary'!$G:$G,
  'Asset Summary'!$A:$A,$D486,
  'Asset Summary'!$B:$B,U$407
  )+
  SUMIFS(
  'Asset Summary'!$H:$H,
  'Asset Summary'!$A:$A,$D486,
  'Asset Summary'!$B:$B,U$407
  )
)</f>
        <v>0</v>
      </c>
      <c r="V486" s="14">
        <f>0.000001 * SUM(
  SUMIFS(
  'Asset Summary'!$G:$G,
  'Asset Summary'!$A:$A,$D486,
  'Asset Summary'!$B:$B,V$407
  )+
  SUMIFS(
  'Asset Summary'!$H:$H,
  'Asset Summary'!$A:$A,$D486,
  'Asset Summary'!$B:$B,V$407
  )
)</f>
        <v>0</v>
      </c>
      <c r="W486" s="14">
        <f>0.000001 * SUM(
  SUMIFS(
  'Asset Summary'!$G:$G,
  'Asset Summary'!$A:$A,$D486,
  'Asset Summary'!$B:$B,W$407
  )+
  SUMIFS(
  'Asset Summary'!$H:$H,
  'Asset Summary'!$A:$A,$D486,
  'Asset Summary'!$B:$B,W$407
  )
)</f>
        <v>0</v>
      </c>
      <c r="X486" s="14">
        <f>0.000001 * SUM(
  SUMIFS(
  'Asset Summary'!$G:$G,
  'Asset Summary'!$A:$A,$D486,
  'Asset Summary'!$B:$B,X$407
  )+
  SUMIFS(
  'Asset Summary'!$H:$H,
  'Asset Summary'!$A:$A,$D486,
  'Asset Summary'!$B:$B,X$407
  )
)</f>
        <v>0</v>
      </c>
      <c r="Y486" s="14">
        <f>0.000001 * SUM(
  SUMIFS(
  'Asset Summary'!$G:$G,
  'Asset Summary'!$A:$A,$D486,
  'Asset Summary'!$B:$B,Y$407
  )+
  SUMIFS(
  'Asset Summary'!$H:$H,
  'Asset Summary'!$A:$A,$D486,
  'Asset Summary'!$B:$B,Y$407
  )
)</f>
        <v>0</v>
      </c>
      <c r="Z486" s="14">
        <f>0.000001 * SUM(
  SUMIFS(
  'Asset Summary'!$G:$G,
  'Asset Summary'!$A:$A,$D486,
  'Asset Summary'!$B:$B,Z$407
  )+
  SUMIFS(
  'Asset Summary'!$H:$H,
  'Asset Summary'!$A:$A,$D486,
  'Asset Summary'!$B:$B,Z$407
  )
)</f>
        <v>0</v>
      </c>
      <c r="AA486" s="14">
        <f>0.000001 * SUM(
  SUMIFS(
  'Asset Summary'!$G:$G,
  'Asset Summary'!$A:$A,$D486,
  'Asset Summary'!$B:$B,AA$407
  )+
  SUMIFS(
  'Asset Summary'!$H:$H,
  'Asset Summary'!$A:$A,$D486,
  'Asset Summary'!$B:$B,AA$407
  )
)</f>
        <v>0</v>
      </c>
      <c r="AB486" s="14">
        <f>0.000001 * SUM(
  SUMIFS(
  'Asset Summary'!$G:$G,
  'Asset Summary'!$A:$A,$D486,
  'Asset Summary'!$B:$B,AB$407
  )+
  SUMIFS(
  'Asset Summary'!$H:$H,
  'Asset Summary'!$A:$A,$D486,
  'Asset Summary'!$B:$B,AB$407
  )
)</f>
        <v>0</v>
      </c>
      <c r="AC486" s="14">
        <f>0.000001 * SUM(
  SUMIFS(
  'Asset Summary'!$G:$G,
  'Asset Summary'!$A:$A,$D486,
  'Asset Summary'!$B:$B,AC$407
  )+
  SUMIFS(
  'Asset Summary'!$H:$H,
  'Asset Summary'!$A:$A,$D486,
  'Asset Summary'!$B:$B,AC$407
  )
)</f>
        <v>0</v>
      </c>
      <c r="AD486" s="14">
        <f>0.000001 * SUM(
  SUMIFS(
  'Asset Summary'!$G:$G,
  'Asset Summary'!$A:$A,$D486,
  'Asset Summary'!$B:$B,AD$407
  )+
  SUMIFS(
  'Asset Summary'!$H:$H,
  'Asset Summary'!$A:$A,$D486,
  'Asset Summary'!$B:$B,AD$407
  )
)</f>
        <v>8.3722211980000001</v>
      </c>
      <c r="AF486" s="14">
        <f>0.000001 * SUM(
  SUMIFS(
  'Asset Summary'!$G:$G,
  'Asset Summary'!$A:$A,$D486,
  'Asset Summary'!$B:$B,AF$407
  )+
  SUMIFS(
  'Asset Summary'!$H:$H,
  'Asset Summary'!$A:$A,$D486,
  'Asset Summary'!$B:$B,AF$407
  )
)</f>
        <v>0</v>
      </c>
      <c r="AH486" s="34" t="s">
        <v>422</v>
      </c>
    </row>
    <row r="487" spans="4:34" outlineLevel="1" x14ac:dyDescent="0.2">
      <c r="D487" s="8" t="s">
        <v>272</v>
      </c>
      <c r="E487" s="14">
        <f>0.000001 * SUM(
  SUMIFS(
  'Asset Summary'!$G:$G,
  'Asset Summary'!$A:$A,$D487,
  'Asset Summary'!$B:$B,E$407
  )+
  SUMIFS(
  'Asset Summary'!$H:$H,
  'Asset Summary'!$A:$A,$D487,
  'Asset Summary'!$B:$B,E$407
  )
)</f>
        <v>0</v>
      </c>
      <c r="F487" s="14">
        <f>0.000001 * SUM(
  SUMIFS(
  'Asset Summary'!$G:$G,
  'Asset Summary'!$A:$A,$D487,
  'Asset Summary'!$B:$B,F$407
  )+
  SUMIFS(
  'Asset Summary'!$H:$H,
  'Asset Summary'!$A:$A,$D487,
  'Asset Summary'!$B:$B,F$407
  )
)</f>
        <v>0</v>
      </c>
      <c r="G487" s="14">
        <f>0.000001 * SUM(
  SUMIFS(
  'Asset Summary'!$G:$G,
  'Asset Summary'!$A:$A,$D487,
  'Asset Summary'!$B:$B,G$407
  )+
  SUMIFS(
  'Asset Summary'!$H:$H,
  'Asset Summary'!$A:$A,$D487,
  'Asset Summary'!$B:$B,G$407
  )
)</f>
        <v>0</v>
      </c>
      <c r="H487" s="14">
        <f>0.000001 * SUM(
  SUMIFS(
  'Asset Summary'!$G:$G,
  'Asset Summary'!$A:$A,$D487,
  'Asset Summary'!$B:$B,H$407
  )+
  SUMIFS(
  'Asset Summary'!$H:$H,
  'Asset Summary'!$A:$A,$D487,
  'Asset Summary'!$B:$B,H$407
  )
)</f>
        <v>0</v>
      </c>
      <c r="I487" s="14">
        <f>0.000001 * SUM(
  SUMIFS(
  'Asset Summary'!$G:$G,
  'Asset Summary'!$A:$A,$D487,
  'Asset Summary'!$B:$B,I$407
  )+
  SUMIFS(
  'Asset Summary'!$H:$H,
  'Asset Summary'!$A:$A,$D487,
  'Asset Summary'!$B:$B,I$407
  )
)</f>
        <v>0</v>
      </c>
      <c r="J487" s="14">
        <f>0.000001 * SUM(
  SUMIFS(
  'Asset Summary'!$G:$G,
  'Asset Summary'!$A:$A,$D487,
  'Asset Summary'!$B:$B,J$407
  )+
  SUMIFS(
  'Asset Summary'!$H:$H,
  'Asset Summary'!$A:$A,$D487,
  'Asset Summary'!$B:$B,J$407
  )
)</f>
        <v>0</v>
      </c>
      <c r="K487" s="14">
        <f>0.000001 * SUM(
  SUMIFS(
  'Asset Summary'!$G:$G,
  'Asset Summary'!$A:$A,$D487,
  'Asset Summary'!$B:$B,K$407
  )+
  SUMIFS(
  'Asset Summary'!$H:$H,
  'Asset Summary'!$A:$A,$D487,
  'Asset Summary'!$B:$B,K$407
  )
)</f>
        <v>0</v>
      </c>
      <c r="L487" s="14">
        <f>0.000001 * SUM(
  SUMIFS(
  'Asset Summary'!$G:$G,
  'Asset Summary'!$A:$A,$D487,
  'Asset Summary'!$B:$B,L$407
  )+
  SUMIFS(
  'Asset Summary'!$H:$H,
  'Asset Summary'!$A:$A,$D487,
  'Asset Summary'!$B:$B,L$407
  )
)</f>
        <v>0</v>
      </c>
      <c r="M487" s="14">
        <f>0.000001 * SUM(
  SUMIFS(
  'Asset Summary'!$G:$G,
  'Asset Summary'!$A:$A,$D487,
  'Asset Summary'!$B:$B,M$407
  )+
  SUMIFS(
  'Asset Summary'!$H:$H,
  'Asset Summary'!$A:$A,$D487,
  'Asset Summary'!$B:$B,M$407
  )
)</f>
        <v>0</v>
      </c>
      <c r="N487" s="14">
        <f>0.000001 * SUM(
  SUMIFS(
  'Asset Summary'!$G:$G,
  'Asset Summary'!$A:$A,$D487,
  'Asset Summary'!$B:$B,N$407
  )+
  SUMIFS(
  'Asset Summary'!$H:$H,
  'Asset Summary'!$A:$A,$D487,
  'Asset Summary'!$B:$B,N$407
  )
)</f>
        <v>0</v>
      </c>
      <c r="O487" s="14">
        <f>0.000001 * SUM(
  SUMIFS(
  'Asset Summary'!$G:$G,
  'Asset Summary'!$A:$A,$D487,
  'Asset Summary'!$B:$B,O$407
  )+
  SUMIFS(
  'Asset Summary'!$H:$H,
  'Asset Summary'!$A:$A,$D487,
  'Asset Summary'!$B:$B,O$407
  )
)</f>
        <v>0</v>
      </c>
      <c r="P487" s="14">
        <f>0.000001 * SUM(
  SUMIFS(
  'Asset Summary'!$G:$G,
  'Asset Summary'!$A:$A,$D487,
  'Asset Summary'!$B:$B,P$407
  )+
  SUMIFS(
  'Asset Summary'!$H:$H,
  'Asset Summary'!$A:$A,$D487,
  'Asset Summary'!$B:$B,P$407
  )
)</f>
        <v>0</v>
      </c>
      <c r="Q487" s="14">
        <f>0.000001 * SUM(
  SUMIFS(
  'Asset Summary'!$G:$G,
  'Asset Summary'!$A:$A,$D487,
  'Asset Summary'!$B:$B,Q$407
  )+
  SUMIFS(
  'Asset Summary'!$H:$H,
  'Asset Summary'!$A:$A,$D487,
  'Asset Summary'!$B:$B,Q$407
  )
)</f>
        <v>0</v>
      </c>
      <c r="R487" s="14">
        <f>0.000001 * SUM(
  SUMIFS(
  'Asset Summary'!$G:$G,
  'Asset Summary'!$A:$A,$D487,
  'Asset Summary'!$B:$B,R$407
  )+
  SUMIFS(
  'Asset Summary'!$H:$H,
  'Asset Summary'!$A:$A,$D487,
  'Asset Summary'!$B:$B,R$407
  )
)</f>
        <v>0</v>
      </c>
      <c r="S487" s="14">
        <f>0.000001 * SUM(
  SUMIFS(
  'Asset Summary'!$G:$G,
  'Asset Summary'!$A:$A,$D487,
  'Asset Summary'!$B:$B,S$407
  )+
  SUMIFS(
  'Asset Summary'!$H:$H,
  'Asset Summary'!$A:$A,$D487,
  'Asset Summary'!$B:$B,S$407
  )
)</f>
        <v>0</v>
      </c>
      <c r="T487" s="14">
        <f>0.000001 * SUM(
  SUMIFS(
  'Asset Summary'!$G:$G,
  'Asset Summary'!$A:$A,$D487,
  'Asset Summary'!$B:$B,T$407
  )+
  SUMIFS(
  'Asset Summary'!$H:$H,
  'Asset Summary'!$A:$A,$D487,
  'Asset Summary'!$B:$B,T$407
  )
)</f>
        <v>0</v>
      </c>
      <c r="U487" s="14">
        <f>0.000001 * SUM(
  SUMIFS(
  'Asset Summary'!$G:$G,
  'Asset Summary'!$A:$A,$D487,
  'Asset Summary'!$B:$B,U$407
  )+
  SUMIFS(
  'Asset Summary'!$H:$H,
  'Asset Summary'!$A:$A,$D487,
  'Asset Summary'!$B:$B,U$407
  )
)</f>
        <v>0</v>
      </c>
      <c r="V487" s="14">
        <f>0.000001 * SUM(
  SUMIFS(
  'Asset Summary'!$G:$G,
  'Asset Summary'!$A:$A,$D487,
  'Asset Summary'!$B:$B,V$407
  )+
  SUMIFS(
  'Asset Summary'!$H:$H,
  'Asset Summary'!$A:$A,$D487,
  'Asset Summary'!$B:$B,V$407
  )
)</f>
        <v>0</v>
      </c>
      <c r="W487" s="14">
        <f>0.000001 * SUM(
  SUMIFS(
  'Asset Summary'!$G:$G,
  'Asset Summary'!$A:$A,$D487,
  'Asset Summary'!$B:$B,W$407
  )+
  SUMIFS(
  'Asset Summary'!$H:$H,
  'Asset Summary'!$A:$A,$D487,
  'Asset Summary'!$B:$B,W$407
  )
)</f>
        <v>0</v>
      </c>
      <c r="X487" s="14">
        <f>0.000001 * SUM(
  SUMIFS(
  'Asset Summary'!$G:$G,
  'Asset Summary'!$A:$A,$D487,
  'Asset Summary'!$B:$B,X$407
  )+
  SUMIFS(
  'Asset Summary'!$H:$H,
  'Asset Summary'!$A:$A,$D487,
  'Asset Summary'!$B:$B,X$407
  )
)</f>
        <v>0</v>
      </c>
      <c r="Y487" s="14">
        <f>0.000001 * SUM(
  SUMIFS(
  'Asset Summary'!$G:$G,
  'Asset Summary'!$A:$A,$D487,
  'Asset Summary'!$B:$B,Y$407
  )+
  SUMIFS(
  'Asset Summary'!$H:$H,
  'Asset Summary'!$A:$A,$D487,
  'Asset Summary'!$B:$B,Y$407
  )
)</f>
        <v>0</v>
      </c>
      <c r="Z487" s="14">
        <f>0.000001 * SUM(
  SUMIFS(
  'Asset Summary'!$G:$G,
  'Asset Summary'!$A:$A,$D487,
  'Asset Summary'!$B:$B,Z$407
  )+
  SUMIFS(
  'Asset Summary'!$H:$H,
  'Asset Summary'!$A:$A,$D487,
  'Asset Summary'!$B:$B,Z$407
  )
)</f>
        <v>0</v>
      </c>
      <c r="AA487" s="14">
        <f>0.000001 * SUM(
  SUMIFS(
  'Asset Summary'!$G:$G,
  'Asset Summary'!$A:$A,$D487,
  'Asset Summary'!$B:$B,AA$407
  )+
  SUMIFS(
  'Asset Summary'!$H:$H,
  'Asset Summary'!$A:$A,$D487,
  'Asset Summary'!$B:$B,AA$407
  )
)</f>
        <v>0</v>
      </c>
      <c r="AB487" s="14">
        <f>0.000001 * SUM(
  SUMIFS(
  'Asset Summary'!$G:$G,
  'Asset Summary'!$A:$A,$D487,
  'Asset Summary'!$B:$B,AB$407
  )+
  SUMIFS(
  'Asset Summary'!$H:$H,
  'Asset Summary'!$A:$A,$D487,
  'Asset Summary'!$B:$B,AB$407
  )
)</f>
        <v>0</v>
      </c>
      <c r="AC487" s="14">
        <f>0.000001 * SUM(
  SUMIFS(
  'Asset Summary'!$G:$G,
  'Asset Summary'!$A:$A,$D487,
  'Asset Summary'!$B:$B,AC$407
  )+
  SUMIFS(
  'Asset Summary'!$H:$H,
  'Asset Summary'!$A:$A,$D487,
  'Asset Summary'!$B:$B,AC$407
  )
)</f>
        <v>0</v>
      </c>
      <c r="AD487" s="14">
        <f>0.000001 * SUM(
  SUMIFS(
  'Asset Summary'!$G:$G,
  'Asset Summary'!$A:$A,$D487,
  'Asset Summary'!$B:$B,AD$407
  )+
  SUMIFS(
  'Asset Summary'!$H:$H,
  'Asset Summary'!$A:$A,$D487,
  'Asset Summary'!$B:$B,AD$407
  )
)</f>
        <v>0</v>
      </c>
      <c r="AF487" s="14">
        <f>0.000001 * SUM(
  SUMIFS(
  'Asset Summary'!$G:$G,
  'Asset Summary'!$A:$A,$D487,
  'Asset Summary'!$B:$B,AF$407
  )+
  SUMIFS(
  'Asset Summary'!$H:$H,
  'Asset Summary'!$A:$A,$D487,
  'Asset Summary'!$B:$B,AF$407
  )
)</f>
        <v>0</v>
      </c>
      <c r="AH487" s="34" t="s">
        <v>422</v>
      </c>
    </row>
    <row r="488" spans="4:34" outlineLevel="1" x14ac:dyDescent="0.2">
      <c r="D488" s="8" t="s">
        <v>273</v>
      </c>
      <c r="E488" s="14">
        <f>0.000001 * SUM(
  SUMIFS(
  'Asset Summary'!$G:$G,
  'Asset Summary'!$A:$A,$D488,
  'Asset Summary'!$B:$B,E$407
  )+
  SUMIFS(
  'Asset Summary'!$H:$H,
  'Asset Summary'!$A:$A,$D488,
  'Asset Summary'!$B:$B,E$407
  )
)</f>
        <v>0</v>
      </c>
      <c r="F488" s="14">
        <f>0.000001 * SUM(
  SUMIFS(
  'Asset Summary'!$G:$G,
  'Asset Summary'!$A:$A,$D488,
  'Asset Summary'!$B:$B,F$407
  )+
  SUMIFS(
  'Asset Summary'!$H:$H,
  'Asset Summary'!$A:$A,$D488,
  'Asset Summary'!$B:$B,F$407
  )
)</f>
        <v>0</v>
      </c>
      <c r="G488" s="14">
        <f>0.000001 * SUM(
  SUMIFS(
  'Asset Summary'!$G:$G,
  'Asset Summary'!$A:$A,$D488,
  'Asset Summary'!$B:$B,G$407
  )+
  SUMIFS(
  'Asset Summary'!$H:$H,
  'Asset Summary'!$A:$A,$D488,
  'Asset Summary'!$B:$B,G$407
  )
)</f>
        <v>0</v>
      </c>
      <c r="H488" s="14">
        <f>0.000001 * SUM(
  SUMIFS(
  'Asset Summary'!$G:$G,
  'Asset Summary'!$A:$A,$D488,
  'Asset Summary'!$B:$B,H$407
  )+
  SUMIFS(
  'Asset Summary'!$H:$H,
  'Asset Summary'!$A:$A,$D488,
  'Asset Summary'!$B:$B,H$407
  )
)</f>
        <v>0</v>
      </c>
      <c r="I488" s="14">
        <f>0.000001 * SUM(
  SUMIFS(
  'Asset Summary'!$G:$G,
  'Asset Summary'!$A:$A,$D488,
  'Asset Summary'!$B:$B,I$407
  )+
  SUMIFS(
  'Asset Summary'!$H:$H,
  'Asset Summary'!$A:$A,$D488,
  'Asset Summary'!$B:$B,I$407
  )
)</f>
        <v>0</v>
      </c>
      <c r="J488" s="14">
        <f>0.000001 * SUM(
  SUMIFS(
  'Asset Summary'!$G:$G,
  'Asset Summary'!$A:$A,$D488,
  'Asset Summary'!$B:$B,J$407
  )+
  SUMIFS(
  'Asset Summary'!$H:$H,
  'Asset Summary'!$A:$A,$D488,
  'Asset Summary'!$B:$B,J$407
  )
)</f>
        <v>0</v>
      </c>
      <c r="K488" s="14">
        <f>0.000001 * SUM(
  SUMIFS(
  'Asset Summary'!$G:$G,
  'Asset Summary'!$A:$A,$D488,
  'Asset Summary'!$B:$B,K$407
  )+
  SUMIFS(
  'Asset Summary'!$H:$H,
  'Asset Summary'!$A:$A,$D488,
  'Asset Summary'!$B:$B,K$407
  )
)</f>
        <v>0</v>
      </c>
      <c r="L488" s="14">
        <f>0.000001 * SUM(
  SUMIFS(
  'Asset Summary'!$G:$G,
  'Asset Summary'!$A:$A,$D488,
  'Asset Summary'!$B:$B,L$407
  )+
  SUMIFS(
  'Asset Summary'!$H:$H,
  'Asset Summary'!$A:$A,$D488,
  'Asset Summary'!$B:$B,L$407
  )
)</f>
        <v>0</v>
      </c>
      <c r="M488" s="14">
        <f>0.000001 * SUM(
  SUMIFS(
  'Asset Summary'!$G:$G,
  'Asset Summary'!$A:$A,$D488,
  'Asset Summary'!$B:$B,M$407
  )+
  SUMIFS(
  'Asset Summary'!$H:$H,
  'Asset Summary'!$A:$A,$D488,
  'Asset Summary'!$B:$B,M$407
  )
)</f>
        <v>0</v>
      </c>
      <c r="N488" s="14">
        <f>0.000001 * SUM(
  SUMIFS(
  'Asset Summary'!$G:$G,
  'Asset Summary'!$A:$A,$D488,
  'Asset Summary'!$B:$B,N$407
  )+
  SUMIFS(
  'Asset Summary'!$H:$H,
  'Asset Summary'!$A:$A,$D488,
  'Asset Summary'!$B:$B,N$407
  )
)</f>
        <v>0</v>
      </c>
      <c r="O488" s="14">
        <f>0.000001 * SUM(
  SUMIFS(
  'Asset Summary'!$G:$G,
  'Asset Summary'!$A:$A,$D488,
  'Asset Summary'!$B:$B,O$407
  )+
  SUMIFS(
  'Asset Summary'!$H:$H,
  'Asset Summary'!$A:$A,$D488,
  'Asset Summary'!$B:$B,O$407
  )
)</f>
        <v>0</v>
      </c>
      <c r="P488" s="14">
        <f>0.000001 * SUM(
  SUMIFS(
  'Asset Summary'!$G:$G,
  'Asset Summary'!$A:$A,$D488,
  'Asset Summary'!$B:$B,P$407
  )+
  SUMIFS(
  'Asset Summary'!$H:$H,
  'Asset Summary'!$A:$A,$D488,
  'Asset Summary'!$B:$B,P$407
  )
)</f>
        <v>0</v>
      </c>
      <c r="Q488" s="14">
        <f>0.000001 * SUM(
  SUMIFS(
  'Asset Summary'!$G:$G,
  'Asset Summary'!$A:$A,$D488,
  'Asset Summary'!$B:$B,Q$407
  )+
  SUMIFS(
  'Asset Summary'!$H:$H,
  'Asset Summary'!$A:$A,$D488,
  'Asset Summary'!$B:$B,Q$407
  )
)</f>
        <v>0</v>
      </c>
      <c r="R488" s="14">
        <f>0.000001 * SUM(
  SUMIFS(
  'Asset Summary'!$G:$G,
  'Asset Summary'!$A:$A,$D488,
  'Asset Summary'!$B:$B,R$407
  )+
  SUMIFS(
  'Asset Summary'!$H:$H,
  'Asset Summary'!$A:$A,$D488,
  'Asset Summary'!$B:$B,R$407
  )
)</f>
        <v>0</v>
      </c>
      <c r="S488" s="14">
        <f>0.000001 * SUM(
  SUMIFS(
  'Asset Summary'!$G:$G,
  'Asset Summary'!$A:$A,$D488,
  'Asset Summary'!$B:$B,S$407
  )+
  SUMIFS(
  'Asset Summary'!$H:$H,
  'Asset Summary'!$A:$A,$D488,
  'Asset Summary'!$B:$B,S$407
  )
)</f>
        <v>0</v>
      </c>
      <c r="T488" s="14">
        <f>0.000001 * SUM(
  SUMIFS(
  'Asset Summary'!$G:$G,
  'Asset Summary'!$A:$A,$D488,
  'Asset Summary'!$B:$B,T$407
  )+
  SUMIFS(
  'Asset Summary'!$H:$H,
  'Asset Summary'!$A:$A,$D488,
  'Asset Summary'!$B:$B,T$407
  )
)</f>
        <v>0</v>
      </c>
      <c r="U488" s="14">
        <f>0.000001 * SUM(
  SUMIFS(
  'Asset Summary'!$G:$G,
  'Asset Summary'!$A:$A,$D488,
  'Asset Summary'!$B:$B,U$407
  )+
  SUMIFS(
  'Asset Summary'!$H:$H,
  'Asset Summary'!$A:$A,$D488,
  'Asset Summary'!$B:$B,U$407
  )
)</f>
        <v>0</v>
      </c>
      <c r="V488" s="14">
        <f>0.000001 * SUM(
  SUMIFS(
  'Asset Summary'!$G:$G,
  'Asset Summary'!$A:$A,$D488,
  'Asset Summary'!$B:$B,V$407
  )+
  SUMIFS(
  'Asset Summary'!$H:$H,
  'Asset Summary'!$A:$A,$D488,
  'Asset Summary'!$B:$B,V$407
  )
)</f>
        <v>0</v>
      </c>
      <c r="W488" s="14">
        <f>0.000001 * SUM(
  SUMIFS(
  'Asset Summary'!$G:$G,
  'Asset Summary'!$A:$A,$D488,
  'Asset Summary'!$B:$B,W$407
  )+
  SUMIFS(
  'Asset Summary'!$H:$H,
  'Asset Summary'!$A:$A,$D488,
  'Asset Summary'!$B:$B,W$407
  )
)</f>
        <v>0</v>
      </c>
      <c r="X488" s="14">
        <f>0.000001 * SUM(
  SUMIFS(
  'Asset Summary'!$G:$G,
  'Asset Summary'!$A:$A,$D488,
  'Asset Summary'!$B:$B,X$407
  )+
  SUMIFS(
  'Asset Summary'!$H:$H,
  'Asset Summary'!$A:$A,$D488,
  'Asset Summary'!$B:$B,X$407
  )
)</f>
        <v>0</v>
      </c>
      <c r="Y488" s="14">
        <f>0.000001 * SUM(
  SUMIFS(
  'Asset Summary'!$G:$G,
  'Asset Summary'!$A:$A,$D488,
  'Asset Summary'!$B:$B,Y$407
  )+
  SUMIFS(
  'Asset Summary'!$H:$H,
  'Asset Summary'!$A:$A,$D488,
  'Asset Summary'!$B:$B,Y$407
  )
)</f>
        <v>0</v>
      </c>
      <c r="Z488" s="14">
        <f>0.000001 * SUM(
  SUMIFS(
  'Asset Summary'!$G:$G,
  'Asset Summary'!$A:$A,$D488,
  'Asset Summary'!$B:$B,Z$407
  )+
  SUMIFS(
  'Asset Summary'!$H:$H,
  'Asset Summary'!$A:$A,$D488,
  'Asset Summary'!$B:$B,Z$407
  )
)</f>
        <v>0</v>
      </c>
      <c r="AA488" s="14">
        <f>0.000001 * SUM(
  SUMIFS(
  'Asset Summary'!$G:$G,
  'Asset Summary'!$A:$A,$D488,
  'Asset Summary'!$B:$B,AA$407
  )+
  SUMIFS(
  'Asset Summary'!$H:$H,
  'Asset Summary'!$A:$A,$D488,
  'Asset Summary'!$B:$B,AA$407
  )
)</f>
        <v>0</v>
      </c>
      <c r="AB488" s="14">
        <f>0.000001 * SUM(
  SUMIFS(
  'Asset Summary'!$G:$G,
  'Asset Summary'!$A:$A,$D488,
  'Asset Summary'!$B:$B,AB$407
  )+
  SUMIFS(
  'Asset Summary'!$H:$H,
  'Asset Summary'!$A:$A,$D488,
  'Asset Summary'!$B:$B,AB$407
  )
)</f>
        <v>0</v>
      </c>
      <c r="AC488" s="14">
        <f>0.000001 * SUM(
  SUMIFS(
  'Asset Summary'!$G:$G,
  'Asset Summary'!$A:$A,$D488,
  'Asset Summary'!$B:$B,AC$407
  )+
  SUMIFS(
  'Asset Summary'!$H:$H,
  'Asset Summary'!$A:$A,$D488,
  'Asset Summary'!$B:$B,AC$407
  )
)</f>
        <v>0</v>
      </c>
      <c r="AD488" s="14">
        <f>0.000001 * SUM(
  SUMIFS(
  'Asset Summary'!$G:$G,
  'Asset Summary'!$A:$A,$D488,
  'Asset Summary'!$B:$B,AD$407
  )+
  SUMIFS(
  'Asset Summary'!$H:$H,
  'Asset Summary'!$A:$A,$D488,
  'Asset Summary'!$B:$B,AD$407
  )
)</f>
        <v>0</v>
      </c>
      <c r="AF488" s="14">
        <f>0.000001 * SUM(
  SUMIFS(
  'Asset Summary'!$G:$G,
  'Asset Summary'!$A:$A,$D488,
  'Asset Summary'!$B:$B,AF$407
  )+
  SUMIFS(
  'Asset Summary'!$H:$H,
  'Asset Summary'!$A:$A,$D488,
  'Asset Summary'!$B:$B,AF$407
  )
)</f>
        <v>0</v>
      </c>
      <c r="AH488" s="34" t="s">
        <v>422</v>
      </c>
    </row>
    <row r="489" spans="4:34" outlineLevel="1" x14ac:dyDescent="0.2">
      <c r="D489" s="8" t="s">
        <v>274</v>
      </c>
      <c r="E489" s="14">
        <f>0.000001 * SUM(
  SUMIFS(
  'Asset Summary'!$G:$G,
  'Asset Summary'!$A:$A,$D489,
  'Asset Summary'!$B:$B,E$407
  )+
  SUMIFS(
  'Asset Summary'!$H:$H,
  'Asset Summary'!$A:$A,$D489,
  'Asset Summary'!$B:$B,E$407
  )
)</f>
        <v>0</v>
      </c>
      <c r="F489" s="14">
        <f>0.000001 * SUM(
  SUMIFS(
  'Asset Summary'!$G:$G,
  'Asset Summary'!$A:$A,$D489,
  'Asset Summary'!$B:$B,F$407
  )+
  SUMIFS(
  'Asset Summary'!$H:$H,
  'Asset Summary'!$A:$A,$D489,
  'Asset Summary'!$B:$B,F$407
  )
)</f>
        <v>0</v>
      </c>
      <c r="G489" s="14">
        <f>0.000001 * SUM(
  SUMIFS(
  'Asset Summary'!$G:$G,
  'Asset Summary'!$A:$A,$D489,
  'Asset Summary'!$B:$B,G$407
  )+
  SUMIFS(
  'Asset Summary'!$H:$H,
  'Asset Summary'!$A:$A,$D489,
  'Asset Summary'!$B:$B,G$407
  )
)</f>
        <v>0</v>
      </c>
      <c r="H489" s="14">
        <f>0.000001 * SUM(
  SUMIFS(
  'Asset Summary'!$G:$G,
  'Asset Summary'!$A:$A,$D489,
  'Asset Summary'!$B:$B,H$407
  )+
  SUMIFS(
  'Asset Summary'!$H:$H,
  'Asset Summary'!$A:$A,$D489,
  'Asset Summary'!$B:$B,H$407
  )
)</f>
        <v>0</v>
      </c>
      <c r="I489" s="14">
        <f>0.000001 * SUM(
  SUMIFS(
  'Asset Summary'!$G:$G,
  'Asset Summary'!$A:$A,$D489,
  'Asset Summary'!$B:$B,I$407
  )+
  SUMIFS(
  'Asset Summary'!$H:$H,
  'Asset Summary'!$A:$A,$D489,
  'Asset Summary'!$B:$B,I$407
  )
)</f>
        <v>0</v>
      </c>
      <c r="J489" s="14">
        <f>0.000001 * SUM(
  SUMIFS(
  'Asset Summary'!$G:$G,
  'Asset Summary'!$A:$A,$D489,
  'Asset Summary'!$B:$B,J$407
  )+
  SUMIFS(
  'Asset Summary'!$H:$H,
  'Asset Summary'!$A:$A,$D489,
  'Asset Summary'!$B:$B,J$407
  )
)</f>
        <v>0</v>
      </c>
      <c r="K489" s="14">
        <f>0.000001 * SUM(
  SUMIFS(
  'Asset Summary'!$G:$G,
  'Asset Summary'!$A:$A,$D489,
  'Asset Summary'!$B:$B,K$407
  )+
  SUMIFS(
  'Asset Summary'!$H:$H,
  'Asset Summary'!$A:$A,$D489,
  'Asset Summary'!$B:$B,K$407
  )
)</f>
        <v>0</v>
      </c>
      <c r="L489" s="14">
        <f>0.000001 * SUM(
  SUMIFS(
  'Asset Summary'!$G:$G,
  'Asset Summary'!$A:$A,$D489,
  'Asset Summary'!$B:$B,L$407
  )+
  SUMIFS(
  'Asset Summary'!$H:$H,
  'Asset Summary'!$A:$A,$D489,
  'Asset Summary'!$B:$B,L$407
  )
)</f>
        <v>0</v>
      </c>
      <c r="M489" s="14">
        <f>0.000001 * SUM(
  SUMIFS(
  'Asset Summary'!$G:$G,
  'Asset Summary'!$A:$A,$D489,
  'Asset Summary'!$B:$B,M$407
  )+
  SUMIFS(
  'Asset Summary'!$H:$H,
  'Asset Summary'!$A:$A,$D489,
  'Asset Summary'!$B:$B,M$407
  )
)</f>
        <v>0</v>
      </c>
      <c r="N489" s="14">
        <f>0.000001 * SUM(
  SUMIFS(
  'Asset Summary'!$G:$G,
  'Asset Summary'!$A:$A,$D489,
  'Asset Summary'!$B:$B,N$407
  )+
  SUMIFS(
  'Asset Summary'!$H:$H,
  'Asset Summary'!$A:$A,$D489,
  'Asset Summary'!$B:$B,N$407
  )
)</f>
        <v>0</v>
      </c>
      <c r="O489" s="14">
        <f>0.000001 * SUM(
  SUMIFS(
  'Asset Summary'!$G:$G,
  'Asset Summary'!$A:$A,$D489,
  'Asset Summary'!$B:$B,O$407
  )+
  SUMIFS(
  'Asset Summary'!$H:$H,
  'Asset Summary'!$A:$A,$D489,
  'Asset Summary'!$B:$B,O$407
  )
)</f>
        <v>0</v>
      </c>
      <c r="P489" s="14">
        <f>0.000001 * SUM(
  SUMIFS(
  'Asset Summary'!$G:$G,
  'Asset Summary'!$A:$A,$D489,
  'Asset Summary'!$B:$B,P$407
  )+
  SUMIFS(
  'Asset Summary'!$H:$H,
  'Asset Summary'!$A:$A,$D489,
  'Asset Summary'!$B:$B,P$407
  )
)</f>
        <v>0</v>
      </c>
      <c r="Q489" s="14">
        <f>0.000001 * SUM(
  SUMIFS(
  'Asset Summary'!$G:$G,
  'Asset Summary'!$A:$A,$D489,
  'Asset Summary'!$B:$B,Q$407
  )+
  SUMIFS(
  'Asset Summary'!$H:$H,
  'Asset Summary'!$A:$A,$D489,
  'Asset Summary'!$B:$B,Q$407
  )
)</f>
        <v>0</v>
      </c>
      <c r="R489" s="14">
        <f>0.000001 * SUM(
  SUMIFS(
  'Asset Summary'!$G:$G,
  'Asset Summary'!$A:$A,$D489,
  'Asset Summary'!$B:$B,R$407
  )+
  SUMIFS(
  'Asset Summary'!$H:$H,
  'Asset Summary'!$A:$A,$D489,
  'Asset Summary'!$B:$B,R$407
  )
)</f>
        <v>0</v>
      </c>
      <c r="S489" s="14">
        <f>0.000001 * SUM(
  SUMIFS(
  'Asset Summary'!$G:$G,
  'Asset Summary'!$A:$A,$D489,
  'Asset Summary'!$B:$B,S$407
  )+
  SUMIFS(
  'Asset Summary'!$H:$H,
  'Asset Summary'!$A:$A,$D489,
  'Asset Summary'!$B:$B,S$407
  )
)</f>
        <v>0</v>
      </c>
      <c r="T489" s="14">
        <f>0.000001 * SUM(
  SUMIFS(
  'Asset Summary'!$G:$G,
  'Asset Summary'!$A:$A,$D489,
  'Asset Summary'!$B:$B,T$407
  )+
  SUMIFS(
  'Asset Summary'!$H:$H,
  'Asset Summary'!$A:$A,$D489,
  'Asset Summary'!$B:$B,T$407
  )
)</f>
        <v>0</v>
      </c>
      <c r="U489" s="14">
        <f>0.000001 * SUM(
  SUMIFS(
  'Asset Summary'!$G:$G,
  'Asset Summary'!$A:$A,$D489,
  'Asset Summary'!$B:$B,U$407
  )+
  SUMIFS(
  'Asset Summary'!$H:$H,
  'Asset Summary'!$A:$A,$D489,
  'Asset Summary'!$B:$B,U$407
  )
)</f>
        <v>0</v>
      </c>
      <c r="V489" s="14">
        <f>0.000001 * SUM(
  SUMIFS(
  'Asset Summary'!$G:$G,
  'Asset Summary'!$A:$A,$D489,
  'Asset Summary'!$B:$B,V$407
  )+
  SUMIFS(
  'Asset Summary'!$H:$H,
  'Asset Summary'!$A:$A,$D489,
  'Asset Summary'!$B:$B,V$407
  )
)</f>
        <v>0</v>
      </c>
      <c r="W489" s="14">
        <f>0.000001 * SUM(
  SUMIFS(
  'Asset Summary'!$G:$G,
  'Asset Summary'!$A:$A,$D489,
  'Asset Summary'!$B:$B,W$407
  )+
  SUMIFS(
  'Asset Summary'!$H:$H,
  'Asset Summary'!$A:$A,$D489,
  'Asset Summary'!$B:$B,W$407
  )
)</f>
        <v>0</v>
      </c>
      <c r="X489" s="14">
        <f>0.000001 * SUM(
  SUMIFS(
  'Asset Summary'!$G:$G,
  'Asset Summary'!$A:$A,$D489,
  'Asset Summary'!$B:$B,X$407
  )+
  SUMIFS(
  'Asset Summary'!$H:$H,
  'Asset Summary'!$A:$A,$D489,
  'Asset Summary'!$B:$B,X$407
  )
)</f>
        <v>0</v>
      </c>
      <c r="Y489" s="14">
        <f>0.000001 * SUM(
  SUMIFS(
  'Asset Summary'!$G:$G,
  'Asset Summary'!$A:$A,$D489,
  'Asset Summary'!$B:$B,Y$407
  )+
  SUMIFS(
  'Asset Summary'!$H:$H,
  'Asset Summary'!$A:$A,$D489,
  'Asset Summary'!$B:$B,Y$407
  )
)</f>
        <v>0</v>
      </c>
      <c r="Z489" s="14">
        <f>0.000001 * SUM(
  SUMIFS(
  'Asset Summary'!$G:$G,
  'Asset Summary'!$A:$A,$D489,
  'Asset Summary'!$B:$B,Z$407
  )+
  SUMIFS(
  'Asset Summary'!$H:$H,
  'Asset Summary'!$A:$A,$D489,
  'Asset Summary'!$B:$B,Z$407
  )
)</f>
        <v>0</v>
      </c>
      <c r="AA489" s="14">
        <f>0.000001 * SUM(
  SUMIFS(
  'Asset Summary'!$G:$G,
  'Asset Summary'!$A:$A,$D489,
  'Asset Summary'!$B:$B,AA$407
  )+
  SUMIFS(
  'Asset Summary'!$H:$H,
  'Asset Summary'!$A:$A,$D489,
  'Asset Summary'!$B:$B,AA$407
  )
)</f>
        <v>0</v>
      </c>
      <c r="AB489" s="14">
        <f>0.000001 * SUM(
  SUMIFS(
  'Asset Summary'!$G:$G,
  'Asset Summary'!$A:$A,$D489,
  'Asset Summary'!$B:$B,AB$407
  )+
  SUMIFS(
  'Asset Summary'!$H:$H,
  'Asset Summary'!$A:$A,$D489,
  'Asset Summary'!$B:$B,AB$407
  )
)</f>
        <v>0</v>
      </c>
      <c r="AC489" s="14">
        <f>0.000001 * SUM(
  SUMIFS(
  'Asset Summary'!$G:$G,
  'Asset Summary'!$A:$A,$D489,
  'Asset Summary'!$B:$B,AC$407
  )+
  SUMIFS(
  'Asset Summary'!$H:$H,
  'Asset Summary'!$A:$A,$D489,
  'Asset Summary'!$B:$B,AC$407
  )
)</f>
        <v>0</v>
      </c>
      <c r="AD489" s="14">
        <f>0.000001 * SUM(
  SUMIFS(
  'Asset Summary'!$G:$G,
  'Asset Summary'!$A:$A,$D489,
  'Asset Summary'!$B:$B,AD$407
  )+
  SUMIFS(
  'Asset Summary'!$H:$H,
  'Asset Summary'!$A:$A,$D489,
  'Asset Summary'!$B:$B,AD$407
  )
)</f>
        <v>6.7679476200000011</v>
      </c>
      <c r="AF489" s="14">
        <f>0.000001 * SUM(
  SUMIFS(
  'Asset Summary'!$G:$G,
  'Asset Summary'!$A:$A,$D489,
  'Asset Summary'!$B:$B,AF$407
  )+
  SUMIFS(
  'Asset Summary'!$H:$H,
  'Asset Summary'!$A:$A,$D489,
  'Asset Summary'!$B:$B,AF$407
  )
)</f>
        <v>0</v>
      </c>
      <c r="AH489" s="34" t="s">
        <v>422</v>
      </c>
    </row>
    <row r="490" spans="4:34" outlineLevel="1" x14ac:dyDescent="0.2">
      <c r="D490" s="8" t="s">
        <v>275</v>
      </c>
      <c r="E490" s="14">
        <f>0.000001 * SUM(
  SUMIFS(
  'Asset Summary'!$G:$G,
  'Asset Summary'!$A:$A,$D490,
  'Asset Summary'!$B:$B,E$407
  )+
  SUMIFS(
  'Asset Summary'!$H:$H,
  'Asset Summary'!$A:$A,$D490,
  'Asset Summary'!$B:$B,E$407
  )
)</f>
        <v>0</v>
      </c>
      <c r="F490" s="14">
        <f>0.000001 * SUM(
  SUMIFS(
  'Asset Summary'!$G:$G,
  'Asset Summary'!$A:$A,$D490,
  'Asset Summary'!$B:$B,F$407
  )+
  SUMIFS(
  'Asset Summary'!$H:$H,
  'Asset Summary'!$A:$A,$D490,
  'Asset Summary'!$B:$B,F$407
  )
)</f>
        <v>0</v>
      </c>
      <c r="G490" s="14">
        <f>0.000001 * SUM(
  SUMIFS(
  'Asset Summary'!$G:$G,
  'Asset Summary'!$A:$A,$D490,
  'Asset Summary'!$B:$B,G$407
  )+
  SUMIFS(
  'Asset Summary'!$H:$H,
  'Asset Summary'!$A:$A,$D490,
  'Asset Summary'!$B:$B,G$407
  )
)</f>
        <v>0</v>
      </c>
      <c r="H490" s="14">
        <f>0.000001 * SUM(
  SUMIFS(
  'Asset Summary'!$G:$G,
  'Asset Summary'!$A:$A,$D490,
  'Asset Summary'!$B:$B,H$407
  )+
  SUMIFS(
  'Asset Summary'!$H:$H,
  'Asset Summary'!$A:$A,$D490,
  'Asset Summary'!$B:$B,H$407
  )
)</f>
        <v>0</v>
      </c>
      <c r="I490" s="14">
        <f>0.000001 * SUM(
  SUMIFS(
  'Asset Summary'!$G:$G,
  'Asset Summary'!$A:$A,$D490,
  'Asset Summary'!$B:$B,I$407
  )+
  SUMIFS(
  'Asset Summary'!$H:$H,
  'Asset Summary'!$A:$A,$D490,
  'Asset Summary'!$B:$B,I$407
  )
)</f>
        <v>0</v>
      </c>
      <c r="J490" s="14">
        <f>0.000001 * SUM(
  SUMIFS(
  'Asset Summary'!$G:$G,
  'Asset Summary'!$A:$A,$D490,
  'Asset Summary'!$B:$B,J$407
  )+
  SUMIFS(
  'Asset Summary'!$H:$H,
  'Asset Summary'!$A:$A,$D490,
  'Asset Summary'!$B:$B,J$407
  )
)</f>
        <v>0</v>
      </c>
      <c r="K490" s="14">
        <f>0.000001 * SUM(
  SUMIFS(
  'Asset Summary'!$G:$G,
  'Asset Summary'!$A:$A,$D490,
  'Asset Summary'!$B:$B,K$407
  )+
  SUMIFS(
  'Asset Summary'!$H:$H,
  'Asset Summary'!$A:$A,$D490,
  'Asset Summary'!$B:$B,K$407
  )
)</f>
        <v>0</v>
      </c>
      <c r="L490" s="14">
        <f>0.000001 * SUM(
  SUMIFS(
  'Asset Summary'!$G:$G,
  'Asset Summary'!$A:$A,$D490,
  'Asset Summary'!$B:$B,L$407
  )+
  SUMIFS(
  'Asset Summary'!$H:$H,
  'Asset Summary'!$A:$A,$D490,
  'Asset Summary'!$B:$B,L$407
  )
)</f>
        <v>0</v>
      </c>
      <c r="M490" s="14">
        <f>0.000001 * SUM(
  SUMIFS(
  'Asset Summary'!$G:$G,
  'Asset Summary'!$A:$A,$D490,
  'Asset Summary'!$B:$B,M$407
  )+
  SUMIFS(
  'Asset Summary'!$H:$H,
  'Asset Summary'!$A:$A,$D490,
  'Asset Summary'!$B:$B,M$407
  )
)</f>
        <v>0</v>
      </c>
      <c r="N490" s="14">
        <f>0.000001 * SUM(
  SUMIFS(
  'Asset Summary'!$G:$G,
  'Asset Summary'!$A:$A,$D490,
  'Asset Summary'!$B:$B,N$407
  )+
  SUMIFS(
  'Asset Summary'!$H:$H,
  'Asset Summary'!$A:$A,$D490,
  'Asset Summary'!$B:$B,N$407
  )
)</f>
        <v>0</v>
      </c>
      <c r="O490" s="14">
        <f>0.000001 * SUM(
  SUMIFS(
  'Asset Summary'!$G:$G,
  'Asset Summary'!$A:$A,$D490,
  'Asset Summary'!$B:$B,O$407
  )+
  SUMIFS(
  'Asset Summary'!$H:$H,
  'Asset Summary'!$A:$A,$D490,
  'Asset Summary'!$B:$B,O$407
  )
)</f>
        <v>0</v>
      </c>
      <c r="P490" s="14">
        <f>0.000001 * SUM(
  SUMIFS(
  'Asset Summary'!$G:$G,
  'Asset Summary'!$A:$A,$D490,
  'Asset Summary'!$B:$B,P$407
  )+
  SUMIFS(
  'Asset Summary'!$H:$H,
  'Asset Summary'!$A:$A,$D490,
  'Asset Summary'!$B:$B,P$407
  )
)</f>
        <v>0</v>
      </c>
      <c r="Q490" s="14">
        <f>0.000001 * SUM(
  SUMIFS(
  'Asset Summary'!$G:$G,
  'Asset Summary'!$A:$A,$D490,
  'Asset Summary'!$B:$B,Q$407
  )+
  SUMIFS(
  'Asset Summary'!$H:$H,
  'Asset Summary'!$A:$A,$D490,
  'Asset Summary'!$B:$B,Q$407
  )
)</f>
        <v>0</v>
      </c>
      <c r="R490" s="14">
        <f>0.000001 * SUM(
  SUMIFS(
  'Asset Summary'!$G:$G,
  'Asset Summary'!$A:$A,$D490,
  'Asset Summary'!$B:$B,R$407
  )+
  SUMIFS(
  'Asset Summary'!$H:$H,
  'Asset Summary'!$A:$A,$D490,
  'Asset Summary'!$B:$B,R$407
  )
)</f>
        <v>0</v>
      </c>
      <c r="S490" s="14">
        <f>0.000001 * SUM(
  SUMIFS(
  'Asset Summary'!$G:$G,
  'Asset Summary'!$A:$A,$D490,
  'Asset Summary'!$B:$B,S$407
  )+
  SUMIFS(
  'Asset Summary'!$H:$H,
  'Asset Summary'!$A:$A,$D490,
  'Asset Summary'!$B:$B,S$407
  )
)</f>
        <v>0</v>
      </c>
      <c r="T490" s="14">
        <f>0.000001 * SUM(
  SUMIFS(
  'Asset Summary'!$G:$G,
  'Asset Summary'!$A:$A,$D490,
  'Asset Summary'!$B:$B,T$407
  )+
  SUMIFS(
  'Asset Summary'!$H:$H,
  'Asset Summary'!$A:$A,$D490,
  'Asset Summary'!$B:$B,T$407
  )
)</f>
        <v>0</v>
      </c>
      <c r="U490" s="14">
        <f>0.000001 * SUM(
  SUMIFS(
  'Asset Summary'!$G:$G,
  'Asset Summary'!$A:$A,$D490,
  'Asset Summary'!$B:$B,U$407
  )+
  SUMIFS(
  'Asset Summary'!$H:$H,
  'Asset Summary'!$A:$A,$D490,
  'Asset Summary'!$B:$B,U$407
  )
)</f>
        <v>0</v>
      </c>
      <c r="V490" s="14">
        <f>0.000001 * SUM(
  SUMIFS(
  'Asset Summary'!$G:$G,
  'Asset Summary'!$A:$A,$D490,
  'Asset Summary'!$B:$B,V$407
  )+
  SUMIFS(
  'Asset Summary'!$H:$H,
  'Asset Summary'!$A:$A,$D490,
  'Asset Summary'!$B:$B,V$407
  )
)</f>
        <v>0</v>
      </c>
      <c r="W490" s="14">
        <f>0.000001 * SUM(
  SUMIFS(
  'Asset Summary'!$G:$G,
  'Asset Summary'!$A:$A,$D490,
  'Asset Summary'!$B:$B,W$407
  )+
  SUMIFS(
  'Asset Summary'!$H:$H,
  'Asset Summary'!$A:$A,$D490,
  'Asset Summary'!$B:$B,W$407
  )
)</f>
        <v>0</v>
      </c>
      <c r="X490" s="14">
        <f>0.000001 * SUM(
  SUMIFS(
  'Asset Summary'!$G:$G,
  'Asset Summary'!$A:$A,$D490,
  'Asset Summary'!$B:$B,X$407
  )+
  SUMIFS(
  'Asset Summary'!$H:$H,
  'Asset Summary'!$A:$A,$D490,
  'Asset Summary'!$B:$B,X$407
  )
)</f>
        <v>0</v>
      </c>
      <c r="Y490" s="14">
        <f>0.000001 * SUM(
  SUMIFS(
  'Asset Summary'!$G:$G,
  'Asset Summary'!$A:$A,$D490,
  'Asset Summary'!$B:$B,Y$407
  )+
  SUMIFS(
  'Asset Summary'!$H:$H,
  'Asset Summary'!$A:$A,$D490,
  'Asset Summary'!$B:$B,Y$407
  )
)</f>
        <v>0</v>
      </c>
      <c r="Z490" s="14">
        <f>0.000001 * SUM(
  SUMIFS(
  'Asset Summary'!$G:$G,
  'Asset Summary'!$A:$A,$D490,
  'Asset Summary'!$B:$B,Z$407
  )+
  SUMIFS(
  'Asset Summary'!$H:$H,
  'Asset Summary'!$A:$A,$D490,
  'Asset Summary'!$B:$B,Z$407
  )
)</f>
        <v>0</v>
      </c>
      <c r="AA490" s="14">
        <f>0.000001 * SUM(
  SUMIFS(
  'Asset Summary'!$G:$G,
  'Asset Summary'!$A:$A,$D490,
  'Asset Summary'!$B:$B,AA$407
  )+
  SUMIFS(
  'Asset Summary'!$H:$H,
  'Asset Summary'!$A:$A,$D490,
  'Asset Summary'!$B:$B,AA$407
  )
)</f>
        <v>0</v>
      </c>
      <c r="AB490" s="14">
        <f>0.000001 * SUM(
  SUMIFS(
  'Asset Summary'!$G:$G,
  'Asset Summary'!$A:$A,$D490,
  'Asset Summary'!$B:$B,AB$407
  )+
  SUMIFS(
  'Asset Summary'!$H:$H,
  'Asset Summary'!$A:$A,$D490,
  'Asset Summary'!$B:$B,AB$407
  )
)</f>
        <v>0</v>
      </c>
      <c r="AC490" s="14">
        <f>0.000001 * SUM(
  SUMIFS(
  'Asset Summary'!$G:$G,
  'Asset Summary'!$A:$A,$D490,
  'Asset Summary'!$B:$B,AC$407
  )+
  SUMIFS(
  'Asset Summary'!$H:$H,
  'Asset Summary'!$A:$A,$D490,
  'Asset Summary'!$B:$B,AC$407
  )
)</f>
        <v>0</v>
      </c>
      <c r="AD490" s="14">
        <f>0.000001 * SUM(
  SUMIFS(
  'Asset Summary'!$G:$G,
  'Asset Summary'!$A:$A,$D490,
  'Asset Summary'!$B:$B,AD$407
  )+
  SUMIFS(
  'Asset Summary'!$H:$H,
  'Asset Summary'!$A:$A,$D490,
  'Asset Summary'!$B:$B,AD$407
  )
)</f>
        <v>0</v>
      </c>
      <c r="AF490" s="14">
        <f>0.000001 * SUM(
  SUMIFS(
  'Asset Summary'!$G:$G,
  'Asset Summary'!$A:$A,$D490,
  'Asset Summary'!$B:$B,AF$407
  )+
  SUMIFS(
  'Asset Summary'!$H:$H,
  'Asset Summary'!$A:$A,$D490,
  'Asset Summary'!$B:$B,AF$407
  )
)</f>
        <v>0</v>
      </c>
      <c r="AH490" s="34" t="s">
        <v>422</v>
      </c>
    </row>
    <row r="491" spans="4:34" outlineLevel="1" x14ac:dyDescent="0.2">
      <c r="D491" s="8" t="s">
        <v>276</v>
      </c>
      <c r="E491" s="14">
        <f>0.000001 * SUM(
  SUMIFS(
  'Asset Summary'!$G:$G,
  'Asset Summary'!$A:$A,$D491,
  'Asset Summary'!$B:$B,E$407
  )+
  SUMIFS(
  'Asset Summary'!$H:$H,
  'Asset Summary'!$A:$A,$D491,
  'Asset Summary'!$B:$B,E$407
  )
)</f>
        <v>0</v>
      </c>
      <c r="F491" s="14">
        <f>0.000001 * SUM(
  SUMIFS(
  'Asset Summary'!$G:$G,
  'Asset Summary'!$A:$A,$D491,
  'Asset Summary'!$B:$B,F$407
  )+
  SUMIFS(
  'Asset Summary'!$H:$H,
  'Asset Summary'!$A:$A,$D491,
  'Asset Summary'!$B:$B,F$407
  )
)</f>
        <v>0</v>
      </c>
      <c r="G491" s="14">
        <f>0.000001 * SUM(
  SUMIFS(
  'Asset Summary'!$G:$G,
  'Asset Summary'!$A:$A,$D491,
  'Asset Summary'!$B:$B,G$407
  )+
  SUMIFS(
  'Asset Summary'!$H:$H,
  'Asset Summary'!$A:$A,$D491,
  'Asset Summary'!$B:$B,G$407
  )
)</f>
        <v>0</v>
      </c>
      <c r="H491" s="14">
        <f>0.000001 * SUM(
  SUMIFS(
  'Asset Summary'!$G:$G,
  'Asset Summary'!$A:$A,$D491,
  'Asset Summary'!$B:$B,H$407
  )+
  SUMIFS(
  'Asset Summary'!$H:$H,
  'Asset Summary'!$A:$A,$D491,
  'Asset Summary'!$B:$B,H$407
  )
)</f>
        <v>0</v>
      </c>
      <c r="I491" s="14">
        <f>0.000001 * SUM(
  SUMIFS(
  'Asset Summary'!$G:$G,
  'Asset Summary'!$A:$A,$D491,
  'Asset Summary'!$B:$B,I$407
  )+
  SUMIFS(
  'Asset Summary'!$H:$H,
  'Asset Summary'!$A:$A,$D491,
  'Asset Summary'!$B:$B,I$407
  )
)</f>
        <v>0</v>
      </c>
      <c r="J491" s="14">
        <f>0.000001 * SUM(
  SUMIFS(
  'Asset Summary'!$G:$G,
  'Asset Summary'!$A:$A,$D491,
  'Asset Summary'!$B:$B,J$407
  )+
  SUMIFS(
  'Asset Summary'!$H:$H,
  'Asset Summary'!$A:$A,$D491,
  'Asset Summary'!$B:$B,J$407
  )
)</f>
        <v>0</v>
      </c>
      <c r="K491" s="14">
        <f>0.000001 * SUM(
  SUMIFS(
  'Asset Summary'!$G:$G,
  'Asset Summary'!$A:$A,$D491,
  'Asset Summary'!$B:$B,K$407
  )+
  SUMIFS(
  'Asset Summary'!$H:$H,
  'Asset Summary'!$A:$A,$D491,
  'Asset Summary'!$B:$B,K$407
  )
)</f>
        <v>0</v>
      </c>
      <c r="L491" s="14">
        <f>0.000001 * SUM(
  SUMIFS(
  'Asset Summary'!$G:$G,
  'Asset Summary'!$A:$A,$D491,
  'Asset Summary'!$B:$B,L$407
  )+
  SUMIFS(
  'Asset Summary'!$H:$H,
  'Asset Summary'!$A:$A,$D491,
  'Asset Summary'!$B:$B,L$407
  )
)</f>
        <v>0</v>
      </c>
      <c r="M491" s="14">
        <f>0.000001 * SUM(
  SUMIFS(
  'Asset Summary'!$G:$G,
  'Asset Summary'!$A:$A,$D491,
  'Asset Summary'!$B:$B,M$407
  )+
  SUMIFS(
  'Asset Summary'!$H:$H,
  'Asset Summary'!$A:$A,$D491,
  'Asset Summary'!$B:$B,M$407
  )
)</f>
        <v>0</v>
      </c>
      <c r="N491" s="14">
        <f>0.000001 * SUM(
  SUMIFS(
  'Asset Summary'!$G:$G,
  'Asset Summary'!$A:$A,$D491,
  'Asset Summary'!$B:$B,N$407
  )+
  SUMIFS(
  'Asset Summary'!$H:$H,
  'Asset Summary'!$A:$A,$D491,
  'Asset Summary'!$B:$B,N$407
  )
)</f>
        <v>0</v>
      </c>
      <c r="O491" s="14">
        <f>0.000001 * SUM(
  SUMIFS(
  'Asset Summary'!$G:$G,
  'Asset Summary'!$A:$A,$D491,
  'Asset Summary'!$B:$B,O$407
  )+
  SUMIFS(
  'Asset Summary'!$H:$H,
  'Asset Summary'!$A:$A,$D491,
  'Asset Summary'!$B:$B,O$407
  )
)</f>
        <v>0</v>
      </c>
      <c r="P491" s="14">
        <f>0.000001 * SUM(
  SUMIFS(
  'Asset Summary'!$G:$G,
  'Asset Summary'!$A:$A,$D491,
  'Asset Summary'!$B:$B,P$407
  )+
  SUMIFS(
  'Asset Summary'!$H:$H,
  'Asset Summary'!$A:$A,$D491,
  'Asset Summary'!$B:$B,P$407
  )
)</f>
        <v>0</v>
      </c>
      <c r="Q491" s="14">
        <f>0.000001 * SUM(
  SUMIFS(
  'Asset Summary'!$G:$G,
  'Asset Summary'!$A:$A,$D491,
  'Asset Summary'!$B:$B,Q$407
  )+
  SUMIFS(
  'Asset Summary'!$H:$H,
  'Asset Summary'!$A:$A,$D491,
  'Asset Summary'!$B:$B,Q$407
  )
)</f>
        <v>0</v>
      </c>
      <c r="R491" s="14">
        <f>0.000001 * SUM(
  SUMIFS(
  'Asset Summary'!$G:$G,
  'Asset Summary'!$A:$A,$D491,
  'Asset Summary'!$B:$B,R$407
  )+
  SUMIFS(
  'Asset Summary'!$H:$H,
  'Asset Summary'!$A:$A,$D491,
  'Asset Summary'!$B:$B,R$407
  )
)</f>
        <v>0</v>
      </c>
      <c r="S491" s="14">
        <f>0.000001 * SUM(
  SUMIFS(
  'Asset Summary'!$G:$G,
  'Asset Summary'!$A:$A,$D491,
  'Asset Summary'!$B:$B,S$407
  )+
  SUMIFS(
  'Asset Summary'!$H:$H,
  'Asset Summary'!$A:$A,$D491,
  'Asset Summary'!$B:$B,S$407
  )
)</f>
        <v>0</v>
      </c>
      <c r="T491" s="14">
        <f>0.000001 * SUM(
  SUMIFS(
  'Asset Summary'!$G:$G,
  'Asset Summary'!$A:$A,$D491,
  'Asset Summary'!$B:$B,T$407
  )+
  SUMIFS(
  'Asset Summary'!$H:$H,
  'Asset Summary'!$A:$A,$D491,
  'Asset Summary'!$B:$B,T$407
  )
)</f>
        <v>0</v>
      </c>
      <c r="U491" s="14">
        <f>0.000001 * SUM(
  SUMIFS(
  'Asset Summary'!$G:$G,
  'Asset Summary'!$A:$A,$D491,
  'Asset Summary'!$B:$B,U$407
  )+
  SUMIFS(
  'Asset Summary'!$H:$H,
  'Asset Summary'!$A:$A,$D491,
  'Asset Summary'!$B:$B,U$407
  )
)</f>
        <v>0</v>
      </c>
      <c r="V491" s="14">
        <f>0.000001 * SUM(
  SUMIFS(
  'Asset Summary'!$G:$G,
  'Asset Summary'!$A:$A,$D491,
  'Asset Summary'!$B:$B,V$407
  )+
  SUMIFS(
  'Asset Summary'!$H:$H,
  'Asset Summary'!$A:$A,$D491,
  'Asset Summary'!$B:$B,V$407
  )
)</f>
        <v>0</v>
      </c>
      <c r="W491" s="14">
        <f>0.000001 * SUM(
  SUMIFS(
  'Asset Summary'!$G:$G,
  'Asset Summary'!$A:$A,$D491,
  'Asset Summary'!$B:$B,W$407
  )+
  SUMIFS(
  'Asset Summary'!$H:$H,
  'Asset Summary'!$A:$A,$D491,
  'Asset Summary'!$B:$B,W$407
  )
)</f>
        <v>0</v>
      </c>
      <c r="X491" s="14">
        <f>0.000001 * SUM(
  SUMIFS(
  'Asset Summary'!$G:$G,
  'Asset Summary'!$A:$A,$D491,
  'Asset Summary'!$B:$B,X$407
  )+
  SUMIFS(
  'Asset Summary'!$H:$H,
  'Asset Summary'!$A:$A,$D491,
  'Asset Summary'!$B:$B,X$407
  )
)</f>
        <v>0</v>
      </c>
      <c r="Y491" s="14">
        <f>0.000001 * SUM(
  SUMIFS(
  'Asset Summary'!$G:$G,
  'Asset Summary'!$A:$A,$D491,
  'Asset Summary'!$B:$B,Y$407
  )+
  SUMIFS(
  'Asset Summary'!$H:$H,
  'Asset Summary'!$A:$A,$D491,
  'Asset Summary'!$B:$B,Y$407
  )
)</f>
        <v>0</v>
      </c>
      <c r="Z491" s="14">
        <f>0.000001 * SUM(
  SUMIFS(
  'Asset Summary'!$G:$G,
  'Asset Summary'!$A:$A,$D491,
  'Asset Summary'!$B:$B,Z$407
  )+
  SUMIFS(
  'Asset Summary'!$H:$H,
  'Asset Summary'!$A:$A,$D491,
  'Asset Summary'!$B:$B,Z$407
  )
)</f>
        <v>0</v>
      </c>
      <c r="AA491" s="14">
        <f>0.000001 * SUM(
  SUMIFS(
  'Asset Summary'!$G:$G,
  'Asset Summary'!$A:$A,$D491,
  'Asset Summary'!$B:$B,AA$407
  )+
  SUMIFS(
  'Asset Summary'!$H:$H,
  'Asset Summary'!$A:$A,$D491,
  'Asset Summary'!$B:$B,AA$407
  )
)</f>
        <v>0</v>
      </c>
      <c r="AB491" s="14">
        <f>0.000001 * SUM(
  SUMIFS(
  'Asset Summary'!$G:$G,
  'Asset Summary'!$A:$A,$D491,
  'Asset Summary'!$B:$B,AB$407
  )+
  SUMIFS(
  'Asset Summary'!$H:$H,
  'Asset Summary'!$A:$A,$D491,
  'Asset Summary'!$B:$B,AB$407
  )
)</f>
        <v>0</v>
      </c>
      <c r="AC491" s="14">
        <f>0.000001 * SUM(
  SUMIFS(
  'Asset Summary'!$G:$G,
  'Asset Summary'!$A:$A,$D491,
  'Asset Summary'!$B:$B,AC$407
  )+
  SUMIFS(
  'Asset Summary'!$H:$H,
  'Asset Summary'!$A:$A,$D491,
  'Asset Summary'!$B:$B,AC$407
  )
)</f>
        <v>0</v>
      </c>
      <c r="AD491" s="14">
        <f>0.000001 * SUM(
  SUMIFS(
  'Asset Summary'!$G:$G,
  'Asset Summary'!$A:$A,$D491,
  'Asset Summary'!$B:$B,AD$407
  )+
  SUMIFS(
  'Asset Summary'!$H:$H,
  'Asset Summary'!$A:$A,$D491,
  'Asset Summary'!$B:$B,AD$407
  )
)</f>
        <v>0</v>
      </c>
      <c r="AF491" s="14">
        <f>0.000001 * SUM(
  SUMIFS(
  'Asset Summary'!$G:$G,
  'Asset Summary'!$A:$A,$D491,
  'Asset Summary'!$B:$B,AF$407
  )+
  SUMIFS(
  'Asset Summary'!$H:$H,
  'Asset Summary'!$A:$A,$D491,
  'Asset Summary'!$B:$B,AF$407
  )
)</f>
        <v>0</v>
      </c>
      <c r="AH491" s="34" t="s">
        <v>422</v>
      </c>
    </row>
    <row r="492" spans="4:34" outlineLevel="1" x14ac:dyDescent="0.2">
      <c r="D492" s="8" t="s">
        <v>277</v>
      </c>
      <c r="E492" s="14">
        <f>0.000001 * SUM(
  SUMIFS(
  'Asset Summary'!$G:$G,
  'Asset Summary'!$A:$A,$D492,
  'Asset Summary'!$B:$B,E$407
  )+
  SUMIFS(
  'Asset Summary'!$H:$H,
  'Asset Summary'!$A:$A,$D492,
  'Asset Summary'!$B:$B,E$407
  )
)</f>
        <v>0</v>
      </c>
      <c r="F492" s="14">
        <f>0.000001 * SUM(
  SUMIFS(
  'Asset Summary'!$G:$G,
  'Asset Summary'!$A:$A,$D492,
  'Asset Summary'!$B:$B,F$407
  )+
  SUMIFS(
  'Asset Summary'!$H:$H,
  'Asset Summary'!$A:$A,$D492,
  'Asset Summary'!$B:$B,F$407
  )
)</f>
        <v>0</v>
      </c>
      <c r="G492" s="14">
        <f>0.000001 * SUM(
  SUMIFS(
  'Asset Summary'!$G:$G,
  'Asset Summary'!$A:$A,$D492,
  'Asset Summary'!$B:$B,G$407
  )+
  SUMIFS(
  'Asset Summary'!$H:$H,
  'Asset Summary'!$A:$A,$D492,
  'Asset Summary'!$B:$B,G$407
  )
)</f>
        <v>0</v>
      </c>
      <c r="H492" s="14">
        <f>0.000001 * SUM(
  SUMIFS(
  'Asset Summary'!$G:$G,
  'Asset Summary'!$A:$A,$D492,
  'Asset Summary'!$B:$B,H$407
  )+
  SUMIFS(
  'Asset Summary'!$H:$H,
  'Asset Summary'!$A:$A,$D492,
  'Asset Summary'!$B:$B,H$407
  )
)</f>
        <v>0</v>
      </c>
      <c r="I492" s="14">
        <f>0.000001 * SUM(
  SUMIFS(
  'Asset Summary'!$G:$G,
  'Asset Summary'!$A:$A,$D492,
  'Asset Summary'!$B:$B,I$407
  )+
  SUMIFS(
  'Asset Summary'!$H:$H,
  'Asset Summary'!$A:$A,$D492,
  'Asset Summary'!$B:$B,I$407
  )
)</f>
        <v>0</v>
      </c>
      <c r="J492" s="14">
        <f>0.000001 * SUM(
  SUMIFS(
  'Asset Summary'!$G:$G,
  'Asset Summary'!$A:$A,$D492,
  'Asset Summary'!$B:$B,J$407
  )+
  SUMIFS(
  'Asset Summary'!$H:$H,
  'Asset Summary'!$A:$A,$D492,
  'Asset Summary'!$B:$B,J$407
  )
)</f>
        <v>0</v>
      </c>
      <c r="K492" s="14">
        <f>0.000001 * SUM(
  SUMIFS(
  'Asset Summary'!$G:$G,
  'Asset Summary'!$A:$A,$D492,
  'Asset Summary'!$B:$B,K$407
  )+
  SUMIFS(
  'Asset Summary'!$H:$H,
  'Asset Summary'!$A:$A,$D492,
  'Asset Summary'!$B:$B,K$407
  )
)</f>
        <v>0</v>
      </c>
      <c r="L492" s="14">
        <f>0.000001 * SUM(
  SUMIFS(
  'Asset Summary'!$G:$G,
  'Asset Summary'!$A:$A,$D492,
  'Asset Summary'!$B:$B,L$407
  )+
  SUMIFS(
  'Asset Summary'!$H:$H,
  'Asset Summary'!$A:$A,$D492,
  'Asset Summary'!$B:$B,L$407
  )
)</f>
        <v>0</v>
      </c>
      <c r="M492" s="14">
        <f>0.000001 * SUM(
  SUMIFS(
  'Asset Summary'!$G:$G,
  'Asset Summary'!$A:$A,$D492,
  'Asset Summary'!$B:$B,M$407
  )+
  SUMIFS(
  'Asset Summary'!$H:$H,
  'Asset Summary'!$A:$A,$D492,
  'Asset Summary'!$B:$B,M$407
  )
)</f>
        <v>0</v>
      </c>
      <c r="N492" s="14">
        <f>0.000001 * SUM(
  SUMIFS(
  'Asset Summary'!$G:$G,
  'Asset Summary'!$A:$A,$D492,
  'Asset Summary'!$B:$B,N$407
  )+
  SUMIFS(
  'Asset Summary'!$H:$H,
  'Asset Summary'!$A:$A,$D492,
  'Asset Summary'!$B:$B,N$407
  )
)</f>
        <v>0</v>
      </c>
      <c r="O492" s="14">
        <f>0.000001 * SUM(
  SUMIFS(
  'Asset Summary'!$G:$G,
  'Asset Summary'!$A:$A,$D492,
  'Asset Summary'!$B:$B,O$407
  )+
  SUMIFS(
  'Asset Summary'!$H:$H,
  'Asset Summary'!$A:$A,$D492,
  'Asset Summary'!$B:$B,O$407
  )
)</f>
        <v>0</v>
      </c>
      <c r="P492" s="14">
        <f>0.000001 * SUM(
  SUMIFS(
  'Asset Summary'!$G:$G,
  'Asset Summary'!$A:$A,$D492,
  'Asset Summary'!$B:$B,P$407
  )+
  SUMIFS(
  'Asset Summary'!$H:$H,
  'Asset Summary'!$A:$A,$D492,
  'Asset Summary'!$B:$B,P$407
  )
)</f>
        <v>0</v>
      </c>
      <c r="Q492" s="14">
        <f>0.000001 * SUM(
  SUMIFS(
  'Asset Summary'!$G:$G,
  'Asset Summary'!$A:$A,$D492,
  'Asset Summary'!$B:$B,Q$407
  )+
  SUMIFS(
  'Asset Summary'!$H:$H,
  'Asset Summary'!$A:$A,$D492,
  'Asset Summary'!$B:$B,Q$407
  )
)</f>
        <v>0</v>
      </c>
      <c r="R492" s="14">
        <f>0.000001 * SUM(
  SUMIFS(
  'Asset Summary'!$G:$G,
  'Asset Summary'!$A:$A,$D492,
  'Asset Summary'!$B:$B,R$407
  )+
  SUMIFS(
  'Asset Summary'!$H:$H,
  'Asset Summary'!$A:$A,$D492,
  'Asset Summary'!$B:$B,R$407
  )
)</f>
        <v>0</v>
      </c>
      <c r="S492" s="14">
        <f>0.000001 * SUM(
  SUMIFS(
  'Asset Summary'!$G:$G,
  'Asset Summary'!$A:$A,$D492,
  'Asset Summary'!$B:$B,S$407
  )+
  SUMIFS(
  'Asset Summary'!$H:$H,
  'Asset Summary'!$A:$A,$D492,
  'Asset Summary'!$B:$B,S$407
  )
)</f>
        <v>0</v>
      </c>
      <c r="T492" s="14">
        <f>0.000001 * SUM(
  SUMIFS(
  'Asset Summary'!$G:$G,
  'Asset Summary'!$A:$A,$D492,
  'Asset Summary'!$B:$B,T$407
  )+
  SUMIFS(
  'Asset Summary'!$H:$H,
  'Asset Summary'!$A:$A,$D492,
  'Asset Summary'!$B:$B,T$407
  )
)</f>
        <v>0</v>
      </c>
      <c r="U492" s="14">
        <f>0.000001 * SUM(
  SUMIFS(
  'Asset Summary'!$G:$G,
  'Asset Summary'!$A:$A,$D492,
  'Asset Summary'!$B:$B,U$407
  )+
  SUMIFS(
  'Asset Summary'!$H:$H,
  'Asset Summary'!$A:$A,$D492,
  'Asset Summary'!$B:$B,U$407
  )
)</f>
        <v>0</v>
      </c>
      <c r="V492" s="14">
        <f>0.000001 * SUM(
  SUMIFS(
  'Asset Summary'!$G:$G,
  'Asset Summary'!$A:$A,$D492,
  'Asset Summary'!$B:$B,V$407
  )+
  SUMIFS(
  'Asset Summary'!$H:$H,
  'Asset Summary'!$A:$A,$D492,
  'Asset Summary'!$B:$B,V$407
  )
)</f>
        <v>0</v>
      </c>
      <c r="W492" s="14">
        <f>0.000001 * SUM(
  SUMIFS(
  'Asset Summary'!$G:$G,
  'Asset Summary'!$A:$A,$D492,
  'Asset Summary'!$B:$B,W$407
  )+
  SUMIFS(
  'Asset Summary'!$H:$H,
  'Asset Summary'!$A:$A,$D492,
  'Asset Summary'!$B:$B,W$407
  )
)</f>
        <v>0</v>
      </c>
      <c r="X492" s="14">
        <f>0.000001 * SUM(
  SUMIFS(
  'Asset Summary'!$G:$G,
  'Asset Summary'!$A:$A,$D492,
  'Asset Summary'!$B:$B,X$407
  )+
  SUMIFS(
  'Asset Summary'!$H:$H,
  'Asset Summary'!$A:$A,$D492,
  'Asset Summary'!$B:$B,X$407
  )
)</f>
        <v>0</v>
      </c>
      <c r="Y492" s="14">
        <f>0.000001 * SUM(
  SUMIFS(
  'Asset Summary'!$G:$G,
  'Asset Summary'!$A:$A,$D492,
  'Asset Summary'!$B:$B,Y$407
  )+
  SUMIFS(
  'Asset Summary'!$H:$H,
  'Asset Summary'!$A:$A,$D492,
  'Asset Summary'!$B:$B,Y$407
  )
)</f>
        <v>0</v>
      </c>
      <c r="Z492" s="14">
        <f>0.000001 * SUM(
  SUMIFS(
  'Asset Summary'!$G:$G,
  'Asset Summary'!$A:$A,$D492,
  'Asset Summary'!$B:$B,Z$407
  )+
  SUMIFS(
  'Asset Summary'!$H:$H,
  'Asset Summary'!$A:$A,$D492,
  'Asset Summary'!$B:$B,Z$407
  )
)</f>
        <v>0</v>
      </c>
      <c r="AA492" s="14">
        <f>0.000001 * SUM(
  SUMIFS(
  'Asset Summary'!$G:$G,
  'Asset Summary'!$A:$A,$D492,
  'Asset Summary'!$B:$B,AA$407
  )+
  SUMIFS(
  'Asset Summary'!$H:$H,
  'Asset Summary'!$A:$A,$D492,
  'Asset Summary'!$B:$B,AA$407
  )
)</f>
        <v>0</v>
      </c>
      <c r="AB492" s="14">
        <f>0.000001 * SUM(
  SUMIFS(
  'Asset Summary'!$G:$G,
  'Asset Summary'!$A:$A,$D492,
  'Asset Summary'!$B:$B,AB$407
  )+
  SUMIFS(
  'Asset Summary'!$H:$H,
  'Asset Summary'!$A:$A,$D492,
  'Asset Summary'!$B:$B,AB$407
  )
)</f>
        <v>0</v>
      </c>
      <c r="AC492" s="14">
        <f>0.000001 * SUM(
  SUMIFS(
  'Asset Summary'!$G:$G,
  'Asset Summary'!$A:$A,$D492,
  'Asset Summary'!$B:$B,AC$407
  )+
  SUMIFS(
  'Asset Summary'!$H:$H,
  'Asset Summary'!$A:$A,$D492,
  'Asset Summary'!$B:$B,AC$407
  )
)</f>
        <v>0</v>
      </c>
      <c r="AD492" s="14">
        <f>0.000001 * SUM(
  SUMIFS(
  'Asset Summary'!$G:$G,
  'Asset Summary'!$A:$A,$D492,
  'Asset Summary'!$B:$B,AD$407
  )+
  SUMIFS(
  'Asset Summary'!$H:$H,
  'Asset Summary'!$A:$A,$D492,
  'Asset Summary'!$B:$B,AD$407
  )
)</f>
        <v>0</v>
      </c>
      <c r="AF492" s="14">
        <f>0.000001 * SUM(
  SUMIFS(
  'Asset Summary'!$G:$G,
  'Asset Summary'!$A:$A,$D492,
  'Asset Summary'!$B:$B,AF$407
  )+
  SUMIFS(
  'Asset Summary'!$H:$H,
  'Asset Summary'!$A:$A,$D492,
  'Asset Summary'!$B:$B,AF$407
  )
)</f>
        <v>0</v>
      </c>
      <c r="AH492" s="34" t="s">
        <v>422</v>
      </c>
    </row>
    <row r="493" spans="4:34" outlineLevel="1" x14ac:dyDescent="0.2">
      <c r="D493" s="8" t="s">
        <v>278</v>
      </c>
      <c r="E493" s="14">
        <f>0.000001 * SUM(
  SUMIFS(
  'Asset Summary'!$G:$G,
  'Asset Summary'!$A:$A,$D493,
  'Asset Summary'!$B:$B,E$407
  )+
  SUMIFS(
  'Asset Summary'!$H:$H,
  'Asset Summary'!$A:$A,$D493,
  'Asset Summary'!$B:$B,E$407
  )
)</f>
        <v>0</v>
      </c>
      <c r="F493" s="14">
        <f>0.000001 * SUM(
  SUMIFS(
  'Asset Summary'!$G:$G,
  'Asset Summary'!$A:$A,$D493,
  'Asset Summary'!$B:$B,F$407
  )+
  SUMIFS(
  'Asset Summary'!$H:$H,
  'Asset Summary'!$A:$A,$D493,
  'Asset Summary'!$B:$B,F$407
  )
)</f>
        <v>0</v>
      </c>
      <c r="G493" s="14">
        <f>0.000001 * SUM(
  SUMIFS(
  'Asset Summary'!$G:$G,
  'Asset Summary'!$A:$A,$D493,
  'Asset Summary'!$B:$B,G$407
  )+
  SUMIFS(
  'Asset Summary'!$H:$H,
  'Asset Summary'!$A:$A,$D493,
  'Asset Summary'!$B:$B,G$407
  )
)</f>
        <v>0</v>
      </c>
      <c r="H493" s="14">
        <f>0.000001 * SUM(
  SUMIFS(
  'Asset Summary'!$G:$G,
  'Asset Summary'!$A:$A,$D493,
  'Asset Summary'!$B:$B,H$407
  )+
  SUMIFS(
  'Asset Summary'!$H:$H,
  'Asset Summary'!$A:$A,$D493,
  'Asset Summary'!$B:$B,H$407
  )
)</f>
        <v>0</v>
      </c>
      <c r="I493" s="14">
        <f>0.000001 * SUM(
  SUMIFS(
  'Asset Summary'!$G:$G,
  'Asset Summary'!$A:$A,$D493,
  'Asset Summary'!$B:$B,I$407
  )+
  SUMIFS(
  'Asset Summary'!$H:$H,
  'Asset Summary'!$A:$A,$D493,
  'Asset Summary'!$B:$B,I$407
  )
)</f>
        <v>0</v>
      </c>
      <c r="J493" s="14">
        <f>0.000001 * SUM(
  SUMIFS(
  'Asset Summary'!$G:$G,
  'Asset Summary'!$A:$A,$D493,
  'Asset Summary'!$B:$B,J$407
  )+
  SUMIFS(
  'Asset Summary'!$H:$H,
  'Asset Summary'!$A:$A,$D493,
  'Asset Summary'!$B:$B,J$407
  )
)</f>
        <v>0</v>
      </c>
      <c r="K493" s="14">
        <f>0.000001 * SUM(
  SUMIFS(
  'Asset Summary'!$G:$G,
  'Asset Summary'!$A:$A,$D493,
  'Asset Summary'!$B:$B,K$407
  )+
  SUMIFS(
  'Asset Summary'!$H:$H,
  'Asset Summary'!$A:$A,$D493,
  'Asset Summary'!$B:$B,K$407
  )
)</f>
        <v>0</v>
      </c>
      <c r="L493" s="14">
        <f>0.000001 * SUM(
  SUMIFS(
  'Asset Summary'!$G:$G,
  'Asset Summary'!$A:$A,$D493,
  'Asset Summary'!$B:$B,L$407
  )+
  SUMIFS(
  'Asset Summary'!$H:$H,
  'Asset Summary'!$A:$A,$D493,
  'Asset Summary'!$B:$B,L$407
  )
)</f>
        <v>0</v>
      </c>
      <c r="M493" s="14">
        <f>0.000001 * SUM(
  SUMIFS(
  'Asset Summary'!$G:$G,
  'Asset Summary'!$A:$A,$D493,
  'Asset Summary'!$B:$B,M$407
  )+
  SUMIFS(
  'Asset Summary'!$H:$H,
  'Asset Summary'!$A:$A,$D493,
  'Asset Summary'!$B:$B,M$407
  )
)</f>
        <v>0</v>
      </c>
      <c r="N493" s="14">
        <f>0.000001 * SUM(
  SUMIFS(
  'Asset Summary'!$G:$G,
  'Asset Summary'!$A:$A,$D493,
  'Asset Summary'!$B:$B,N$407
  )+
  SUMIFS(
  'Asset Summary'!$H:$H,
  'Asset Summary'!$A:$A,$D493,
  'Asset Summary'!$B:$B,N$407
  )
)</f>
        <v>0</v>
      </c>
      <c r="O493" s="14">
        <f>0.000001 * SUM(
  SUMIFS(
  'Asset Summary'!$G:$G,
  'Asset Summary'!$A:$A,$D493,
  'Asset Summary'!$B:$B,O$407
  )+
  SUMIFS(
  'Asset Summary'!$H:$H,
  'Asset Summary'!$A:$A,$D493,
  'Asset Summary'!$B:$B,O$407
  )
)</f>
        <v>0</v>
      </c>
      <c r="P493" s="14">
        <f>0.000001 * SUM(
  SUMIFS(
  'Asset Summary'!$G:$G,
  'Asset Summary'!$A:$A,$D493,
  'Asset Summary'!$B:$B,P$407
  )+
  SUMIFS(
  'Asset Summary'!$H:$H,
  'Asset Summary'!$A:$A,$D493,
  'Asset Summary'!$B:$B,P$407
  )
)</f>
        <v>0</v>
      </c>
      <c r="Q493" s="14">
        <f>0.000001 * SUM(
  SUMIFS(
  'Asset Summary'!$G:$G,
  'Asset Summary'!$A:$A,$D493,
  'Asset Summary'!$B:$B,Q$407
  )+
  SUMIFS(
  'Asset Summary'!$H:$H,
  'Asset Summary'!$A:$A,$D493,
  'Asset Summary'!$B:$B,Q$407
  )
)</f>
        <v>0</v>
      </c>
      <c r="R493" s="14">
        <f>0.000001 * SUM(
  SUMIFS(
  'Asset Summary'!$G:$G,
  'Asset Summary'!$A:$A,$D493,
  'Asset Summary'!$B:$B,R$407
  )+
  SUMIFS(
  'Asset Summary'!$H:$H,
  'Asset Summary'!$A:$A,$D493,
  'Asset Summary'!$B:$B,R$407
  )
)</f>
        <v>0</v>
      </c>
      <c r="S493" s="14">
        <f>0.000001 * SUM(
  SUMIFS(
  'Asset Summary'!$G:$G,
  'Asset Summary'!$A:$A,$D493,
  'Asset Summary'!$B:$B,S$407
  )+
  SUMIFS(
  'Asset Summary'!$H:$H,
  'Asset Summary'!$A:$A,$D493,
  'Asset Summary'!$B:$B,S$407
  )
)</f>
        <v>0</v>
      </c>
      <c r="T493" s="14">
        <f>0.000001 * SUM(
  SUMIFS(
  'Asset Summary'!$G:$G,
  'Asset Summary'!$A:$A,$D493,
  'Asset Summary'!$B:$B,T$407
  )+
  SUMIFS(
  'Asset Summary'!$H:$H,
  'Asset Summary'!$A:$A,$D493,
  'Asset Summary'!$B:$B,T$407
  )
)</f>
        <v>0</v>
      </c>
      <c r="U493" s="14">
        <f>0.000001 * SUM(
  SUMIFS(
  'Asset Summary'!$G:$G,
  'Asset Summary'!$A:$A,$D493,
  'Asset Summary'!$B:$B,U$407
  )+
  SUMIFS(
  'Asset Summary'!$H:$H,
  'Asset Summary'!$A:$A,$D493,
  'Asset Summary'!$B:$B,U$407
  )
)</f>
        <v>0</v>
      </c>
      <c r="V493" s="14">
        <f>0.000001 * SUM(
  SUMIFS(
  'Asset Summary'!$G:$G,
  'Asset Summary'!$A:$A,$D493,
  'Asset Summary'!$B:$B,V$407
  )+
  SUMIFS(
  'Asset Summary'!$H:$H,
  'Asset Summary'!$A:$A,$D493,
  'Asset Summary'!$B:$B,V$407
  )
)</f>
        <v>0</v>
      </c>
      <c r="W493" s="14">
        <f>0.000001 * SUM(
  SUMIFS(
  'Asset Summary'!$G:$G,
  'Asset Summary'!$A:$A,$D493,
  'Asset Summary'!$B:$B,W$407
  )+
  SUMIFS(
  'Asset Summary'!$H:$H,
  'Asset Summary'!$A:$A,$D493,
  'Asset Summary'!$B:$B,W$407
  )
)</f>
        <v>0</v>
      </c>
      <c r="X493" s="14">
        <f>0.000001 * SUM(
  SUMIFS(
  'Asset Summary'!$G:$G,
  'Asset Summary'!$A:$A,$D493,
  'Asset Summary'!$B:$B,X$407
  )+
  SUMIFS(
  'Asset Summary'!$H:$H,
  'Asset Summary'!$A:$A,$D493,
  'Asset Summary'!$B:$B,X$407
  )
)</f>
        <v>0</v>
      </c>
      <c r="Y493" s="14">
        <f>0.000001 * SUM(
  SUMIFS(
  'Asset Summary'!$G:$G,
  'Asset Summary'!$A:$A,$D493,
  'Asset Summary'!$B:$B,Y$407
  )+
  SUMIFS(
  'Asset Summary'!$H:$H,
  'Asset Summary'!$A:$A,$D493,
  'Asset Summary'!$B:$B,Y$407
  )
)</f>
        <v>0</v>
      </c>
      <c r="Z493" s="14">
        <f>0.000001 * SUM(
  SUMIFS(
  'Asset Summary'!$G:$G,
  'Asset Summary'!$A:$A,$D493,
  'Asset Summary'!$B:$B,Z$407
  )+
  SUMIFS(
  'Asset Summary'!$H:$H,
  'Asset Summary'!$A:$A,$D493,
  'Asset Summary'!$B:$B,Z$407
  )
)</f>
        <v>0</v>
      </c>
      <c r="AA493" s="14">
        <f>0.000001 * SUM(
  SUMIFS(
  'Asset Summary'!$G:$G,
  'Asset Summary'!$A:$A,$D493,
  'Asset Summary'!$B:$B,AA$407
  )+
  SUMIFS(
  'Asset Summary'!$H:$H,
  'Asset Summary'!$A:$A,$D493,
  'Asset Summary'!$B:$B,AA$407
  )
)</f>
        <v>0</v>
      </c>
      <c r="AB493" s="14">
        <f>0.000001 * SUM(
  SUMIFS(
  'Asset Summary'!$G:$G,
  'Asset Summary'!$A:$A,$D493,
  'Asset Summary'!$B:$B,AB$407
  )+
  SUMIFS(
  'Asset Summary'!$H:$H,
  'Asset Summary'!$A:$A,$D493,
  'Asset Summary'!$B:$B,AB$407
  )
)</f>
        <v>0</v>
      </c>
      <c r="AC493" s="14">
        <f>0.000001 * SUM(
  SUMIFS(
  'Asset Summary'!$G:$G,
  'Asset Summary'!$A:$A,$D493,
  'Asset Summary'!$B:$B,AC$407
  )+
  SUMIFS(
  'Asset Summary'!$H:$H,
  'Asset Summary'!$A:$A,$D493,
  'Asset Summary'!$B:$B,AC$407
  )
)</f>
        <v>0</v>
      </c>
      <c r="AD493" s="14">
        <f>0.000001 * SUM(
  SUMIFS(
  'Asset Summary'!$G:$G,
  'Asset Summary'!$A:$A,$D493,
  'Asset Summary'!$B:$B,AD$407
  )+
  SUMIFS(
  'Asset Summary'!$H:$H,
  'Asset Summary'!$A:$A,$D493,
  'Asset Summary'!$B:$B,AD$407
  )
)</f>
        <v>5.4955277579999997</v>
      </c>
      <c r="AF493" s="14">
        <f>0.000001 * SUM(
  SUMIFS(
  'Asset Summary'!$G:$G,
  'Asset Summary'!$A:$A,$D493,
  'Asset Summary'!$B:$B,AF$407
  )+
  SUMIFS(
  'Asset Summary'!$H:$H,
  'Asset Summary'!$A:$A,$D493,
  'Asset Summary'!$B:$B,AF$407
  )
)</f>
        <v>0</v>
      </c>
      <c r="AH493" s="34" t="s">
        <v>422</v>
      </c>
    </row>
    <row r="494" spans="4:34" outlineLevel="1" x14ac:dyDescent="0.2">
      <c r="D494" s="8" t="s">
        <v>279</v>
      </c>
      <c r="E494" s="14">
        <f>0.000001 * SUM(
  SUMIFS(
  'Asset Summary'!$G:$G,
  'Asset Summary'!$A:$A,$D494,
  'Asset Summary'!$B:$B,E$407
  )+
  SUMIFS(
  'Asset Summary'!$H:$H,
  'Asset Summary'!$A:$A,$D494,
  'Asset Summary'!$B:$B,E$407
  )
)</f>
        <v>0</v>
      </c>
      <c r="F494" s="14">
        <f>0.000001 * SUM(
  SUMIFS(
  'Asset Summary'!$G:$G,
  'Asset Summary'!$A:$A,$D494,
  'Asset Summary'!$B:$B,F$407
  )+
  SUMIFS(
  'Asset Summary'!$H:$H,
  'Asset Summary'!$A:$A,$D494,
  'Asset Summary'!$B:$B,F$407
  )
)</f>
        <v>0</v>
      </c>
      <c r="G494" s="14">
        <f>0.000001 * SUM(
  SUMIFS(
  'Asset Summary'!$G:$G,
  'Asset Summary'!$A:$A,$D494,
  'Asset Summary'!$B:$B,G$407
  )+
  SUMIFS(
  'Asset Summary'!$H:$H,
  'Asset Summary'!$A:$A,$D494,
  'Asset Summary'!$B:$B,G$407
  )
)</f>
        <v>0</v>
      </c>
      <c r="H494" s="14">
        <f>0.000001 * SUM(
  SUMIFS(
  'Asset Summary'!$G:$G,
  'Asset Summary'!$A:$A,$D494,
  'Asset Summary'!$B:$B,H$407
  )+
  SUMIFS(
  'Asset Summary'!$H:$H,
  'Asset Summary'!$A:$A,$D494,
  'Asset Summary'!$B:$B,H$407
  )
)</f>
        <v>0</v>
      </c>
      <c r="I494" s="14">
        <f>0.000001 * SUM(
  SUMIFS(
  'Asset Summary'!$G:$G,
  'Asset Summary'!$A:$A,$D494,
  'Asset Summary'!$B:$B,I$407
  )+
  SUMIFS(
  'Asset Summary'!$H:$H,
  'Asset Summary'!$A:$A,$D494,
  'Asset Summary'!$B:$B,I$407
  )
)</f>
        <v>0</v>
      </c>
      <c r="J494" s="14">
        <f>0.000001 * SUM(
  SUMIFS(
  'Asset Summary'!$G:$G,
  'Asset Summary'!$A:$A,$D494,
  'Asset Summary'!$B:$B,J$407
  )+
  SUMIFS(
  'Asset Summary'!$H:$H,
  'Asset Summary'!$A:$A,$D494,
  'Asset Summary'!$B:$B,J$407
  )
)</f>
        <v>0</v>
      </c>
      <c r="K494" s="14">
        <f>0.000001 * SUM(
  SUMIFS(
  'Asset Summary'!$G:$G,
  'Asset Summary'!$A:$A,$D494,
  'Asset Summary'!$B:$B,K$407
  )+
  SUMIFS(
  'Asset Summary'!$H:$H,
  'Asset Summary'!$A:$A,$D494,
  'Asset Summary'!$B:$B,K$407
  )
)</f>
        <v>0</v>
      </c>
      <c r="L494" s="14">
        <f>0.000001 * SUM(
  SUMIFS(
  'Asset Summary'!$G:$G,
  'Asset Summary'!$A:$A,$D494,
  'Asset Summary'!$B:$B,L$407
  )+
  SUMIFS(
  'Asset Summary'!$H:$H,
  'Asset Summary'!$A:$A,$D494,
  'Asset Summary'!$B:$B,L$407
  )
)</f>
        <v>0</v>
      </c>
      <c r="M494" s="14">
        <f>0.000001 * SUM(
  SUMIFS(
  'Asset Summary'!$G:$G,
  'Asset Summary'!$A:$A,$D494,
  'Asset Summary'!$B:$B,M$407
  )+
  SUMIFS(
  'Asset Summary'!$H:$H,
  'Asset Summary'!$A:$A,$D494,
  'Asset Summary'!$B:$B,M$407
  )
)</f>
        <v>0</v>
      </c>
      <c r="N494" s="14">
        <f>0.000001 * SUM(
  SUMIFS(
  'Asset Summary'!$G:$G,
  'Asset Summary'!$A:$A,$D494,
  'Asset Summary'!$B:$B,N$407
  )+
  SUMIFS(
  'Asset Summary'!$H:$H,
  'Asset Summary'!$A:$A,$D494,
  'Asset Summary'!$B:$B,N$407
  )
)</f>
        <v>0</v>
      </c>
      <c r="O494" s="14">
        <f>0.000001 * SUM(
  SUMIFS(
  'Asset Summary'!$G:$G,
  'Asset Summary'!$A:$A,$D494,
  'Asset Summary'!$B:$B,O$407
  )+
  SUMIFS(
  'Asset Summary'!$H:$H,
  'Asset Summary'!$A:$A,$D494,
  'Asset Summary'!$B:$B,O$407
  )
)</f>
        <v>0</v>
      </c>
      <c r="P494" s="14">
        <f>0.000001 * SUM(
  SUMIFS(
  'Asset Summary'!$G:$G,
  'Asset Summary'!$A:$A,$D494,
  'Asset Summary'!$B:$B,P$407
  )+
  SUMIFS(
  'Asset Summary'!$H:$H,
  'Asset Summary'!$A:$A,$D494,
  'Asset Summary'!$B:$B,P$407
  )
)</f>
        <v>0</v>
      </c>
      <c r="Q494" s="14">
        <f>0.000001 * SUM(
  SUMIFS(
  'Asset Summary'!$G:$G,
  'Asset Summary'!$A:$A,$D494,
  'Asset Summary'!$B:$B,Q$407
  )+
  SUMIFS(
  'Asset Summary'!$H:$H,
  'Asset Summary'!$A:$A,$D494,
  'Asset Summary'!$B:$B,Q$407
  )
)</f>
        <v>0</v>
      </c>
      <c r="R494" s="14">
        <f>0.000001 * SUM(
  SUMIFS(
  'Asset Summary'!$G:$G,
  'Asset Summary'!$A:$A,$D494,
  'Asset Summary'!$B:$B,R$407
  )+
  SUMIFS(
  'Asset Summary'!$H:$H,
  'Asset Summary'!$A:$A,$D494,
  'Asset Summary'!$B:$B,R$407
  )
)</f>
        <v>0</v>
      </c>
      <c r="S494" s="14">
        <f>0.000001 * SUM(
  SUMIFS(
  'Asset Summary'!$G:$G,
  'Asset Summary'!$A:$A,$D494,
  'Asset Summary'!$B:$B,S$407
  )+
  SUMIFS(
  'Asset Summary'!$H:$H,
  'Asset Summary'!$A:$A,$D494,
  'Asset Summary'!$B:$B,S$407
  )
)</f>
        <v>0</v>
      </c>
      <c r="T494" s="14">
        <f>0.000001 * SUM(
  SUMIFS(
  'Asset Summary'!$G:$G,
  'Asset Summary'!$A:$A,$D494,
  'Asset Summary'!$B:$B,T$407
  )+
  SUMIFS(
  'Asset Summary'!$H:$H,
  'Asset Summary'!$A:$A,$D494,
  'Asset Summary'!$B:$B,T$407
  )
)</f>
        <v>0</v>
      </c>
      <c r="U494" s="14">
        <f>0.000001 * SUM(
  SUMIFS(
  'Asset Summary'!$G:$G,
  'Asset Summary'!$A:$A,$D494,
  'Asset Summary'!$B:$B,U$407
  )+
  SUMIFS(
  'Asset Summary'!$H:$H,
  'Asset Summary'!$A:$A,$D494,
  'Asset Summary'!$B:$B,U$407
  )
)</f>
        <v>0</v>
      </c>
      <c r="V494" s="14">
        <f>0.000001 * SUM(
  SUMIFS(
  'Asset Summary'!$G:$G,
  'Asset Summary'!$A:$A,$D494,
  'Asset Summary'!$B:$B,V$407
  )+
  SUMIFS(
  'Asset Summary'!$H:$H,
  'Asset Summary'!$A:$A,$D494,
  'Asset Summary'!$B:$B,V$407
  )
)</f>
        <v>0</v>
      </c>
      <c r="W494" s="14">
        <f>0.000001 * SUM(
  SUMIFS(
  'Asset Summary'!$G:$G,
  'Asset Summary'!$A:$A,$D494,
  'Asset Summary'!$B:$B,W$407
  )+
  SUMIFS(
  'Asset Summary'!$H:$H,
  'Asset Summary'!$A:$A,$D494,
  'Asset Summary'!$B:$B,W$407
  )
)</f>
        <v>0</v>
      </c>
      <c r="X494" s="14">
        <f>0.000001 * SUM(
  SUMIFS(
  'Asset Summary'!$G:$G,
  'Asset Summary'!$A:$A,$D494,
  'Asset Summary'!$B:$B,X$407
  )+
  SUMIFS(
  'Asset Summary'!$H:$H,
  'Asset Summary'!$A:$A,$D494,
  'Asset Summary'!$B:$B,X$407
  )
)</f>
        <v>0</v>
      </c>
      <c r="Y494" s="14">
        <f>0.000001 * SUM(
  SUMIFS(
  'Asset Summary'!$G:$G,
  'Asset Summary'!$A:$A,$D494,
  'Asset Summary'!$B:$B,Y$407
  )+
  SUMIFS(
  'Asset Summary'!$H:$H,
  'Asset Summary'!$A:$A,$D494,
  'Asset Summary'!$B:$B,Y$407
  )
)</f>
        <v>0</v>
      </c>
      <c r="Z494" s="14">
        <f>0.000001 * SUM(
  SUMIFS(
  'Asset Summary'!$G:$G,
  'Asset Summary'!$A:$A,$D494,
  'Asset Summary'!$B:$B,Z$407
  )+
  SUMIFS(
  'Asset Summary'!$H:$H,
  'Asset Summary'!$A:$A,$D494,
  'Asset Summary'!$B:$B,Z$407
  )
)</f>
        <v>0</v>
      </c>
      <c r="AA494" s="14">
        <f>0.000001 * SUM(
  SUMIFS(
  'Asset Summary'!$G:$G,
  'Asset Summary'!$A:$A,$D494,
  'Asset Summary'!$B:$B,AA$407
  )+
  SUMIFS(
  'Asset Summary'!$H:$H,
  'Asset Summary'!$A:$A,$D494,
  'Asset Summary'!$B:$B,AA$407
  )
)</f>
        <v>0</v>
      </c>
      <c r="AB494" s="14">
        <f>0.000001 * SUM(
  SUMIFS(
  'Asset Summary'!$G:$G,
  'Asset Summary'!$A:$A,$D494,
  'Asset Summary'!$B:$B,AB$407
  )+
  SUMIFS(
  'Asset Summary'!$H:$H,
  'Asset Summary'!$A:$A,$D494,
  'Asset Summary'!$B:$B,AB$407
  )
)</f>
        <v>0</v>
      </c>
      <c r="AC494" s="14">
        <f>0.000001 * SUM(
  SUMIFS(
  'Asset Summary'!$G:$G,
  'Asset Summary'!$A:$A,$D494,
  'Asset Summary'!$B:$B,AC$407
  )+
  SUMIFS(
  'Asset Summary'!$H:$H,
  'Asset Summary'!$A:$A,$D494,
  'Asset Summary'!$B:$B,AC$407
  )
)</f>
        <v>0</v>
      </c>
      <c r="AD494" s="14">
        <f>0.000001 * SUM(
  SUMIFS(
  'Asset Summary'!$G:$G,
  'Asset Summary'!$A:$A,$D494,
  'Asset Summary'!$B:$B,AD$407
  )+
  SUMIFS(
  'Asset Summary'!$H:$H,
  'Asset Summary'!$A:$A,$D494,
  'Asset Summary'!$B:$B,AD$407
  )
)</f>
        <v>0</v>
      </c>
      <c r="AF494" s="14">
        <f>0.000001 * SUM(
  SUMIFS(
  'Asset Summary'!$G:$G,
  'Asset Summary'!$A:$A,$D494,
  'Asset Summary'!$B:$B,AF$407
  )+
  SUMIFS(
  'Asset Summary'!$H:$H,
  'Asset Summary'!$A:$A,$D494,
  'Asset Summary'!$B:$B,AF$407
  )
)</f>
        <v>0</v>
      </c>
      <c r="AH494" s="34" t="s">
        <v>422</v>
      </c>
    </row>
    <row r="495" spans="4:34" outlineLevel="1" x14ac:dyDescent="0.2">
      <c r="D495" s="8" t="s">
        <v>280</v>
      </c>
      <c r="E495" s="14">
        <f>0.000001 * SUM(
  SUMIFS(
  'Asset Summary'!$G:$G,
  'Asset Summary'!$A:$A,$D495,
  'Asset Summary'!$B:$B,E$407
  )+
  SUMIFS(
  'Asset Summary'!$H:$H,
  'Asset Summary'!$A:$A,$D495,
  'Asset Summary'!$B:$B,E$407
  )
)</f>
        <v>0</v>
      </c>
      <c r="F495" s="14">
        <f>0.000001 * SUM(
  SUMIFS(
  'Asset Summary'!$G:$G,
  'Asset Summary'!$A:$A,$D495,
  'Asset Summary'!$B:$B,F$407
  )+
  SUMIFS(
  'Asset Summary'!$H:$H,
  'Asset Summary'!$A:$A,$D495,
  'Asset Summary'!$B:$B,F$407
  )
)</f>
        <v>0</v>
      </c>
      <c r="G495" s="14">
        <f>0.000001 * SUM(
  SUMIFS(
  'Asset Summary'!$G:$G,
  'Asset Summary'!$A:$A,$D495,
  'Asset Summary'!$B:$B,G$407
  )+
  SUMIFS(
  'Asset Summary'!$H:$H,
  'Asset Summary'!$A:$A,$D495,
  'Asset Summary'!$B:$B,G$407
  )
)</f>
        <v>0</v>
      </c>
      <c r="H495" s="14">
        <f>0.000001 * SUM(
  SUMIFS(
  'Asset Summary'!$G:$G,
  'Asset Summary'!$A:$A,$D495,
  'Asset Summary'!$B:$B,H$407
  )+
  SUMIFS(
  'Asset Summary'!$H:$H,
  'Asset Summary'!$A:$A,$D495,
  'Asset Summary'!$B:$B,H$407
  )
)</f>
        <v>0</v>
      </c>
      <c r="I495" s="14">
        <f>0.000001 * SUM(
  SUMIFS(
  'Asset Summary'!$G:$G,
  'Asset Summary'!$A:$A,$D495,
  'Asset Summary'!$B:$B,I$407
  )+
  SUMIFS(
  'Asset Summary'!$H:$H,
  'Asset Summary'!$A:$A,$D495,
  'Asset Summary'!$B:$B,I$407
  )
)</f>
        <v>0</v>
      </c>
      <c r="J495" s="14">
        <f>0.000001 * SUM(
  SUMIFS(
  'Asset Summary'!$G:$G,
  'Asset Summary'!$A:$A,$D495,
  'Asset Summary'!$B:$B,J$407
  )+
  SUMIFS(
  'Asset Summary'!$H:$H,
  'Asset Summary'!$A:$A,$D495,
  'Asset Summary'!$B:$B,J$407
  )
)</f>
        <v>0</v>
      </c>
      <c r="K495" s="14">
        <f>0.000001 * SUM(
  SUMIFS(
  'Asset Summary'!$G:$G,
  'Asset Summary'!$A:$A,$D495,
  'Asset Summary'!$B:$B,K$407
  )+
  SUMIFS(
  'Asset Summary'!$H:$H,
  'Asset Summary'!$A:$A,$D495,
  'Asset Summary'!$B:$B,K$407
  )
)</f>
        <v>0</v>
      </c>
      <c r="L495" s="14">
        <f>0.000001 * SUM(
  SUMIFS(
  'Asset Summary'!$G:$G,
  'Asset Summary'!$A:$A,$D495,
  'Asset Summary'!$B:$B,L$407
  )+
  SUMIFS(
  'Asset Summary'!$H:$H,
  'Asset Summary'!$A:$A,$D495,
  'Asset Summary'!$B:$B,L$407
  )
)</f>
        <v>0</v>
      </c>
      <c r="M495" s="14">
        <f>0.000001 * SUM(
  SUMIFS(
  'Asset Summary'!$G:$G,
  'Asset Summary'!$A:$A,$D495,
  'Asset Summary'!$B:$B,M$407
  )+
  SUMIFS(
  'Asset Summary'!$H:$H,
  'Asset Summary'!$A:$A,$D495,
  'Asset Summary'!$B:$B,M$407
  )
)</f>
        <v>0</v>
      </c>
      <c r="N495" s="14">
        <f>0.000001 * SUM(
  SUMIFS(
  'Asset Summary'!$G:$G,
  'Asset Summary'!$A:$A,$D495,
  'Asset Summary'!$B:$B,N$407
  )+
  SUMIFS(
  'Asset Summary'!$H:$H,
  'Asset Summary'!$A:$A,$D495,
  'Asset Summary'!$B:$B,N$407
  )
)</f>
        <v>0</v>
      </c>
      <c r="O495" s="14">
        <f>0.000001 * SUM(
  SUMIFS(
  'Asset Summary'!$G:$G,
  'Asset Summary'!$A:$A,$D495,
  'Asset Summary'!$B:$B,O$407
  )+
  SUMIFS(
  'Asset Summary'!$H:$H,
  'Asset Summary'!$A:$A,$D495,
  'Asset Summary'!$B:$B,O$407
  )
)</f>
        <v>0</v>
      </c>
      <c r="P495" s="14">
        <f>0.000001 * SUM(
  SUMIFS(
  'Asset Summary'!$G:$G,
  'Asset Summary'!$A:$A,$D495,
  'Asset Summary'!$B:$B,P$407
  )+
  SUMIFS(
  'Asset Summary'!$H:$H,
  'Asset Summary'!$A:$A,$D495,
  'Asset Summary'!$B:$B,P$407
  )
)</f>
        <v>0</v>
      </c>
      <c r="Q495" s="14">
        <f>0.000001 * SUM(
  SUMIFS(
  'Asset Summary'!$G:$G,
  'Asset Summary'!$A:$A,$D495,
  'Asset Summary'!$B:$B,Q$407
  )+
  SUMIFS(
  'Asset Summary'!$H:$H,
  'Asset Summary'!$A:$A,$D495,
  'Asset Summary'!$B:$B,Q$407
  )
)</f>
        <v>0</v>
      </c>
      <c r="R495" s="14">
        <f>0.000001 * SUM(
  SUMIFS(
  'Asset Summary'!$G:$G,
  'Asset Summary'!$A:$A,$D495,
  'Asset Summary'!$B:$B,R$407
  )+
  SUMIFS(
  'Asset Summary'!$H:$H,
  'Asset Summary'!$A:$A,$D495,
  'Asset Summary'!$B:$B,R$407
  )
)</f>
        <v>0</v>
      </c>
      <c r="S495" s="14">
        <f>0.000001 * SUM(
  SUMIFS(
  'Asset Summary'!$G:$G,
  'Asset Summary'!$A:$A,$D495,
  'Asset Summary'!$B:$B,S$407
  )+
  SUMIFS(
  'Asset Summary'!$H:$H,
  'Asset Summary'!$A:$A,$D495,
  'Asset Summary'!$B:$B,S$407
  )
)</f>
        <v>0</v>
      </c>
      <c r="T495" s="14">
        <f>0.000001 * SUM(
  SUMIFS(
  'Asset Summary'!$G:$G,
  'Asset Summary'!$A:$A,$D495,
  'Asset Summary'!$B:$B,T$407
  )+
  SUMIFS(
  'Asset Summary'!$H:$H,
  'Asset Summary'!$A:$A,$D495,
  'Asset Summary'!$B:$B,T$407
  )
)</f>
        <v>0</v>
      </c>
      <c r="U495" s="14">
        <f>0.000001 * SUM(
  SUMIFS(
  'Asset Summary'!$G:$G,
  'Asset Summary'!$A:$A,$D495,
  'Asset Summary'!$B:$B,U$407
  )+
  SUMIFS(
  'Asset Summary'!$H:$H,
  'Asset Summary'!$A:$A,$D495,
  'Asset Summary'!$B:$B,U$407
  )
)</f>
        <v>0</v>
      </c>
      <c r="V495" s="14">
        <f>0.000001 * SUM(
  SUMIFS(
  'Asset Summary'!$G:$G,
  'Asset Summary'!$A:$A,$D495,
  'Asset Summary'!$B:$B,V$407
  )+
  SUMIFS(
  'Asset Summary'!$H:$H,
  'Asset Summary'!$A:$A,$D495,
  'Asset Summary'!$B:$B,V$407
  )
)</f>
        <v>0</v>
      </c>
      <c r="W495" s="14">
        <f>0.000001 * SUM(
  SUMIFS(
  'Asset Summary'!$G:$G,
  'Asset Summary'!$A:$A,$D495,
  'Asset Summary'!$B:$B,W$407
  )+
  SUMIFS(
  'Asset Summary'!$H:$H,
  'Asset Summary'!$A:$A,$D495,
  'Asset Summary'!$B:$B,W$407
  )
)</f>
        <v>0</v>
      </c>
      <c r="X495" s="14">
        <f>0.000001 * SUM(
  SUMIFS(
  'Asset Summary'!$G:$G,
  'Asset Summary'!$A:$A,$D495,
  'Asset Summary'!$B:$B,X$407
  )+
  SUMIFS(
  'Asset Summary'!$H:$H,
  'Asset Summary'!$A:$A,$D495,
  'Asset Summary'!$B:$B,X$407
  )
)</f>
        <v>0</v>
      </c>
      <c r="Y495" s="14">
        <f>0.000001 * SUM(
  SUMIFS(
  'Asset Summary'!$G:$G,
  'Asset Summary'!$A:$A,$D495,
  'Asset Summary'!$B:$B,Y$407
  )+
  SUMIFS(
  'Asset Summary'!$H:$H,
  'Asset Summary'!$A:$A,$D495,
  'Asset Summary'!$B:$B,Y$407
  )
)</f>
        <v>0</v>
      </c>
      <c r="Z495" s="14">
        <f>0.000001 * SUM(
  SUMIFS(
  'Asset Summary'!$G:$G,
  'Asset Summary'!$A:$A,$D495,
  'Asset Summary'!$B:$B,Z$407
  )+
  SUMIFS(
  'Asset Summary'!$H:$H,
  'Asset Summary'!$A:$A,$D495,
  'Asset Summary'!$B:$B,Z$407
  )
)</f>
        <v>0</v>
      </c>
      <c r="AA495" s="14">
        <f>0.000001 * SUM(
  SUMIFS(
  'Asset Summary'!$G:$G,
  'Asset Summary'!$A:$A,$D495,
  'Asset Summary'!$B:$B,AA$407
  )+
  SUMIFS(
  'Asset Summary'!$H:$H,
  'Asset Summary'!$A:$A,$D495,
  'Asset Summary'!$B:$B,AA$407
  )
)</f>
        <v>0</v>
      </c>
      <c r="AB495" s="14">
        <f>0.000001 * SUM(
  SUMIFS(
  'Asset Summary'!$G:$G,
  'Asset Summary'!$A:$A,$D495,
  'Asset Summary'!$B:$B,AB$407
  )+
  SUMIFS(
  'Asset Summary'!$H:$H,
  'Asset Summary'!$A:$A,$D495,
  'Asset Summary'!$B:$B,AB$407
  )
)</f>
        <v>0</v>
      </c>
      <c r="AC495" s="14">
        <f>0.000001 * SUM(
  SUMIFS(
  'Asset Summary'!$G:$G,
  'Asset Summary'!$A:$A,$D495,
  'Asset Summary'!$B:$B,AC$407
  )+
  SUMIFS(
  'Asset Summary'!$H:$H,
  'Asset Summary'!$A:$A,$D495,
  'Asset Summary'!$B:$B,AC$407
  )
)</f>
        <v>0</v>
      </c>
      <c r="AD495" s="14">
        <f>0.000001 * SUM(
  SUMIFS(
  'Asset Summary'!$G:$G,
  'Asset Summary'!$A:$A,$D495,
  'Asset Summary'!$B:$B,AD$407
  )+
  SUMIFS(
  'Asset Summary'!$H:$H,
  'Asset Summary'!$A:$A,$D495,
  'Asset Summary'!$B:$B,AD$407
  )
)</f>
        <v>2.3098448679999999</v>
      </c>
      <c r="AF495" s="14">
        <f>0.000001 * SUM(
  SUMIFS(
  'Asset Summary'!$G:$G,
  'Asset Summary'!$A:$A,$D495,
  'Asset Summary'!$B:$B,AF$407
  )+
  SUMIFS(
  'Asset Summary'!$H:$H,
  'Asset Summary'!$A:$A,$D495,
  'Asset Summary'!$B:$B,AF$407
  )
)</f>
        <v>0</v>
      </c>
      <c r="AH495" s="34" t="s">
        <v>422</v>
      </c>
    </row>
    <row r="496" spans="4:34" outlineLevel="1" x14ac:dyDescent="0.2">
      <c r="D496" s="8" t="s">
        <v>281</v>
      </c>
      <c r="E496" s="14">
        <f>0.000001 * SUM(
  SUMIFS(
  'Asset Summary'!$G:$G,
  'Asset Summary'!$A:$A,$D496,
  'Asset Summary'!$B:$B,E$407
  )+
  SUMIFS(
  'Asset Summary'!$H:$H,
  'Asset Summary'!$A:$A,$D496,
  'Asset Summary'!$B:$B,E$407
  )
)</f>
        <v>0</v>
      </c>
      <c r="F496" s="14">
        <f>0.000001 * SUM(
  SUMIFS(
  'Asset Summary'!$G:$G,
  'Asset Summary'!$A:$A,$D496,
  'Asset Summary'!$B:$B,F$407
  )+
  SUMIFS(
  'Asset Summary'!$H:$H,
  'Asset Summary'!$A:$A,$D496,
  'Asset Summary'!$B:$B,F$407
  )
)</f>
        <v>0</v>
      </c>
      <c r="G496" s="14">
        <f>0.000001 * SUM(
  SUMIFS(
  'Asset Summary'!$G:$G,
  'Asset Summary'!$A:$A,$D496,
  'Asset Summary'!$B:$B,G$407
  )+
  SUMIFS(
  'Asset Summary'!$H:$H,
  'Asset Summary'!$A:$A,$D496,
  'Asset Summary'!$B:$B,G$407
  )
)</f>
        <v>0</v>
      </c>
      <c r="H496" s="14">
        <f>0.000001 * SUM(
  SUMIFS(
  'Asset Summary'!$G:$G,
  'Asset Summary'!$A:$A,$D496,
  'Asset Summary'!$B:$B,H$407
  )+
  SUMIFS(
  'Asset Summary'!$H:$H,
  'Asset Summary'!$A:$A,$D496,
  'Asset Summary'!$B:$B,H$407
  )
)</f>
        <v>0</v>
      </c>
      <c r="I496" s="14">
        <f>0.000001 * SUM(
  SUMIFS(
  'Asset Summary'!$G:$G,
  'Asset Summary'!$A:$A,$D496,
  'Asset Summary'!$B:$B,I$407
  )+
  SUMIFS(
  'Asset Summary'!$H:$H,
  'Asset Summary'!$A:$A,$D496,
  'Asset Summary'!$B:$B,I$407
  )
)</f>
        <v>0</v>
      </c>
      <c r="J496" s="14">
        <f>0.000001 * SUM(
  SUMIFS(
  'Asset Summary'!$G:$G,
  'Asset Summary'!$A:$A,$D496,
  'Asset Summary'!$B:$B,J$407
  )+
  SUMIFS(
  'Asset Summary'!$H:$H,
  'Asset Summary'!$A:$A,$D496,
  'Asset Summary'!$B:$B,J$407
  )
)</f>
        <v>0</v>
      </c>
      <c r="K496" s="14">
        <f>0.000001 * SUM(
  SUMIFS(
  'Asset Summary'!$G:$G,
  'Asset Summary'!$A:$A,$D496,
  'Asset Summary'!$B:$B,K$407
  )+
  SUMIFS(
  'Asset Summary'!$H:$H,
  'Asset Summary'!$A:$A,$D496,
  'Asset Summary'!$B:$B,K$407
  )
)</f>
        <v>0</v>
      </c>
      <c r="L496" s="14">
        <f>0.000001 * SUM(
  SUMIFS(
  'Asset Summary'!$G:$G,
  'Asset Summary'!$A:$A,$D496,
  'Asset Summary'!$B:$B,L$407
  )+
  SUMIFS(
  'Asset Summary'!$H:$H,
  'Asset Summary'!$A:$A,$D496,
  'Asset Summary'!$B:$B,L$407
  )
)</f>
        <v>0</v>
      </c>
      <c r="M496" s="14">
        <f>0.000001 * SUM(
  SUMIFS(
  'Asset Summary'!$G:$G,
  'Asset Summary'!$A:$A,$D496,
  'Asset Summary'!$B:$B,M$407
  )+
  SUMIFS(
  'Asset Summary'!$H:$H,
  'Asset Summary'!$A:$A,$D496,
  'Asset Summary'!$B:$B,M$407
  )
)</f>
        <v>0</v>
      </c>
      <c r="N496" s="14">
        <f>0.000001 * SUM(
  SUMIFS(
  'Asset Summary'!$G:$G,
  'Asset Summary'!$A:$A,$D496,
  'Asset Summary'!$B:$B,N$407
  )+
  SUMIFS(
  'Asset Summary'!$H:$H,
  'Asset Summary'!$A:$A,$D496,
  'Asset Summary'!$B:$B,N$407
  )
)</f>
        <v>0</v>
      </c>
      <c r="O496" s="14">
        <f>0.000001 * SUM(
  SUMIFS(
  'Asset Summary'!$G:$G,
  'Asset Summary'!$A:$A,$D496,
  'Asset Summary'!$B:$B,O$407
  )+
  SUMIFS(
  'Asset Summary'!$H:$H,
  'Asset Summary'!$A:$A,$D496,
  'Asset Summary'!$B:$B,O$407
  )
)</f>
        <v>0</v>
      </c>
      <c r="P496" s="14">
        <f>0.000001 * SUM(
  SUMIFS(
  'Asset Summary'!$G:$G,
  'Asset Summary'!$A:$A,$D496,
  'Asset Summary'!$B:$B,P$407
  )+
  SUMIFS(
  'Asset Summary'!$H:$H,
  'Asset Summary'!$A:$A,$D496,
  'Asset Summary'!$B:$B,P$407
  )
)</f>
        <v>0</v>
      </c>
      <c r="Q496" s="14">
        <f>0.000001 * SUM(
  SUMIFS(
  'Asset Summary'!$G:$G,
  'Asset Summary'!$A:$A,$D496,
  'Asset Summary'!$B:$B,Q$407
  )+
  SUMIFS(
  'Asset Summary'!$H:$H,
  'Asset Summary'!$A:$A,$D496,
  'Asset Summary'!$B:$B,Q$407
  )
)</f>
        <v>0</v>
      </c>
      <c r="R496" s="14">
        <f>0.000001 * SUM(
  SUMIFS(
  'Asset Summary'!$G:$G,
  'Asset Summary'!$A:$A,$D496,
  'Asset Summary'!$B:$B,R$407
  )+
  SUMIFS(
  'Asset Summary'!$H:$H,
  'Asset Summary'!$A:$A,$D496,
  'Asset Summary'!$B:$B,R$407
  )
)</f>
        <v>0</v>
      </c>
      <c r="S496" s="14">
        <f>0.000001 * SUM(
  SUMIFS(
  'Asset Summary'!$G:$G,
  'Asset Summary'!$A:$A,$D496,
  'Asset Summary'!$B:$B,S$407
  )+
  SUMIFS(
  'Asset Summary'!$H:$H,
  'Asset Summary'!$A:$A,$D496,
  'Asset Summary'!$B:$B,S$407
  )
)</f>
        <v>0</v>
      </c>
      <c r="T496" s="14">
        <f>0.000001 * SUM(
  SUMIFS(
  'Asset Summary'!$G:$G,
  'Asset Summary'!$A:$A,$D496,
  'Asset Summary'!$B:$B,T$407
  )+
  SUMIFS(
  'Asset Summary'!$H:$H,
  'Asset Summary'!$A:$A,$D496,
  'Asset Summary'!$B:$B,T$407
  )
)</f>
        <v>0</v>
      </c>
      <c r="U496" s="14">
        <f>0.000001 * SUM(
  SUMIFS(
  'Asset Summary'!$G:$G,
  'Asset Summary'!$A:$A,$D496,
  'Asset Summary'!$B:$B,U$407
  )+
  SUMIFS(
  'Asset Summary'!$H:$H,
  'Asset Summary'!$A:$A,$D496,
  'Asset Summary'!$B:$B,U$407
  )
)</f>
        <v>0</v>
      </c>
      <c r="V496" s="14">
        <f>0.000001 * SUM(
  SUMIFS(
  'Asset Summary'!$G:$G,
  'Asset Summary'!$A:$A,$D496,
  'Asset Summary'!$B:$B,V$407
  )+
  SUMIFS(
  'Asset Summary'!$H:$H,
  'Asset Summary'!$A:$A,$D496,
  'Asset Summary'!$B:$B,V$407
  )
)</f>
        <v>0</v>
      </c>
      <c r="W496" s="14">
        <f>0.000001 * SUM(
  SUMIFS(
  'Asset Summary'!$G:$G,
  'Asset Summary'!$A:$A,$D496,
  'Asset Summary'!$B:$B,W$407
  )+
  SUMIFS(
  'Asset Summary'!$H:$H,
  'Asset Summary'!$A:$A,$D496,
  'Asset Summary'!$B:$B,W$407
  )
)</f>
        <v>0</v>
      </c>
      <c r="X496" s="14">
        <f>0.000001 * SUM(
  SUMIFS(
  'Asset Summary'!$G:$G,
  'Asset Summary'!$A:$A,$D496,
  'Asset Summary'!$B:$B,X$407
  )+
  SUMIFS(
  'Asset Summary'!$H:$H,
  'Asset Summary'!$A:$A,$D496,
  'Asset Summary'!$B:$B,X$407
  )
)</f>
        <v>0</v>
      </c>
      <c r="Y496" s="14">
        <f>0.000001 * SUM(
  SUMIFS(
  'Asset Summary'!$G:$G,
  'Asset Summary'!$A:$A,$D496,
  'Asset Summary'!$B:$B,Y$407
  )+
  SUMIFS(
  'Asset Summary'!$H:$H,
  'Asset Summary'!$A:$A,$D496,
  'Asset Summary'!$B:$B,Y$407
  )
)</f>
        <v>0</v>
      </c>
      <c r="Z496" s="14">
        <f>0.000001 * SUM(
  SUMIFS(
  'Asset Summary'!$G:$G,
  'Asset Summary'!$A:$A,$D496,
  'Asset Summary'!$B:$B,Z$407
  )+
  SUMIFS(
  'Asset Summary'!$H:$H,
  'Asset Summary'!$A:$A,$D496,
  'Asset Summary'!$B:$B,Z$407
  )
)</f>
        <v>0</v>
      </c>
      <c r="AA496" s="14">
        <f>0.000001 * SUM(
  SUMIFS(
  'Asset Summary'!$G:$G,
  'Asset Summary'!$A:$A,$D496,
  'Asset Summary'!$B:$B,AA$407
  )+
  SUMIFS(
  'Asset Summary'!$H:$H,
  'Asset Summary'!$A:$A,$D496,
  'Asset Summary'!$B:$B,AA$407
  )
)</f>
        <v>0</v>
      </c>
      <c r="AB496" s="14">
        <f>0.000001 * SUM(
  SUMIFS(
  'Asset Summary'!$G:$G,
  'Asset Summary'!$A:$A,$D496,
  'Asset Summary'!$B:$B,AB$407
  )+
  SUMIFS(
  'Asset Summary'!$H:$H,
  'Asset Summary'!$A:$A,$D496,
  'Asset Summary'!$B:$B,AB$407
  )
)</f>
        <v>0</v>
      </c>
      <c r="AC496" s="14">
        <f>0.000001 * SUM(
  SUMIFS(
  'Asset Summary'!$G:$G,
  'Asset Summary'!$A:$A,$D496,
  'Asset Summary'!$B:$B,AC$407
  )+
  SUMIFS(
  'Asset Summary'!$H:$H,
  'Asset Summary'!$A:$A,$D496,
  'Asset Summary'!$B:$B,AC$407
  )
)</f>
        <v>0</v>
      </c>
      <c r="AD496" s="14">
        <f>0.000001 * SUM(
  SUMIFS(
  'Asset Summary'!$G:$G,
  'Asset Summary'!$A:$A,$D496,
  'Asset Summary'!$B:$B,AD$407
  )+
  SUMIFS(
  'Asset Summary'!$H:$H,
  'Asset Summary'!$A:$A,$D496,
  'Asset Summary'!$B:$B,AD$407
  )
)</f>
        <v>0</v>
      </c>
      <c r="AF496" s="14">
        <f>0.000001 * SUM(
  SUMIFS(
  'Asset Summary'!$G:$G,
  'Asset Summary'!$A:$A,$D496,
  'Asset Summary'!$B:$B,AF$407
  )+
  SUMIFS(
  'Asset Summary'!$H:$H,
  'Asset Summary'!$A:$A,$D496,
  'Asset Summary'!$B:$B,AF$407
  )
)</f>
        <v>0</v>
      </c>
      <c r="AH496" s="34" t="s">
        <v>422</v>
      </c>
    </row>
    <row r="497" spans="3:34" outlineLevel="1" x14ac:dyDescent="0.2">
      <c r="D497" s="8" t="s">
        <v>282</v>
      </c>
      <c r="E497" s="14">
        <f>0.000001 * SUM(
  SUMIFS(
  'Asset Summary'!$G:$G,
  'Asset Summary'!$A:$A,$D497,
  'Asset Summary'!$B:$B,E$407
  )+
  SUMIFS(
  'Asset Summary'!$H:$H,
  'Asset Summary'!$A:$A,$D497,
  'Asset Summary'!$B:$B,E$407
  )
)</f>
        <v>0</v>
      </c>
      <c r="F497" s="14">
        <f>0.000001 * SUM(
  SUMIFS(
  'Asset Summary'!$G:$G,
  'Asset Summary'!$A:$A,$D497,
  'Asset Summary'!$B:$B,F$407
  )+
  SUMIFS(
  'Asset Summary'!$H:$H,
  'Asset Summary'!$A:$A,$D497,
  'Asset Summary'!$B:$B,F$407
  )
)</f>
        <v>0</v>
      </c>
      <c r="G497" s="14">
        <f>0.000001 * SUM(
  SUMIFS(
  'Asset Summary'!$G:$G,
  'Asset Summary'!$A:$A,$D497,
  'Asset Summary'!$B:$B,G$407
  )+
  SUMIFS(
  'Asset Summary'!$H:$H,
  'Asset Summary'!$A:$A,$D497,
  'Asset Summary'!$B:$B,G$407
  )
)</f>
        <v>0</v>
      </c>
      <c r="H497" s="14">
        <f>0.000001 * SUM(
  SUMIFS(
  'Asset Summary'!$G:$G,
  'Asset Summary'!$A:$A,$D497,
  'Asset Summary'!$B:$B,H$407
  )+
  SUMIFS(
  'Asset Summary'!$H:$H,
  'Asset Summary'!$A:$A,$D497,
  'Asset Summary'!$B:$B,H$407
  )
)</f>
        <v>0</v>
      </c>
      <c r="I497" s="14">
        <f>0.000001 * SUM(
  SUMIFS(
  'Asset Summary'!$G:$G,
  'Asset Summary'!$A:$A,$D497,
  'Asset Summary'!$B:$B,I$407
  )+
  SUMIFS(
  'Asset Summary'!$H:$H,
  'Asset Summary'!$A:$A,$D497,
  'Asset Summary'!$B:$B,I$407
  )
)</f>
        <v>0</v>
      </c>
      <c r="J497" s="14">
        <f>0.000001 * SUM(
  SUMIFS(
  'Asset Summary'!$G:$G,
  'Asset Summary'!$A:$A,$D497,
  'Asset Summary'!$B:$B,J$407
  )+
  SUMIFS(
  'Asset Summary'!$H:$H,
  'Asset Summary'!$A:$A,$D497,
  'Asset Summary'!$B:$B,J$407
  )
)</f>
        <v>0</v>
      </c>
      <c r="K497" s="14">
        <f>0.000001 * SUM(
  SUMIFS(
  'Asset Summary'!$G:$G,
  'Asset Summary'!$A:$A,$D497,
  'Asset Summary'!$B:$B,K$407
  )+
  SUMIFS(
  'Asset Summary'!$H:$H,
  'Asset Summary'!$A:$A,$D497,
  'Asset Summary'!$B:$B,K$407
  )
)</f>
        <v>0</v>
      </c>
      <c r="L497" s="14">
        <f>0.000001 * SUM(
  SUMIFS(
  'Asset Summary'!$G:$G,
  'Asset Summary'!$A:$A,$D497,
  'Asset Summary'!$B:$B,L$407
  )+
  SUMIFS(
  'Asset Summary'!$H:$H,
  'Asset Summary'!$A:$A,$D497,
  'Asset Summary'!$B:$B,L$407
  )
)</f>
        <v>0</v>
      </c>
      <c r="M497" s="14">
        <f>0.000001 * SUM(
  SUMIFS(
  'Asset Summary'!$G:$G,
  'Asset Summary'!$A:$A,$D497,
  'Asset Summary'!$B:$B,M$407
  )+
  SUMIFS(
  'Asset Summary'!$H:$H,
  'Asset Summary'!$A:$A,$D497,
  'Asset Summary'!$B:$B,M$407
  )
)</f>
        <v>0</v>
      </c>
      <c r="N497" s="14">
        <f>0.000001 * SUM(
  SUMIFS(
  'Asset Summary'!$G:$G,
  'Asset Summary'!$A:$A,$D497,
  'Asset Summary'!$B:$B,N$407
  )+
  SUMIFS(
  'Asset Summary'!$H:$H,
  'Asset Summary'!$A:$A,$D497,
  'Asset Summary'!$B:$B,N$407
  )
)</f>
        <v>0</v>
      </c>
      <c r="O497" s="14">
        <f>0.000001 * SUM(
  SUMIFS(
  'Asset Summary'!$G:$G,
  'Asset Summary'!$A:$A,$D497,
  'Asset Summary'!$B:$B,O$407
  )+
  SUMIFS(
  'Asset Summary'!$H:$H,
  'Asset Summary'!$A:$A,$D497,
  'Asset Summary'!$B:$B,O$407
  )
)</f>
        <v>0</v>
      </c>
      <c r="P497" s="14">
        <f>0.000001 * SUM(
  SUMIFS(
  'Asset Summary'!$G:$G,
  'Asset Summary'!$A:$A,$D497,
  'Asset Summary'!$B:$B,P$407
  )+
  SUMIFS(
  'Asset Summary'!$H:$H,
  'Asset Summary'!$A:$A,$D497,
  'Asset Summary'!$B:$B,P$407
  )
)</f>
        <v>0</v>
      </c>
      <c r="Q497" s="14">
        <f>0.000001 * SUM(
  SUMIFS(
  'Asset Summary'!$G:$G,
  'Asset Summary'!$A:$A,$D497,
  'Asset Summary'!$B:$B,Q$407
  )+
  SUMIFS(
  'Asset Summary'!$H:$H,
  'Asset Summary'!$A:$A,$D497,
  'Asset Summary'!$B:$B,Q$407
  )
)</f>
        <v>0</v>
      </c>
      <c r="R497" s="14">
        <f>0.000001 * SUM(
  SUMIFS(
  'Asset Summary'!$G:$G,
  'Asset Summary'!$A:$A,$D497,
  'Asset Summary'!$B:$B,R$407
  )+
  SUMIFS(
  'Asset Summary'!$H:$H,
  'Asset Summary'!$A:$A,$D497,
  'Asset Summary'!$B:$B,R$407
  )
)</f>
        <v>0</v>
      </c>
      <c r="S497" s="14">
        <f>0.000001 * SUM(
  SUMIFS(
  'Asset Summary'!$G:$G,
  'Asset Summary'!$A:$A,$D497,
  'Asset Summary'!$B:$B,S$407
  )+
  SUMIFS(
  'Asset Summary'!$H:$H,
  'Asset Summary'!$A:$A,$D497,
  'Asset Summary'!$B:$B,S$407
  )
)</f>
        <v>0</v>
      </c>
      <c r="T497" s="14">
        <f>0.000001 * SUM(
  SUMIFS(
  'Asset Summary'!$G:$G,
  'Asset Summary'!$A:$A,$D497,
  'Asset Summary'!$B:$B,T$407
  )+
  SUMIFS(
  'Asset Summary'!$H:$H,
  'Asset Summary'!$A:$A,$D497,
  'Asset Summary'!$B:$B,T$407
  )
)</f>
        <v>0</v>
      </c>
      <c r="U497" s="14">
        <f>0.000001 * SUM(
  SUMIFS(
  'Asset Summary'!$G:$G,
  'Asset Summary'!$A:$A,$D497,
  'Asset Summary'!$B:$B,U$407
  )+
  SUMIFS(
  'Asset Summary'!$H:$H,
  'Asset Summary'!$A:$A,$D497,
  'Asset Summary'!$B:$B,U$407
  )
)</f>
        <v>0</v>
      </c>
      <c r="V497" s="14">
        <f>0.000001 * SUM(
  SUMIFS(
  'Asset Summary'!$G:$G,
  'Asset Summary'!$A:$A,$D497,
  'Asset Summary'!$B:$B,V$407
  )+
  SUMIFS(
  'Asset Summary'!$H:$H,
  'Asset Summary'!$A:$A,$D497,
  'Asset Summary'!$B:$B,V$407
  )
)</f>
        <v>0</v>
      </c>
      <c r="W497" s="14">
        <f>0.000001 * SUM(
  SUMIFS(
  'Asset Summary'!$G:$G,
  'Asset Summary'!$A:$A,$D497,
  'Asset Summary'!$B:$B,W$407
  )+
  SUMIFS(
  'Asset Summary'!$H:$H,
  'Asset Summary'!$A:$A,$D497,
  'Asset Summary'!$B:$B,W$407
  )
)</f>
        <v>0</v>
      </c>
      <c r="X497" s="14">
        <f>0.000001 * SUM(
  SUMIFS(
  'Asset Summary'!$G:$G,
  'Asset Summary'!$A:$A,$D497,
  'Asset Summary'!$B:$B,X$407
  )+
  SUMIFS(
  'Asset Summary'!$H:$H,
  'Asset Summary'!$A:$A,$D497,
  'Asset Summary'!$B:$B,X$407
  )
)</f>
        <v>0</v>
      </c>
      <c r="Y497" s="14">
        <f>0.000001 * SUM(
  SUMIFS(
  'Asset Summary'!$G:$G,
  'Asset Summary'!$A:$A,$D497,
  'Asset Summary'!$B:$B,Y$407
  )+
  SUMIFS(
  'Asset Summary'!$H:$H,
  'Asset Summary'!$A:$A,$D497,
  'Asset Summary'!$B:$B,Y$407
  )
)</f>
        <v>0</v>
      </c>
      <c r="Z497" s="14">
        <f>0.000001 * SUM(
  SUMIFS(
  'Asset Summary'!$G:$G,
  'Asset Summary'!$A:$A,$D497,
  'Asset Summary'!$B:$B,Z$407
  )+
  SUMIFS(
  'Asset Summary'!$H:$H,
  'Asset Summary'!$A:$A,$D497,
  'Asset Summary'!$B:$B,Z$407
  )
)</f>
        <v>0</v>
      </c>
      <c r="AA497" s="14">
        <f>0.000001 * SUM(
  SUMIFS(
  'Asset Summary'!$G:$G,
  'Asset Summary'!$A:$A,$D497,
  'Asset Summary'!$B:$B,AA$407
  )+
  SUMIFS(
  'Asset Summary'!$H:$H,
  'Asset Summary'!$A:$A,$D497,
  'Asset Summary'!$B:$B,AA$407
  )
)</f>
        <v>0</v>
      </c>
      <c r="AB497" s="14">
        <f>0.000001 * SUM(
  SUMIFS(
  'Asset Summary'!$G:$G,
  'Asset Summary'!$A:$A,$D497,
  'Asset Summary'!$B:$B,AB$407
  )+
  SUMIFS(
  'Asset Summary'!$H:$H,
  'Asset Summary'!$A:$A,$D497,
  'Asset Summary'!$B:$B,AB$407
  )
)</f>
        <v>0</v>
      </c>
      <c r="AC497" s="14">
        <f>0.000001 * SUM(
  SUMIFS(
  'Asset Summary'!$G:$G,
  'Asset Summary'!$A:$A,$D497,
  'Asset Summary'!$B:$B,AC$407
  )+
  SUMIFS(
  'Asset Summary'!$H:$H,
  'Asset Summary'!$A:$A,$D497,
  'Asset Summary'!$B:$B,AC$407
  )
)</f>
        <v>0</v>
      </c>
      <c r="AD497" s="14">
        <f>0.000001 * SUM(
  SUMIFS(
  'Asset Summary'!$G:$G,
  'Asset Summary'!$A:$A,$D497,
  'Asset Summary'!$B:$B,AD$407
  )+
  SUMIFS(
  'Asset Summary'!$H:$H,
  'Asset Summary'!$A:$A,$D497,
  'Asset Summary'!$B:$B,AD$407
  )
)</f>
        <v>0</v>
      </c>
      <c r="AF497" s="14">
        <f>0.000001 * SUM(
  SUMIFS(
  'Asset Summary'!$G:$G,
  'Asset Summary'!$A:$A,$D497,
  'Asset Summary'!$B:$B,AF$407
  )+
  SUMIFS(
  'Asset Summary'!$H:$H,
  'Asset Summary'!$A:$A,$D497,
  'Asset Summary'!$B:$B,AF$407
  )
)</f>
        <v>0</v>
      </c>
      <c r="AH497" s="34" t="s">
        <v>422</v>
      </c>
    </row>
    <row r="498" spans="3:34" outlineLevel="1" x14ac:dyDescent="0.2">
      <c r="D498" s="8" t="s">
        <v>283</v>
      </c>
      <c r="E498" s="14">
        <f>0.000001 * SUM(
  SUMIFS(
  'Asset Summary'!$G:$G,
  'Asset Summary'!$A:$A,$D498,
  'Asset Summary'!$B:$B,E$407
  )+
  SUMIFS(
  'Asset Summary'!$H:$H,
  'Asset Summary'!$A:$A,$D498,
  'Asset Summary'!$B:$B,E$407
  )
)</f>
        <v>0</v>
      </c>
      <c r="F498" s="14">
        <f>0.000001 * SUM(
  SUMIFS(
  'Asset Summary'!$G:$G,
  'Asset Summary'!$A:$A,$D498,
  'Asset Summary'!$B:$B,F$407
  )+
  SUMIFS(
  'Asset Summary'!$H:$H,
  'Asset Summary'!$A:$A,$D498,
  'Asset Summary'!$B:$B,F$407
  )
)</f>
        <v>0</v>
      </c>
      <c r="G498" s="14">
        <f>0.000001 * SUM(
  SUMIFS(
  'Asset Summary'!$G:$G,
  'Asset Summary'!$A:$A,$D498,
  'Asset Summary'!$B:$B,G$407
  )+
  SUMIFS(
  'Asset Summary'!$H:$H,
  'Asset Summary'!$A:$A,$D498,
  'Asset Summary'!$B:$B,G$407
  )
)</f>
        <v>0</v>
      </c>
      <c r="H498" s="14">
        <f>0.000001 * SUM(
  SUMIFS(
  'Asset Summary'!$G:$G,
  'Asset Summary'!$A:$A,$D498,
  'Asset Summary'!$B:$B,H$407
  )+
  SUMIFS(
  'Asset Summary'!$H:$H,
  'Asset Summary'!$A:$A,$D498,
  'Asset Summary'!$B:$B,H$407
  )
)</f>
        <v>0</v>
      </c>
      <c r="I498" s="14">
        <f>0.000001 * SUM(
  SUMIFS(
  'Asset Summary'!$G:$G,
  'Asset Summary'!$A:$A,$D498,
  'Asset Summary'!$B:$B,I$407
  )+
  SUMIFS(
  'Asset Summary'!$H:$H,
  'Asset Summary'!$A:$A,$D498,
  'Asset Summary'!$B:$B,I$407
  )
)</f>
        <v>0</v>
      </c>
      <c r="J498" s="14">
        <f>0.000001 * SUM(
  SUMIFS(
  'Asset Summary'!$G:$G,
  'Asset Summary'!$A:$A,$D498,
  'Asset Summary'!$B:$B,J$407
  )+
  SUMIFS(
  'Asset Summary'!$H:$H,
  'Asset Summary'!$A:$A,$D498,
  'Asset Summary'!$B:$B,J$407
  )
)</f>
        <v>0</v>
      </c>
      <c r="K498" s="14">
        <f>0.000001 * SUM(
  SUMIFS(
  'Asset Summary'!$G:$G,
  'Asset Summary'!$A:$A,$D498,
  'Asset Summary'!$B:$B,K$407
  )+
  SUMIFS(
  'Asset Summary'!$H:$H,
  'Asset Summary'!$A:$A,$D498,
  'Asset Summary'!$B:$B,K$407
  )
)</f>
        <v>0</v>
      </c>
      <c r="L498" s="14">
        <f>0.000001 * SUM(
  SUMIFS(
  'Asset Summary'!$G:$G,
  'Asset Summary'!$A:$A,$D498,
  'Asset Summary'!$B:$B,L$407
  )+
  SUMIFS(
  'Asset Summary'!$H:$H,
  'Asset Summary'!$A:$A,$D498,
  'Asset Summary'!$B:$B,L$407
  )
)</f>
        <v>0</v>
      </c>
      <c r="M498" s="14">
        <f>0.000001 * SUM(
  SUMIFS(
  'Asset Summary'!$G:$G,
  'Asset Summary'!$A:$A,$D498,
  'Asset Summary'!$B:$B,M$407
  )+
  SUMIFS(
  'Asset Summary'!$H:$H,
  'Asset Summary'!$A:$A,$D498,
  'Asset Summary'!$B:$B,M$407
  )
)</f>
        <v>0</v>
      </c>
      <c r="N498" s="14">
        <f>0.000001 * SUM(
  SUMIFS(
  'Asset Summary'!$G:$G,
  'Asset Summary'!$A:$A,$D498,
  'Asset Summary'!$B:$B,N$407
  )+
  SUMIFS(
  'Asset Summary'!$H:$H,
  'Asset Summary'!$A:$A,$D498,
  'Asset Summary'!$B:$B,N$407
  )
)</f>
        <v>0</v>
      </c>
      <c r="O498" s="14">
        <f>0.000001 * SUM(
  SUMIFS(
  'Asset Summary'!$G:$G,
  'Asset Summary'!$A:$A,$D498,
  'Asset Summary'!$B:$B,O$407
  )+
  SUMIFS(
  'Asset Summary'!$H:$H,
  'Asset Summary'!$A:$A,$D498,
  'Asset Summary'!$B:$B,O$407
  )
)</f>
        <v>0</v>
      </c>
      <c r="P498" s="14">
        <f>0.000001 * SUM(
  SUMIFS(
  'Asset Summary'!$G:$G,
  'Asset Summary'!$A:$A,$D498,
  'Asset Summary'!$B:$B,P$407
  )+
  SUMIFS(
  'Asset Summary'!$H:$H,
  'Asset Summary'!$A:$A,$D498,
  'Asset Summary'!$B:$B,P$407
  )
)</f>
        <v>0</v>
      </c>
      <c r="Q498" s="14">
        <f>0.000001 * SUM(
  SUMIFS(
  'Asset Summary'!$G:$G,
  'Asset Summary'!$A:$A,$D498,
  'Asset Summary'!$B:$B,Q$407
  )+
  SUMIFS(
  'Asset Summary'!$H:$H,
  'Asset Summary'!$A:$A,$D498,
  'Asset Summary'!$B:$B,Q$407
  )
)</f>
        <v>0</v>
      </c>
      <c r="R498" s="14">
        <f>0.000001 * SUM(
  SUMIFS(
  'Asset Summary'!$G:$G,
  'Asset Summary'!$A:$A,$D498,
  'Asset Summary'!$B:$B,R$407
  )+
  SUMIFS(
  'Asset Summary'!$H:$H,
  'Asset Summary'!$A:$A,$D498,
  'Asset Summary'!$B:$B,R$407
  )
)</f>
        <v>0</v>
      </c>
      <c r="S498" s="14">
        <f>0.000001 * SUM(
  SUMIFS(
  'Asset Summary'!$G:$G,
  'Asset Summary'!$A:$A,$D498,
  'Asset Summary'!$B:$B,S$407
  )+
  SUMIFS(
  'Asset Summary'!$H:$H,
  'Asset Summary'!$A:$A,$D498,
  'Asset Summary'!$B:$B,S$407
  )
)</f>
        <v>0</v>
      </c>
      <c r="T498" s="14">
        <f>0.000001 * SUM(
  SUMIFS(
  'Asset Summary'!$G:$G,
  'Asset Summary'!$A:$A,$D498,
  'Asset Summary'!$B:$B,T$407
  )+
  SUMIFS(
  'Asset Summary'!$H:$H,
  'Asset Summary'!$A:$A,$D498,
  'Asset Summary'!$B:$B,T$407
  )
)</f>
        <v>0</v>
      </c>
      <c r="U498" s="14">
        <f>0.000001 * SUM(
  SUMIFS(
  'Asset Summary'!$G:$G,
  'Asset Summary'!$A:$A,$D498,
  'Asset Summary'!$B:$B,U$407
  )+
  SUMIFS(
  'Asset Summary'!$H:$H,
  'Asset Summary'!$A:$A,$D498,
  'Asset Summary'!$B:$B,U$407
  )
)</f>
        <v>0</v>
      </c>
      <c r="V498" s="14">
        <f>0.000001 * SUM(
  SUMIFS(
  'Asset Summary'!$G:$G,
  'Asset Summary'!$A:$A,$D498,
  'Asset Summary'!$B:$B,V$407
  )+
  SUMIFS(
  'Asset Summary'!$H:$H,
  'Asset Summary'!$A:$A,$D498,
  'Asset Summary'!$B:$B,V$407
  )
)</f>
        <v>0</v>
      </c>
      <c r="W498" s="14">
        <f>0.000001 * SUM(
  SUMIFS(
  'Asset Summary'!$G:$G,
  'Asset Summary'!$A:$A,$D498,
  'Asset Summary'!$B:$B,W$407
  )+
  SUMIFS(
  'Asset Summary'!$H:$H,
  'Asset Summary'!$A:$A,$D498,
  'Asset Summary'!$B:$B,W$407
  )
)</f>
        <v>0</v>
      </c>
      <c r="X498" s="14">
        <f>0.000001 * SUM(
  SUMIFS(
  'Asset Summary'!$G:$G,
  'Asset Summary'!$A:$A,$D498,
  'Asset Summary'!$B:$B,X$407
  )+
  SUMIFS(
  'Asset Summary'!$H:$H,
  'Asset Summary'!$A:$A,$D498,
  'Asset Summary'!$B:$B,X$407
  )
)</f>
        <v>0</v>
      </c>
      <c r="Y498" s="14">
        <f>0.000001 * SUM(
  SUMIFS(
  'Asset Summary'!$G:$G,
  'Asset Summary'!$A:$A,$D498,
  'Asset Summary'!$B:$B,Y$407
  )+
  SUMIFS(
  'Asset Summary'!$H:$H,
  'Asset Summary'!$A:$A,$D498,
  'Asset Summary'!$B:$B,Y$407
  )
)</f>
        <v>0</v>
      </c>
      <c r="Z498" s="14">
        <f>0.000001 * SUM(
  SUMIFS(
  'Asset Summary'!$G:$G,
  'Asset Summary'!$A:$A,$D498,
  'Asset Summary'!$B:$B,Z$407
  )+
  SUMIFS(
  'Asset Summary'!$H:$H,
  'Asset Summary'!$A:$A,$D498,
  'Asset Summary'!$B:$B,Z$407
  )
)</f>
        <v>0</v>
      </c>
      <c r="AA498" s="14">
        <f>0.000001 * SUM(
  SUMIFS(
  'Asset Summary'!$G:$G,
  'Asset Summary'!$A:$A,$D498,
  'Asset Summary'!$B:$B,AA$407
  )+
  SUMIFS(
  'Asset Summary'!$H:$H,
  'Asset Summary'!$A:$A,$D498,
  'Asset Summary'!$B:$B,AA$407
  )
)</f>
        <v>0</v>
      </c>
      <c r="AB498" s="14">
        <f>0.000001 * SUM(
  SUMIFS(
  'Asset Summary'!$G:$G,
  'Asset Summary'!$A:$A,$D498,
  'Asset Summary'!$B:$B,AB$407
  )+
  SUMIFS(
  'Asset Summary'!$H:$H,
  'Asset Summary'!$A:$A,$D498,
  'Asset Summary'!$B:$B,AB$407
  )
)</f>
        <v>0</v>
      </c>
      <c r="AC498" s="14">
        <f>0.000001 * SUM(
  SUMIFS(
  'Asset Summary'!$G:$G,
  'Asset Summary'!$A:$A,$D498,
  'Asset Summary'!$B:$B,AC$407
  )+
  SUMIFS(
  'Asset Summary'!$H:$H,
  'Asset Summary'!$A:$A,$D498,
  'Asset Summary'!$B:$B,AC$407
  )
)</f>
        <v>0</v>
      </c>
      <c r="AD498" s="14">
        <f>0.000001 * SUM(
  SUMIFS(
  'Asset Summary'!$G:$G,
  'Asset Summary'!$A:$A,$D498,
  'Asset Summary'!$B:$B,AD$407
  )+
  SUMIFS(
  'Asset Summary'!$H:$H,
  'Asset Summary'!$A:$A,$D498,
  'Asset Summary'!$B:$B,AD$407
  )
)</f>
        <v>1.2841407899999999</v>
      </c>
      <c r="AF498" s="14">
        <f>0.000001 * SUM(
  SUMIFS(
  'Asset Summary'!$G:$G,
  'Asset Summary'!$A:$A,$D498,
  'Asset Summary'!$B:$B,AF$407
  )+
  SUMIFS(
  'Asset Summary'!$H:$H,
  'Asset Summary'!$A:$A,$D498,
  'Asset Summary'!$B:$B,AF$407
  )
)</f>
        <v>0</v>
      </c>
      <c r="AH498" s="34" t="s">
        <v>422</v>
      </c>
    </row>
    <row r="499" spans="3:34" outlineLevel="1" x14ac:dyDescent="0.2">
      <c r="D499" s="8" t="s">
        <v>284</v>
      </c>
      <c r="E499" s="14">
        <f>0.000001 * SUM(
  SUMIFS(
  'Asset Summary'!$G:$G,
  'Asset Summary'!$A:$A,$D499,
  'Asset Summary'!$B:$B,E$407
  )+
  SUMIFS(
  'Asset Summary'!$H:$H,
  'Asset Summary'!$A:$A,$D499,
  'Asset Summary'!$B:$B,E$407
  )
)</f>
        <v>0</v>
      </c>
      <c r="F499" s="14">
        <f>0.000001 * SUM(
  SUMIFS(
  'Asset Summary'!$G:$G,
  'Asset Summary'!$A:$A,$D499,
  'Asset Summary'!$B:$B,F$407
  )+
  SUMIFS(
  'Asset Summary'!$H:$H,
  'Asset Summary'!$A:$A,$D499,
  'Asset Summary'!$B:$B,F$407
  )
)</f>
        <v>0</v>
      </c>
      <c r="G499" s="14">
        <f>0.000001 * SUM(
  SUMIFS(
  'Asset Summary'!$G:$G,
  'Asset Summary'!$A:$A,$D499,
  'Asset Summary'!$B:$B,G$407
  )+
  SUMIFS(
  'Asset Summary'!$H:$H,
  'Asset Summary'!$A:$A,$D499,
  'Asset Summary'!$B:$B,G$407
  )
)</f>
        <v>0</v>
      </c>
      <c r="H499" s="14">
        <f>0.000001 * SUM(
  SUMIFS(
  'Asset Summary'!$G:$G,
  'Asset Summary'!$A:$A,$D499,
  'Asset Summary'!$B:$B,H$407
  )+
  SUMIFS(
  'Asset Summary'!$H:$H,
  'Asset Summary'!$A:$A,$D499,
  'Asset Summary'!$B:$B,H$407
  )
)</f>
        <v>0</v>
      </c>
      <c r="I499" s="14">
        <f>0.000001 * SUM(
  SUMIFS(
  'Asset Summary'!$G:$G,
  'Asset Summary'!$A:$A,$D499,
  'Asset Summary'!$B:$B,I$407
  )+
  SUMIFS(
  'Asset Summary'!$H:$H,
  'Asset Summary'!$A:$A,$D499,
  'Asset Summary'!$B:$B,I$407
  )
)</f>
        <v>0</v>
      </c>
      <c r="J499" s="14">
        <f>0.000001 * SUM(
  SUMIFS(
  'Asset Summary'!$G:$G,
  'Asset Summary'!$A:$A,$D499,
  'Asset Summary'!$B:$B,J$407
  )+
  SUMIFS(
  'Asset Summary'!$H:$H,
  'Asset Summary'!$A:$A,$D499,
  'Asset Summary'!$B:$B,J$407
  )
)</f>
        <v>0</v>
      </c>
      <c r="K499" s="14">
        <f>0.000001 * SUM(
  SUMIFS(
  'Asset Summary'!$G:$G,
  'Asset Summary'!$A:$A,$D499,
  'Asset Summary'!$B:$B,K$407
  )+
  SUMIFS(
  'Asset Summary'!$H:$H,
  'Asset Summary'!$A:$A,$D499,
  'Asset Summary'!$B:$B,K$407
  )
)</f>
        <v>0</v>
      </c>
      <c r="L499" s="14">
        <f>0.000001 * SUM(
  SUMIFS(
  'Asset Summary'!$G:$G,
  'Asset Summary'!$A:$A,$D499,
  'Asset Summary'!$B:$B,L$407
  )+
  SUMIFS(
  'Asset Summary'!$H:$H,
  'Asset Summary'!$A:$A,$D499,
  'Asset Summary'!$B:$B,L$407
  )
)</f>
        <v>0</v>
      </c>
      <c r="M499" s="14">
        <f>0.000001 * SUM(
  SUMIFS(
  'Asset Summary'!$G:$G,
  'Asset Summary'!$A:$A,$D499,
  'Asset Summary'!$B:$B,M$407
  )+
  SUMIFS(
  'Asset Summary'!$H:$H,
  'Asset Summary'!$A:$A,$D499,
  'Asset Summary'!$B:$B,M$407
  )
)</f>
        <v>0</v>
      </c>
      <c r="N499" s="14">
        <f>0.000001 * SUM(
  SUMIFS(
  'Asset Summary'!$G:$G,
  'Asset Summary'!$A:$A,$D499,
  'Asset Summary'!$B:$B,N$407
  )+
  SUMIFS(
  'Asset Summary'!$H:$H,
  'Asset Summary'!$A:$A,$D499,
  'Asset Summary'!$B:$B,N$407
  )
)</f>
        <v>0</v>
      </c>
      <c r="O499" s="14">
        <f>0.000001 * SUM(
  SUMIFS(
  'Asset Summary'!$G:$G,
  'Asset Summary'!$A:$A,$D499,
  'Asset Summary'!$B:$B,O$407
  )+
  SUMIFS(
  'Asset Summary'!$H:$H,
  'Asset Summary'!$A:$A,$D499,
  'Asset Summary'!$B:$B,O$407
  )
)</f>
        <v>0</v>
      </c>
      <c r="P499" s="14">
        <f>0.000001 * SUM(
  SUMIFS(
  'Asset Summary'!$G:$G,
  'Asset Summary'!$A:$A,$D499,
  'Asset Summary'!$B:$B,P$407
  )+
  SUMIFS(
  'Asset Summary'!$H:$H,
  'Asset Summary'!$A:$A,$D499,
  'Asset Summary'!$B:$B,P$407
  )
)</f>
        <v>0</v>
      </c>
      <c r="Q499" s="14">
        <f>0.000001 * SUM(
  SUMIFS(
  'Asset Summary'!$G:$G,
  'Asset Summary'!$A:$A,$D499,
  'Asset Summary'!$B:$B,Q$407
  )+
  SUMIFS(
  'Asset Summary'!$H:$H,
  'Asset Summary'!$A:$A,$D499,
  'Asset Summary'!$B:$B,Q$407
  )
)</f>
        <v>0</v>
      </c>
      <c r="R499" s="14">
        <f>0.000001 * SUM(
  SUMIFS(
  'Asset Summary'!$G:$G,
  'Asset Summary'!$A:$A,$D499,
  'Asset Summary'!$B:$B,R$407
  )+
  SUMIFS(
  'Asset Summary'!$H:$H,
  'Asset Summary'!$A:$A,$D499,
  'Asset Summary'!$B:$B,R$407
  )
)</f>
        <v>0</v>
      </c>
      <c r="S499" s="14">
        <f>0.000001 * SUM(
  SUMIFS(
  'Asset Summary'!$G:$G,
  'Asset Summary'!$A:$A,$D499,
  'Asset Summary'!$B:$B,S$407
  )+
  SUMIFS(
  'Asset Summary'!$H:$H,
  'Asset Summary'!$A:$A,$D499,
  'Asset Summary'!$B:$B,S$407
  )
)</f>
        <v>0</v>
      </c>
      <c r="T499" s="14">
        <f>0.000001 * SUM(
  SUMIFS(
  'Asset Summary'!$G:$G,
  'Asset Summary'!$A:$A,$D499,
  'Asset Summary'!$B:$B,T$407
  )+
  SUMIFS(
  'Asset Summary'!$H:$H,
  'Asset Summary'!$A:$A,$D499,
  'Asset Summary'!$B:$B,T$407
  )
)</f>
        <v>0</v>
      </c>
      <c r="U499" s="14">
        <f>0.000001 * SUM(
  SUMIFS(
  'Asset Summary'!$G:$G,
  'Asset Summary'!$A:$A,$D499,
  'Asset Summary'!$B:$B,U$407
  )+
  SUMIFS(
  'Asset Summary'!$H:$H,
  'Asset Summary'!$A:$A,$D499,
  'Asset Summary'!$B:$B,U$407
  )
)</f>
        <v>0</v>
      </c>
      <c r="V499" s="14">
        <f>0.000001 * SUM(
  SUMIFS(
  'Asset Summary'!$G:$G,
  'Asset Summary'!$A:$A,$D499,
  'Asset Summary'!$B:$B,V$407
  )+
  SUMIFS(
  'Asset Summary'!$H:$H,
  'Asset Summary'!$A:$A,$D499,
  'Asset Summary'!$B:$B,V$407
  )
)</f>
        <v>0</v>
      </c>
      <c r="W499" s="14">
        <f>0.000001 * SUM(
  SUMIFS(
  'Asset Summary'!$G:$G,
  'Asset Summary'!$A:$A,$D499,
  'Asset Summary'!$B:$B,W$407
  )+
  SUMIFS(
  'Asset Summary'!$H:$H,
  'Asset Summary'!$A:$A,$D499,
  'Asset Summary'!$B:$B,W$407
  )
)</f>
        <v>0</v>
      </c>
      <c r="X499" s="14">
        <f>0.000001 * SUM(
  SUMIFS(
  'Asset Summary'!$G:$G,
  'Asset Summary'!$A:$A,$D499,
  'Asset Summary'!$B:$B,X$407
  )+
  SUMIFS(
  'Asset Summary'!$H:$H,
  'Asset Summary'!$A:$A,$D499,
  'Asset Summary'!$B:$B,X$407
  )
)</f>
        <v>0</v>
      </c>
      <c r="Y499" s="14">
        <f>0.000001 * SUM(
  SUMIFS(
  'Asset Summary'!$G:$G,
  'Asset Summary'!$A:$A,$D499,
  'Asset Summary'!$B:$B,Y$407
  )+
  SUMIFS(
  'Asset Summary'!$H:$H,
  'Asset Summary'!$A:$A,$D499,
  'Asset Summary'!$B:$B,Y$407
  )
)</f>
        <v>0</v>
      </c>
      <c r="Z499" s="14">
        <f>0.000001 * SUM(
  SUMIFS(
  'Asset Summary'!$G:$G,
  'Asset Summary'!$A:$A,$D499,
  'Asset Summary'!$B:$B,Z$407
  )+
  SUMIFS(
  'Asset Summary'!$H:$H,
  'Asset Summary'!$A:$A,$D499,
  'Asset Summary'!$B:$B,Z$407
  )
)</f>
        <v>0</v>
      </c>
      <c r="AA499" s="14">
        <f>0.000001 * SUM(
  SUMIFS(
  'Asset Summary'!$G:$G,
  'Asset Summary'!$A:$A,$D499,
  'Asset Summary'!$B:$B,AA$407
  )+
  SUMIFS(
  'Asset Summary'!$H:$H,
  'Asset Summary'!$A:$A,$D499,
  'Asset Summary'!$B:$B,AA$407
  )
)</f>
        <v>0</v>
      </c>
      <c r="AB499" s="14">
        <f>0.000001 * SUM(
  SUMIFS(
  'Asset Summary'!$G:$G,
  'Asset Summary'!$A:$A,$D499,
  'Asset Summary'!$B:$B,AB$407
  )+
  SUMIFS(
  'Asset Summary'!$H:$H,
  'Asset Summary'!$A:$A,$D499,
  'Asset Summary'!$B:$B,AB$407
  )
)</f>
        <v>0</v>
      </c>
      <c r="AC499" s="14">
        <f>0.000001 * SUM(
  SUMIFS(
  'Asset Summary'!$G:$G,
  'Asset Summary'!$A:$A,$D499,
  'Asset Summary'!$B:$B,AC$407
  )+
  SUMIFS(
  'Asset Summary'!$H:$H,
  'Asset Summary'!$A:$A,$D499,
  'Asset Summary'!$B:$B,AC$407
  )
)</f>
        <v>0</v>
      </c>
      <c r="AD499" s="14">
        <f>0.000001 * SUM(
  SUMIFS(
  'Asset Summary'!$G:$G,
  'Asset Summary'!$A:$A,$D499,
  'Asset Summary'!$B:$B,AD$407
  )+
  SUMIFS(
  'Asset Summary'!$H:$H,
  'Asset Summary'!$A:$A,$D499,
  'Asset Summary'!$B:$B,AD$407
  )
)</f>
        <v>0</v>
      </c>
      <c r="AF499" s="14">
        <f>0.000001 * SUM(
  SUMIFS(
  'Asset Summary'!$G:$G,
  'Asset Summary'!$A:$A,$D499,
  'Asset Summary'!$B:$B,AF$407
  )+
  SUMIFS(
  'Asset Summary'!$H:$H,
  'Asset Summary'!$A:$A,$D499,
  'Asset Summary'!$B:$B,AF$407
  )
)</f>
        <v>0</v>
      </c>
      <c r="AH499" s="34" t="s">
        <v>422</v>
      </c>
    </row>
    <row r="500" spans="3:34" ht="12.6" outlineLevel="1" thickBot="1" x14ac:dyDescent="0.25">
      <c r="D500" s="9" t="s">
        <v>139</v>
      </c>
      <c r="E500" s="13">
        <f t="shared" ref="E500" si="591">SUM(E472:E499)</f>
        <v>0</v>
      </c>
      <c r="F500" s="13">
        <f t="shared" ref="F500" si="592">SUM(F472:F499)</f>
        <v>0</v>
      </c>
      <c r="G500" s="13">
        <f t="shared" ref="G500" si="593">SUM(G472:G499)</f>
        <v>0</v>
      </c>
      <c r="H500" s="13">
        <f t="shared" ref="H500" si="594">SUM(H472:H499)</f>
        <v>0</v>
      </c>
      <c r="I500" s="13">
        <f t="shared" ref="I500" si="595">SUM(I472:I499)</f>
        <v>0</v>
      </c>
      <c r="J500" s="13">
        <f t="shared" ref="J500" si="596">SUM(J472:J499)</f>
        <v>0</v>
      </c>
      <c r="K500" s="13">
        <f t="shared" ref="K500" si="597">SUM(K472:K499)</f>
        <v>0</v>
      </c>
      <c r="L500" s="13">
        <f t="shared" ref="L500" si="598">SUM(L472:L499)</f>
        <v>0</v>
      </c>
      <c r="M500" s="13">
        <f t="shared" ref="M500" si="599">SUM(M472:M499)</f>
        <v>0</v>
      </c>
      <c r="N500" s="13">
        <f t="shared" ref="N500" si="600">SUM(N472:N499)</f>
        <v>0</v>
      </c>
      <c r="O500" s="13">
        <f t="shared" ref="O500" si="601">SUM(O472:O499)</f>
        <v>0</v>
      </c>
      <c r="P500" s="13">
        <f t="shared" ref="P500" si="602">SUM(P472:P499)</f>
        <v>0</v>
      </c>
      <c r="Q500" s="13">
        <f t="shared" ref="Q500" si="603">SUM(Q472:Q499)</f>
        <v>0</v>
      </c>
      <c r="R500" s="13">
        <f t="shared" ref="R500" si="604">SUM(R472:R499)</f>
        <v>0</v>
      </c>
      <c r="S500" s="13">
        <f t="shared" ref="S500" si="605">SUM(S472:S499)</f>
        <v>0</v>
      </c>
      <c r="T500" s="13">
        <f t="shared" ref="T500" si="606">SUM(T472:T499)</f>
        <v>0</v>
      </c>
      <c r="U500" s="13">
        <f t="shared" ref="U500" si="607">SUM(U472:U499)</f>
        <v>0</v>
      </c>
      <c r="V500" s="13">
        <f t="shared" ref="V500" si="608">SUM(V472:V499)</f>
        <v>0</v>
      </c>
      <c r="W500" s="13">
        <f t="shared" ref="W500" si="609">SUM(W472:W499)</f>
        <v>0</v>
      </c>
      <c r="X500" s="13">
        <f t="shared" ref="X500" si="610">SUM(X472:X499)</f>
        <v>0</v>
      </c>
      <c r="Y500" s="13">
        <f t="shared" ref="Y500" si="611">SUM(Y472:Y499)</f>
        <v>0</v>
      </c>
      <c r="Z500" s="13">
        <f t="shared" ref="Z500" si="612">SUM(Z472:Z499)</f>
        <v>0</v>
      </c>
      <c r="AA500" s="13">
        <f t="shared" ref="AA500" si="613">SUM(AA472:AA499)</f>
        <v>0</v>
      </c>
      <c r="AB500" s="13">
        <f t="shared" ref="AB500" si="614">SUM(AB472:AB499)</f>
        <v>0</v>
      </c>
      <c r="AC500" s="13">
        <f t="shared" ref="AC500" si="615">SUM(AC472:AC499)</f>
        <v>0</v>
      </c>
      <c r="AD500" s="13">
        <f t="shared" ref="AD500:AF500" si="616">SUM(AD472:AD499)</f>
        <v>30.997630233999995</v>
      </c>
      <c r="AF500" s="13">
        <f t="shared" si="616"/>
        <v>0</v>
      </c>
      <c r="AH500" s="34" t="s">
        <v>422</v>
      </c>
    </row>
    <row r="501" spans="3:34" ht="12" outlineLevel="1" thickTop="1" x14ac:dyDescent="0.2">
      <c r="AH501" s="34" t="s">
        <v>422</v>
      </c>
    </row>
    <row r="502" spans="3:34" ht="17.399999999999999" outlineLevel="1" thickBot="1" x14ac:dyDescent="0.25">
      <c r="C502" s="12" t="s">
        <v>311</v>
      </c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  <c r="AA502" s="12"/>
      <c r="AB502" s="12"/>
      <c r="AC502" s="12"/>
      <c r="AD502" s="12"/>
      <c r="AE502" s="12"/>
      <c r="AF502" s="12"/>
      <c r="AH502" s="34" t="s">
        <v>422</v>
      </c>
    </row>
    <row r="503" spans="3:34" outlineLevel="2" x14ac:dyDescent="0.2">
      <c r="D503" s="15" t="s">
        <v>315</v>
      </c>
      <c r="AH503" s="34" t="s">
        <v>422</v>
      </c>
    </row>
    <row r="504" spans="3:34" ht="13.2" outlineLevel="2" x14ac:dyDescent="0.2">
      <c r="E504" s="2" t="s">
        <v>312</v>
      </c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H504" s="34" t="s">
        <v>422</v>
      </c>
    </row>
    <row r="505" spans="3:34" outlineLevel="2" x14ac:dyDescent="0.2">
      <c r="E505" s="7">
        <v>43831</v>
      </c>
      <c r="F505" s="7">
        <f t="shared" ref="F505" si="617">EDATE(E505,12)</f>
        <v>44197</v>
      </c>
      <c r="G505" s="7">
        <f t="shared" ref="G505" si="618">EDATE(F505,12)</f>
        <v>44562</v>
      </c>
      <c r="H505" s="7">
        <f t="shared" ref="H505" si="619">EDATE(G505,12)</f>
        <v>44927</v>
      </c>
      <c r="I505" s="7">
        <f t="shared" ref="I505" si="620">EDATE(H505,12)</f>
        <v>45292</v>
      </c>
      <c r="J505" s="7">
        <f t="shared" ref="J505" si="621">EDATE(I505,12)</f>
        <v>45658</v>
      </c>
      <c r="K505" s="7">
        <f t="shared" ref="K505" si="622">EDATE(J505,12)</f>
        <v>46023</v>
      </c>
      <c r="L505" s="7">
        <f t="shared" ref="L505" si="623">EDATE(K505,12)</f>
        <v>46388</v>
      </c>
      <c r="M505" s="7">
        <f t="shared" ref="M505" si="624">EDATE(L505,12)</f>
        <v>46753</v>
      </c>
      <c r="N505" s="7">
        <f t="shared" ref="N505" si="625">EDATE(M505,12)</f>
        <v>47119</v>
      </c>
      <c r="O505" s="7">
        <f t="shared" ref="O505" si="626">EDATE(N505,12)</f>
        <v>47484</v>
      </c>
      <c r="P505" s="7">
        <f t="shared" ref="P505" si="627">EDATE(O505,12)</f>
        <v>47849</v>
      </c>
      <c r="Q505" s="7">
        <f t="shared" ref="Q505" si="628">EDATE(P505,12)</f>
        <v>48214</v>
      </c>
      <c r="R505" s="7">
        <f t="shared" ref="R505" si="629">EDATE(Q505,12)</f>
        <v>48580</v>
      </c>
      <c r="S505" s="7">
        <f t="shared" ref="S505" si="630">EDATE(R505,12)</f>
        <v>48945</v>
      </c>
      <c r="T505" s="7">
        <f t="shared" ref="T505" si="631">EDATE(S505,12)</f>
        <v>49310</v>
      </c>
      <c r="U505" s="7">
        <f t="shared" ref="U505" si="632">EDATE(T505,12)</f>
        <v>49675</v>
      </c>
      <c r="V505" s="7">
        <f t="shared" ref="V505" si="633">EDATE(U505,12)</f>
        <v>50041</v>
      </c>
      <c r="W505" s="7">
        <f t="shared" ref="W505" si="634">EDATE(V505,12)</f>
        <v>50406</v>
      </c>
      <c r="X505" s="7">
        <f t="shared" ref="X505" si="635">EDATE(W505,12)</f>
        <v>50771</v>
      </c>
      <c r="Y505" s="7">
        <f t="shared" ref="Y505" si="636">EDATE(X505,12)</f>
        <v>51136</v>
      </c>
      <c r="Z505" s="7">
        <f t="shared" ref="Z505" si="637">EDATE(Y505,12)</f>
        <v>51502</v>
      </c>
      <c r="AA505" s="7">
        <f t="shared" ref="AA505" si="638">EDATE(Z505,12)</f>
        <v>51867</v>
      </c>
      <c r="AB505" s="7">
        <f t="shared" ref="AB505" si="639">EDATE(AA505,12)</f>
        <v>52232</v>
      </c>
      <c r="AC505" s="7">
        <f t="shared" ref="AC505" si="640">EDATE(AB505,12)</f>
        <v>52597</v>
      </c>
      <c r="AD505" s="7">
        <f>EDATE(AC505,12)</f>
        <v>52963</v>
      </c>
      <c r="AH505" s="34" t="s">
        <v>422</v>
      </c>
    </row>
    <row r="506" spans="3:34" outlineLevel="2" x14ac:dyDescent="0.2">
      <c r="D506" s="8" t="s">
        <v>257</v>
      </c>
      <c r="E506" s="10">
        <f t="shared" ref="E506:AD506" si="641">E538+E602</f>
        <v>0</v>
      </c>
      <c r="F506" s="10">
        <f t="shared" si="641"/>
        <v>0</v>
      </c>
      <c r="G506" s="10">
        <f t="shared" si="641"/>
        <v>0</v>
      </c>
      <c r="H506" s="10">
        <f t="shared" si="641"/>
        <v>0</v>
      </c>
      <c r="I506" s="10">
        <f t="shared" si="641"/>
        <v>0</v>
      </c>
      <c r="J506" s="10">
        <f t="shared" si="641"/>
        <v>0</v>
      </c>
      <c r="K506" s="10">
        <f t="shared" si="641"/>
        <v>0</v>
      </c>
      <c r="L506" s="10">
        <f t="shared" si="641"/>
        <v>0</v>
      </c>
      <c r="M506" s="10">
        <f t="shared" si="641"/>
        <v>0</v>
      </c>
      <c r="N506" s="10">
        <f t="shared" si="641"/>
        <v>0</v>
      </c>
      <c r="O506" s="10">
        <f t="shared" si="641"/>
        <v>0</v>
      </c>
      <c r="P506" s="10">
        <f t="shared" si="641"/>
        <v>0</v>
      </c>
      <c r="Q506" s="10">
        <f t="shared" si="641"/>
        <v>0</v>
      </c>
      <c r="R506" s="10">
        <f t="shared" si="641"/>
        <v>0</v>
      </c>
      <c r="S506" s="10">
        <f t="shared" si="641"/>
        <v>0</v>
      </c>
      <c r="T506" s="10">
        <f t="shared" si="641"/>
        <v>0</v>
      </c>
      <c r="U506" s="10">
        <f t="shared" si="641"/>
        <v>0</v>
      </c>
      <c r="V506" s="10">
        <f t="shared" si="641"/>
        <v>0</v>
      </c>
      <c r="W506" s="10">
        <f t="shared" si="641"/>
        <v>0</v>
      </c>
      <c r="X506" s="10">
        <f t="shared" si="641"/>
        <v>0</v>
      </c>
      <c r="Y506" s="10">
        <f t="shared" si="641"/>
        <v>0</v>
      </c>
      <c r="Z506" s="10">
        <f t="shared" si="641"/>
        <v>0</v>
      </c>
      <c r="AA506" s="10">
        <f t="shared" si="641"/>
        <v>0</v>
      </c>
      <c r="AB506" s="10">
        <f t="shared" si="641"/>
        <v>0</v>
      </c>
      <c r="AC506" s="10">
        <f t="shared" si="641"/>
        <v>0</v>
      </c>
      <c r="AD506" s="10">
        <f t="shared" si="641"/>
        <v>1490</v>
      </c>
      <c r="AH506" s="34" t="s">
        <v>422</v>
      </c>
    </row>
    <row r="507" spans="3:34" outlineLevel="2" x14ac:dyDescent="0.2">
      <c r="D507" s="8" t="s">
        <v>258</v>
      </c>
      <c r="E507" s="10">
        <f t="shared" ref="E507:AD507" si="642">E539+E603</f>
        <v>0</v>
      </c>
      <c r="F507" s="10">
        <f t="shared" si="642"/>
        <v>0</v>
      </c>
      <c r="G507" s="10">
        <f t="shared" si="642"/>
        <v>0</v>
      </c>
      <c r="H507" s="10">
        <f t="shared" si="642"/>
        <v>0</v>
      </c>
      <c r="I507" s="10">
        <f t="shared" si="642"/>
        <v>0</v>
      </c>
      <c r="J507" s="10">
        <f t="shared" si="642"/>
        <v>0</v>
      </c>
      <c r="K507" s="10">
        <f t="shared" si="642"/>
        <v>0</v>
      </c>
      <c r="L507" s="10">
        <f t="shared" si="642"/>
        <v>0</v>
      </c>
      <c r="M507" s="10">
        <f t="shared" si="642"/>
        <v>0</v>
      </c>
      <c r="N507" s="10">
        <f t="shared" si="642"/>
        <v>0</v>
      </c>
      <c r="O507" s="10">
        <f t="shared" si="642"/>
        <v>0</v>
      </c>
      <c r="P507" s="10">
        <f t="shared" si="642"/>
        <v>0</v>
      </c>
      <c r="Q507" s="10">
        <f t="shared" si="642"/>
        <v>0</v>
      </c>
      <c r="R507" s="10">
        <f t="shared" si="642"/>
        <v>0</v>
      </c>
      <c r="S507" s="10">
        <f t="shared" si="642"/>
        <v>0</v>
      </c>
      <c r="T507" s="10">
        <f t="shared" si="642"/>
        <v>0</v>
      </c>
      <c r="U507" s="10">
        <f t="shared" si="642"/>
        <v>0</v>
      </c>
      <c r="V507" s="10">
        <f t="shared" si="642"/>
        <v>0</v>
      </c>
      <c r="W507" s="10">
        <f t="shared" si="642"/>
        <v>0</v>
      </c>
      <c r="X507" s="10">
        <f t="shared" si="642"/>
        <v>0</v>
      </c>
      <c r="Y507" s="10">
        <f t="shared" si="642"/>
        <v>0</v>
      </c>
      <c r="Z507" s="10">
        <f t="shared" si="642"/>
        <v>0</v>
      </c>
      <c r="AA507" s="10">
        <f t="shared" si="642"/>
        <v>0</v>
      </c>
      <c r="AB507" s="10">
        <f t="shared" si="642"/>
        <v>0</v>
      </c>
      <c r="AC507" s="10">
        <f t="shared" si="642"/>
        <v>0</v>
      </c>
      <c r="AD507" s="10">
        <f t="shared" si="642"/>
        <v>1895.4</v>
      </c>
      <c r="AH507" s="34" t="s">
        <v>422</v>
      </c>
    </row>
    <row r="508" spans="3:34" outlineLevel="2" x14ac:dyDescent="0.2">
      <c r="D508" s="8" t="s">
        <v>259</v>
      </c>
      <c r="E508" s="10">
        <f t="shared" ref="E508:AD508" si="643">E540+E604</f>
        <v>0</v>
      </c>
      <c r="F508" s="10">
        <f t="shared" si="643"/>
        <v>0</v>
      </c>
      <c r="G508" s="10">
        <f t="shared" si="643"/>
        <v>0</v>
      </c>
      <c r="H508" s="10">
        <f t="shared" si="643"/>
        <v>0</v>
      </c>
      <c r="I508" s="10">
        <f t="shared" si="643"/>
        <v>0</v>
      </c>
      <c r="J508" s="10">
        <f t="shared" si="643"/>
        <v>0</v>
      </c>
      <c r="K508" s="10">
        <f t="shared" si="643"/>
        <v>0</v>
      </c>
      <c r="L508" s="10">
        <f t="shared" si="643"/>
        <v>0</v>
      </c>
      <c r="M508" s="10">
        <f t="shared" si="643"/>
        <v>0</v>
      </c>
      <c r="N508" s="10">
        <f t="shared" si="643"/>
        <v>0</v>
      </c>
      <c r="O508" s="10">
        <f t="shared" si="643"/>
        <v>0</v>
      </c>
      <c r="P508" s="10">
        <f t="shared" si="643"/>
        <v>0</v>
      </c>
      <c r="Q508" s="10">
        <f t="shared" si="643"/>
        <v>0</v>
      </c>
      <c r="R508" s="10">
        <f t="shared" si="643"/>
        <v>0</v>
      </c>
      <c r="S508" s="10">
        <f t="shared" si="643"/>
        <v>0</v>
      </c>
      <c r="T508" s="10">
        <f t="shared" si="643"/>
        <v>0</v>
      </c>
      <c r="U508" s="10">
        <f t="shared" si="643"/>
        <v>0</v>
      </c>
      <c r="V508" s="10">
        <f t="shared" si="643"/>
        <v>0</v>
      </c>
      <c r="W508" s="10">
        <f t="shared" si="643"/>
        <v>0</v>
      </c>
      <c r="X508" s="10">
        <f t="shared" si="643"/>
        <v>0</v>
      </c>
      <c r="Y508" s="10">
        <f t="shared" si="643"/>
        <v>0</v>
      </c>
      <c r="Z508" s="10">
        <f t="shared" si="643"/>
        <v>0</v>
      </c>
      <c r="AA508" s="10">
        <f t="shared" si="643"/>
        <v>0</v>
      </c>
      <c r="AB508" s="10">
        <f t="shared" si="643"/>
        <v>0</v>
      </c>
      <c r="AC508" s="10">
        <f t="shared" si="643"/>
        <v>0</v>
      </c>
      <c r="AD508" s="10">
        <f t="shared" si="643"/>
        <v>908</v>
      </c>
      <c r="AH508" s="34" t="s">
        <v>422</v>
      </c>
    </row>
    <row r="509" spans="3:34" outlineLevel="2" x14ac:dyDescent="0.2">
      <c r="D509" s="8" t="s">
        <v>260</v>
      </c>
      <c r="E509" s="10">
        <f t="shared" ref="E509:AD509" si="644">E541+E605</f>
        <v>0</v>
      </c>
      <c r="F509" s="10">
        <f t="shared" si="644"/>
        <v>0</v>
      </c>
      <c r="G509" s="10">
        <f t="shared" si="644"/>
        <v>0</v>
      </c>
      <c r="H509" s="10">
        <f t="shared" si="644"/>
        <v>0</v>
      </c>
      <c r="I509" s="10">
        <f t="shared" si="644"/>
        <v>0</v>
      </c>
      <c r="J509" s="10">
        <f t="shared" si="644"/>
        <v>0</v>
      </c>
      <c r="K509" s="10">
        <f t="shared" si="644"/>
        <v>0</v>
      </c>
      <c r="L509" s="10">
        <f t="shared" si="644"/>
        <v>0</v>
      </c>
      <c r="M509" s="10">
        <f t="shared" si="644"/>
        <v>0</v>
      </c>
      <c r="N509" s="10">
        <f t="shared" si="644"/>
        <v>0</v>
      </c>
      <c r="O509" s="10">
        <f t="shared" si="644"/>
        <v>0</v>
      </c>
      <c r="P509" s="10">
        <f t="shared" si="644"/>
        <v>0</v>
      </c>
      <c r="Q509" s="10">
        <f t="shared" si="644"/>
        <v>0</v>
      </c>
      <c r="R509" s="10">
        <f t="shared" si="644"/>
        <v>0</v>
      </c>
      <c r="S509" s="10">
        <f t="shared" si="644"/>
        <v>0</v>
      </c>
      <c r="T509" s="10">
        <f t="shared" si="644"/>
        <v>0</v>
      </c>
      <c r="U509" s="10">
        <f t="shared" si="644"/>
        <v>0</v>
      </c>
      <c r="V509" s="10">
        <f t="shared" si="644"/>
        <v>0</v>
      </c>
      <c r="W509" s="10">
        <f t="shared" si="644"/>
        <v>0</v>
      </c>
      <c r="X509" s="10">
        <f t="shared" si="644"/>
        <v>0</v>
      </c>
      <c r="Y509" s="10">
        <f t="shared" si="644"/>
        <v>0</v>
      </c>
      <c r="Z509" s="10">
        <f t="shared" si="644"/>
        <v>0</v>
      </c>
      <c r="AA509" s="10">
        <f t="shared" si="644"/>
        <v>0</v>
      </c>
      <c r="AB509" s="10">
        <f t="shared" si="644"/>
        <v>0</v>
      </c>
      <c r="AC509" s="10">
        <f t="shared" si="644"/>
        <v>0</v>
      </c>
      <c r="AD509" s="10">
        <f t="shared" si="644"/>
        <v>5826.4995413720007</v>
      </c>
      <c r="AH509" s="34" t="s">
        <v>422</v>
      </c>
    </row>
    <row r="510" spans="3:34" outlineLevel="2" x14ac:dyDescent="0.2">
      <c r="D510" s="8" t="s">
        <v>261</v>
      </c>
      <c r="E510" s="10">
        <f t="shared" ref="E510:AD510" si="645">E542+E606</f>
        <v>0</v>
      </c>
      <c r="F510" s="10">
        <f t="shared" si="645"/>
        <v>0</v>
      </c>
      <c r="G510" s="10">
        <f t="shared" si="645"/>
        <v>0</v>
      </c>
      <c r="H510" s="10">
        <f t="shared" si="645"/>
        <v>0</v>
      </c>
      <c r="I510" s="10">
        <f t="shared" si="645"/>
        <v>0</v>
      </c>
      <c r="J510" s="10">
        <f t="shared" si="645"/>
        <v>0</v>
      </c>
      <c r="K510" s="10">
        <f t="shared" si="645"/>
        <v>0</v>
      </c>
      <c r="L510" s="10">
        <f t="shared" si="645"/>
        <v>0</v>
      </c>
      <c r="M510" s="10">
        <f t="shared" si="645"/>
        <v>0</v>
      </c>
      <c r="N510" s="10">
        <f t="shared" si="645"/>
        <v>0</v>
      </c>
      <c r="O510" s="10">
        <f t="shared" si="645"/>
        <v>0</v>
      </c>
      <c r="P510" s="10">
        <f t="shared" si="645"/>
        <v>0</v>
      </c>
      <c r="Q510" s="10">
        <f t="shared" si="645"/>
        <v>0</v>
      </c>
      <c r="R510" s="10">
        <f t="shared" si="645"/>
        <v>0</v>
      </c>
      <c r="S510" s="10">
        <f t="shared" si="645"/>
        <v>0</v>
      </c>
      <c r="T510" s="10">
        <f t="shared" si="645"/>
        <v>0</v>
      </c>
      <c r="U510" s="10">
        <f t="shared" si="645"/>
        <v>0</v>
      </c>
      <c r="V510" s="10">
        <f t="shared" si="645"/>
        <v>0</v>
      </c>
      <c r="W510" s="10">
        <f t="shared" si="645"/>
        <v>0</v>
      </c>
      <c r="X510" s="10">
        <f t="shared" si="645"/>
        <v>0</v>
      </c>
      <c r="Y510" s="10">
        <f t="shared" si="645"/>
        <v>0</v>
      </c>
      <c r="Z510" s="10">
        <f t="shared" si="645"/>
        <v>0</v>
      </c>
      <c r="AA510" s="10">
        <f t="shared" si="645"/>
        <v>0</v>
      </c>
      <c r="AB510" s="10">
        <f t="shared" si="645"/>
        <v>0</v>
      </c>
      <c r="AC510" s="10">
        <f t="shared" si="645"/>
        <v>0</v>
      </c>
      <c r="AD510" s="10">
        <f t="shared" si="645"/>
        <v>1462</v>
      </c>
      <c r="AH510" s="34" t="s">
        <v>422</v>
      </c>
    </row>
    <row r="511" spans="3:34" outlineLevel="2" x14ac:dyDescent="0.2">
      <c r="D511" s="8" t="s">
        <v>262</v>
      </c>
      <c r="E511" s="10">
        <f t="shared" ref="E511:AD511" si="646">E543+E607</f>
        <v>0</v>
      </c>
      <c r="F511" s="10">
        <f t="shared" si="646"/>
        <v>0</v>
      </c>
      <c r="G511" s="10">
        <f t="shared" si="646"/>
        <v>0</v>
      </c>
      <c r="H511" s="10">
        <f t="shared" si="646"/>
        <v>0</v>
      </c>
      <c r="I511" s="10">
        <f t="shared" si="646"/>
        <v>0</v>
      </c>
      <c r="J511" s="10">
        <f t="shared" si="646"/>
        <v>0</v>
      </c>
      <c r="K511" s="10">
        <f t="shared" si="646"/>
        <v>0</v>
      </c>
      <c r="L511" s="10">
        <f t="shared" si="646"/>
        <v>0</v>
      </c>
      <c r="M511" s="10">
        <f t="shared" si="646"/>
        <v>0</v>
      </c>
      <c r="N511" s="10">
        <f t="shared" si="646"/>
        <v>0</v>
      </c>
      <c r="O511" s="10">
        <f t="shared" si="646"/>
        <v>0</v>
      </c>
      <c r="P511" s="10">
        <f t="shared" si="646"/>
        <v>0</v>
      </c>
      <c r="Q511" s="10">
        <f t="shared" si="646"/>
        <v>0</v>
      </c>
      <c r="R511" s="10">
        <f t="shared" si="646"/>
        <v>0</v>
      </c>
      <c r="S511" s="10">
        <f t="shared" si="646"/>
        <v>0</v>
      </c>
      <c r="T511" s="10">
        <f t="shared" si="646"/>
        <v>0</v>
      </c>
      <c r="U511" s="10">
        <f t="shared" si="646"/>
        <v>0</v>
      </c>
      <c r="V511" s="10">
        <f t="shared" si="646"/>
        <v>0</v>
      </c>
      <c r="W511" s="10">
        <f t="shared" si="646"/>
        <v>0</v>
      </c>
      <c r="X511" s="10">
        <f t="shared" si="646"/>
        <v>0</v>
      </c>
      <c r="Y511" s="10">
        <f t="shared" si="646"/>
        <v>0</v>
      </c>
      <c r="Z511" s="10">
        <f t="shared" si="646"/>
        <v>0</v>
      </c>
      <c r="AA511" s="10">
        <f t="shared" si="646"/>
        <v>0</v>
      </c>
      <c r="AB511" s="10">
        <f t="shared" si="646"/>
        <v>0</v>
      </c>
      <c r="AC511" s="10">
        <f t="shared" si="646"/>
        <v>0</v>
      </c>
      <c r="AD511" s="10">
        <f t="shared" si="646"/>
        <v>7120</v>
      </c>
      <c r="AH511" s="34" t="s">
        <v>422</v>
      </c>
    </row>
    <row r="512" spans="3:34" outlineLevel="2" x14ac:dyDescent="0.2">
      <c r="D512" s="8" t="s">
        <v>263</v>
      </c>
      <c r="E512" s="10">
        <f t="shared" ref="E512:AD512" si="647">E544+E608</f>
        <v>0</v>
      </c>
      <c r="F512" s="10">
        <f t="shared" si="647"/>
        <v>0</v>
      </c>
      <c r="G512" s="10">
        <f t="shared" si="647"/>
        <v>0</v>
      </c>
      <c r="H512" s="10">
        <f t="shared" si="647"/>
        <v>0</v>
      </c>
      <c r="I512" s="10">
        <f t="shared" si="647"/>
        <v>0</v>
      </c>
      <c r="J512" s="10">
        <f t="shared" si="647"/>
        <v>0</v>
      </c>
      <c r="K512" s="10">
        <f t="shared" si="647"/>
        <v>0</v>
      </c>
      <c r="L512" s="10">
        <f t="shared" si="647"/>
        <v>0</v>
      </c>
      <c r="M512" s="10">
        <f t="shared" si="647"/>
        <v>0</v>
      </c>
      <c r="N512" s="10">
        <f t="shared" si="647"/>
        <v>0</v>
      </c>
      <c r="O512" s="10">
        <f t="shared" si="647"/>
        <v>0</v>
      </c>
      <c r="P512" s="10">
        <f t="shared" si="647"/>
        <v>0</v>
      </c>
      <c r="Q512" s="10">
        <f t="shared" si="647"/>
        <v>0</v>
      </c>
      <c r="R512" s="10">
        <f t="shared" si="647"/>
        <v>0</v>
      </c>
      <c r="S512" s="10">
        <f t="shared" si="647"/>
        <v>0</v>
      </c>
      <c r="T512" s="10">
        <f t="shared" si="647"/>
        <v>0</v>
      </c>
      <c r="U512" s="10">
        <f t="shared" si="647"/>
        <v>0</v>
      </c>
      <c r="V512" s="10">
        <f t="shared" si="647"/>
        <v>0</v>
      </c>
      <c r="W512" s="10">
        <f t="shared" si="647"/>
        <v>0</v>
      </c>
      <c r="X512" s="10">
        <f t="shared" si="647"/>
        <v>0</v>
      </c>
      <c r="Y512" s="10">
        <f t="shared" si="647"/>
        <v>0</v>
      </c>
      <c r="Z512" s="10">
        <f t="shared" si="647"/>
        <v>0</v>
      </c>
      <c r="AA512" s="10">
        <f t="shared" si="647"/>
        <v>0</v>
      </c>
      <c r="AB512" s="10">
        <f t="shared" si="647"/>
        <v>0</v>
      </c>
      <c r="AC512" s="10">
        <f t="shared" si="647"/>
        <v>0</v>
      </c>
      <c r="AD512" s="10">
        <f t="shared" si="647"/>
        <v>5802</v>
      </c>
      <c r="AH512" s="34" t="s">
        <v>422</v>
      </c>
    </row>
    <row r="513" spans="4:34" outlineLevel="2" x14ac:dyDescent="0.2">
      <c r="D513" s="8" t="s">
        <v>264</v>
      </c>
      <c r="E513" s="10">
        <f t="shared" ref="E513:AD513" si="648">E545+E609</f>
        <v>0</v>
      </c>
      <c r="F513" s="10">
        <f t="shared" si="648"/>
        <v>0</v>
      </c>
      <c r="G513" s="10">
        <f t="shared" si="648"/>
        <v>0</v>
      </c>
      <c r="H513" s="10">
        <f t="shared" si="648"/>
        <v>0</v>
      </c>
      <c r="I513" s="10">
        <f t="shared" si="648"/>
        <v>0</v>
      </c>
      <c r="J513" s="10">
        <f t="shared" si="648"/>
        <v>0</v>
      </c>
      <c r="K513" s="10">
        <f t="shared" si="648"/>
        <v>0</v>
      </c>
      <c r="L513" s="10">
        <f t="shared" si="648"/>
        <v>0</v>
      </c>
      <c r="M513" s="10">
        <f t="shared" si="648"/>
        <v>0</v>
      </c>
      <c r="N513" s="10">
        <f t="shared" si="648"/>
        <v>0</v>
      </c>
      <c r="O513" s="10">
        <f t="shared" si="648"/>
        <v>0</v>
      </c>
      <c r="P513" s="10">
        <f t="shared" si="648"/>
        <v>0</v>
      </c>
      <c r="Q513" s="10">
        <f t="shared" si="648"/>
        <v>0</v>
      </c>
      <c r="R513" s="10">
        <f t="shared" si="648"/>
        <v>0</v>
      </c>
      <c r="S513" s="10">
        <f t="shared" si="648"/>
        <v>0</v>
      </c>
      <c r="T513" s="10">
        <f t="shared" si="648"/>
        <v>0</v>
      </c>
      <c r="U513" s="10">
        <f t="shared" si="648"/>
        <v>0</v>
      </c>
      <c r="V513" s="10">
        <f t="shared" si="648"/>
        <v>0</v>
      </c>
      <c r="W513" s="10">
        <f t="shared" si="648"/>
        <v>0</v>
      </c>
      <c r="X513" s="10">
        <f t="shared" si="648"/>
        <v>0</v>
      </c>
      <c r="Y513" s="10">
        <f t="shared" si="648"/>
        <v>0</v>
      </c>
      <c r="Z513" s="10">
        <f t="shared" si="648"/>
        <v>0</v>
      </c>
      <c r="AA513" s="10">
        <f t="shared" si="648"/>
        <v>0</v>
      </c>
      <c r="AB513" s="10">
        <f t="shared" si="648"/>
        <v>0</v>
      </c>
      <c r="AC513" s="10">
        <f t="shared" si="648"/>
        <v>0</v>
      </c>
      <c r="AD513" s="10">
        <f t="shared" si="648"/>
        <v>3571.8</v>
      </c>
      <c r="AH513" s="34" t="s">
        <v>422</v>
      </c>
    </row>
    <row r="514" spans="4:34" outlineLevel="2" x14ac:dyDescent="0.2">
      <c r="D514" s="8" t="s">
        <v>265</v>
      </c>
      <c r="E514" s="10">
        <f t="shared" ref="E514:AD514" si="649">E546+E610</f>
        <v>0</v>
      </c>
      <c r="F514" s="10">
        <f t="shared" si="649"/>
        <v>0</v>
      </c>
      <c r="G514" s="10">
        <f t="shared" si="649"/>
        <v>0</v>
      </c>
      <c r="H514" s="10">
        <f t="shared" si="649"/>
        <v>0</v>
      </c>
      <c r="I514" s="10">
        <f t="shared" si="649"/>
        <v>0</v>
      </c>
      <c r="J514" s="10">
        <f t="shared" si="649"/>
        <v>0</v>
      </c>
      <c r="K514" s="10">
        <f t="shared" si="649"/>
        <v>0</v>
      </c>
      <c r="L514" s="10">
        <f t="shared" si="649"/>
        <v>0</v>
      </c>
      <c r="M514" s="10">
        <f t="shared" si="649"/>
        <v>0</v>
      </c>
      <c r="N514" s="10">
        <f t="shared" si="649"/>
        <v>0</v>
      </c>
      <c r="O514" s="10">
        <f t="shared" si="649"/>
        <v>0</v>
      </c>
      <c r="P514" s="10">
        <f t="shared" si="649"/>
        <v>0</v>
      </c>
      <c r="Q514" s="10">
        <f t="shared" si="649"/>
        <v>0</v>
      </c>
      <c r="R514" s="10">
        <f t="shared" si="649"/>
        <v>0</v>
      </c>
      <c r="S514" s="10">
        <f t="shared" si="649"/>
        <v>0</v>
      </c>
      <c r="T514" s="10">
        <f t="shared" si="649"/>
        <v>0</v>
      </c>
      <c r="U514" s="10">
        <f t="shared" si="649"/>
        <v>0</v>
      </c>
      <c r="V514" s="10">
        <f t="shared" si="649"/>
        <v>0</v>
      </c>
      <c r="W514" s="10">
        <f t="shared" si="649"/>
        <v>0</v>
      </c>
      <c r="X514" s="10">
        <f t="shared" si="649"/>
        <v>0</v>
      </c>
      <c r="Y514" s="10">
        <f t="shared" si="649"/>
        <v>0</v>
      </c>
      <c r="Z514" s="10">
        <f t="shared" si="649"/>
        <v>0</v>
      </c>
      <c r="AA514" s="10">
        <f t="shared" si="649"/>
        <v>0</v>
      </c>
      <c r="AB514" s="10">
        <f t="shared" si="649"/>
        <v>0</v>
      </c>
      <c r="AC514" s="10">
        <f t="shared" si="649"/>
        <v>0</v>
      </c>
      <c r="AD514" s="10">
        <f t="shared" si="649"/>
        <v>1736.7550000000001</v>
      </c>
      <c r="AH514" s="34" t="s">
        <v>422</v>
      </c>
    </row>
    <row r="515" spans="4:34" outlineLevel="2" x14ac:dyDescent="0.2">
      <c r="D515" s="8" t="s">
        <v>266</v>
      </c>
      <c r="E515" s="10">
        <f t="shared" ref="E515:AD515" si="650">E547+E611</f>
        <v>0</v>
      </c>
      <c r="F515" s="10">
        <f t="shared" si="650"/>
        <v>0</v>
      </c>
      <c r="G515" s="10">
        <f t="shared" si="650"/>
        <v>0</v>
      </c>
      <c r="H515" s="10">
        <f t="shared" si="650"/>
        <v>0</v>
      </c>
      <c r="I515" s="10">
        <f t="shared" si="650"/>
        <v>0</v>
      </c>
      <c r="J515" s="10">
        <f t="shared" si="650"/>
        <v>0</v>
      </c>
      <c r="K515" s="10">
        <f t="shared" si="650"/>
        <v>0</v>
      </c>
      <c r="L515" s="10">
        <f t="shared" si="650"/>
        <v>0</v>
      </c>
      <c r="M515" s="10">
        <f t="shared" si="650"/>
        <v>0</v>
      </c>
      <c r="N515" s="10">
        <f t="shared" si="650"/>
        <v>0</v>
      </c>
      <c r="O515" s="10">
        <f t="shared" si="650"/>
        <v>0</v>
      </c>
      <c r="P515" s="10">
        <f t="shared" si="650"/>
        <v>0</v>
      </c>
      <c r="Q515" s="10">
        <f t="shared" si="650"/>
        <v>0</v>
      </c>
      <c r="R515" s="10">
        <f t="shared" si="650"/>
        <v>0</v>
      </c>
      <c r="S515" s="10">
        <f t="shared" si="650"/>
        <v>0</v>
      </c>
      <c r="T515" s="10">
        <f t="shared" si="650"/>
        <v>0</v>
      </c>
      <c r="U515" s="10">
        <f t="shared" si="650"/>
        <v>0</v>
      </c>
      <c r="V515" s="10">
        <f t="shared" si="650"/>
        <v>0</v>
      </c>
      <c r="W515" s="10">
        <f t="shared" si="650"/>
        <v>0</v>
      </c>
      <c r="X515" s="10">
        <f t="shared" si="650"/>
        <v>0</v>
      </c>
      <c r="Y515" s="10">
        <f t="shared" si="650"/>
        <v>0</v>
      </c>
      <c r="Z515" s="10">
        <f t="shared" si="650"/>
        <v>0</v>
      </c>
      <c r="AA515" s="10">
        <f t="shared" si="650"/>
        <v>0</v>
      </c>
      <c r="AB515" s="10">
        <f t="shared" si="650"/>
        <v>0</v>
      </c>
      <c r="AC515" s="10">
        <f t="shared" si="650"/>
        <v>0</v>
      </c>
      <c r="AD515" s="10">
        <f t="shared" si="650"/>
        <v>21660</v>
      </c>
      <c r="AH515" s="34" t="s">
        <v>422</v>
      </c>
    </row>
    <row r="516" spans="4:34" outlineLevel="2" x14ac:dyDescent="0.2">
      <c r="D516" s="8" t="s">
        <v>267</v>
      </c>
      <c r="E516" s="10">
        <f t="shared" ref="E516:AD516" si="651">E548+E612</f>
        <v>0</v>
      </c>
      <c r="F516" s="10">
        <f t="shared" si="651"/>
        <v>0</v>
      </c>
      <c r="G516" s="10">
        <f t="shared" si="651"/>
        <v>0</v>
      </c>
      <c r="H516" s="10">
        <f t="shared" si="651"/>
        <v>0</v>
      </c>
      <c r="I516" s="10">
        <f t="shared" si="651"/>
        <v>0</v>
      </c>
      <c r="J516" s="10">
        <f t="shared" si="651"/>
        <v>0</v>
      </c>
      <c r="K516" s="10">
        <f t="shared" si="651"/>
        <v>0</v>
      </c>
      <c r="L516" s="10">
        <f t="shared" si="651"/>
        <v>0</v>
      </c>
      <c r="M516" s="10">
        <f t="shared" si="651"/>
        <v>0</v>
      </c>
      <c r="N516" s="10">
        <f t="shared" si="651"/>
        <v>0</v>
      </c>
      <c r="O516" s="10">
        <f t="shared" si="651"/>
        <v>0</v>
      </c>
      <c r="P516" s="10">
        <f t="shared" si="651"/>
        <v>0</v>
      </c>
      <c r="Q516" s="10">
        <f t="shared" si="651"/>
        <v>0</v>
      </c>
      <c r="R516" s="10">
        <f t="shared" si="651"/>
        <v>0</v>
      </c>
      <c r="S516" s="10">
        <f t="shared" si="651"/>
        <v>0</v>
      </c>
      <c r="T516" s="10">
        <f t="shared" si="651"/>
        <v>0</v>
      </c>
      <c r="U516" s="10">
        <f t="shared" si="651"/>
        <v>0</v>
      </c>
      <c r="V516" s="10">
        <f t="shared" si="651"/>
        <v>0</v>
      </c>
      <c r="W516" s="10">
        <f t="shared" si="651"/>
        <v>0</v>
      </c>
      <c r="X516" s="10">
        <f t="shared" si="651"/>
        <v>0</v>
      </c>
      <c r="Y516" s="10">
        <f t="shared" si="651"/>
        <v>0</v>
      </c>
      <c r="Z516" s="10">
        <f t="shared" si="651"/>
        <v>0</v>
      </c>
      <c r="AA516" s="10">
        <f t="shared" si="651"/>
        <v>0</v>
      </c>
      <c r="AB516" s="10">
        <f t="shared" si="651"/>
        <v>0</v>
      </c>
      <c r="AC516" s="10">
        <f t="shared" si="651"/>
        <v>0</v>
      </c>
      <c r="AD516" s="10">
        <f t="shared" si="651"/>
        <v>398.589</v>
      </c>
      <c r="AH516" s="34" t="s">
        <v>422</v>
      </c>
    </row>
    <row r="517" spans="4:34" outlineLevel="2" x14ac:dyDescent="0.2">
      <c r="D517" s="8" t="s">
        <v>268</v>
      </c>
      <c r="E517" s="10">
        <f t="shared" ref="E517:AD517" si="652">E549+E613</f>
        <v>0</v>
      </c>
      <c r="F517" s="10">
        <f t="shared" si="652"/>
        <v>0</v>
      </c>
      <c r="G517" s="10">
        <f t="shared" si="652"/>
        <v>0</v>
      </c>
      <c r="H517" s="10">
        <f t="shared" si="652"/>
        <v>0</v>
      </c>
      <c r="I517" s="10">
        <f t="shared" si="652"/>
        <v>0</v>
      </c>
      <c r="J517" s="10">
        <f t="shared" si="652"/>
        <v>0</v>
      </c>
      <c r="K517" s="10">
        <f t="shared" si="652"/>
        <v>0</v>
      </c>
      <c r="L517" s="10">
        <f t="shared" si="652"/>
        <v>0</v>
      </c>
      <c r="M517" s="10">
        <f t="shared" si="652"/>
        <v>0</v>
      </c>
      <c r="N517" s="10">
        <f t="shared" si="652"/>
        <v>0</v>
      </c>
      <c r="O517" s="10">
        <f t="shared" si="652"/>
        <v>0</v>
      </c>
      <c r="P517" s="10">
        <f t="shared" si="652"/>
        <v>0</v>
      </c>
      <c r="Q517" s="10">
        <f t="shared" si="652"/>
        <v>0</v>
      </c>
      <c r="R517" s="10">
        <f t="shared" si="652"/>
        <v>0</v>
      </c>
      <c r="S517" s="10">
        <f t="shared" si="652"/>
        <v>0</v>
      </c>
      <c r="T517" s="10">
        <f t="shared" si="652"/>
        <v>0</v>
      </c>
      <c r="U517" s="10">
        <f t="shared" si="652"/>
        <v>0</v>
      </c>
      <c r="V517" s="10">
        <f t="shared" si="652"/>
        <v>0</v>
      </c>
      <c r="W517" s="10">
        <f t="shared" si="652"/>
        <v>0</v>
      </c>
      <c r="X517" s="10">
        <f t="shared" si="652"/>
        <v>0</v>
      </c>
      <c r="Y517" s="10">
        <f t="shared" si="652"/>
        <v>0</v>
      </c>
      <c r="Z517" s="10">
        <f t="shared" si="652"/>
        <v>0</v>
      </c>
      <c r="AA517" s="10">
        <f t="shared" si="652"/>
        <v>0</v>
      </c>
      <c r="AB517" s="10">
        <f t="shared" si="652"/>
        <v>0</v>
      </c>
      <c r="AC517" s="10">
        <f t="shared" si="652"/>
        <v>0</v>
      </c>
      <c r="AD517" s="10">
        <f t="shared" si="652"/>
        <v>14482</v>
      </c>
      <c r="AH517" s="34" t="s">
        <v>422</v>
      </c>
    </row>
    <row r="518" spans="4:34" outlineLevel="2" x14ac:dyDescent="0.2">
      <c r="D518" s="8" t="s">
        <v>269</v>
      </c>
      <c r="E518" s="10">
        <f t="shared" ref="E518:AD518" si="653">E550+E614</f>
        <v>0</v>
      </c>
      <c r="F518" s="10">
        <f t="shared" si="653"/>
        <v>0</v>
      </c>
      <c r="G518" s="10">
        <f t="shared" si="653"/>
        <v>0</v>
      </c>
      <c r="H518" s="10">
        <f t="shared" si="653"/>
        <v>0</v>
      </c>
      <c r="I518" s="10">
        <f t="shared" si="653"/>
        <v>0</v>
      </c>
      <c r="J518" s="10">
        <f t="shared" si="653"/>
        <v>0</v>
      </c>
      <c r="K518" s="10">
        <f t="shared" si="653"/>
        <v>0</v>
      </c>
      <c r="L518" s="10">
        <f t="shared" si="653"/>
        <v>0</v>
      </c>
      <c r="M518" s="10">
        <f t="shared" si="653"/>
        <v>0</v>
      </c>
      <c r="N518" s="10">
        <f t="shared" si="653"/>
        <v>0</v>
      </c>
      <c r="O518" s="10">
        <f t="shared" si="653"/>
        <v>0</v>
      </c>
      <c r="P518" s="10">
        <f t="shared" si="653"/>
        <v>0</v>
      </c>
      <c r="Q518" s="10">
        <f t="shared" si="653"/>
        <v>0</v>
      </c>
      <c r="R518" s="10">
        <f t="shared" si="653"/>
        <v>0</v>
      </c>
      <c r="S518" s="10">
        <f t="shared" si="653"/>
        <v>0</v>
      </c>
      <c r="T518" s="10">
        <f t="shared" si="653"/>
        <v>0</v>
      </c>
      <c r="U518" s="10">
        <f t="shared" si="653"/>
        <v>0</v>
      </c>
      <c r="V518" s="10">
        <f t="shared" si="653"/>
        <v>0</v>
      </c>
      <c r="W518" s="10">
        <f t="shared" si="653"/>
        <v>0</v>
      </c>
      <c r="X518" s="10">
        <f t="shared" si="653"/>
        <v>0</v>
      </c>
      <c r="Y518" s="10">
        <f t="shared" si="653"/>
        <v>0</v>
      </c>
      <c r="Z518" s="10">
        <f t="shared" si="653"/>
        <v>0</v>
      </c>
      <c r="AA518" s="10">
        <f t="shared" si="653"/>
        <v>0</v>
      </c>
      <c r="AB518" s="10">
        <f t="shared" si="653"/>
        <v>0</v>
      </c>
      <c r="AC518" s="10">
        <f t="shared" si="653"/>
        <v>0</v>
      </c>
      <c r="AD518" s="10">
        <f t="shared" si="653"/>
        <v>41.04</v>
      </c>
      <c r="AH518" s="34" t="s">
        <v>422</v>
      </c>
    </row>
    <row r="519" spans="4:34" outlineLevel="2" x14ac:dyDescent="0.2">
      <c r="D519" s="8" t="s">
        <v>270</v>
      </c>
      <c r="E519" s="10">
        <f t="shared" ref="E519:AD519" si="654">E551+E615</f>
        <v>0</v>
      </c>
      <c r="F519" s="10">
        <f t="shared" si="654"/>
        <v>0</v>
      </c>
      <c r="G519" s="10">
        <f t="shared" si="654"/>
        <v>0</v>
      </c>
      <c r="H519" s="10">
        <f t="shared" si="654"/>
        <v>0</v>
      </c>
      <c r="I519" s="10">
        <f t="shared" si="654"/>
        <v>0</v>
      </c>
      <c r="J519" s="10">
        <f t="shared" si="654"/>
        <v>0</v>
      </c>
      <c r="K519" s="10">
        <f t="shared" si="654"/>
        <v>0</v>
      </c>
      <c r="L519" s="10">
        <f t="shared" si="654"/>
        <v>0</v>
      </c>
      <c r="M519" s="10">
        <f t="shared" si="654"/>
        <v>0</v>
      </c>
      <c r="N519" s="10">
        <f t="shared" si="654"/>
        <v>0</v>
      </c>
      <c r="O519" s="10">
        <f t="shared" si="654"/>
        <v>0</v>
      </c>
      <c r="P519" s="10">
        <f t="shared" si="654"/>
        <v>0</v>
      </c>
      <c r="Q519" s="10">
        <f t="shared" si="654"/>
        <v>0</v>
      </c>
      <c r="R519" s="10">
        <f t="shared" si="654"/>
        <v>0</v>
      </c>
      <c r="S519" s="10">
        <f t="shared" si="654"/>
        <v>0</v>
      </c>
      <c r="T519" s="10">
        <f t="shared" si="654"/>
        <v>0</v>
      </c>
      <c r="U519" s="10">
        <f t="shared" si="654"/>
        <v>0</v>
      </c>
      <c r="V519" s="10">
        <f t="shared" si="654"/>
        <v>0</v>
      </c>
      <c r="W519" s="10">
        <f t="shared" si="654"/>
        <v>0</v>
      </c>
      <c r="X519" s="10">
        <f t="shared" si="654"/>
        <v>0</v>
      </c>
      <c r="Y519" s="10">
        <f t="shared" si="654"/>
        <v>0</v>
      </c>
      <c r="Z519" s="10">
        <f t="shared" si="654"/>
        <v>0</v>
      </c>
      <c r="AA519" s="10">
        <f t="shared" si="654"/>
        <v>0</v>
      </c>
      <c r="AB519" s="10">
        <f t="shared" si="654"/>
        <v>0</v>
      </c>
      <c r="AC519" s="10">
        <f t="shared" si="654"/>
        <v>0</v>
      </c>
      <c r="AD519" s="10">
        <f t="shared" si="654"/>
        <v>2061.3004586279994</v>
      </c>
      <c r="AH519" s="34" t="s">
        <v>422</v>
      </c>
    </row>
    <row r="520" spans="4:34" outlineLevel="2" x14ac:dyDescent="0.2">
      <c r="D520" s="8" t="s">
        <v>271</v>
      </c>
      <c r="E520" s="10">
        <f t="shared" ref="E520:AD520" si="655">E552+E616</f>
        <v>0</v>
      </c>
      <c r="F520" s="10">
        <f t="shared" si="655"/>
        <v>0</v>
      </c>
      <c r="G520" s="10">
        <f t="shared" si="655"/>
        <v>0</v>
      </c>
      <c r="H520" s="10">
        <f t="shared" si="655"/>
        <v>0</v>
      </c>
      <c r="I520" s="10">
        <f t="shared" si="655"/>
        <v>0</v>
      </c>
      <c r="J520" s="10">
        <f t="shared" si="655"/>
        <v>0</v>
      </c>
      <c r="K520" s="10">
        <f t="shared" si="655"/>
        <v>0</v>
      </c>
      <c r="L520" s="10">
        <f t="shared" si="655"/>
        <v>0</v>
      </c>
      <c r="M520" s="10">
        <f t="shared" si="655"/>
        <v>0</v>
      </c>
      <c r="N520" s="10">
        <f t="shared" si="655"/>
        <v>0</v>
      </c>
      <c r="O520" s="10">
        <f t="shared" si="655"/>
        <v>0</v>
      </c>
      <c r="P520" s="10">
        <f t="shared" si="655"/>
        <v>0</v>
      </c>
      <c r="Q520" s="10">
        <f t="shared" si="655"/>
        <v>0</v>
      </c>
      <c r="R520" s="10">
        <f t="shared" si="655"/>
        <v>0</v>
      </c>
      <c r="S520" s="10">
        <f t="shared" si="655"/>
        <v>0</v>
      </c>
      <c r="T520" s="10">
        <f t="shared" si="655"/>
        <v>0</v>
      </c>
      <c r="U520" s="10">
        <f t="shared" si="655"/>
        <v>0</v>
      </c>
      <c r="V520" s="10">
        <f t="shared" si="655"/>
        <v>0</v>
      </c>
      <c r="W520" s="10">
        <f t="shared" si="655"/>
        <v>0</v>
      </c>
      <c r="X520" s="10">
        <f t="shared" si="655"/>
        <v>0</v>
      </c>
      <c r="Y520" s="10">
        <f t="shared" si="655"/>
        <v>0</v>
      </c>
      <c r="Z520" s="10">
        <f t="shared" si="655"/>
        <v>0</v>
      </c>
      <c r="AA520" s="10">
        <f t="shared" si="655"/>
        <v>0</v>
      </c>
      <c r="AB520" s="10">
        <f t="shared" si="655"/>
        <v>0</v>
      </c>
      <c r="AC520" s="10">
        <f t="shared" si="655"/>
        <v>0</v>
      </c>
      <c r="AD520" s="10">
        <f t="shared" si="655"/>
        <v>3869</v>
      </c>
      <c r="AH520" s="34" t="s">
        <v>422</v>
      </c>
    </row>
    <row r="521" spans="4:34" outlineLevel="2" x14ac:dyDescent="0.2">
      <c r="D521" s="8" t="s">
        <v>272</v>
      </c>
      <c r="E521" s="10">
        <f t="shared" ref="E521:AD521" si="656">E553+E617</f>
        <v>0</v>
      </c>
      <c r="F521" s="10">
        <f t="shared" si="656"/>
        <v>0</v>
      </c>
      <c r="G521" s="10">
        <f t="shared" si="656"/>
        <v>0</v>
      </c>
      <c r="H521" s="10">
        <f t="shared" si="656"/>
        <v>0</v>
      </c>
      <c r="I521" s="10">
        <f t="shared" si="656"/>
        <v>0</v>
      </c>
      <c r="J521" s="10">
        <f t="shared" si="656"/>
        <v>0</v>
      </c>
      <c r="K521" s="10">
        <f t="shared" si="656"/>
        <v>0</v>
      </c>
      <c r="L521" s="10">
        <f t="shared" si="656"/>
        <v>0</v>
      </c>
      <c r="M521" s="10">
        <f t="shared" si="656"/>
        <v>0</v>
      </c>
      <c r="N521" s="10">
        <f t="shared" si="656"/>
        <v>0</v>
      </c>
      <c r="O521" s="10">
        <f t="shared" si="656"/>
        <v>0</v>
      </c>
      <c r="P521" s="10">
        <f t="shared" si="656"/>
        <v>0</v>
      </c>
      <c r="Q521" s="10">
        <f t="shared" si="656"/>
        <v>0</v>
      </c>
      <c r="R521" s="10">
        <f t="shared" si="656"/>
        <v>0</v>
      </c>
      <c r="S521" s="10">
        <f t="shared" si="656"/>
        <v>0</v>
      </c>
      <c r="T521" s="10">
        <f t="shared" si="656"/>
        <v>0</v>
      </c>
      <c r="U521" s="10">
        <f t="shared" si="656"/>
        <v>0</v>
      </c>
      <c r="V521" s="10">
        <f t="shared" si="656"/>
        <v>0</v>
      </c>
      <c r="W521" s="10">
        <f t="shared" si="656"/>
        <v>0</v>
      </c>
      <c r="X521" s="10">
        <f t="shared" si="656"/>
        <v>0</v>
      </c>
      <c r="Y521" s="10">
        <f t="shared" si="656"/>
        <v>0</v>
      </c>
      <c r="Z521" s="10">
        <f t="shared" si="656"/>
        <v>0</v>
      </c>
      <c r="AA521" s="10">
        <f t="shared" si="656"/>
        <v>0</v>
      </c>
      <c r="AB521" s="10">
        <f t="shared" si="656"/>
        <v>0</v>
      </c>
      <c r="AC521" s="10">
        <f t="shared" si="656"/>
        <v>0</v>
      </c>
      <c r="AD521" s="10">
        <f t="shared" si="656"/>
        <v>1242.0450000000001</v>
      </c>
      <c r="AH521" s="34" t="s">
        <v>422</v>
      </c>
    </row>
    <row r="522" spans="4:34" outlineLevel="2" x14ac:dyDescent="0.2">
      <c r="D522" s="8" t="s">
        <v>273</v>
      </c>
      <c r="E522" s="10">
        <f t="shared" ref="E522:AD522" si="657">E554+E618</f>
        <v>0</v>
      </c>
      <c r="F522" s="10">
        <f t="shared" si="657"/>
        <v>0</v>
      </c>
      <c r="G522" s="10">
        <f t="shared" si="657"/>
        <v>0</v>
      </c>
      <c r="H522" s="10">
        <f t="shared" si="657"/>
        <v>0</v>
      </c>
      <c r="I522" s="10">
        <f t="shared" si="657"/>
        <v>0</v>
      </c>
      <c r="J522" s="10">
        <f t="shared" si="657"/>
        <v>0</v>
      </c>
      <c r="K522" s="10">
        <f t="shared" si="657"/>
        <v>0</v>
      </c>
      <c r="L522" s="10">
        <f t="shared" si="657"/>
        <v>0</v>
      </c>
      <c r="M522" s="10">
        <f t="shared" si="657"/>
        <v>0</v>
      </c>
      <c r="N522" s="10">
        <f t="shared" si="657"/>
        <v>0</v>
      </c>
      <c r="O522" s="10">
        <f t="shared" si="657"/>
        <v>0</v>
      </c>
      <c r="P522" s="10">
        <f t="shared" si="657"/>
        <v>0</v>
      </c>
      <c r="Q522" s="10">
        <f t="shared" si="657"/>
        <v>0</v>
      </c>
      <c r="R522" s="10">
        <f t="shared" si="657"/>
        <v>0</v>
      </c>
      <c r="S522" s="10">
        <f t="shared" si="657"/>
        <v>0</v>
      </c>
      <c r="T522" s="10">
        <f t="shared" si="657"/>
        <v>0</v>
      </c>
      <c r="U522" s="10">
        <f t="shared" si="657"/>
        <v>0</v>
      </c>
      <c r="V522" s="10">
        <f t="shared" si="657"/>
        <v>0</v>
      </c>
      <c r="W522" s="10">
        <f t="shared" si="657"/>
        <v>0</v>
      </c>
      <c r="X522" s="10">
        <f t="shared" si="657"/>
        <v>0</v>
      </c>
      <c r="Y522" s="10">
        <f t="shared" si="657"/>
        <v>0</v>
      </c>
      <c r="Z522" s="10">
        <f t="shared" si="657"/>
        <v>0</v>
      </c>
      <c r="AA522" s="10">
        <f t="shared" si="657"/>
        <v>0</v>
      </c>
      <c r="AB522" s="10">
        <f t="shared" si="657"/>
        <v>0</v>
      </c>
      <c r="AC522" s="10">
        <f t="shared" si="657"/>
        <v>0</v>
      </c>
      <c r="AD522" s="10">
        <f t="shared" si="657"/>
        <v>1503.7550000000001</v>
      </c>
      <c r="AH522" s="34" t="s">
        <v>422</v>
      </c>
    </row>
    <row r="523" spans="4:34" outlineLevel="2" x14ac:dyDescent="0.2">
      <c r="D523" s="8" t="s">
        <v>274</v>
      </c>
      <c r="E523" s="10">
        <f t="shared" ref="E523:AD523" si="658">E555+E619</f>
        <v>0</v>
      </c>
      <c r="F523" s="10">
        <f t="shared" si="658"/>
        <v>0</v>
      </c>
      <c r="G523" s="10">
        <f t="shared" si="658"/>
        <v>0</v>
      </c>
      <c r="H523" s="10">
        <f t="shared" si="658"/>
        <v>0</v>
      </c>
      <c r="I523" s="10">
        <f t="shared" si="658"/>
        <v>0</v>
      </c>
      <c r="J523" s="10">
        <f t="shared" si="658"/>
        <v>0</v>
      </c>
      <c r="K523" s="10">
        <f t="shared" si="658"/>
        <v>0</v>
      </c>
      <c r="L523" s="10">
        <f t="shared" si="658"/>
        <v>0</v>
      </c>
      <c r="M523" s="10">
        <f t="shared" si="658"/>
        <v>0</v>
      </c>
      <c r="N523" s="10">
        <f t="shared" si="658"/>
        <v>0</v>
      </c>
      <c r="O523" s="10">
        <f t="shared" si="658"/>
        <v>0</v>
      </c>
      <c r="P523" s="10">
        <f t="shared" si="658"/>
        <v>0</v>
      </c>
      <c r="Q523" s="10">
        <f t="shared" si="658"/>
        <v>0</v>
      </c>
      <c r="R523" s="10">
        <f t="shared" si="658"/>
        <v>0</v>
      </c>
      <c r="S523" s="10">
        <f t="shared" si="658"/>
        <v>0</v>
      </c>
      <c r="T523" s="10">
        <f t="shared" si="658"/>
        <v>0</v>
      </c>
      <c r="U523" s="10">
        <f t="shared" si="658"/>
        <v>0</v>
      </c>
      <c r="V523" s="10">
        <f t="shared" si="658"/>
        <v>0</v>
      </c>
      <c r="W523" s="10">
        <f t="shared" si="658"/>
        <v>0</v>
      </c>
      <c r="X523" s="10">
        <f t="shared" si="658"/>
        <v>0</v>
      </c>
      <c r="Y523" s="10">
        <f t="shared" si="658"/>
        <v>0</v>
      </c>
      <c r="Z523" s="10">
        <f t="shared" si="658"/>
        <v>0</v>
      </c>
      <c r="AA523" s="10">
        <f t="shared" si="658"/>
        <v>0</v>
      </c>
      <c r="AB523" s="10">
        <f t="shared" si="658"/>
        <v>0</v>
      </c>
      <c r="AC523" s="10">
        <f t="shared" si="658"/>
        <v>0</v>
      </c>
      <c r="AD523" s="10">
        <f t="shared" si="658"/>
        <v>4132</v>
      </c>
      <c r="AH523" s="34" t="s">
        <v>422</v>
      </c>
    </row>
    <row r="524" spans="4:34" outlineLevel="2" x14ac:dyDescent="0.2">
      <c r="D524" s="8" t="s">
        <v>275</v>
      </c>
      <c r="E524" s="10">
        <f t="shared" ref="E524:AD524" si="659">E556+E620</f>
        <v>0</v>
      </c>
      <c r="F524" s="10">
        <f t="shared" si="659"/>
        <v>0</v>
      </c>
      <c r="G524" s="10">
        <f t="shared" si="659"/>
        <v>0</v>
      </c>
      <c r="H524" s="10">
        <f t="shared" si="659"/>
        <v>0</v>
      </c>
      <c r="I524" s="10">
        <f t="shared" si="659"/>
        <v>0</v>
      </c>
      <c r="J524" s="10">
        <f t="shared" si="659"/>
        <v>0</v>
      </c>
      <c r="K524" s="10">
        <f t="shared" si="659"/>
        <v>0</v>
      </c>
      <c r="L524" s="10">
        <f t="shared" si="659"/>
        <v>0</v>
      </c>
      <c r="M524" s="10">
        <f t="shared" si="659"/>
        <v>0</v>
      </c>
      <c r="N524" s="10">
        <f t="shared" si="659"/>
        <v>0</v>
      </c>
      <c r="O524" s="10">
        <f t="shared" si="659"/>
        <v>0</v>
      </c>
      <c r="P524" s="10">
        <f t="shared" si="659"/>
        <v>0</v>
      </c>
      <c r="Q524" s="10">
        <f t="shared" si="659"/>
        <v>0</v>
      </c>
      <c r="R524" s="10">
        <f t="shared" si="659"/>
        <v>0</v>
      </c>
      <c r="S524" s="10">
        <f t="shared" si="659"/>
        <v>0</v>
      </c>
      <c r="T524" s="10">
        <f t="shared" si="659"/>
        <v>0</v>
      </c>
      <c r="U524" s="10">
        <f t="shared" si="659"/>
        <v>0</v>
      </c>
      <c r="V524" s="10">
        <f t="shared" si="659"/>
        <v>0</v>
      </c>
      <c r="W524" s="10">
        <f t="shared" si="659"/>
        <v>0</v>
      </c>
      <c r="X524" s="10">
        <f t="shared" si="659"/>
        <v>0</v>
      </c>
      <c r="Y524" s="10">
        <f t="shared" si="659"/>
        <v>0</v>
      </c>
      <c r="Z524" s="10">
        <f t="shared" si="659"/>
        <v>0</v>
      </c>
      <c r="AA524" s="10">
        <f t="shared" si="659"/>
        <v>0</v>
      </c>
      <c r="AB524" s="10">
        <f t="shared" si="659"/>
        <v>0</v>
      </c>
      <c r="AC524" s="10">
        <f t="shared" si="659"/>
        <v>0</v>
      </c>
      <c r="AD524" s="10">
        <f t="shared" si="659"/>
        <v>3120</v>
      </c>
      <c r="AH524" s="34" t="s">
        <v>422</v>
      </c>
    </row>
    <row r="525" spans="4:34" outlineLevel="2" x14ac:dyDescent="0.2">
      <c r="D525" s="8" t="s">
        <v>276</v>
      </c>
      <c r="E525" s="10">
        <f t="shared" ref="E525:AD525" si="660">E557+E621</f>
        <v>0</v>
      </c>
      <c r="F525" s="10">
        <f t="shared" si="660"/>
        <v>0</v>
      </c>
      <c r="G525" s="10">
        <f t="shared" si="660"/>
        <v>0</v>
      </c>
      <c r="H525" s="10">
        <f t="shared" si="660"/>
        <v>0</v>
      </c>
      <c r="I525" s="10">
        <f t="shared" si="660"/>
        <v>0</v>
      </c>
      <c r="J525" s="10">
        <f t="shared" si="660"/>
        <v>0</v>
      </c>
      <c r="K525" s="10">
        <f t="shared" si="660"/>
        <v>0</v>
      </c>
      <c r="L525" s="10">
        <f t="shared" si="660"/>
        <v>0</v>
      </c>
      <c r="M525" s="10">
        <f t="shared" si="660"/>
        <v>0</v>
      </c>
      <c r="N525" s="10">
        <f t="shared" si="660"/>
        <v>0</v>
      </c>
      <c r="O525" s="10">
        <f t="shared" si="660"/>
        <v>0</v>
      </c>
      <c r="P525" s="10">
        <f t="shared" si="660"/>
        <v>0</v>
      </c>
      <c r="Q525" s="10">
        <f t="shared" si="660"/>
        <v>0</v>
      </c>
      <c r="R525" s="10">
        <f t="shared" si="660"/>
        <v>0</v>
      </c>
      <c r="S525" s="10">
        <f t="shared" si="660"/>
        <v>0</v>
      </c>
      <c r="T525" s="10">
        <f t="shared" si="660"/>
        <v>0</v>
      </c>
      <c r="U525" s="10">
        <f t="shared" si="660"/>
        <v>0</v>
      </c>
      <c r="V525" s="10">
        <f t="shared" si="660"/>
        <v>0</v>
      </c>
      <c r="W525" s="10">
        <f t="shared" si="660"/>
        <v>0</v>
      </c>
      <c r="X525" s="10">
        <f t="shared" si="660"/>
        <v>0</v>
      </c>
      <c r="Y525" s="10">
        <f t="shared" si="660"/>
        <v>0</v>
      </c>
      <c r="Z525" s="10">
        <f t="shared" si="660"/>
        <v>0</v>
      </c>
      <c r="AA525" s="10">
        <f t="shared" si="660"/>
        <v>0</v>
      </c>
      <c r="AB525" s="10">
        <f t="shared" si="660"/>
        <v>0</v>
      </c>
      <c r="AC525" s="10">
        <f t="shared" si="660"/>
        <v>0</v>
      </c>
      <c r="AD525" s="10">
        <f t="shared" si="660"/>
        <v>2128.36</v>
      </c>
      <c r="AH525" s="34" t="s">
        <v>422</v>
      </c>
    </row>
    <row r="526" spans="4:34" outlineLevel="2" x14ac:dyDescent="0.2">
      <c r="D526" s="8" t="s">
        <v>277</v>
      </c>
      <c r="E526" s="10">
        <f t="shared" ref="E526:AD526" si="661">E558+E622</f>
        <v>0</v>
      </c>
      <c r="F526" s="10">
        <f t="shared" si="661"/>
        <v>0</v>
      </c>
      <c r="G526" s="10">
        <f t="shared" si="661"/>
        <v>0</v>
      </c>
      <c r="H526" s="10">
        <f t="shared" si="661"/>
        <v>0</v>
      </c>
      <c r="I526" s="10">
        <f t="shared" si="661"/>
        <v>0</v>
      </c>
      <c r="J526" s="10">
        <f t="shared" si="661"/>
        <v>0</v>
      </c>
      <c r="K526" s="10">
        <f t="shared" si="661"/>
        <v>0</v>
      </c>
      <c r="L526" s="10">
        <f t="shared" si="661"/>
        <v>0</v>
      </c>
      <c r="M526" s="10">
        <f t="shared" si="661"/>
        <v>0</v>
      </c>
      <c r="N526" s="10">
        <f t="shared" si="661"/>
        <v>0</v>
      </c>
      <c r="O526" s="10">
        <f t="shared" si="661"/>
        <v>0</v>
      </c>
      <c r="P526" s="10">
        <f t="shared" si="661"/>
        <v>0</v>
      </c>
      <c r="Q526" s="10">
        <f t="shared" si="661"/>
        <v>0</v>
      </c>
      <c r="R526" s="10">
        <f t="shared" si="661"/>
        <v>0</v>
      </c>
      <c r="S526" s="10">
        <f t="shared" si="661"/>
        <v>0</v>
      </c>
      <c r="T526" s="10">
        <f t="shared" si="661"/>
        <v>0</v>
      </c>
      <c r="U526" s="10">
        <f t="shared" si="661"/>
        <v>0</v>
      </c>
      <c r="V526" s="10">
        <f t="shared" si="661"/>
        <v>0</v>
      </c>
      <c r="W526" s="10">
        <f t="shared" si="661"/>
        <v>0</v>
      </c>
      <c r="X526" s="10">
        <f t="shared" si="661"/>
        <v>0</v>
      </c>
      <c r="Y526" s="10">
        <f t="shared" si="661"/>
        <v>0</v>
      </c>
      <c r="Z526" s="10">
        <f t="shared" si="661"/>
        <v>0</v>
      </c>
      <c r="AA526" s="10">
        <f t="shared" si="661"/>
        <v>0</v>
      </c>
      <c r="AB526" s="10">
        <f t="shared" si="661"/>
        <v>0</v>
      </c>
      <c r="AC526" s="10">
        <f t="shared" si="661"/>
        <v>0</v>
      </c>
      <c r="AD526" s="10">
        <f t="shared" si="661"/>
        <v>1956.8000000000002</v>
      </c>
      <c r="AH526" s="34" t="s">
        <v>422</v>
      </c>
    </row>
    <row r="527" spans="4:34" outlineLevel="2" x14ac:dyDescent="0.2">
      <c r="D527" s="8" t="s">
        <v>278</v>
      </c>
      <c r="E527" s="10">
        <f t="shared" ref="E527:AD527" si="662">E559+E623</f>
        <v>0</v>
      </c>
      <c r="F527" s="10">
        <f t="shared" si="662"/>
        <v>0</v>
      </c>
      <c r="G527" s="10">
        <f t="shared" si="662"/>
        <v>0</v>
      </c>
      <c r="H527" s="10">
        <f t="shared" si="662"/>
        <v>0</v>
      </c>
      <c r="I527" s="10">
        <f t="shared" si="662"/>
        <v>0</v>
      </c>
      <c r="J527" s="10">
        <f t="shared" si="662"/>
        <v>0</v>
      </c>
      <c r="K527" s="10">
        <f t="shared" si="662"/>
        <v>0</v>
      </c>
      <c r="L527" s="10">
        <f t="shared" si="662"/>
        <v>0</v>
      </c>
      <c r="M527" s="10">
        <f t="shared" si="662"/>
        <v>0</v>
      </c>
      <c r="N527" s="10">
        <f t="shared" si="662"/>
        <v>0</v>
      </c>
      <c r="O527" s="10">
        <f t="shared" si="662"/>
        <v>0</v>
      </c>
      <c r="P527" s="10">
        <f t="shared" si="662"/>
        <v>0</v>
      </c>
      <c r="Q527" s="10">
        <f t="shared" si="662"/>
        <v>0</v>
      </c>
      <c r="R527" s="10">
        <f t="shared" si="662"/>
        <v>0</v>
      </c>
      <c r="S527" s="10">
        <f t="shared" si="662"/>
        <v>0</v>
      </c>
      <c r="T527" s="10">
        <f t="shared" si="662"/>
        <v>0</v>
      </c>
      <c r="U527" s="10">
        <f t="shared" si="662"/>
        <v>0</v>
      </c>
      <c r="V527" s="10">
        <f t="shared" si="662"/>
        <v>0</v>
      </c>
      <c r="W527" s="10">
        <f t="shared" si="662"/>
        <v>0</v>
      </c>
      <c r="X527" s="10">
        <f t="shared" si="662"/>
        <v>0</v>
      </c>
      <c r="Y527" s="10">
        <f t="shared" si="662"/>
        <v>0</v>
      </c>
      <c r="Z527" s="10">
        <f t="shared" si="662"/>
        <v>0</v>
      </c>
      <c r="AA527" s="10">
        <f t="shared" si="662"/>
        <v>0</v>
      </c>
      <c r="AB527" s="10">
        <f t="shared" si="662"/>
        <v>0</v>
      </c>
      <c r="AC527" s="10">
        <f t="shared" si="662"/>
        <v>0</v>
      </c>
      <c r="AD527" s="10">
        <f t="shared" si="662"/>
        <v>4649</v>
      </c>
      <c r="AH527" s="34" t="s">
        <v>422</v>
      </c>
    </row>
    <row r="528" spans="4:34" outlineLevel="2" x14ac:dyDescent="0.2">
      <c r="D528" s="8" t="s">
        <v>279</v>
      </c>
      <c r="E528" s="10">
        <f t="shared" ref="E528:AD528" si="663">E560+E624</f>
        <v>0</v>
      </c>
      <c r="F528" s="10">
        <f t="shared" si="663"/>
        <v>0</v>
      </c>
      <c r="G528" s="10">
        <f t="shared" si="663"/>
        <v>0</v>
      </c>
      <c r="H528" s="10">
        <f t="shared" si="663"/>
        <v>0</v>
      </c>
      <c r="I528" s="10">
        <f t="shared" si="663"/>
        <v>0</v>
      </c>
      <c r="J528" s="10">
        <f t="shared" si="663"/>
        <v>0</v>
      </c>
      <c r="K528" s="10">
        <f t="shared" si="663"/>
        <v>0</v>
      </c>
      <c r="L528" s="10">
        <f t="shared" si="663"/>
        <v>0</v>
      </c>
      <c r="M528" s="10">
        <f t="shared" si="663"/>
        <v>0</v>
      </c>
      <c r="N528" s="10">
        <f t="shared" si="663"/>
        <v>0</v>
      </c>
      <c r="O528" s="10">
        <f t="shared" si="663"/>
        <v>0</v>
      </c>
      <c r="P528" s="10">
        <f t="shared" si="663"/>
        <v>0</v>
      </c>
      <c r="Q528" s="10">
        <f t="shared" si="663"/>
        <v>0</v>
      </c>
      <c r="R528" s="10">
        <f t="shared" si="663"/>
        <v>0</v>
      </c>
      <c r="S528" s="10">
        <f t="shared" si="663"/>
        <v>0</v>
      </c>
      <c r="T528" s="10">
        <f t="shared" si="663"/>
        <v>0</v>
      </c>
      <c r="U528" s="10">
        <f t="shared" si="663"/>
        <v>0</v>
      </c>
      <c r="V528" s="10">
        <f t="shared" si="663"/>
        <v>0</v>
      </c>
      <c r="W528" s="10">
        <f t="shared" si="663"/>
        <v>0</v>
      </c>
      <c r="X528" s="10">
        <f t="shared" si="663"/>
        <v>0</v>
      </c>
      <c r="Y528" s="10">
        <f t="shared" si="663"/>
        <v>0</v>
      </c>
      <c r="Z528" s="10">
        <f t="shared" si="663"/>
        <v>0</v>
      </c>
      <c r="AA528" s="10">
        <f t="shared" si="663"/>
        <v>0</v>
      </c>
      <c r="AB528" s="10">
        <f t="shared" si="663"/>
        <v>0</v>
      </c>
      <c r="AC528" s="10">
        <f t="shared" si="663"/>
        <v>0</v>
      </c>
      <c r="AD528" s="10">
        <f t="shared" si="663"/>
        <v>11400</v>
      </c>
      <c r="AH528" s="34" t="s">
        <v>422</v>
      </c>
    </row>
    <row r="529" spans="4:34" outlineLevel="2" x14ac:dyDescent="0.2">
      <c r="D529" s="8" t="s">
        <v>280</v>
      </c>
      <c r="E529" s="10">
        <f t="shared" ref="E529:AD529" si="664">E561+E625</f>
        <v>0</v>
      </c>
      <c r="F529" s="10">
        <f t="shared" si="664"/>
        <v>0</v>
      </c>
      <c r="G529" s="10">
        <f t="shared" si="664"/>
        <v>0</v>
      </c>
      <c r="H529" s="10">
        <f t="shared" si="664"/>
        <v>0</v>
      </c>
      <c r="I529" s="10">
        <f t="shared" si="664"/>
        <v>0</v>
      </c>
      <c r="J529" s="10">
        <f t="shared" si="664"/>
        <v>0</v>
      </c>
      <c r="K529" s="10">
        <f t="shared" si="664"/>
        <v>0</v>
      </c>
      <c r="L529" s="10">
        <f t="shared" si="664"/>
        <v>0</v>
      </c>
      <c r="M529" s="10">
        <f t="shared" si="664"/>
        <v>0</v>
      </c>
      <c r="N529" s="10">
        <f t="shared" si="664"/>
        <v>0</v>
      </c>
      <c r="O529" s="10">
        <f t="shared" si="664"/>
        <v>0</v>
      </c>
      <c r="P529" s="10">
        <f t="shared" si="664"/>
        <v>0</v>
      </c>
      <c r="Q529" s="10">
        <f t="shared" si="664"/>
        <v>0</v>
      </c>
      <c r="R529" s="10">
        <f t="shared" si="664"/>
        <v>0</v>
      </c>
      <c r="S529" s="10">
        <f t="shared" si="664"/>
        <v>0</v>
      </c>
      <c r="T529" s="10">
        <f t="shared" si="664"/>
        <v>0</v>
      </c>
      <c r="U529" s="10">
        <f t="shared" si="664"/>
        <v>0</v>
      </c>
      <c r="V529" s="10">
        <f t="shared" si="664"/>
        <v>0</v>
      </c>
      <c r="W529" s="10">
        <f t="shared" si="664"/>
        <v>0</v>
      </c>
      <c r="X529" s="10">
        <f t="shared" si="664"/>
        <v>0</v>
      </c>
      <c r="Y529" s="10">
        <f t="shared" si="664"/>
        <v>0</v>
      </c>
      <c r="Z529" s="10">
        <f t="shared" si="664"/>
        <v>0</v>
      </c>
      <c r="AA529" s="10">
        <f t="shared" si="664"/>
        <v>0</v>
      </c>
      <c r="AB529" s="10">
        <f t="shared" si="664"/>
        <v>0</v>
      </c>
      <c r="AC529" s="10">
        <f t="shared" si="664"/>
        <v>0</v>
      </c>
      <c r="AD529" s="10">
        <f t="shared" si="664"/>
        <v>4103</v>
      </c>
      <c r="AH529" s="34" t="s">
        <v>422</v>
      </c>
    </row>
    <row r="530" spans="4:34" outlineLevel="2" x14ac:dyDescent="0.2">
      <c r="D530" s="8" t="s">
        <v>281</v>
      </c>
      <c r="E530" s="10">
        <f t="shared" ref="E530:AD530" si="665">E562+E626</f>
        <v>0</v>
      </c>
      <c r="F530" s="10">
        <f t="shared" si="665"/>
        <v>0</v>
      </c>
      <c r="G530" s="10">
        <f t="shared" si="665"/>
        <v>0</v>
      </c>
      <c r="H530" s="10">
        <f t="shared" si="665"/>
        <v>0</v>
      </c>
      <c r="I530" s="10">
        <f t="shared" si="665"/>
        <v>0</v>
      </c>
      <c r="J530" s="10">
        <f t="shared" si="665"/>
        <v>0</v>
      </c>
      <c r="K530" s="10">
        <f t="shared" si="665"/>
        <v>0</v>
      </c>
      <c r="L530" s="10">
        <f t="shared" si="665"/>
        <v>0</v>
      </c>
      <c r="M530" s="10">
        <f t="shared" si="665"/>
        <v>0</v>
      </c>
      <c r="N530" s="10">
        <f t="shared" si="665"/>
        <v>0</v>
      </c>
      <c r="O530" s="10">
        <f t="shared" si="665"/>
        <v>0</v>
      </c>
      <c r="P530" s="10">
        <f t="shared" si="665"/>
        <v>0</v>
      </c>
      <c r="Q530" s="10">
        <f t="shared" si="665"/>
        <v>0</v>
      </c>
      <c r="R530" s="10">
        <f t="shared" si="665"/>
        <v>0</v>
      </c>
      <c r="S530" s="10">
        <f t="shared" si="665"/>
        <v>0</v>
      </c>
      <c r="T530" s="10">
        <f t="shared" si="665"/>
        <v>0</v>
      </c>
      <c r="U530" s="10">
        <f t="shared" si="665"/>
        <v>0</v>
      </c>
      <c r="V530" s="10">
        <f t="shared" si="665"/>
        <v>0</v>
      </c>
      <c r="W530" s="10">
        <f t="shared" si="665"/>
        <v>0</v>
      </c>
      <c r="X530" s="10">
        <f t="shared" si="665"/>
        <v>0</v>
      </c>
      <c r="Y530" s="10">
        <f t="shared" si="665"/>
        <v>0</v>
      </c>
      <c r="Z530" s="10">
        <f t="shared" si="665"/>
        <v>0</v>
      </c>
      <c r="AA530" s="10">
        <f t="shared" si="665"/>
        <v>0</v>
      </c>
      <c r="AB530" s="10">
        <f t="shared" si="665"/>
        <v>0</v>
      </c>
      <c r="AC530" s="10">
        <f t="shared" si="665"/>
        <v>0</v>
      </c>
      <c r="AD530" s="10">
        <f t="shared" si="665"/>
        <v>826</v>
      </c>
      <c r="AH530" s="34" t="s">
        <v>422</v>
      </c>
    </row>
    <row r="531" spans="4:34" outlineLevel="2" x14ac:dyDescent="0.2">
      <c r="D531" s="8" t="s">
        <v>282</v>
      </c>
      <c r="E531" s="10">
        <f t="shared" ref="E531:AD531" si="666">E563+E627</f>
        <v>0</v>
      </c>
      <c r="F531" s="10">
        <f t="shared" si="666"/>
        <v>0</v>
      </c>
      <c r="G531" s="10">
        <f t="shared" si="666"/>
        <v>0</v>
      </c>
      <c r="H531" s="10">
        <f t="shared" si="666"/>
        <v>0</v>
      </c>
      <c r="I531" s="10">
        <f t="shared" si="666"/>
        <v>0</v>
      </c>
      <c r="J531" s="10">
        <f t="shared" si="666"/>
        <v>0</v>
      </c>
      <c r="K531" s="10">
        <f t="shared" si="666"/>
        <v>0</v>
      </c>
      <c r="L531" s="10">
        <f t="shared" si="666"/>
        <v>0</v>
      </c>
      <c r="M531" s="10">
        <f t="shared" si="666"/>
        <v>0</v>
      </c>
      <c r="N531" s="10">
        <f t="shared" si="666"/>
        <v>0</v>
      </c>
      <c r="O531" s="10">
        <f t="shared" si="666"/>
        <v>0</v>
      </c>
      <c r="P531" s="10">
        <f t="shared" si="666"/>
        <v>0</v>
      </c>
      <c r="Q531" s="10">
        <f t="shared" si="666"/>
        <v>0</v>
      </c>
      <c r="R531" s="10">
        <f t="shared" si="666"/>
        <v>0</v>
      </c>
      <c r="S531" s="10">
        <f t="shared" si="666"/>
        <v>0</v>
      </c>
      <c r="T531" s="10">
        <f t="shared" si="666"/>
        <v>0</v>
      </c>
      <c r="U531" s="10">
        <f t="shared" si="666"/>
        <v>0</v>
      </c>
      <c r="V531" s="10">
        <f t="shared" si="666"/>
        <v>0</v>
      </c>
      <c r="W531" s="10">
        <f t="shared" si="666"/>
        <v>0</v>
      </c>
      <c r="X531" s="10">
        <f t="shared" si="666"/>
        <v>0</v>
      </c>
      <c r="Y531" s="10">
        <f t="shared" si="666"/>
        <v>0</v>
      </c>
      <c r="Z531" s="10">
        <f t="shared" si="666"/>
        <v>0</v>
      </c>
      <c r="AA531" s="10">
        <f t="shared" si="666"/>
        <v>0</v>
      </c>
      <c r="AB531" s="10">
        <f t="shared" si="666"/>
        <v>0</v>
      </c>
      <c r="AC531" s="10">
        <f t="shared" si="666"/>
        <v>0</v>
      </c>
      <c r="AD531" s="10">
        <f t="shared" si="666"/>
        <v>1156</v>
      </c>
      <c r="AH531" s="34" t="s">
        <v>422</v>
      </c>
    </row>
    <row r="532" spans="4:34" outlineLevel="2" x14ac:dyDescent="0.2">
      <c r="D532" s="8" t="s">
        <v>283</v>
      </c>
      <c r="E532" s="10">
        <f t="shared" ref="E532:AD532" si="667">E564+E628</f>
        <v>0</v>
      </c>
      <c r="F532" s="10">
        <f t="shared" si="667"/>
        <v>0</v>
      </c>
      <c r="G532" s="10">
        <f t="shared" si="667"/>
        <v>0</v>
      </c>
      <c r="H532" s="10">
        <f t="shared" si="667"/>
        <v>0</v>
      </c>
      <c r="I532" s="10">
        <f t="shared" si="667"/>
        <v>0</v>
      </c>
      <c r="J532" s="10">
        <f t="shared" si="667"/>
        <v>0</v>
      </c>
      <c r="K532" s="10">
        <f t="shared" si="667"/>
        <v>0</v>
      </c>
      <c r="L532" s="10">
        <f t="shared" si="667"/>
        <v>0</v>
      </c>
      <c r="M532" s="10">
        <f t="shared" si="667"/>
        <v>0</v>
      </c>
      <c r="N532" s="10">
        <f t="shared" si="667"/>
        <v>0</v>
      </c>
      <c r="O532" s="10">
        <f t="shared" si="667"/>
        <v>0</v>
      </c>
      <c r="P532" s="10">
        <f t="shared" si="667"/>
        <v>0</v>
      </c>
      <c r="Q532" s="10">
        <f t="shared" si="667"/>
        <v>0</v>
      </c>
      <c r="R532" s="10">
        <f t="shared" si="667"/>
        <v>0</v>
      </c>
      <c r="S532" s="10">
        <f t="shared" si="667"/>
        <v>0</v>
      </c>
      <c r="T532" s="10">
        <f t="shared" si="667"/>
        <v>0</v>
      </c>
      <c r="U532" s="10">
        <f t="shared" si="667"/>
        <v>0</v>
      </c>
      <c r="V532" s="10">
        <f t="shared" si="667"/>
        <v>0</v>
      </c>
      <c r="W532" s="10">
        <f t="shared" si="667"/>
        <v>0</v>
      </c>
      <c r="X532" s="10">
        <f t="shared" si="667"/>
        <v>0</v>
      </c>
      <c r="Y532" s="10">
        <f t="shared" si="667"/>
        <v>0</v>
      </c>
      <c r="Z532" s="10">
        <f t="shared" si="667"/>
        <v>0</v>
      </c>
      <c r="AA532" s="10">
        <f t="shared" si="667"/>
        <v>0</v>
      </c>
      <c r="AB532" s="10">
        <f t="shared" si="667"/>
        <v>0</v>
      </c>
      <c r="AC532" s="10">
        <f t="shared" si="667"/>
        <v>0</v>
      </c>
      <c r="AD532" s="10">
        <f t="shared" si="667"/>
        <v>10780</v>
      </c>
      <c r="AH532" s="34" t="s">
        <v>422</v>
      </c>
    </row>
    <row r="533" spans="4:34" outlineLevel="2" x14ac:dyDescent="0.2">
      <c r="D533" s="8" t="s">
        <v>284</v>
      </c>
      <c r="E533" s="10">
        <f t="shared" ref="E533:AD533" si="668">E565+E629</f>
        <v>0</v>
      </c>
      <c r="F533" s="10">
        <f t="shared" si="668"/>
        <v>0</v>
      </c>
      <c r="G533" s="10">
        <f t="shared" si="668"/>
        <v>0</v>
      </c>
      <c r="H533" s="10">
        <f t="shared" si="668"/>
        <v>0</v>
      </c>
      <c r="I533" s="10">
        <f t="shared" si="668"/>
        <v>0</v>
      </c>
      <c r="J533" s="10">
        <f t="shared" si="668"/>
        <v>0</v>
      </c>
      <c r="K533" s="10">
        <f t="shared" si="668"/>
        <v>0</v>
      </c>
      <c r="L533" s="10">
        <f t="shared" si="668"/>
        <v>0</v>
      </c>
      <c r="M533" s="10">
        <f t="shared" si="668"/>
        <v>0</v>
      </c>
      <c r="N533" s="10">
        <f t="shared" si="668"/>
        <v>0</v>
      </c>
      <c r="O533" s="10">
        <f t="shared" si="668"/>
        <v>0</v>
      </c>
      <c r="P533" s="10">
        <f t="shared" si="668"/>
        <v>0</v>
      </c>
      <c r="Q533" s="10">
        <f t="shared" si="668"/>
        <v>0</v>
      </c>
      <c r="R533" s="10">
        <f t="shared" si="668"/>
        <v>0</v>
      </c>
      <c r="S533" s="10">
        <f t="shared" si="668"/>
        <v>0</v>
      </c>
      <c r="T533" s="10">
        <f t="shared" si="668"/>
        <v>0</v>
      </c>
      <c r="U533" s="10">
        <f t="shared" si="668"/>
        <v>0</v>
      </c>
      <c r="V533" s="10">
        <f t="shared" si="668"/>
        <v>0</v>
      </c>
      <c r="W533" s="10">
        <f t="shared" si="668"/>
        <v>0</v>
      </c>
      <c r="X533" s="10">
        <f t="shared" si="668"/>
        <v>0</v>
      </c>
      <c r="Y533" s="10">
        <f t="shared" si="668"/>
        <v>0</v>
      </c>
      <c r="Z533" s="10">
        <f t="shared" si="668"/>
        <v>0</v>
      </c>
      <c r="AA533" s="10">
        <f t="shared" si="668"/>
        <v>0</v>
      </c>
      <c r="AB533" s="10">
        <f t="shared" si="668"/>
        <v>0</v>
      </c>
      <c r="AC533" s="10">
        <f t="shared" si="668"/>
        <v>0</v>
      </c>
      <c r="AD533" s="10">
        <f t="shared" si="668"/>
        <v>1213.0450000000001</v>
      </c>
      <c r="AH533" s="34" t="s">
        <v>422</v>
      </c>
    </row>
    <row r="534" spans="4:34" ht="12.6" outlineLevel="2" thickBot="1" x14ac:dyDescent="0.25">
      <c r="D534" s="9" t="s">
        <v>139</v>
      </c>
      <c r="E534" s="17">
        <f t="shared" ref="E534" si="669">SUM(E506:E533)</f>
        <v>0</v>
      </c>
      <c r="F534" s="17">
        <f t="shared" ref="F534:AD534" si="670">SUM(F506:F533)</f>
        <v>0</v>
      </c>
      <c r="G534" s="17">
        <f t="shared" si="670"/>
        <v>0</v>
      </c>
      <c r="H534" s="17">
        <f t="shared" si="670"/>
        <v>0</v>
      </c>
      <c r="I534" s="17">
        <f t="shared" si="670"/>
        <v>0</v>
      </c>
      <c r="J534" s="17">
        <f t="shared" si="670"/>
        <v>0</v>
      </c>
      <c r="K534" s="17">
        <f t="shared" si="670"/>
        <v>0</v>
      </c>
      <c r="L534" s="17">
        <f t="shared" si="670"/>
        <v>0</v>
      </c>
      <c r="M534" s="17">
        <f t="shared" si="670"/>
        <v>0</v>
      </c>
      <c r="N534" s="17">
        <f t="shared" si="670"/>
        <v>0</v>
      </c>
      <c r="O534" s="17">
        <f t="shared" si="670"/>
        <v>0</v>
      </c>
      <c r="P534" s="17">
        <f t="shared" si="670"/>
        <v>0</v>
      </c>
      <c r="Q534" s="17">
        <f t="shared" si="670"/>
        <v>0</v>
      </c>
      <c r="R534" s="17">
        <f t="shared" si="670"/>
        <v>0</v>
      </c>
      <c r="S534" s="17">
        <f t="shared" si="670"/>
        <v>0</v>
      </c>
      <c r="T534" s="17">
        <f t="shared" si="670"/>
        <v>0</v>
      </c>
      <c r="U534" s="17">
        <f t="shared" si="670"/>
        <v>0</v>
      </c>
      <c r="V534" s="17">
        <f t="shared" si="670"/>
        <v>0</v>
      </c>
      <c r="W534" s="17">
        <f t="shared" si="670"/>
        <v>0</v>
      </c>
      <c r="X534" s="17">
        <f t="shared" si="670"/>
        <v>0</v>
      </c>
      <c r="Y534" s="17">
        <f t="shared" si="670"/>
        <v>0</v>
      </c>
      <c r="Z534" s="17">
        <f t="shared" si="670"/>
        <v>0</v>
      </c>
      <c r="AA534" s="17">
        <f t="shared" si="670"/>
        <v>0</v>
      </c>
      <c r="AB534" s="17">
        <f t="shared" si="670"/>
        <v>0</v>
      </c>
      <c r="AC534" s="17">
        <f t="shared" si="670"/>
        <v>0</v>
      </c>
      <c r="AD534" s="17">
        <f t="shared" si="670"/>
        <v>120534.389</v>
      </c>
      <c r="AH534" s="34" t="s">
        <v>422</v>
      </c>
    </row>
    <row r="535" spans="4:34" ht="12" outlineLevel="2" thickTop="1" x14ac:dyDescent="0.2">
      <c r="AH535" s="34" t="s">
        <v>422</v>
      </c>
    </row>
    <row r="536" spans="4:34" ht="13.2" outlineLevel="2" x14ac:dyDescent="0.2">
      <c r="E536" s="2" t="s">
        <v>313</v>
      </c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H536" s="34" t="s">
        <v>422</v>
      </c>
    </row>
    <row r="537" spans="4:34" outlineLevel="2" x14ac:dyDescent="0.2">
      <c r="E537" s="7">
        <v>43831</v>
      </c>
      <c r="F537" s="7">
        <f t="shared" ref="F537" si="671">EDATE(E537,12)</f>
        <v>44197</v>
      </c>
      <c r="G537" s="7">
        <f t="shared" ref="G537" si="672">EDATE(F537,12)</f>
        <v>44562</v>
      </c>
      <c r="H537" s="7">
        <f t="shared" ref="H537" si="673">EDATE(G537,12)</f>
        <v>44927</v>
      </c>
      <c r="I537" s="7">
        <f t="shared" ref="I537" si="674">EDATE(H537,12)</f>
        <v>45292</v>
      </c>
      <c r="J537" s="7">
        <f t="shared" ref="J537" si="675">EDATE(I537,12)</f>
        <v>45658</v>
      </c>
      <c r="K537" s="7">
        <f t="shared" ref="K537" si="676">EDATE(J537,12)</f>
        <v>46023</v>
      </c>
      <c r="L537" s="7">
        <f t="shared" ref="L537" si="677">EDATE(K537,12)</f>
        <v>46388</v>
      </c>
      <c r="M537" s="7">
        <f t="shared" ref="M537" si="678">EDATE(L537,12)</f>
        <v>46753</v>
      </c>
      <c r="N537" s="7">
        <f t="shared" ref="N537" si="679">EDATE(M537,12)</f>
        <v>47119</v>
      </c>
      <c r="O537" s="7">
        <f t="shared" ref="O537" si="680">EDATE(N537,12)</f>
        <v>47484</v>
      </c>
      <c r="P537" s="7">
        <f t="shared" ref="P537" si="681">EDATE(O537,12)</f>
        <v>47849</v>
      </c>
      <c r="Q537" s="7">
        <f t="shared" ref="Q537" si="682">EDATE(P537,12)</f>
        <v>48214</v>
      </c>
      <c r="R537" s="7">
        <f t="shared" ref="R537" si="683">EDATE(Q537,12)</f>
        <v>48580</v>
      </c>
      <c r="S537" s="7">
        <f t="shared" ref="S537" si="684">EDATE(R537,12)</f>
        <v>48945</v>
      </c>
      <c r="T537" s="7">
        <f t="shared" ref="T537" si="685">EDATE(S537,12)</f>
        <v>49310</v>
      </c>
      <c r="U537" s="7">
        <f t="shared" ref="U537" si="686">EDATE(T537,12)</f>
        <v>49675</v>
      </c>
      <c r="V537" s="7">
        <f t="shared" ref="V537" si="687">EDATE(U537,12)</f>
        <v>50041</v>
      </c>
      <c r="W537" s="7">
        <f t="shared" ref="W537" si="688">EDATE(V537,12)</f>
        <v>50406</v>
      </c>
      <c r="X537" s="7">
        <f t="shared" ref="X537" si="689">EDATE(W537,12)</f>
        <v>50771</v>
      </c>
      <c r="Y537" s="7">
        <f t="shared" ref="Y537" si="690">EDATE(X537,12)</f>
        <v>51136</v>
      </c>
      <c r="Z537" s="7">
        <f t="shared" ref="Z537" si="691">EDATE(Y537,12)</f>
        <v>51502</v>
      </c>
      <c r="AA537" s="7">
        <f t="shared" ref="AA537" si="692">EDATE(Z537,12)</f>
        <v>51867</v>
      </c>
      <c r="AB537" s="7">
        <f t="shared" ref="AB537" si="693">EDATE(AA537,12)</f>
        <v>52232</v>
      </c>
      <c r="AC537" s="7">
        <f t="shared" ref="AC537" si="694">EDATE(AB537,12)</f>
        <v>52597</v>
      </c>
      <c r="AD537" s="7">
        <f>EDATE(AC537,12)</f>
        <v>52963</v>
      </c>
      <c r="AH537" s="34" t="s">
        <v>422</v>
      </c>
    </row>
    <row r="538" spans="4:34" outlineLevel="2" x14ac:dyDescent="0.2">
      <c r="D538" s="8" t="s">
        <v>257</v>
      </c>
      <c r="E538" s="10">
        <f>SUMIFS('Custom Constraints'!$D:$D,'Custom Constraints'!$A:$A,"caiso-deliverability_"&amp;SUBSTITUTE(Dashboard!$D538,"_group",Dashboard!$D$503)&amp;"."&amp;YEAR(Dashboard!E$537))</f>
        <v>0</v>
      </c>
      <c r="F538" s="10">
        <f>SUMIFS('Custom Constraints'!$D:$D,'Custom Constraints'!$A:$A,"caiso-deliverability_"&amp;SUBSTITUTE(Dashboard!$D538,"_group",Dashboard!$D$503)&amp;"."&amp;YEAR(Dashboard!F$537))</f>
        <v>0</v>
      </c>
      <c r="G538" s="10">
        <f>SUMIFS('Custom Constraints'!$D:$D,'Custom Constraints'!$A:$A,"caiso-deliverability_"&amp;SUBSTITUTE(Dashboard!$D538,"_group",Dashboard!$D$503)&amp;"."&amp;YEAR(Dashboard!G$537))</f>
        <v>0</v>
      </c>
      <c r="H538" s="10">
        <f>SUMIFS('Custom Constraints'!$D:$D,'Custom Constraints'!$A:$A,"caiso-deliverability_"&amp;SUBSTITUTE(Dashboard!$D538,"_group",Dashboard!$D$503)&amp;"."&amp;YEAR(Dashboard!H$537))</f>
        <v>0</v>
      </c>
      <c r="I538" s="10">
        <f>SUMIFS('Custom Constraints'!$D:$D,'Custom Constraints'!$A:$A,"caiso-deliverability_"&amp;SUBSTITUTE(Dashboard!$D538,"_group",Dashboard!$D$503)&amp;"."&amp;YEAR(Dashboard!I$537))</f>
        <v>0</v>
      </c>
      <c r="J538" s="10">
        <f>SUMIFS('Custom Constraints'!$D:$D,'Custom Constraints'!$A:$A,"caiso-deliverability_"&amp;SUBSTITUTE(Dashboard!$D538,"_group",Dashboard!$D$503)&amp;"."&amp;YEAR(Dashboard!J$537))</f>
        <v>0</v>
      </c>
      <c r="K538" s="10">
        <f>SUMIFS('Custom Constraints'!$D:$D,'Custom Constraints'!$A:$A,"caiso-deliverability_"&amp;SUBSTITUTE(Dashboard!$D538,"_group",Dashboard!$D$503)&amp;"."&amp;YEAR(Dashboard!K$537))</f>
        <v>0</v>
      </c>
      <c r="L538" s="10">
        <f>SUMIFS('Custom Constraints'!$D:$D,'Custom Constraints'!$A:$A,"caiso-deliverability_"&amp;SUBSTITUTE(Dashboard!$D538,"_group",Dashboard!$D$503)&amp;"."&amp;YEAR(Dashboard!L$537))</f>
        <v>0</v>
      </c>
      <c r="M538" s="10">
        <f>SUMIFS('Custom Constraints'!$D:$D,'Custom Constraints'!$A:$A,"caiso-deliverability_"&amp;SUBSTITUTE(Dashboard!$D538,"_group",Dashboard!$D$503)&amp;"."&amp;YEAR(Dashboard!M$537))</f>
        <v>0</v>
      </c>
      <c r="N538" s="10">
        <f>SUMIFS('Custom Constraints'!$D:$D,'Custom Constraints'!$A:$A,"caiso-deliverability_"&amp;SUBSTITUTE(Dashboard!$D538,"_group",Dashboard!$D$503)&amp;"."&amp;YEAR(Dashboard!N$537))</f>
        <v>0</v>
      </c>
      <c r="O538" s="10">
        <f>SUMIFS('Custom Constraints'!$D:$D,'Custom Constraints'!$A:$A,"caiso-deliverability_"&amp;SUBSTITUTE(Dashboard!$D538,"_group",Dashboard!$D$503)&amp;"."&amp;YEAR(Dashboard!O$537))</f>
        <v>0</v>
      </c>
      <c r="P538" s="10">
        <f>SUMIFS('Custom Constraints'!$D:$D,'Custom Constraints'!$A:$A,"caiso-deliverability_"&amp;SUBSTITUTE(Dashboard!$D538,"_group",Dashboard!$D$503)&amp;"."&amp;YEAR(Dashboard!P$537))</f>
        <v>0</v>
      </c>
      <c r="Q538" s="10">
        <f>SUMIFS('Custom Constraints'!$D:$D,'Custom Constraints'!$A:$A,"caiso-deliverability_"&amp;SUBSTITUTE(Dashboard!$D538,"_group",Dashboard!$D$503)&amp;"."&amp;YEAR(Dashboard!Q$537))</f>
        <v>0</v>
      </c>
      <c r="R538" s="10">
        <f>SUMIFS('Custom Constraints'!$D:$D,'Custom Constraints'!$A:$A,"caiso-deliverability_"&amp;SUBSTITUTE(Dashboard!$D538,"_group",Dashboard!$D$503)&amp;"."&amp;YEAR(Dashboard!R$537))</f>
        <v>0</v>
      </c>
      <c r="S538" s="10">
        <f>SUMIFS('Custom Constraints'!$D:$D,'Custom Constraints'!$A:$A,"caiso-deliverability_"&amp;SUBSTITUTE(Dashboard!$D538,"_group",Dashboard!$D$503)&amp;"."&amp;YEAR(Dashboard!S$537))</f>
        <v>0</v>
      </c>
      <c r="T538" s="10">
        <f>SUMIFS('Custom Constraints'!$D:$D,'Custom Constraints'!$A:$A,"caiso-deliverability_"&amp;SUBSTITUTE(Dashboard!$D538,"_group",Dashboard!$D$503)&amp;"."&amp;YEAR(Dashboard!T$537))</f>
        <v>0</v>
      </c>
      <c r="U538" s="10">
        <f>SUMIFS('Custom Constraints'!$D:$D,'Custom Constraints'!$A:$A,"caiso-deliverability_"&amp;SUBSTITUTE(Dashboard!$D538,"_group",Dashboard!$D$503)&amp;"."&amp;YEAR(Dashboard!U$537))</f>
        <v>0</v>
      </c>
      <c r="V538" s="10">
        <f>SUMIFS('Custom Constraints'!$D:$D,'Custom Constraints'!$A:$A,"caiso-deliverability_"&amp;SUBSTITUTE(Dashboard!$D538,"_group",Dashboard!$D$503)&amp;"."&amp;YEAR(Dashboard!V$537))</f>
        <v>0</v>
      </c>
      <c r="W538" s="10">
        <f>SUMIFS('Custom Constraints'!$D:$D,'Custom Constraints'!$A:$A,"caiso-deliverability_"&amp;SUBSTITUTE(Dashboard!$D538,"_group",Dashboard!$D$503)&amp;"."&amp;YEAR(Dashboard!W$537))</f>
        <v>0</v>
      </c>
      <c r="X538" s="10">
        <f>SUMIFS('Custom Constraints'!$D:$D,'Custom Constraints'!$A:$A,"caiso-deliverability_"&amp;SUBSTITUTE(Dashboard!$D538,"_group",Dashboard!$D$503)&amp;"."&amp;YEAR(Dashboard!X$537))</f>
        <v>0</v>
      </c>
      <c r="Y538" s="10">
        <f>SUMIFS('Custom Constraints'!$D:$D,'Custom Constraints'!$A:$A,"caiso-deliverability_"&amp;SUBSTITUTE(Dashboard!$D538,"_group",Dashboard!$D$503)&amp;"."&amp;YEAR(Dashboard!Y$537))</f>
        <v>0</v>
      </c>
      <c r="Z538" s="10">
        <f>SUMIFS('Custom Constraints'!$D:$D,'Custom Constraints'!$A:$A,"caiso-deliverability_"&amp;SUBSTITUTE(Dashboard!$D538,"_group",Dashboard!$D$503)&amp;"."&amp;YEAR(Dashboard!Z$537))</f>
        <v>0</v>
      </c>
      <c r="AA538" s="10">
        <f>SUMIFS('Custom Constraints'!$D:$D,'Custom Constraints'!$A:$A,"caiso-deliverability_"&amp;SUBSTITUTE(Dashboard!$D538,"_group",Dashboard!$D$503)&amp;"."&amp;YEAR(Dashboard!AA$537))</f>
        <v>0</v>
      </c>
      <c r="AB538" s="10">
        <f>SUMIFS('Custom Constraints'!$D:$D,'Custom Constraints'!$A:$A,"caiso-deliverability_"&amp;SUBSTITUTE(Dashboard!$D538,"_group",Dashboard!$D$503)&amp;"."&amp;YEAR(Dashboard!AB$537))</f>
        <v>0</v>
      </c>
      <c r="AC538" s="10">
        <f>SUMIFS('Custom Constraints'!$D:$D,'Custom Constraints'!$A:$A,"caiso-deliverability_"&amp;SUBSTITUTE(Dashboard!$D538,"_group",Dashboard!$D$503)&amp;"."&amp;YEAR(Dashboard!AC$537))</f>
        <v>0</v>
      </c>
      <c r="AD538" s="10">
        <f>SUMIFS('Custom Constraints'!$D:$D,'Custom Constraints'!$A:$A,"caiso-deliverability_"&amp;SUBSTITUTE(Dashboard!$D538,"_group",Dashboard!$D$503)&amp;"."&amp;YEAR(Dashboard!AD$537))</f>
        <v>1490</v>
      </c>
      <c r="AH538" s="34" t="s">
        <v>422</v>
      </c>
    </row>
    <row r="539" spans="4:34" outlineLevel="2" x14ac:dyDescent="0.2">
      <c r="D539" s="8" t="s">
        <v>258</v>
      </c>
      <c r="E539" s="10">
        <f>SUMIFS('Custom Constraints'!$D:$D,'Custom Constraints'!$A:$A,"caiso-deliverability_"&amp;SUBSTITUTE(Dashboard!$D539,"_group",Dashboard!$D$503)&amp;"."&amp;YEAR(Dashboard!E$537))</f>
        <v>0</v>
      </c>
      <c r="F539" s="10">
        <f>SUMIFS('Custom Constraints'!$D:$D,'Custom Constraints'!$A:$A,"caiso-deliverability_"&amp;SUBSTITUTE(Dashboard!$D539,"_group",Dashboard!$D$503)&amp;"."&amp;YEAR(Dashboard!F$537))</f>
        <v>0</v>
      </c>
      <c r="G539" s="10">
        <f>SUMIFS('Custom Constraints'!$D:$D,'Custom Constraints'!$A:$A,"caiso-deliverability_"&amp;SUBSTITUTE(Dashboard!$D539,"_group",Dashboard!$D$503)&amp;"."&amp;YEAR(Dashboard!G$537))</f>
        <v>0</v>
      </c>
      <c r="H539" s="10">
        <f>SUMIFS('Custom Constraints'!$D:$D,'Custom Constraints'!$A:$A,"caiso-deliverability_"&amp;SUBSTITUTE(Dashboard!$D539,"_group",Dashboard!$D$503)&amp;"."&amp;YEAR(Dashboard!H$537))</f>
        <v>0</v>
      </c>
      <c r="I539" s="10">
        <f>SUMIFS('Custom Constraints'!$D:$D,'Custom Constraints'!$A:$A,"caiso-deliverability_"&amp;SUBSTITUTE(Dashboard!$D539,"_group",Dashboard!$D$503)&amp;"."&amp;YEAR(Dashboard!I$537))</f>
        <v>0</v>
      </c>
      <c r="J539" s="10">
        <f>SUMIFS('Custom Constraints'!$D:$D,'Custom Constraints'!$A:$A,"caiso-deliverability_"&amp;SUBSTITUTE(Dashboard!$D539,"_group",Dashboard!$D$503)&amp;"."&amp;YEAR(Dashboard!J$537))</f>
        <v>0</v>
      </c>
      <c r="K539" s="10">
        <f>SUMIFS('Custom Constraints'!$D:$D,'Custom Constraints'!$A:$A,"caiso-deliverability_"&amp;SUBSTITUTE(Dashboard!$D539,"_group",Dashboard!$D$503)&amp;"."&amp;YEAR(Dashboard!K$537))</f>
        <v>0</v>
      </c>
      <c r="L539" s="10">
        <f>SUMIFS('Custom Constraints'!$D:$D,'Custom Constraints'!$A:$A,"caiso-deliverability_"&amp;SUBSTITUTE(Dashboard!$D539,"_group",Dashboard!$D$503)&amp;"."&amp;YEAR(Dashboard!L$537))</f>
        <v>0</v>
      </c>
      <c r="M539" s="10">
        <f>SUMIFS('Custom Constraints'!$D:$D,'Custom Constraints'!$A:$A,"caiso-deliverability_"&amp;SUBSTITUTE(Dashboard!$D539,"_group",Dashboard!$D$503)&amp;"."&amp;YEAR(Dashboard!M$537))</f>
        <v>0</v>
      </c>
      <c r="N539" s="10">
        <f>SUMIFS('Custom Constraints'!$D:$D,'Custom Constraints'!$A:$A,"caiso-deliverability_"&amp;SUBSTITUTE(Dashboard!$D539,"_group",Dashboard!$D$503)&amp;"."&amp;YEAR(Dashboard!N$537))</f>
        <v>0</v>
      </c>
      <c r="O539" s="10">
        <f>SUMIFS('Custom Constraints'!$D:$D,'Custom Constraints'!$A:$A,"caiso-deliverability_"&amp;SUBSTITUTE(Dashboard!$D539,"_group",Dashboard!$D$503)&amp;"."&amp;YEAR(Dashboard!O$537))</f>
        <v>0</v>
      </c>
      <c r="P539" s="10">
        <f>SUMIFS('Custom Constraints'!$D:$D,'Custom Constraints'!$A:$A,"caiso-deliverability_"&amp;SUBSTITUTE(Dashboard!$D539,"_group",Dashboard!$D$503)&amp;"."&amp;YEAR(Dashboard!P$537))</f>
        <v>0</v>
      </c>
      <c r="Q539" s="10">
        <f>SUMIFS('Custom Constraints'!$D:$D,'Custom Constraints'!$A:$A,"caiso-deliverability_"&amp;SUBSTITUTE(Dashboard!$D539,"_group",Dashboard!$D$503)&amp;"."&amp;YEAR(Dashboard!Q$537))</f>
        <v>0</v>
      </c>
      <c r="R539" s="10">
        <f>SUMIFS('Custom Constraints'!$D:$D,'Custom Constraints'!$A:$A,"caiso-deliverability_"&amp;SUBSTITUTE(Dashboard!$D539,"_group",Dashboard!$D$503)&amp;"."&amp;YEAR(Dashboard!R$537))</f>
        <v>0</v>
      </c>
      <c r="S539" s="10">
        <f>SUMIFS('Custom Constraints'!$D:$D,'Custom Constraints'!$A:$A,"caiso-deliverability_"&amp;SUBSTITUTE(Dashboard!$D539,"_group",Dashboard!$D$503)&amp;"."&amp;YEAR(Dashboard!S$537))</f>
        <v>0</v>
      </c>
      <c r="T539" s="10">
        <f>SUMIFS('Custom Constraints'!$D:$D,'Custom Constraints'!$A:$A,"caiso-deliverability_"&amp;SUBSTITUTE(Dashboard!$D539,"_group",Dashboard!$D$503)&amp;"."&amp;YEAR(Dashboard!T$537))</f>
        <v>0</v>
      </c>
      <c r="U539" s="10">
        <f>SUMIFS('Custom Constraints'!$D:$D,'Custom Constraints'!$A:$A,"caiso-deliverability_"&amp;SUBSTITUTE(Dashboard!$D539,"_group",Dashboard!$D$503)&amp;"."&amp;YEAR(Dashboard!U$537))</f>
        <v>0</v>
      </c>
      <c r="V539" s="10">
        <f>SUMIFS('Custom Constraints'!$D:$D,'Custom Constraints'!$A:$A,"caiso-deliverability_"&amp;SUBSTITUTE(Dashboard!$D539,"_group",Dashboard!$D$503)&amp;"."&amp;YEAR(Dashboard!V$537))</f>
        <v>0</v>
      </c>
      <c r="W539" s="10">
        <f>SUMIFS('Custom Constraints'!$D:$D,'Custom Constraints'!$A:$A,"caiso-deliverability_"&amp;SUBSTITUTE(Dashboard!$D539,"_group",Dashboard!$D$503)&amp;"."&amp;YEAR(Dashboard!W$537))</f>
        <v>0</v>
      </c>
      <c r="X539" s="10">
        <f>SUMIFS('Custom Constraints'!$D:$D,'Custom Constraints'!$A:$A,"caiso-deliverability_"&amp;SUBSTITUTE(Dashboard!$D539,"_group",Dashboard!$D$503)&amp;"."&amp;YEAR(Dashboard!X$537))</f>
        <v>0</v>
      </c>
      <c r="Y539" s="10">
        <f>SUMIFS('Custom Constraints'!$D:$D,'Custom Constraints'!$A:$A,"caiso-deliverability_"&amp;SUBSTITUTE(Dashboard!$D539,"_group",Dashboard!$D$503)&amp;"."&amp;YEAR(Dashboard!Y$537))</f>
        <v>0</v>
      </c>
      <c r="Z539" s="10">
        <f>SUMIFS('Custom Constraints'!$D:$D,'Custom Constraints'!$A:$A,"caiso-deliverability_"&amp;SUBSTITUTE(Dashboard!$D539,"_group",Dashboard!$D$503)&amp;"."&amp;YEAR(Dashboard!Z$537))</f>
        <v>0</v>
      </c>
      <c r="AA539" s="10">
        <f>SUMIFS('Custom Constraints'!$D:$D,'Custom Constraints'!$A:$A,"caiso-deliverability_"&amp;SUBSTITUTE(Dashboard!$D539,"_group",Dashboard!$D$503)&amp;"."&amp;YEAR(Dashboard!AA$537))</f>
        <v>0</v>
      </c>
      <c r="AB539" s="10">
        <f>SUMIFS('Custom Constraints'!$D:$D,'Custom Constraints'!$A:$A,"caiso-deliverability_"&amp;SUBSTITUTE(Dashboard!$D539,"_group",Dashboard!$D$503)&amp;"."&amp;YEAR(Dashboard!AB$537))</f>
        <v>0</v>
      </c>
      <c r="AC539" s="10">
        <f>SUMIFS('Custom Constraints'!$D:$D,'Custom Constraints'!$A:$A,"caiso-deliverability_"&amp;SUBSTITUTE(Dashboard!$D539,"_group",Dashboard!$D$503)&amp;"."&amp;YEAR(Dashboard!AC$537))</f>
        <v>0</v>
      </c>
      <c r="AD539" s="10">
        <f>SUMIFS('Custom Constraints'!$D:$D,'Custom Constraints'!$A:$A,"caiso-deliverability_"&amp;SUBSTITUTE(Dashboard!$D539,"_group",Dashboard!$D$503)&amp;"."&amp;YEAR(Dashboard!AD$537))</f>
        <v>1523</v>
      </c>
      <c r="AH539" s="34" t="s">
        <v>422</v>
      </c>
    </row>
    <row r="540" spans="4:34" outlineLevel="2" x14ac:dyDescent="0.2">
      <c r="D540" s="8" t="s">
        <v>259</v>
      </c>
      <c r="E540" s="10">
        <f>SUMIFS('Custom Constraints'!$D:$D,'Custom Constraints'!$A:$A,"caiso-deliverability_"&amp;SUBSTITUTE(Dashboard!$D540,"_group",Dashboard!$D$503)&amp;"."&amp;YEAR(Dashboard!E$537))</f>
        <v>0</v>
      </c>
      <c r="F540" s="10">
        <f>SUMIFS('Custom Constraints'!$D:$D,'Custom Constraints'!$A:$A,"caiso-deliverability_"&amp;SUBSTITUTE(Dashboard!$D540,"_group",Dashboard!$D$503)&amp;"."&amp;YEAR(Dashboard!F$537))</f>
        <v>0</v>
      </c>
      <c r="G540" s="10">
        <f>SUMIFS('Custom Constraints'!$D:$D,'Custom Constraints'!$A:$A,"caiso-deliverability_"&amp;SUBSTITUTE(Dashboard!$D540,"_group",Dashboard!$D$503)&amp;"."&amp;YEAR(Dashboard!G$537))</f>
        <v>0</v>
      </c>
      <c r="H540" s="10">
        <f>SUMIFS('Custom Constraints'!$D:$D,'Custom Constraints'!$A:$A,"caiso-deliverability_"&amp;SUBSTITUTE(Dashboard!$D540,"_group",Dashboard!$D$503)&amp;"."&amp;YEAR(Dashboard!H$537))</f>
        <v>0</v>
      </c>
      <c r="I540" s="10">
        <f>SUMIFS('Custom Constraints'!$D:$D,'Custom Constraints'!$A:$A,"caiso-deliverability_"&amp;SUBSTITUTE(Dashboard!$D540,"_group",Dashboard!$D$503)&amp;"."&amp;YEAR(Dashboard!I$537))</f>
        <v>0</v>
      </c>
      <c r="J540" s="10">
        <f>SUMIFS('Custom Constraints'!$D:$D,'Custom Constraints'!$A:$A,"caiso-deliverability_"&amp;SUBSTITUTE(Dashboard!$D540,"_group",Dashboard!$D$503)&amp;"."&amp;YEAR(Dashboard!J$537))</f>
        <v>0</v>
      </c>
      <c r="K540" s="10">
        <f>SUMIFS('Custom Constraints'!$D:$D,'Custom Constraints'!$A:$A,"caiso-deliverability_"&amp;SUBSTITUTE(Dashboard!$D540,"_group",Dashboard!$D$503)&amp;"."&amp;YEAR(Dashboard!K$537))</f>
        <v>0</v>
      </c>
      <c r="L540" s="10">
        <f>SUMIFS('Custom Constraints'!$D:$D,'Custom Constraints'!$A:$A,"caiso-deliverability_"&amp;SUBSTITUTE(Dashboard!$D540,"_group",Dashboard!$D$503)&amp;"."&amp;YEAR(Dashboard!L$537))</f>
        <v>0</v>
      </c>
      <c r="M540" s="10">
        <f>SUMIFS('Custom Constraints'!$D:$D,'Custom Constraints'!$A:$A,"caiso-deliverability_"&amp;SUBSTITUTE(Dashboard!$D540,"_group",Dashboard!$D$503)&amp;"."&amp;YEAR(Dashboard!M$537))</f>
        <v>0</v>
      </c>
      <c r="N540" s="10">
        <f>SUMIFS('Custom Constraints'!$D:$D,'Custom Constraints'!$A:$A,"caiso-deliverability_"&amp;SUBSTITUTE(Dashboard!$D540,"_group",Dashboard!$D$503)&amp;"."&amp;YEAR(Dashboard!N$537))</f>
        <v>0</v>
      </c>
      <c r="O540" s="10">
        <f>SUMIFS('Custom Constraints'!$D:$D,'Custom Constraints'!$A:$A,"caiso-deliverability_"&amp;SUBSTITUTE(Dashboard!$D540,"_group",Dashboard!$D$503)&amp;"."&amp;YEAR(Dashboard!O$537))</f>
        <v>0</v>
      </c>
      <c r="P540" s="10">
        <f>SUMIFS('Custom Constraints'!$D:$D,'Custom Constraints'!$A:$A,"caiso-deliverability_"&amp;SUBSTITUTE(Dashboard!$D540,"_group",Dashboard!$D$503)&amp;"."&amp;YEAR(Dashboard!P$537))</f>
        <v>0</v>
      </c>
      <c r="Q540" s="10">
        <f>SUMIFS('Custom Constraints'!$D:$D,'Custom Constraints'!$A:$A,"caiso-deliverability_"&amp;SUBSTITUTE(Dashboard!$D540,"_group",Dashboard!$D$503)&amp;"."&amp;YEAR(Dashboard!Q$537))</f>
        <v>0</v>
      </c>
      <c r="R540" s="10">
        <f>SUMIFS('Custom Constraints'!$D:$D,'Custom Constraints'!$A:$A,"caiso-deliverability_"&amp;SUBSTITUTE(Dashboard!$D540,"_group",Dashboard!$D$503)&amp;"."&amp;YEAR(Dashboard!R$537))</f>
        <v>0</v>
      </c>
      <c r="S540" s="10">
        <f>SUMIFS('Custom Constraints'!$D:$D,'Custom Constraints'!$A:$A,"caiso-deliverability_"&amp;SUBSTITUTE(Dashboard!$D540,"_group",Dashboard!$D$503)&amp;"."&amp;YEAR(Dashboard!S$537))</f>
        <v>0</v>
      </c>
      <c r="T540" s="10">
        <f>SUMIFS('Custom Constraints'!$D:$D,'Custom Constraints'!$A:$A,"caiso-deliverability_"&amp;SUBSTITUTE(Dashboard!$D540,"_group",Dashboard!$D$503)&amp;"."&amp;YEAR(Dashboard!T$537))</f>
        <v>0</v>
      </c>
      <c r="U540" s="10">
        <f>SUMIFS('Custom Constraints'!$D:$D,'Custom Constraints'!$A:$A,"caiso-deliverability_"&amp;SUBSTITUTE(Dashboard!$D540,"_group",Dashboard!$D$503)&amp;"."&amp;YEAR(Dashboard!U$537))</f>
        <v>0</v>
      </c>
      <c r="V540" s="10">
        <f>SUMIFS('Custom Constraints'!$D:$D,'Custom Constraints'!$A:$A,"caiso-deliverability_"&amp;SUBSTITUTE(Dashboard!$D540,"_group",Dashboard!$D$503)&amp;"."&amp;YEAR(Dashboard!V$537))</f>
        <v>0</v>
      </c>
      <c r="W540" s="10">
        <f>SUMIFS('Custom Constraints'!$D:$D,'Custom Constraints'!$A:$A,"caiso-deliverability_"&amp;SUBSTITUTE(Dashboard!$D540,"_group",Dashboard!$D$503)&amp;"."&amp;YEAR(Dashboard!W$537))</f>
        <v>0</v>
      </c>
      <c r="X540" s="10">
        <f>SUMIFS('Custom Constraints'!$D:$D,'Custom Constraints'!$A:$A,"caiso-deliverability_"&amp;SUBSTITUTE(Dashboard!$D540,"_group",Dashboard!$D$503)&amp;"."&amp;YEAR(Dashboard!X$537))</f>
        <v>0</v>
      </c>
      <c r="Y540" s="10">
        <f>SUMIFS('Custom Constraints'!$D:$D,'Custom Constraints'!$A:$A,"caiso-deliverability_"&amp;SUBSTITUTE(Dashboard!$D540,"_group",Dashboard!$D$503)&amp;"."&amp;YEAR(Dashboard!Y$537))</f>
        <v>0</v>
      </c>
      <c r="Z540" s="10">
        <f>SUMIFS('Custom Constraints'!$D:$D,'Custom Constraints'!$A:$A,"caiso-deliverability_"&amp;SUBSTITUTE(Dashboard!$D540,"_group",Dashboard!$D$503)&amp;"."&amp;YEAR(Dashboard!Z$537))</f>
        <v>0</v>
      </c>
      <c r="AA540" s="10">
        <f>SUMIFS('Custom Constraints'!$D:$D,'Custom Constraints'!$A:$A,"caiso-deliverability_"&amp;SUBSTITUTE(Dashboard!$D540,"_group",Dashboard!$D$503)&amp;"."&amp;YEAR(Dashboard!AA$537))</f>
        <v>0</v>
      </c>
      <c r="AB540" s="10">
        <f>SUMIFS('Custom Constraints'!$D:$D,'Custom Constraints'!$A:$A,"caiso-deliverability_"&amp;SUBSTITUTE(Dashboard!$D540,"_group",Dashboard!$D$503)&amp;"."&amp;YEAR(Dashboard!AB$537))</f>
        <v>0</v>
      </c>
      <c r="AC540" s="10">
        <f>SUMIFS('Custom Constraints'!$D:$D,'Custom Constraints'!$A:$A,"caiso-deliverability_"&amp;SUBSTITUTE(Dashboard!$D540,"_group",Dashboard!$D$503)&amp;"."&amp;YEAR(Dashboard!AC$537))</f>
        <v>0</v>
      </c>
      <c r="AD540" s="10">
        <f>SUMIFS('Custom Constraints'!$D:$D,'Custom Constraints'!$A:$A,"caiso-deliverability_"&amp;SUBSTITUTE(Dashboard!$D540,"_group",Dashboard!$D$503)&amp;"."&amp;YEAR(Dashboard!AD$537))</f>
        <v>454</v>
      </c>
      <c r="AH540" s="34" t="s">
        <v>422</v>
      </c>
    </row>
    <row r="541" spans="4:34" outlineLevel="2" x14ac:dyDescent="0.2">
      <c r="D541" s="8" t="s">
        <v>260</v>
      </c>
      <c r="E541" s="10">
        <f>SUMIFS('Custom Constraints'!$D:$D,'Custom Constraints'!$A:$A,"caiso-deliverability_"&amp;SUBSTITUTE(Dashboard!$D541,"_group",Dashboard!$D$503)&amp;"."&amp;YEAR(Dashboard!E$537))</f>
        <v>0</v>
      </c>
      <c r="F541" s="10">
        <f>SUMIFS('Custom Constraints'!$D:$D,'Custom Constraints'!$A:$A,"caiso-deliverability_"&amp;SUBSTITUTE(Dashboard!$D541,"_group",Dashboard!$D$503)&amp;"."&amp;YEAR(Dashboard!F$537))</f>
        <v>0</v>
      </c>
      <c r="G541" s="10">
        <f>SUMIFS('Custom Constraints'!$D:$D,'Custom Constraints'!$A:$A,"caiso-deliverability_"&amp;SUBSTITUTE(Dashboard!$D541,"_group",Dashboard!$D$503)&amp;"."&amp;YEAR(Dashboard!G$537))</f>
        <v>0</v>
      </c>
      <c r="H541" s="10">
        <f>SUMIFS('Custom Constraints'!$D:$D,'Custom Constraints'!$A:$A,"caiso-deliverability_"&amp;SUBSTITUTE(Dashboard!$D541,"_group",Dashboard!$D$503)&amp;"."&amp;YEAR(Dashboard!H$537))</f>
        <v>0</v>
      </c>
      <c r="I541" s="10">
        <f>SUMIFS('Custom Constraints'!$D:$D,'Custom Constraints'!$A:$A,"caiso-deliverability_"&amp;SUBSTITUTE(Dashboard!$D541,"_group",Dashboard!$D$503)&amp;"."&amp;YEAR(Dashboard!I$537))</f>
        <v>0</v>
      </c>
      <c r="J541" s="10">
        <f>SUMIFS('Custom Constraints'!$D:$D,'Custom Constraints'!$A:$A,"caiso-deliverability_"&amp;SUBSTITUTE(Dashboard!$D541,"_group",Dashboard!$D$503)&amp;"."&amp;YEAR(Dashboard!J$537))</f>
        <v>0</v>
      </c>
      <c r="K541" s="10">
        <f>SUMIFS('Custom Constraints'!$D:$D,'Custom Constraints'!$A:$A,"caiso-deliverability_"&amp;SUBSTITUTE(Dashboard!$D541,"_group",Dashboard!$D$503)&amp;"."&amp;YEAR(Dashboard!K$537))</f>
        <v>0</v>
      </c>
      <c r="L541" s="10">
        <f>SUMIFS('Custom Constraints'!$D:$D,'Custom Constraints'!$A:$A,"caiso-deliverability_"&amp;SUBSTITUTE(Dashboard!$D541,"_group",Dashboard!$D$503)&amp;"."&amp;YEAR(Dashboard!L$537))</f>
        <v>0</v>
      </c>
      <c r="M541" s="10">
        <f>SUMIFS('Custom Constraints'!$D:$D,'Custom Constraints'!$A:$A,"caiso-deliverability_"&amp;SUBSTITUTE(Dashboard!$D541,"_group",Dashboard!$D$503)&amp;"."&amp;YEAR(Dashboard!M$537))</f>
        <v>0</v>
      </c>
      <c r="N541" s="10">
        <f>SUMIFS('Custom Constraints'!$D:$D,'Custom Constraints'!$A:$A,"caiso-deliverability_"&amp;SUBSTITUTE(Dashboard!$D541,"_group",Dashboard!$D$503)&amp;"."&amp;YEAR(Dashboard!N$537))</f>
        <v>0</v>
      </c>
      <c r="O541" s="10">
        <f>SUMIFS('Custom Constraints'!$D:$D,'Custom Constraints'!$A:$A,"caiso-deliverability_"&amp;SUBSTITUTE(Dashboard!$D541,"_group",Dashboard!$D$503)&amp;"."&amp;YEAR(Dashboard!O$537))</f>
        <v>0</v>
      </c>
      <c r="P541" s="10">
        <f>SUMIFS('Custom Constraints'!$D:$D,'Custom Constraints'!$A:$A,"caiso-deliverability_"&amp;SUBSTITUTE(Dashboard!$D541,"_group",Dashboard!$D$503)&amp;"."&amp;YEAR(Dashboard!P$537))</f>
        <v>0</v>
      </c>
      <c r="Q541" s="10">
        <f>SUMIFS('Custom Constraints'!$D:$D,'Custom Constraints'!$A:$A,"caiso-deliverability_"&amp;SUBSTITUTE(Dashboard!$D541,"_group",Dashboard!$D$503)&amp;"."&amp;YEAR(Dashboard!Q$537))</f>
        <v>0</v>
      </c>
      <c r="R541" s="10">
        <f>SUMIFS('Custom Constraints'!$D:$D,'Custom Constraints'!$A:$A,"caiso-deliverability_"&amp;SUBSTITUTE(Dashboard!$D541,"_group",Dashboard!$D$503)&amp;"."&amp;YEAR(Dashboard!R$537))</f>
        <v>0</v>
      </c>
      <c r="S541" s="10">
        <f>SUMIFS('Custom Constraints'!$D:$D,'Custom Constraints'!$A:$A,"caiso-deliverability_"&amp;SUBSTITUTE(Dashboard!$D541,"_group",Dashboard!$D$503)&amp;"."&amp;YEAR(Dashboard!S$537))</f>
        <v>0</v>
      </c>
      <c r="T541" s="10">
        <f>SUMIFS('Custom Constraints'!$D:$D,'Custom Constraints'!$A:$A,"caiso-deliverability_"&amp;SUBSTITUTE(Dashboard!$D541,"_group",Dashboard!$D$503)&amp;"."&amp;YEAR(Dashboard!T$537))</f>
        <v>0</v>
      </c>
      <c r="U541" s="10">
        <f>SUMIFS('Custom Constraints'!$D:$D,'Custom Constraints'!$A:$A,"caiso-deliverability_"&amp;SUBSTITUTE(Dashboard!$D541,"_group",Dashboard!$D$503)&amp;"."&amp;YEAR(Dashboard!U$537))</f>
        <v>0</v>
      </c>
      <c r="V541" s="10">
        <f>SUMIFS('Custom Constraints'!$D:$D,'Custom Constraints'!$A:$A,"caiso-deliverability_"&amp;SUBSTITUTE(Dashboard!$D541,"_group",Dashboard!$D$503)&amp;"."&amp;YEAR(Dashboard!V$537))</f>
        <v>0</v>
      </c>
      <c r="W541" s="10">
        <f>SUMIFS('Custom Constraints'!$D:$D,'Custom Constraints'!$A:$A,"caiso-deliverability_"&amp;SUBSTITUTE(Dashboard!$D541,"_group",Dashboard!$D$503)&amp;"."&amp;YEAR(Dashboard!W$537))</f>
        <v>0</v>
      </c>
      <c r="X541" s="10">
        <f>SUMIFS('Custom Constraints'!$D:$D,'Custom Constraints'!$A:$A,"caiso-deliverability_"&amp;SUBSTITUTE(Dashboard!$D541,"_group",Dashboard!$D$503)&amp;"."&amp;YEAR(Dashboard!X$537))</f>
        <v>0</v>
      </c>
      <c r="Y541" s="10">
        <f>SUMIFS('Custom Constraints'!$D:$D,'Custom Constraints'!$A:$A,"caiso-deliverability_"&amp;SUBSTITUTE(Dashboard!$D541,"_group",Dashboard!$D$503)&amp;"."&amp;YEAR(Dashboard!Y$537))</f>
        <v>0</v>
      </c>
      <c r="Z541" s="10">
        <f>SUMIFS('Custom Constraints'!$D:$D,'Custom Constraints'!$A:$A,"caiso-deliverability_"&amp;SUBSTITUTE(Dashboard!$D541,"_group",Dashboard!$D$503)&amp;"."&amp;YEAR(Dashboard!Z$537))</f>
        <v>0</v>
      </c>
      <c r="AA541" s="10">
        <f>SUMIFS('Custom Constraints'!$D:$D,'Custom Constraints'!$A:$A,"caiso-deliverability_"&amp;SUBSTITUTE(Dashboard!$D541,"_group",Dashboard!$D$503)&amp;"."&amp;YEAR(Dashboard!AA$537))</f>
        <v>0</v>
      </c>
      <c r="AB541" s="10">
        <f>SUMIFS('Custom Constraints'!$D:$D,'Custom Constraints'!$A:$A,"caiso-deliverability_"&amp;SUBSTITUTE(Dashboard!$D541,"_group",Dashboard!$D$503)&amp;"."&amp;YEAR(Dashboard!AB$537))</f>
        <v>0</v>
      </c>
      <c r="AC541" s="10">
        <f>SUMIFS('Custom Constraints'!$D:$D,'Custom Constraints'!$A:$A,"caiso-deliverability_"&amp;SUBSTITUTE(Dashboard!$D541,"_group",Dashboard!$D$503)&amp;"."&amp;YEAR(Dashboard!AC$537))</f>
        <v>0</v>
      </c>
      <c r="AD541" s="10">
        <f>SUMIFS('Custom Constraints'!$D:$D,'Custom Constraints'!$A:$A,"caiso-deliverability_"&amp;SUBSTITUTE(Dashboard!$D541,"_group",Dashboard!$D$503)&amp;"."&amp;YEAR(Dashboard!AD$537))</f>
        <v>5400</v>
      </c>
      <c r="AH541" s="34" t="s">
        <v>422</v>
      </c>
    </row>
    <row r="542" spans="4:34" outlineLevel="2" x14ac:dyDescent="0.2">
      <c r="D542" s="8" t="s">
        <v>261</v>
      </c>
      <c r="E542" s="10">
        <f>SUMIFS('Custom Constraints'!$D:$D,'Custom Constraints'!$A:$A,"caiso-deliverability_"&amp;SUBSTITUTE(Dashboard!$D542,"_group",Dashboard!$D$503)&amp;"."&amp;YEAR(Dashboard!E$537))</f>
        <v>0</v>
      </c>
      <c r="F542" s="10">
        <f>SUMIFS('Custom Constraints'!$D:$D,'Custom Constraints'!$A:$A,"caiso-deliverability_"&amp;SUBSTITUTE(Dashboard!$D542,"_group",Dashboard!$D$503)&amp;"."&amp;YEAR(Dashboard!F$537))</f>
        <v>0</v>
      </c>
      <c r="G542" s="10">
        <f>SUMIFS('Custom Constraints'!$D:$D,'Custom Constraints'!$A:$A,"caiso-deliverability_"&amp;SUBSTITUTE(Dashboard!$D542,"_group",Dashboard!$D$503)&amp;"."&amp;YEAR(Dashboard!G$537))</f>
        <v>0</v>
      </c>
      <c r="H542" s="10">
        <f>SUMIFS('Custom Constraints'!$D:$D,'Custom Constraints'!$A:$A,"caiso-deliverability_"&amp;SUBSTITUTE(Dashboard!$D542,"_group",Dashboard!$D$503)&amp;"."&amp;YEAR(Dashboard!H$537))</f>
        <v>0</v>
      </c>
      <c r="I542" s="10">
        <f>SUMIFS('Custom Constraints'!$D:$D,'Custom Constraints'!$A:$A,"caiso-deliverability_"&amp;SUBSTITUTE(Dashboard!$D542,"_group",Dashboard!$D$503)&amp;"."&amp;YEAR(Dashboard!I$537))</f>
        <v>0</v>
      </c>
      <c r="J542" s="10">
        <f>SUMIFS('Custom Constraints'!$D:$D,'Custom Constraints'!$A:$A,"caiso-deliverability_"&amp;SUBSTITUTE(Dashboard!$D542,"_group",Dashboard!$D$503)&amp;"."&amp;YEAR(Dashboard!J$537))</f>
        <v>0</v>
      </c>
      <c r="K542" s="10">
        <f>SUMIFS('Custom Constraints'!$D:$D,'Custom Constraints'!$A:$A,"caiso-deliverability_"&amp;SUBSTITUTE(Dashboard!$D542,"_group",Dashboard!$D$503)&amp;"."&amp;YEAR(Dashboard!K$537))</f>
        <v>0</v>
      </c>
      <c r="L542" s="10">
        <f>SUMIFS('Custom Constraints'!$D:$D,'Custom Constraints'!$A:$A,"caiso-deliverability_"&amp;SUBSTITUTE(Dashboard!$D542,"_group",Dashboard!$D$503)&amp;"."&amp;YEAR(Dashboard!L$537))</f>
        <v>0</v>
      </c>
      <c r="M542" s="10">
        <f>SUMIFS('Custom Constraints'!$D:$D,'Custom Constraints'!$A:$A,"caiso-deliverability_"&amp;SUBSTITUTE(Dashboard!$D542,"_group",Dashboard!$D$503)&amp;"."&amp;YEAR(Dashboard!M$537))</f>
        <v>0</v>
      </c>
      <c r="N542" s="10">
        <f>SUMIFS('Custom Constraints'!$D:$D,'Custom Constraints'!$A:$A,"caiso-deliverability_"&amp;SUBSTITUTE(Dashboard!$D542,"_group",Dashboard!$D$503)&amp;"."&amp;YEAR(Dashboard!N$537))</f>
        <v>0</v>
      </c>
      <c r="O542" s="10">
        <f>SUMIFS('Custom Constraints'!$D:$D,'Custom Constraints'!$A:$A,"caiso-deliverability_"&amp;SUBSTITUTE(Dashboard!$D542,"_group",Dashboard!$D$503)&amp;"."&amp;YEAR(Dashboard!O$537))</f>
        <v>0</v>
      </c>
      <c r="P542" s="10">
        <f>SUMIFS('Custom Constraints'!$D:$D,'Custom Constraints'!$A:$A,"caiso-deliverability_"&amp;SUBSTITUTE(Dashboard!$D542,"_group",Dashboard!$D$503)&amp;"."&amp;YEAR(Dashboard!P$537))</f>
        <v>0</v>
      </c>
      <c r="Q542" s="10">
        <f>SUMIFS('Custom Constraints'!$D:$D,'Custom Constraints'!$A:$A,"caiso-deliverability_"&amp;SUBSTITUTE(Dashboard!$D542,"_group",Dashboard!$D$503)&amp;"."&amp;YEAR(Dashboard!Q$537))</f>
        <v>0</v>
      </c>
      <c r="R542" s="10">
        <f>SUMIFS('Custom Constraints'!$D:$D,'Custom Constraints'!$A:$A,"caiso-deliverability_"&amp;SUBSTITUTE(Dashboard!$D542,"_group",Dashboard!$D$503)&amp;"."&amp;YEAR(Dashboard!R$537))</f>
        <v>0</v>
      </c>
      <c r="S542" s="10">
        <f>SUMIFS('Custom Constraints'!$D:$D,'Custom Constraints'!$A:$A,"caiso-deliverability_"&amp;SUBSTITUTE(Dashboard!$D542,"_group",Dashboard!$D$503)&amp;"."&amp;YEAR(Dashboard!S$537))</f>
        <v>0</v>
      </c>
      <c r="T542" s="10">
        <f>SUMIFS('Custom Constraints'!$D:$D,'Custom Constraints'!$A:$A,"caiso-deliverability_"&amp;SUBSTITUTE(Dashboard!$D542,"_group",Dashboard!$D$503)&amp;"."&amp;YEAR(Dashboard!T$537))</f>
        <v>0</v>
      </c>
      <c r="U542" s="10">
        <f>SUMIFS('Custom Constraints'!$D:$D,'Custom Constraints'!$A:$A,"caiso-deliverability_"&amp;SUBSTITUTE(Dashboard!$D542,"_group",Dashboard!$D$503)&amp;"."&amp;YEAR(Dashboard!U$537))</f>
        <v>0</v>
      </c>
      <c r="V542" s="10">
        <f>SUMIFS('Custom Constraints'!$D:$D,'Custom Constraints'!$A:$A,"caiso-deliverability_"&amp;SUBSTITUTE(Dashboard!$D542,"_group",Dashboard!$D$503)&amp;"."&amp;YEAR(Dashboard!V$537))</f>
        <v>0</v>
      </c>
      <c r="W542" s="10">
        <f>SUMIFS('Custom Constraints'!$D:$D,'Custom Constraints'!$A:$A,"caiso-deliverability_"&amp;SUBSTITUTE(Dashboard!$D542,"_group",Dashboard!$D$503)&amp;"."&amp;YEAR(Dashboard!W$537))</f>
        <v>0</v>
      </c>
      <c r="X542" s="10">
        <f>SUMIFS('Custom Constraints'!$D:$D,'Custom Constraints'!$A:$A,"caiso-deliverability_"&amp;SUBSTITUTE(Dashboard!$D542,"_group",Dashboard!$D$503)&amp;"."&amp;YEAR(Dashboard!X$537))</f>
        <v>0</v>
      </c>
      <c r="Y542" s="10">
        <f>SUMIFS('Custom Constraints'!$D:$D,'Custom Constraints'!$A:$A,"caiso-deliverability_"&amp;SUBSTITUTE(Dashboard!$D542,"_group",Dashboard!$D$503)&amp;"."&amp;YEAR(Dashboard!Y$537))</f>
        <v>0</v>
      </c>
      <c r="Z542" s="10">
        <f>SUMIFS('Custom Constraints'!$D:$D,'Custom Constraints'!$A:$A,"caiso-deliverability_"&amp;SUBSTITUTE(Dashboard!$D542,"_group",Dashboard!$D$503)&amp;"."&amp;YEAR(Dashboard!Z$537))</f>
        <v>0</v>
      </c>
      <c r="AA542" s="10">
        <f>SUMIFS('Custom Constraints'!$D:$D,'Custom Constraints'!$A:$A,"caiso-deliverability_"&amp;SUBSTITUTE(Dashboard!$D542,"_group",Dashboard!$D$503)&amp;"."&amp;YEAR(Dashboard!AA$537))</f>
        <v>0</v>
      </c>
      <c r="AB542" s="10">
        <f>SUMIFS('Custom Constraints'!$D:$D,'Custom Constraints'!$A:$A,"caiso-deliverability_"&amp;SUBSTITUTE(Dashboard!$D542,"_group",Dashboard!$D$503)&amp;"."&amp;YEAR(Dashboard!AB$537))</f>
        <v>0</v>
      </c>
      <c r="AC542" s="10">
        <f>SUMIFS('Custom Constraints'!$D:$D,'Custom Constraints'!$A:$A,"caiso-deliverability_"&amp;SUBSTITUTE(Dashboard!$D542,"_group",Dashboard!$D$503)&amp;"."&amp;YEAR(Dashboard!AC$537))</f>
        <v>0</v>
      </c>
      <c r="AD542" s="10">
        <f>SUMIFS('Custom Constraints'!$D:$D,'Custom Constraints'!$A:$A,"caiso-deliverability_"&amp;SUBSTITUTE(Dashboard!$D542,"_group",Dashboard!$D$503)&amp;"."&amp;YEAR(Dashboard!AD$537))</f>
        <v>731</v>
      </c>
      <c r="AH542" s="34" t="s">
        <v>422</v>
      </c>
    </row>
    <row r="543" spans="4:34" outlineLevel="2" x14ac:dyDescent="0.2">
      <c r="D543" s="8" t="s">
        <v>262</v>
      </c>
      <c r="E543" s="10">
        <f>SUMIFS('Custom Constraints'!$D:$D,'Custom Constraints'!$A:$A,"caiso-deliverability_"&amp;SUBSTITUTE(Dashboard!$D543,"_group",Dashboard!$D$503)&amp;"."&amp;YEAR(Dashboard!E$537))</f>
        <v>0</v>
      </c>
      <c r="F543" s="10">
        <f>SUMIFS('Custom Constraints'!$D:$D,'Custom Constraints'!$A:$A,"caiso-deliverability_"&amp;SUBSTITUTE(Dashboard!$D543,"_group",Dashboard!$D$503)&amp;"."&amp;YEAR(Dashboard!F$537))</f>
        <v>0</v>
      </c>
      <c r="G543" s="10">
        <f>SUMIFS('Custom Constraints'!$D:$D,'Custom Constraints'!$A:$A,"caiso-deliverability_"&amp;SUBSTITUTE(Dashboard!$D543,"_group",Dashboard!$D$503)&amp;"."&amp;YEAR(Dashboard!G$537))</f>
        <v>0</v>
      </c>
      <c r="H543" s="10">
        <f>SUMIFS('Custom Constraints'!$D:$D,'Custom Constraints'!$A:$A,"caiso-deliverability_"&amp;SUBSTITUTE(Dashboard!$D543,"_group",Dashboard!$D$503)&amp;"."&amp;YEAR(Dashboard!H$537))</f>
        <v>0</v>
      </c>
      <c r="I543" s="10">
        <f>SUMIFS('Custom Constraints'!$D:$D,'Custom Constraints'!$A:$A,"caiso-deliverability_"&amp;SUBSTITUTE(Dashboard!$D543,"_group",Dashboard!$D$503)&amp;"."&amp;YEAR(Dashboard!I$537))</f>
        <v>0</v>
      </c>
      <c r="J543" s="10">
        <f>SUMIFS('Custom Constraints'!$D:$D,'Custom Constraints'!$A:$A,"caiso-deliverability_"&amp;SUBSTITUTE(Dashboard!$D543,"_group",Dashboard!$D$503)&amp;"."&amp;YEAR(Dashboard!J$537))</f>
        <v>0</v>
      </c>
      <c r="K543" s="10">
        <f>SUMIFS('Custom Constraints'!$D:$D,'Custom Constraints'!$A:$A,"caiso-deliverability_"&amp;SUBSTITUTE(Dashboard!$D543,"_group",Dashboard!$D$503)&amp;"."&amp;YEAR(Dashboard!K$537))</f>
        <v>0</v>
      </c>
      <c r="L543" s="10">
        <f>SUMIFS('Custom Constraints'!$D:$D,'Custom Constraints'!$A:$A,"caiso-deliverability_"&amp;SUBSTITUTE(Dashboard!$D543,"_group",Dashboard!$D$503)&amp;"."&amp;YEAR(Dashboard!L$537))</f>
        <v>0</v>
      </c>
      <c r="M543" s="10">
        <f>SUMIFS('Custom Constraints'!$D:$D,'Custom Constraints'!$A:$A,"caiso-deliverability_"&amp;SUBSTITUTE(Dashboard!$D543,"_group",Dashboard!$D$503)&amp;"."&amp;YEAR(Dashboard!M$537))</f>
        <v>0</v>
      </c>
      <c r="N543" s="10">
        <f>SUMIFS('Custom Constraints'!$D:$D,'Custom Constraints'!$A:$A,"caiso-deliverability_"&amp;SUBSTITUTE(Dashboard!$D543,"_group",Dashboard!$D$503)&amp;"."&amp;YEAR(Dashboard!N$537))</f>
        <v>0</v>
      </c>
      <c r="O543" s="10">
        <f>SUMIFS('Custom Constraints'!$D:$D,'Custom Constraints'!$A:$A,"caiso-deliverability_"&amp;SUBSTITUTE(Dashboard!$D543,"_group",Dashboard!$D$503)&amp;"."&amp;YEAR(Dashboard!O$537))</f>
        <v>0</v>
      </c>
      <c r="P543" s="10">
        <f>SUMIFS('Custom Constraints'!$D:$D,'Custom Constraints'!$A:$A,"caiso-deliverability_"&amp;SUBSTITUTE(Dashboard!$D543,"_group",Dashboard!$D$503)&amp;"."&amp;YEAR(Dashboard!P$537))</f>
        <v>0</v>
      </c>
      <c r="Q543" s="10">
        <f>SUMIFS('Custom Constraints'!$D:$D,'Custom Constraints'!$A:$A,"caiso-deliverability_"&amp;SUBSTITUTE(Dashboard!$D543,"_group",Dashboard!$D$503)&amp;"."&amp;YEAR(Dashboard!Q$537))</f>
        <v>0</v>
      </c>
      <c r="R543" s="10">
        <f>SUMIFS('Custom Constraints'!$D:$D,'Custom Constraints'!$A:$A,"caiso-deliverability_"&amp;SUBSTITUTE(Dashboard!$D543,"_group",Dashboard!$D$503)&amp;"."&amp;YEAR(Dashboard!R$537))</f>
        <v>0</v>
      </c>
      <c r="S543" s="10">
        <f>SUMIFS('Custom Constraints'!$D:$D,'Custom Constraints'!$A:$A,"caiso-deliverability_"&amp;SUBSTITUTE(Dashboard!$D543,"_group",Dashboard!$D$503)&amp;"."&amp;YEAR(Dashboard!S$537))</f>
        <v>0</v>
      </c>
      <c r="T543" s="10">
        <f>SUMIFS('Custom Constraints'!$D:$D,'Custom Constraints'!$A:$A,"caiso-deliverability_"&amp;SUBSTITUTE(Dashboard!$D543,"_group",Dashboard!$D$503)&amp;"."&amp;YEAR(Dashboard!T$537))</f>
        <v>0</v>
      </c>
      <c r="U543" s="10">
        <f>SUMIFS('Custom Constraints'!$D:$D,'Custom Constraints'!$A:$A,"caiso-deliverability_"&amp;SUBSTITUTE(Dashboard!$D543,"_group",Dashboard!$D$503)&amp;"."&amp;YEAR(Dashboard!U$537))</f>
        <v>0</v>
      </c>
      <c r="V543" s="10">
        <f>SUMIFS('Custom Constraints'!$D:$D,'Custom Constraints'!$A:$A,"caiso-deliverability_"&amp;SUBSTITUTE(Dashboard!$D543,"_group",Dashboard!$D$503)&amp;"."&amp;YEAR(Dashboard!V$537))</f>
        <v>0</v>
      </c>
      <c r="W543" s="10">
        <f>SUMIFS('Custom Constraints'!$D:$D,'Custom Constraints'!$A:$A,"caiso-deliverability_"&amp;SUBSTITUTE(Dashboard!$D543,"_group",Dashboard!$D$503)&amp;"."&amp;YEAR(Dashboard!W$537))</f>
        <v>0</v>
      </c>
      <c r="X543" s="10">
        <f>SUMIFS('Custom Constraints'!$D:$D,'Custom Constraints'!$A:$A,"caiso-deliverability_"&amp;SUBSTITUTE(Dashboard!$D543,"_group",Dashboard!$D$503)&amp;"."&amp;YEAR(Dashboard!X$537))</f>
        <v>0</v>
      </c>
      <c r="Y543" s="10">
        <f>SUMIFS('Custom Constraints'!$D:$D,'Custom Constraints'!$A:$A,"caiso-deliverability_"&amp;SUBSTITUTE(Dashboard!$D543,"_group",Dashboard!$D$503)&amp;"."&amp;YEAR(Dashboard!Y$537))</f>
        <v>0</v>
      </c>
      <c r="Z543" s="10">
        <f>SUMIFS('Custom Constraints'!$D:$D,'Custom Constraints'!$A:$A,"caiso-deliverability_"&amp;SUBSTITUTE(Dashboard!$D543,"_group",Dashboard!$D$503)&amp;"."&amp;YEAR(Dashboard!Z$537))</f>
        <v>0</v>
      </c>
      <c r="AA543" s="10">
        <f>SUMIFS('Custom Constraints'!$D:$D,'Custom Constraints'!$A:$A,"caiso-deliverability_"&amp;SUBSTITUTE(Dashboard!$D543,"_group",Dashboard!$D$503)&amp;"."&amp;YEAR(Dashboard!AA$537))</f>
        <v>0</v>
      </c>
      <c r="AB543" s="10">
        <f>SUMIFS('Custom Constraints'!$D:$D,'Custom Constraints'!$A:$A,"caiso-deliverability_"&amp;SUBSTITUTE(Dashboard!$D543,"_group",Dashboard!$D$503)&amp;"."&amp;YEAR(Dashboard!AB$537))</f>
        <v>0</v>
      </c>
      <c r="AC543" s="10">
        <f>SUMIFS('Custom Constraints'!$D:$D,'Custom Constraints'!$A:$A,"caiso-deliverability_"&amp;SUBSTITUTE(Dashboard!$D543,"_group",Dashboard!$D$503)&amp;"."&amp;YEAR(Dashboard!AC$537))</f>
        <v>0</v>
      </c>
      <c r="AD543" s="10">
        <f>SUMIFS('Custom Constraints'!$D:$D,'Custom Constraints'!$A:$A,"caiso-deliverability_"&amp;SUBSTITUTE(Dashboard!$D543,"_group",Dashboard!$D$503)&amp;"."&amp;YEAR(Dashboard!AD$537))</f>
        <v>3360</v>
      </c>
      <c r="AH543" s="34" t="s">
        <v>422</v>
      </c>
    </row>
    <row r="544" spans="4:34" outlineLevel="2" x14ac:dyDescent="0.2">
      <c r="D544" s="8" t="s">
        <v>263</v>
      </c>
      <c r="E544" s="10">
        <f>SUMIFS('Custom Constraints'!$D:$D,'Custom Constraints'!$A:$A,"caiso-deliverability_"&amp;SUBSTITUTE(Dashboard!$D544,"_group",Dashboard!$D$503)&amp;"."&amp;YEAR(Dashboard!E$537))</f>
        <v>0</v>
      </c>
      <c r="F544" s="10">
        <f>SUMIFS('Custom Constraints'!$D:$D,'Custom Constraints'!$A:$A,"caiso-deliverability_"&amp;SUBSTITUTE(Dashboard!$D544,"_group",Dashboard!$D$503)&amp;"."&amp;YEAR(Dashboard!F$537))</f>
        <v>0</v>
      </c>
      <c r="G544" s="10">
        <f>SUMIFS('Custom Constraints'!$D:$D,'Custom Constraints'!$A:$A,"caiso-deliverability_"&amp;SUBSTITUTE(Dashboard!$D544,"_group",Dashboard!$D$503)&amp;"."&amp;YEAR(Dashboard!G$537))</f>
        <v>0</v>
      </c>
      <c r="H544" s="10">
        <f>SUMIFS('Custom Constraints'!$D:$D,'Custom Constraints'!$A:$A,"caiso-deliverability_"&amp;SUBSTITUTE(Dashboard!$D544,"_group",Dashboard!$D$503)&amp;"."&amp;YEAR(Dashboard!H$537))</f>
        <v>0</v>
      </c>
      <c r="I544" s="10">
        <f>SUMIFS('Custom Constraints'!$D:$D,'Custom Constraints'!$A:$A,"caiso-deliverability_"&amp;SUBSTITUTE(Dashboard!$D544,"_group",Dashboard!$D$503)&amp;"."&amp;YEAR(Dashboard!I$537))</f>
        <v>0</v>
      </c>
      <c r="J544" s="10">
        <f>SUMIFS('Custom Constraints'!$D:$D,'Custom Constraints'!$A:$A,"caiso-deliverability_"&amp;SUBSTITUTE(Dashboard!$D544,"_group",Dashboard!$D$503)&amp;"."&amp;YEAR(Dashboard!J$537))</f>
        <v>0</v>
      </c>
      <c r="K544" s="10">
        <f>SUMIFS('Custom Constraints'!$D:$D,'Custom Constraints'!$A:$A,"caiso-deliverability_"&amp;SUBSTITUTE(Dashboard!$D544,"_group",Dashboard!$D$503)&amp;"."&amp;YEAR(Dashboard!K$537))</f>
        <v>0</v>
      </c>
      <c r="L544" s="10">
        <f>SUMIFS('Custom Constraints'!$D:$D,'Custom Constraints'!$A:$A,"caiso-deliverability_"&amp;SUBSTITUTE(Dashboard!$D544,"_group",Dashboard!$D$503)&amp;"."&amp;YEAR(Dashboard!L$537))</f>
        <v>0</v>
      </c>
      <c r="M544" s="10">
        <f>SUMIFS('Custom Constraints'!$D:$D,'Custom Constraints'!$A:$A,"caiso-deliverability_"&amp;SUBSTITUTE(Dashboard!$D544,"_group",Dashboard!$D$503)&amp;"."&amp;YEAR(Dashboard!M$537))</f>
        <v>0</v>
      </c>
      <c r="N544" s="10">
        <f>SUMIFS('Custom Constraints'!$D:$D,'Custom Constraints'!$A:$A,"caiso-deliverability_"&amp;SUBSTITUTE(Dashboard!$D544,"_group",Dashboard!$D$503)&amp;"."&amp;YEAR(Dashboard!N$537))</f>
        <v>0</v>
      </c>
      <c r="O544" s="10">
        <f>SUMIFS('Custom Constraints'!$D:$D,'Custom Constraints'!$A:$A,"caiso-deliverability_"&amp;SUBSTITUTE(Dashboard!$D544,"_group",Dashboard!$D$503)&amp;"."&amp;YEAR(Dashboard!O$537))</f>
        <v>0</v>
      </c>
      <c r="P544" s="10">
        <f>SUMIFS('Custom Constraints'!$D:$D,'Custom Constraints'!$A:$A,"caiso-deliverability_"&amp;SUBSTITUTE(Dashboard!$D544,"_group",Dashboard!$D$503)&amp;"."&amp;YEAR(Dashboard!P$537))</f>
        <v>0</v>
      </c>
      <c r="Q544" s="10">
        <f>SUMIFS('Custom Constraints'!$D:$D,'Custom Constraints'!$A:$A,"caiso-deliverability_"&amp;SUBSTITUTE(Dashboard!$D544,"_group",Dashboard!$D$503)&amp;"."&amp;YEAR(Dashboard!Q$537))</f>
        <v>0</v>
      </c>
      <c r="R544" s="10">
        <f>SUMIFS('Custom Constraints'!$D:$D,'Custom Constraints'!$A:$A,"caiso-deliverability_"&amp;SUBSTITUTE(Dashboard!$D544,"_group",Dashboard!$D$503)&amp;"."&amp;YEAR(Dashboard!R$537))</f>
        <v>0</v>
      </c>
      <c r="S544" s="10">
        <f>SUMIFS('Custom Constraints'!$D:$D,'Custom Constraints'!$A:$A,"caiso-deliverability_"&amp;SUBSTITUTE(Dashboard!$D544,"_group",Dashboard!$D$503)&amp;"."&amp;YEAR(Dashboard!S$537))</f>
        <v>0</v>
      </c>
      <c r="T544" s="10">
        <f>SUMIFS('Custom Constraints'!$D:$D,'Custom Constraints'!$A:$A,"caiso-deliverability_"&amp;SUBSTITUTE(Dashboard!$D544,"_group",Dashboard!$D$503)&amp;"."&amp;YEAR(Dashboard!T$537))</f>
        <v>0</v>
      </c>
      <c r="U544" s="10">
        <f>SUMIFS('Custom Constraints'!$D:$D,'Custom Constraints'!$A:$A,"caiso-deliverability_"&amp;SUBSTITUTE(Dashboard!$D544,"_group",Dashboard!$D$503)&amp;"."&amp;YEAR(Dashboard!U$537))</f>
        <v>0</v>
      </c>
      <c r="V544" s="10">
        <f>SUMIFS('Custom Constraints'!$D:$D,'Custom Constraints'!$A:$A,"caiso-deliverability_"&amp;SUBSTITUTE(Dashboard!$D544,"_group",Dashboard!$D$503)&amp;"."&amp;YEAR(Dashboard!V$537))</f>
        <v>0</v>
      </c>
      <c r="W544" s="10">
        <f>SUMIFS('Custom Constraints'!$D:$D,'Custom Constraints'!$A:$A,"caiso-deliverability_"&amp;SUBSTITUTE(Dashboard!$D544,"_group",Dashboard!$D$503)&amp;"."&amp;YEAR(Dashboard!W$537))</f>
        <v>0</v>
      </c>
      <c r="X544" s="10">
        <f>SUMIFS('Custom Constraints'!$D:$D,'Custom Constraints'!$A:$A,"caiso-deliverability_"&amp;SUBSTITUTE(Dashboard!$D544,"_group",Dashboard!$D$503)&amp;"."&amp;YEAR(Dashboard!X$537))</f>
        <v>0</v>
      </c>
      <c r="Y544" s="10">
        <f>SUMIFS('Custom Constraints'!$D:$D,'Custom Constraints'!$A:$A,"caiso-deliverability_"&amp;SUBSTITUTE(Dashboard!$D544,"_group",Dashboard!$D$503)&amp;"."&amp;YEAR(Dashboard!Y$537))</f>
        <v>0</v>
      </c>
      <c r="Z544" s="10">
        <f>SUMIFS('Custom Constraints'!$D:$D,'Custom Constraints'!$A:$A,"caiso-deliverability_"&amp;SUBSTITUTE(Dashboard!$D544,"_group",Dashboard!$D$503)&amp;"."&amp;YEAR(Dashboard!Z$537))</f>
        <v>0</v>
      </c>
      <c r="AA544" s="10">
        <f>SUMIFS('Custom Constraints'!$D:$D,'Custom Constraints'!$A:$A,"caiso-deliverability_"&amp;SUBSTITUTE(Dashboard!$D544,"_group",Dashboard!$D$503)&amp;"."&amp;YEAR(Dashboard!AA$537))</f>
        <v>0</v>
      </c>
      <c r="AB544" s="10">
        <f>SUMIFS('Custom Constraints'!$D:$D,'Custom Constraints'!$A:$A,"caiso-deliverability_"&amp;SUBSTITUTE(Dashboard!$D544,"_group",Dashboard!$D$503)&amp;"."&amp;YEAR(Dashboard!AB$537))</f>
        <v>0</v>
      </c>
      <c r="AC544" s="10">
        <f>SUMIFS('Custom Constraints'!$D:$D,'Custom Constraints'!$A:$A,"caiso-deliverability_"&amp;SUBSTITUTE(Dashboard!$D544,"_group",Dashboard!$D$503)&amp;"."&amp;YEAR(Dashboard!AC$537))</f>
        <v>0</v>
      </c>
      <c r="AD544" s="10">
        <f>SUMIFS('Custom Constraints'!$D:$D,'Custom Constraints'!$A:$A,"caiso-deliverability_"&amp;SUBSTITUTE(Dashboard!$D544,"_group",Dashboard!$D$503)&amp;"."&amp;YEAR(Dashboard!AD$537))</f>
        <v>2901</v>
      </c>
      <c r="AH544" s="34" t="s">
        <v>422</v>
      </c>
    </row>
    <row r="545" spans="4:34" outlineLevel="2" x14ac:dyDescent="0.2">
      <c r="D545" s="8" t="s">
        <v>264</v>
      </c>
      <c r="E545" s="10">
        <f>SUMIFS('Custom Constraints'!$D:$D,'Custom Constraints'!$A:$A,"caiso-deliverability_"&amp;SUBSTITUTE(Dashboard!$D545,"_group",Dashboard!$D$503)&amp;"."&amp;YEAR(Dashboard!E$537))</f>
        <v>0</v>
      </c>
      <c r="F545" s="10">
        <f>SUMIFS('Custom Constraints'!$D:$D,'Custom Constraints'!$A:$A,"caiso-deliverability_"&amp;SUBSTITUTE(Dashboard!$D545,"_group",Dashboard!$D$503)&amp;"."&amp;YEAR(Dashboard!F$537))</f>
        <v>0</v>
      </c>
      <c r="G545" s="10">
        <f>SUMIFS('Custom Constraints'!$D:$D,'Custom Constraints'!$A:$A,"caiso-deliverability_"&amp;SUBSTITUTE(Dashboard!$D545,"_group",Dashboard!$D$503)&amp;"."&amp;YEAR(Dashboard!G$537))</f>
        <v>0</v>
      </c>
      <c r="H545" s="10">
        <f>SUMIFS('Custom Constraints'!$D:$D,'Custom Constraints'!$A:$A,"caiso-deliverability_"&amp;SUBSTITUTE(Dashboard!$D545,"_group",Dashboard!$D$503)&amp;"."&amp;YEAR(Dashboard!H$537))</f>
        <v>0</v>
      </c>
      <c r="I545" s="10">
        <f>SUMIFS('Custom Constraints'!$D:$D,'Custom Constraints'!$A:$A,"caiso-deliverability_"&amp;SUBSTITUTE(Dashboard!$D545,"_group",Dashboard!$D$503)&amp;"."&amp;YEAR(Dashboard!I$537))</f>
        <v>0</v>
      </c>
      <c r="J545" s="10">
        <f>SUMIFS('Custom Constraints'!$D:$D,'Custom Constraints'!$A:$A,"caiso-deliverability_"&amp;SUBSTITUTE(Dashboard!$D545,"_group",Dashboard!$D$503)&amp;"."&amp;YEAR(Dashboard!J$537))</f>
        <v>0</v>
      </c>
      <c r="K545" s="10">
        <f>SUMIFS('Custom Constraints'!$D:$D,'Custom Constraints'!$A:$A,"caiso-deliverability_"&amp;SUBSTITUTE(Dashboard!$D545,"_group",Dashboard!$D$503)&amp;"."&amp;YEAR(Dashboard!K$537))</f>
        <v>0</v>
      </c>
      <c r="L545" s="10">
        <f>SUMIFS('Custom Constraints'!$D:$D,'Custom Constraints'!$A:$A,"caiso-deliverability_"&amp;SUBSTITUTE(Dashboard!$D545,"_group",Dashboard!$D$503)&amp;"."&amp;YEAR(Dashboard!L$537))</f>
        <v>0</v>
      </c>
      <c r="M545" s="10">
        <f>SUMIFS('Custom Constraints'!$D:$D,'Custom Constraints'!$A:$A,"caiso-deliverability_"&amp;SUBSTITUTE(Dashboard!$D545,"_group",Dashboard!$D$503)&amp;"."&amp;YEAR(Dashboard!M$537))</f>
        <v>0</v>
      </c>
      <c r="N545" s="10">
        <f>SUMIFS('Custom Constraints'!$D:$D,'Custom Constraints'!$A:$A,"caiso-deliverability_"&amp;SUBSTITUTE(Dashboard!$D545,"_group",Dashboard!$D$503)&amp;"."&amp;YEAR(Dashboard!N$537))</f>
        <v>0</v>
      </c>
      <c r="O545" s="10">
        <f>SUMIFS('Custom Constraints'!$D:$D,'Custom Constraints'!$A:$A,"caiso-deliverability_"&amp;SUBSTITUTE(Dashboard!$D545,"_group",Dashboard!$D$503)&amp;"."&amp;YEAR(Dashboard!O$537))</f>
        <v>0</v>
      </c>
      <c r="P545" s="10">
        <f>SUMIFS('Custom Constraints'!$D:$D,'Custom Constraints'!$A:$A,"caiso-deliverability_"&amp;SUBSTITUTE(Dashboard!$D545,"_group",Dashboard!$D$503)&amp;"."&amp;YEAR(Dashboard!P$537))</f>
        <v>0</v>
      </c>
      <c r="Q545" s="10">
        <f>SUMIFS('Custom Constraints'!$D:$D,'Custom Constraints'!$A:$A,"caiso-deliverability_"&amp;SUBSTITUTE(Dashboard!$D545,"_group",Dashboard!$D$503)&amp;"."&amp;YEAR(Dashboard!Q$537))</f>
        <v>0</v>
      </c>
      <c r="R545" s="10">
        <f>SUMIFS('Custom Constraints'!$D:$D,'Custom Constraints'!$A:$A,"caiso-deliverability_"&amp;SUBSTITUTE(Dashboard!$D545,"_group",Dashboard!$D$503)&amp;"."&amp;YEAR(Dashboard!R$537))</f>
        <v>0</v>
      </c>
      <c r="S545" s="10">
        <f>SUMIFS('Custom Constraints'!$D:$D,'Custom Constraints'!$A:$A,"caiso-deliverability_"&amp;SUBSTITUTE(Dashboard!$D545,"_group",Dashboard!$D$503)&amp;"."&amp;YEAR(Dashboard!S$537))</f>
        <v>0</v>
      </c>
      <c r="T545" s="10">
        <f>SUMIFS('Custom Constraints'!$D:$D,'Custom Constraints'!$A:$A,"caiso-deliverability_"&amp;SUBSTITUTE(Dashboard!$D545,"_group",Dashboard!$D$503)&amp;"."&amp;YEAR(Dashboard!T$537))</f>
        <v>0</v>
      </c>
      <c r="U545" s="10">
        <f>SUMIFS('Custom Constraints'!$D:$D,'Custom Constraints'!$A:$A,"caiso-deliverability_"&amp;SUBSTITUTE(Dashboard!$D545,"_group",Dashboard!$D$503)&amp;"."&amp;YEAR(Dashboard!U$537))</f>
        <v>0</v>
      </c>
      <c r="V545" s="10">
        <f>SUMIFS('Custom Constraints'!$D:$D,'Custom Constraints'!$A:$A,"caiso-deliverability_"&amp;SUBSTITUTE(Dashboard!$D545,"_group",Dashboard!$D$503)&amp;"."&amp;YEAR(Dashboard!V$537))</f>
        <v>0</v>
      </c>
      <c r="W545" s="10">
        <f>SUMIFS('Custom Constraints'!$D:$D,'Custom Constraints'!$A:$A,"caiso-deliverability_"&amp;SUBSTITUTE(Dashboard!$D545,"_group",Dashboard!$D$503)&amp;"."&amp;YEAR(Dashboard!W$537))</f>
        <v>0</v>
      </c>
      <c r="X545" s="10">
        <f>SUMIFS('Custom Constraints'!$D:$D,'Custom Constraints'!$A:$A,"caiso-deliverability_"&amp;SUBSTITUTE(Dashboard!$D545,"_group",Dashboard!$D$503)&amp;"."&amp;YEAR(Dashboard!X$537))</f>
        <v>0</v>
      </c>
      <c r="Y545" s="10">
        <f>SUMIFS('Custom Constraints'!$D:$D,'Custom Constraints'!$A:$A,"caiso-deliverability_"&amp;SUBSTITUTE(Dashboard!$D545,"_group",Dashboard!$D$503)&amp;"."&amp;YEAR(Dashboard!Y$537))</f>
        <v>0</v>
      </c>
      <c r="Z545" s="10">
        <f>SUMIFS('Custom Constraints'!$D:$D,'Custom Constraints'!$A:$A,"caiso-deliverability_"&amp;SUBSTITUTE(Dashboard!$D545,"_group",Dashboard!$D$503)&amp;"."&amp;YEAR(Dashboard!Z$537))</f>
        <v>0</v>
      </c>
      <c r="AA545" s="10">
        <f>SUMIFS('Custom Constraints'!$D:$D,'Custom Constraints'!$A:$A,"caiso-deliverability_"&amp;SUBSTITUTE(Dashboard!$D545,"_group",Dashboard!$D$503)&amp;"."&amp;YEAR(Dashboard!AA$537))</f>
        <v>0</v>
      </c>
      <c r="AB545" s="10">
        <f>SUMIFS('Custom Constraints'!$D:$D,'Custom Constraints'!$A:$A,"caiso-deliverability_"&amp;SUBSTITUTE(Dashboard!$D545,"_group",Dashboard!$D$503)&amp;"."&amp;YEAR(Dashboard!AB$537))</f>
        <v>0</v>
      </c>
      <c r="AC545" s="10">
        <f>SUMIFS('Custom Constraints'!$D:$D,'Custom Constraints'!$A:$A,"caiso-deliverability_"&amp;SUBSTITUTE(Dashboard!$D545,"_group",Dashboard!$D$503)&amp;"."&amp;YEAR(Dashboard!AC$537))</f>
        <v>0</v>
      </c>
      <c r="AD545" s="10">
        <f>SUMIFS('Custom Constraints'!$D:$D,'Custom Constraints'!$A:$A,"caiso-deliverability_"&amp;SUBSTITUTE(Dashboard!$D545,"_group",Dashboard!$D$503)&amp;"."&amp;YEAR(Dashboard!AD$537))</f>
        <v>3151</v>
      </c>
      <c r="AH545" s="34" t="s">
        <v>422</v>
      </c>
    </row>
    <row r="546" spans="4:34" outlineLevel="2" x14ac:dyDescent="0.2">
      <c r="D546" s="8" t="s">
        <v>265</v>
      </c>
      <c r="E546" s="10">
        <f>SUMIFS('Custom Constraints'!$D:$D,'Custom Constraints'!$A:$A,"caiso-deliverability_"&amp;SUBSTITUTE(Dashboard!$D546,"_group",Dashboard!$D$503)&amp;"."&amp;YEAR(Dashboard!E$537))</f>
        <v>0</v>
      </c>
      <c r="F546" s="10">
        <f>SUMIFS('Custom Constraints'!$D:$D,'Custom Constraints'!$A:$A,"caiso-deliverability_"&amp;SUBSTITUTE(Dashboard!$D546,"_group",Dashboard!$D$503)&amp;"."&amp;YEAR(Dashboard!F$537))</f>
        <v>0</v>
      </c>
      <c r="G546" s="10">
        <f>SUMIFS('Custom Constraints'!$D:$D,'Custom Constraints'!$A:$A,"caiso-deliverability_"&amp;SUBSTITUTE(Dashboard!$D546,"_group",Dashboard!$D$503)&amp;"."&amp;YEAR(Dashboard!G$537))</f>
        <v>0</v>
      </c>
      <c r="H546" s="10">
        <f>SUMIFS('Custom Constraints'!$D:$D,'Custom Constraints'!$A:$A,"caiso-deliverability_"&amp;SUBSTITUTE(Dashboard!$D546,"_group",Dashboard!$D$503)&amp;"."&amp;YEAR(Dashboard!H$537))</f>
        <v>0</v>
      </c>
      <c r="I546" s="10">
        <f>SUMIFS('Custom Constraints'!$D:$D,'Custom Constraints'!$A:$A,"caiso-deliverability_"&amp;SUBSTITUTE(Dashboard!$D546,"_group",Dashboard!$D$503)&amp;"."&amp;YEAR(Dashboard!I$537))</f>
        <v>0</v>
      </c>
      <c r="J546" s="10">
        <f>SUMIFS('Custom Constraints'!$D:$D,'Custom Constraints'!$A:$A,"caiso-deliverability_"&amp;SUBSTITUTE(Dashboard!$D546,"_group",Dashboard!$D$503)&amp;"."&amp;YEAR(Dashboard!J$537))</f>
        <v>0</v>
      </c>
      <c r="K546" s="10">
        <f>SUMIFS('Custom Constraints'!$D:$D,'Custom Constraints'!$A:$A,"caiso-deliverability_"&amp;SUBSTITUTE(Dashboard!$D546,"_group",Dashboard!$D$503)&amp;"."&amp;YEAR(Dashboard!K$537))</f>
        <v>0</v>
      </c>
      <c r="L546" s="10">
        <f>SUMIFS('Custom Constraints'!$D:$D,'Custom Constraints'!$A:$A,"caiso-deliverability_"&amp;SUBSTITUTE(Dashboard!$D546,"_group",Dashboard!$D$503)&amp;"."&amp;YEAR(Dashboard!L$537))</f>
        <v>0</v>
      </c>
      <c r="M546" s="10">
        <f>SUMIFS('Custom Constraints'!$D:$D,'Custom Constraints'!$A:$A,"caiso-deliverability_"&amp;SUBSTITUTE(Dashboard!$D546,"_group",Dashboard!$D$503)&amp;"."&amp;YEAR(Dashboard!M$537))</f>
        <v>0</v>
      </c>
      <c r="N546" s="10">
        <f>SUMIFS('Custom Constraints'!$D:$D,'Custom Constraints'!$A:$A,"caiso-deliverability_"&amp;SUBSTITUTE(Dashboard!$D546,"_group",Dashboard!$D$503)&amp;"."&amp;YEAR(Dashboard!N$537))</f>
        <v>0</v>
      </c>
      <c r="O546" s="10">
        <f>SUMIFS('Custom Constraints'!$D:$D,'Custom Constraints'!$A:$A,"caiso-deliverability_"&amp;SUBSTITUTE(Dashboard!$D546,"_group",Dashboard!$D$503)&amp;"."&amp;YEAR(Dashboard!O$537))</f>
        <v>0</v>
      </c>
      <c r="P546" s="10">
        <f>SUMIFS('Custom Constraints'!$D:$D,'Custom Constraints'!$A:$A,"caiso-deliverability_"&amp;SUBSTITUTE(Dashboard!$D546,"_group",Dashboard!$D$503)&amp;"."&amp;YEAR(Dashboard!P$537))</f>
        <v>0</v>
      </c>
      <c r="Q546" s="10">
        <f>SUMIFS('Custom Constraints'!$D:$D,'Custom Constraints'!$A:$A,"caiso-deliverability_"&amp;SUBSTITUTE(Dashboard!$D546,"_group",Dashboard!$D$503)&amp;"."&amp;YEAR(Dashboard!Q$537))</f>
        <v>0</v>
      </c>
      <c r="R546" s="10">
        <f>SUMIFS('Custom Constraints'!$D:$D,'Custom Constraints'!$A:$A,"caiso-deliverability_"&amp;SUBSTITUTE(Dashboard!$D546,"_group",Dashboard!$D$503)&amp;"."&amp;YEAR(Dashboard!R$537))</f>
        <v>0</v>
      </c>
      <c r="S546" s="10">
        <f>SUMIFS('Custom Constraints'!$D:$D,'Custom Constraints'!$A:$A,"caiso-deliverability_"&amp;SUBSTITUTE(Dashboard!$D546,"_group",Dashboard!$D$503)&amp;"."&amp;YEAR(Dashboard!S$537))</f>
        <v>0</v>
      </c>
      <c r="T546" s="10">
        <f>SUMIFS('Custom Constraints'!$D:$D,'Custom Constraints'!$A:$A,"caiso-deliverability_"&amp;SUBSTITUTE(Dashboard!$D546,"_group",Dashboard!$D$503)&amp;"."&amp;YEAR(Dashboard!T$537))</f>
        <v>0</v>
      </c>
      <c r="U546" s="10">
        <f>SUMIFS('Custom Constraints'!$D:$D,'Custom Constraints'!$A:$A,"caiso-deliverability_"&amp;SUBSTITUTE(Dashboard!$D546,"_group",Dashboard!$D$503)&amp;"."&amp;YEAR(Dashboard!U$537))</f>
        <v>0</v>
      </c>
      <c r="V546" s="10">
        <f>SUMIFS('Custom Constraints'!$D:$D,'Custom Constraints'!$A:$A,"caiso-deliverability_"&amp;SUBSTITUTE(Dashboard!$D546,"_group",Dashboard!$D$503)&amp;"."&amp;YEAR(Dashboard!V$537))</f>
        <v>0</v>
      </c>
      <c r="W546" s="10">
        <f>SUMIFS('Custom Constraints'!$D:$D,'Custom Constraints'!$A:$A,"caiso-deliverability_"&amp;SUBSTITUTE(Dashboard!$D546,"_group",Dashboard!$D$503)&amp;"."&amp;YEAR(Dashboard!W$537))</f>
        <v>0</v>
      </c>
      <c r="X546" s="10">
        <f>SUMIFS('Custom Constraints'!$D:$D,'Custom Constraints'!$A:$A,"caiso-deliverability_"&amp;SUBSTITUTE(Dashboard!$D546,"_group",Dashboard!$D$503)&amp;"."&amp;YEAR(Dashboard!X$537))</f>
        <v>0</v>
      </c>
      <c r="Y546" s="10">
        <f>SUMIFS('Custom Constraints'!$D:$D,'Custom Constraints'!$A:$A,"caiso-deliverability_"&amp;SUBSTITUTE(Dashboard!$D546,"_group",Dashboard!$D$503)&amp;"."&amp;YEAR(Dashboard!Y$537))</f>
        <v>0</v>
      </c>
      <c r="Z546" s="10">
        <f>SUMIFS('Custom Constraints'!$D:$D,'Custom Constraints'!$A:$A,"caiso-deliverability_"&amp;SUBSTITUTE(Dashboard!$D546,"_group",Dashboard!$D$503)&amp;"."&amp;YEAR(Dashboard!Z$537))</f>
        <v>0</v>
      </c>
      <c r="AA546" s="10">
        <f>SUMIFS('Custom Constraints'!$D:$D,'Custom Constraints'!$A:$A,"caiso-deliverability_"&amp;SUBSTITUTE(Dashboard!$D546,"_group",Dashboard!$D$503)&amp;"."&amp;YEAR(Dashboard!AA$537))</f>
        <v>0</v>
      </c>
      <c r="AB546" s="10">
        <f>SUMIFS('Custom Constraints'!$D:$D,'Custom Constraints'!$A:$A,"caiso-deliverability_"&amp;SUBSTITUTE(Dashboard!$D546,"_group",Dashboard!$D$503)&amp;"."&amp;YEAR(Dashboard!AB$537))</f>
        <v>0</v>
      </c>
      <c r="AC546" s="10">
        <f>SUMIFS('Custom Constraints'!$D:$D,'Custom Constraints'!$A:$A,"caiso-deliverability_"&amp;SUBSTITUTE(Dashboard!$D546,"_group",Dashboard!$D$503)&amp;"."&amp;YEAR(Dashboard!AC$537))</f>
        <v>0</v>
      </c>
      <c r="AD546" s="10">
        <f>SUMIFS('Custom Constraints'!$D:$D,'Custom Constraints'!$A:$A,"caiso-deliverability_"&amp;SUBSTITUTE(Dashboard!$D546,"_group",Dashboard!$D$503)&amp;"."&amp;YEAR(Dashboard!AD$537))</f>
        <v>1431</v>
      </c>
      <c r="AH546" s="34" t="s">
        <v>422</v>
      </c>
    </row>
    <row r="547" spans="4:34" outlineLevel="2" x14ac:dyDescent="0.2">
      <c r="D547" s="8" t="s">
        <v>266</v>
      </c>
      <c r="E547" s="10">
        <f>SUMIFS('Custom Constraints'!$D:$D,'Custom Constraints'!$A:$A,"caiso-deliverability_"&amp;SUBSTITUTE(Dashboard!$D547,"_group",Dashboard!$D$503)&amp;"."&amp;YEAR(Dashboard!E$537))</f>
        <v>0</v>
      </c>
      <c r="F547" s="10">
        <f>SUMIFS('Custom Constraints'!$D:$D,'Custom Constraints'!$A:$A,"caiso-deliverability_"&amp;SUBSTITUTE(Dashboard!$D547,"_group",Dashboard!$D$503)&amp;"."&amp;YEAR(Dashboard!F$537))</f>
        <v>0</v>
      </c>
      <c r="G547" s="10">
        <f>SUMIFS('Custom Constraints'!$D:$D,'Custom Constraints'!$A:$A,"caiso-deliverability_"&amp;SUBSTITUTE(Dashboard!$D547,"_group",Dashboard!$D$503)&amp;"."&amp;YEAR(Dashboard!G$537))</f>
        <v>0</v>
      </c>
      <c r="H547" s="10">
        <f>SUMIFS('Custom Constraints'!$D:$D,'Custom Constraints'!$A:$A,"caiso-deliverability_"&amp;SUBSTITUTE(Dashboard!$D547,"_group",Dashboard!$D$503)&amp;"."&amp;YEAR(Dashboard!H$537))</f>
        <v>0</v>
      </c>
      <c r="I547" s="10">
        <f>SUMIFS('Custom Constraints'!$D:$D,'Custom Constraints'!$A:$A,"caiso-deliverability_"&amp;SUBSTITUTE(Dashboard!$D547,"_group",Dashboard!$D$503)&amp;"."&amp;YEAR(Dashboard!I$537))</f>
        <v>0</v>
      </c>
      <c r="J547" s="10">
        <f>SUMIFS('Custom Constraints'!$D:$D,'Custom Constraints'!$A:$A,"caiso-deliverability_"&amp;SUBSTITUTE(Dashboard!$D547,"_group",Dashboard!$D$503)&amp;"."&amp;YEAR(Dashboard!J$537))</f>
        <v>0</v>
      </c>
      <c r="K547" s="10">
        <f>SUMIFS('Custom Constraints'!$D:$D,'Custom Constraints'!$A:$A,"caiso-deliverability_"&amp;SUBSTITUTE(Dashboard!$D547,"_group",Dashboard!$D$503)&amp;"."&amp;YEAR(Dashboard!K$537))</f>
        <v>0</v>
      </c>
      <c r="L547" s="10">
        <f>SUMIFS('Custom Constraints'!$D:$D,'Custom Constraints'!$A:$A,"caiso-deliverability_"&amp;SUBSTITUTE(Dashboard!$D547,"_group",Dashboard!$D$503)&amp;"."&amp;YEAR(Dashboard!L$537))</f>
        <v>0</v>
      </c>
      <c r="M547" s="10">
        <f>SUMIFS('Custom Constraints'!$D:$D,'Custom Constraints'!$A:$A,"caiso-deliverability_"&amp;SUBSTITUTE(Dashboard!$D547,"_group",Dashboard!$D$503)&amp;"."&amp;YEAR(Dashboard!M$537))</f>
        <v>0</v>
      </c>
      <c r="N547" s="10">
        <f>SUMIFS('Custom Constraints'!$D:$D,'Custom Constraints'!$A:$A,"caiso-deliverability_"&amp;SUBSTITUTE(Dashboard!$D547,"_group",Dashboard!$D$503)&amp;"."&amp;YEAR(Dashboard!N$537))</f>
        <v>0</v>
      </c>
      <c r="O547" s="10">
        <f>SUMIFS('Custom Constraints'!$D:$D,'Custom Constraints'!$A:$A,"caiso-deliverability_"&amp;SUBSTITUTE(Dashboard!$D547,"_group",Dashboard!$D$503)&amp;"."&amp;YEAR(Dashboard!O$537))</f>
        <v>0</v>
      </c>
      <c r="P547" s="10">
        <f>SUMIFS('Custom Constraints'!$D:$D,'Custom Constraints'!$A:$A,"caiso-deliverability_"&amp;SUBSTITUTE(Dashboard!$D547,"_group",Dashboard!$D$503)&amp;"."&amp;YEAR(Dashboard!P$537))</f>
        <v>0</v>
      </c>
      <c r="Q547" s="10">
        <f>SUMIFS('Custom Constraints'!$D:$D,'Custom Constraints'!$A:$A,"caiso-deliverability_"&amp;SUBSTITUTE(Dashboard!$D547,"_group",Dashboard!$D$503)&amp;"."&amp;YEAR(Dashboard!Q$537))</f>
        <v>0</v>
      </c>
      <c r="R547" s="10">
        <f>SUMIFS('Custom Constraints'!$D:$D,'Custom Constraints'!$A:$A,"caiso-deliverability_"&amp;SUBSTITUTE(Dashboard!$D547,"_group",Dashboard!$D$503)&amp;"."&amp;YEAR(Dashboard!R$537))</f>
        <v>0</v>
      </c>
      <c r="S547" s="10">
        <f>SUMIFS('Custom Constraints'!$D:$D,'Custom Constraints'!$A:$A,"caiso-deliverability_"&amp;SUBSTITUTE(Dashboard!$D547,"_group",Dashboard!$D$503)&amp;"."&amp;YEAR(Dashboard!S$537))</f>
        <v>0</v>
      </c>
      <c r="T547" s="10">
        <f>SUMIFS('Custom Constraints'!$D:$D,'Custom Constraints'!$A:$A,"caiso-deliverability_"&amp;SUBSTITUTE(Dashboard!$D547,"_group",Dashboard!$D$503)&amp;"."&amp;YEAR(Dashboard!T$537))</f>
        <v>0</v>
      </c>
      <c r="U547" s="10">
        <f>SUMIFS('Custom Constraints'!$D:$D,'Custom Constraints'!$A:$A,"caiso-deliverability_"&amp;SUBSTITUTE(Dashboard!$D547,"_group",Dashboard!$D$503)&amp;"."&amp;YEAR(Dashboard!U$537))</f>
        <v>0</v>
      </c>
      <c r="V547" s="10">
        <f>SUMIFS('Custom Constraints'!$D:$D,'Custom Constraints'!$A:$A,"caiso-deliverability_"&amp;SUBSTITUTE(Dashboard!$D547,"_group",Dashboard!$D$503)&amp;"."&amp;YEAR(Dashboard!V$537))</f>
        <v>0</v>
      </c>
      <c r="W547" s="10">
        <f>SUMIFS('Custom Constraints'!$D:$D,'Custom Constraints'!$A:$A,"caiso-deliverability_"&amp;SUBSTITUTE(Dashboard!$D547,"_group",Dashboard!$D$503)&amp;"."&amp;YEAR(Dashboard!W$537))</f>
        <v>0</v>
      </c>
      <c r="X547" s="10">
        <f>SUMIFS('Custom Constraints'!$D:$D,'Custom Constraints'!$A:$A,"caiso-deliverability_"&amp;SUBSTITUTE(Dashboard!$D547,"_group",Dashboard!$D$503)&amp;"."&amp;YEAR(Dashboard!X$537))</f>
        <v>0</v>
      </c>
      <c r="Y547" s="10">
        <f>SUMIFS('Custom Constraints'!$D:$D,'Custom Constraints'!$A:$A,"caiso-deliverability_"&amp;SUBSTITUTE(Dashboard!$D547,"_group",Dashboard!$D$503)&amp;"."&amp;YEAR(Dashboard!Y$537))</f>
        <v>0</v>
      </c>
      <c r="Z547" s="10">
        <f>SUMIFS('Custom Constraints'!$D:$D,'Custom Constraints'!$A:$A,"caiso-deliverability_"&amp;SUBSTITUTE(Dashboard!$D547,"_group",Dashboard!$D$503)&amp;"."&amp;YEAR(Dashboard!Z$537))</f>
        <v>0</v>
      </c>
      <c r="AA547" s="10">
        <f>SUMIFS('Custom Constraints'!$D:$D,'Custom Constraints'!$A:$A,"caiso-deliverability_"&amp;SUBSTITUTE(Dashboard!$D547,"_group",Dashboard!$D$503)&amp;"."&amp;YEAR(Dashboard!AA$537))</f>
        <v>0</v>
      </c>
      <c r="AB547" s="10">
        <f>SUMIFS('Custom Constraints'!$D:$D,'Custom Constraints'!$A:$A,"caiso-deliverability_"&amp;SUBSTITUTE(Dashboard!$D547,"_group",Dashboard!$D$503)&amp;"."&amp;YEAR(Dashboard!AB$537))</f>
        <v>0</v>
      </c>
      <c r="AC547" s="10">
        <f>SUMIFS('Custom Constraints'!$D:$D,'Custom Constraints'!$A:$A,"caiso-deliverability_"&amp;SUBSTITUTE(Dashboard!$D547,"_group",Dashboard!$D$503)&amp;"."&amp;YEAR(Dashboard!AC$537))</f>
        <v>0</v>
      </c>
      <c r="AD547" s="10">
        <f>SUMIFS('Custom Constraints'!$D:$D,'Custom Constraints'!$A:$A,"caiso-deliverability_"&amp;SUBSTITUTE(Dashboard!$D547,"_group",Dashboard!$D$503)&amp;"."&amp;YEAR(Dashboard!AD$537))</f>
        <v>10830</v>
      </c>
      <c r="AH547" s="34" t="s">
        <v>422</v>
      </c>
    </row>
    <row r="548" spans="4:34" outlineLevel="2" x14ac:dyDescent="0.2">
      <c r="D548" s="8" t="s">
        <v>267</v>
      </c>
      <c r="E548" s="10">
        <f>SUMIFS('Custom Constraints'!$D:$D,'Custom Constraints'!$A:$A,"caiso-deliverability_"&amp;SUBSTITUTE(Dashboard!$D548,"_group",Dashboard!$D$503)&amp;"."&amp;YEAR(Dashboard!E$537))</f>
        <v>0</v>
      </c>
      <c r="F548" s="10">
        <f>SUMIFS('Custom Constraints'!$D:$D,'Custom Constraints'!$A:$A,"caiso-deliverability_"&amp;SUBSTITUTE(Dashboard!$D548,"_group",Dashboard!$D$503)&amp;"."&amp;YEAR(Dashboard!F$537))</f>
        <v>0</v>
      </c>
      <c r="G548" s="10">
        <f>SUMIFS('Custom Constraints'!$D:$D,'Custom Constraints'!$A:$A,"caiso-deliverability_"&amp;SUBSTITUTE(Dashboard!$D548,"_group",Dashboard!$D$503)&amp;"."&amp;YEAR(Dashboard!G$537))</f>
        <v>0</v>
      </c>
      <c r="H548" s="10">
        <f>SUMIFS('Custom Constraints'!$D:$D,'Custom Constraints'!$A:$A,"caiso-deliverability_"&amp;SUBSTITUTE(Dashboard!$D548,"_group",Dashboard!$D$503)&amp;"."&amp;YEAR(Dashboard!H$537))</f>
        <v>0</v>
      </c>
      <c r="I548" s="10">
        <f>SUMIFS('Custom Constraints'!$D:$D,'Custom Constraints'!$A:$A,"caiso-deliverability_"&amp;SUBSTITUTE(Dashboard!$D548,"_group",Dashboard!$D$503)&amp;"."&amp;YEAR(Dashboard!I$537))</f>
        <v>0</v>
      </c>
      <c r="J548" s="10">
        <f>SUMIFS('Custom Constraints'!$D:$D,'Custom Constraints'!$A:$A,"caiso-deliverability_"&amp;SUBSTITUTE(Dashboard!$D548,"_group",Dashboard!$D$503)&amp;"."&amp;YEAR(Dashboard!J$537))</f>
        <v>0</v>
      </c>
      <c r="K548" s="10">
        <f>SUMIFS('Custom Constraints'!$D:$D,'Custom Constraints'!$A:$A,"caiso-deliverability_"&amp;SUBSTITUTE(Dashboard!$D548,"_group",Dashboard!$D$503)&amp;"."&amp;YEAR(Dashboard!K$537))</f>
        <v>0</v>
      </c>
      <c r="L548" s="10">
        <f>SUMIFS('Custom Constraints'!$D:$D,'Custom Constraints'!$A:$A,"caiso-deliverability_"&amp;SUBSTITUTE(Dashboard!$D548,"_group",Dashboard!$D$503)&amp;"."&amp;YEAR(Dashboard!L$537))</f>
        <v>0</v>
      </c>
      <c r="M548" s="10">
        <f>SUMIFS('Custom Constraints'!$D:$D,'Custom Constraints'!$A:$A,"caiso-deliverability_"&amp;SUBSTITUTE(Dashboard!$D548,"_group",Dashboard!$D$503)&amp;"."&amp;YEAR(Dashboard!M$537))</f>
        <v>0</v>
      </c>
      <c r="N548" s="10">
        <f>SUMIFS('Custom Constraints'!$D:$D,'Custom Constraints'!$A:$A,"caiso-deliverability_"&amp;SUBSTITUTE(Dashboard!$D548,"_group",Dashboard!$D$503)&amp;"."&amp;YEAR(Dashboard!N$537))</f>
        <v>0</v>
      </c>
      <c r="O548" s="10">
        <f>SUMIFS('Custom Constraints'!$D:$D,'Custom Constraints'!$A:$A,"caiso-deliverability_"&amp;SUBSTITUTE(Dashboard!$D548,"_group",Dashboard!$D$503)&amp;"."&amp;YEAR(Dashboard!O$537))</f>
        <v>0</v>
      </c>
      <c r="P548" s="10">
        <f>SUMIFS('Custom Constraints'!$D:$D,'Custom Constraints'!$A:$A,"caiso-deliverability_"&amp;SUBSTITUTE(Dashboard!$D548,"_group",Dashboard!$D$503)&amp;"."&amp;YEAR(Dashboard!P$537))</f>
        <v>0</v>
      </c>
      <c r="Q548" s="10">
        <f>SUMIFS('Custom Constraints'!$D:$D,'Custom Constraints'!$A:$A,"caiso-deliverability_"&amp;SUBSTITUTE(Dashboard!$D548,"_group",Dashboard!$D$503)&amp;"."&amp;YEAR(Dashboard!Q$537))</f>
        <v>0</v>
      </c>
      <c r="R548" s="10">
        <f>SUMIFS('Custom Constraints'!$D:$D,'Custom Constraints'!$A:$A,"caiso-deliverability_"&amp;SUBSTITUTE(Dashboard!$D548,"_group",Dashboard!$D$503)&amp;"."&amp;YEAR(Dashboard!R$537))</f>
        <v>0</v>
      </c>
      <c r="S548" s="10">
        <f>SUMIFS('Custom Constraints'!$D:$D,'Custom Constraints'!$A:$A,"caiso-deliverability_"&amp;SUBSTITUTE(Dashboard!$D548,"_group",Dashboard!$D$503)&amp;"."&amp;YEAR(Dashboard!S$537))</f>
        <v>0</v>
      </c>
      <c r="T548" s="10">
        <f>SUMIFS('Custom Constraints'!$D:$D,'Custom Constraints'!$A:$A,"caiso-deliverability_"&amp;SUBSTITUTE(Dashboard!$D548,"_group",Dashboard!$D$503)&amp;"."&amp;YEAR(Dashboard!T$537))</f>
        <v>0</v>
      </c>
      <c r="U548" s="10">
        <f>SUMIFS('Custom Constraints'!$D:$D,'Custom Constraints'!$A:$A,"caiso-deliverability_"&amp;SUBSTITUTE(Dashboard!$D548,"_group",Dashboard!$D$503)&amp;"."&amp;YEAR(Dashboard!U$537))</f>
        <v>0</v>
      </c>
      <c r="V548" s="10">
        <f>SUMIFS('Custom Constraints'!$D:$D,'Custom Constraints'!$A:$A,"caiso-deliverability_"&amp;SUBSTITUTE(Dashboard!$D548,"_group",Dashboard!$D$503)&amp;"."&amp;YEAR(Dashboard!V$537))</f>
        <v>0</v>
      </c>
      <c r="W548" s="10">
        <f>SUMIFS('Custom Constraints'!$D:$D,'Custom Constraints'!$A:$A,"caiso-deliverability_"&amp;SUBSTITUTE(Dashboard!$D548,"_group",Dashboard!$D$503)&amp;"."&amp;YEAR(Dashboard!W$537))</f>
        <v>0</v>
      </c>
      <c r="X548" s="10">
        <f>SUMIFS('Custom Constraints'!$D:$D,'Custom Constraints'!$A:$A,"caiso-deliverability_"&amp;SUBSTITUTE(Dashboard!$D548,"_group",Dashboard!$D$503)&amp;"."&amp;YEAR(Dashboard!X$537))</f>
        <v>0</v>
      </c>
      <c r="Y548" s="10">
        <f>SUMIFS('Custom Constraints'!$D:$D,'Custom Constraints'!$A:$A,"caiso-deliverability_"&amp;SUBSTITUTE(Dashboard!$D548,"_group",Dashboard!$D$503)&amp;"."&amp;YEAR(Dashboard!Y$537))</f>
        <v>0</v>
      </c>
      <c r="Z548" s="10">
        <f>SUMIFS('Custom Constraints'!$D:$D,'Custom Constraints'!$A:$A,"caiso-deliverability_"&amp;SUBSTITUTE(Dashboard!$D548,"_group",Dashboard!$D$503)&amp;"."&amp;YEAR(Dashboard!Z$537))</f>
        <v>0</v>
      </c>
      <c r="AA548" s="10">
        <f>SUMIFS('Custom Constraints'!$D:$D,'Custom Constraints'!$A:$A,"caiso-deliverability_"&amp;SUBSTITUTE(Dashboard!$D548,"_group",Dashboard!$D$503)&amp;"."&amp;YEAR(Dashboard!AA$537))</f>
        <v>0</v>
      </c>
      <c r="AB548" s="10">
        <f>SUMIFS('Custom Constraints'!$D:$D,'Custom Constraints'!$A:$A,"caiso-deliverability_"&amp;SUBSTITUTE(Dashboard!$D548,"_group",Dashboard!$D$503)&amp;"."&amp;YEAR(Dashboard!AB$537))</f>
        <v>0</v>
      </c>
      <c r="AC548" s="10">
        <f>SUMIFS('Custom Constraints'!$D:$D,'Custom Constraints'!$A:$A,"caiso-deliverability_"&amp;SUBSTITUTE(Dashboard!$D548,"_group",Dashboard!$D$503)&amp;"."&amp;YEAR(Dashboard!AC$537))</f>
        <v>0</v>
      </c>
      <c r="AD548" s="10">
        <f>SUMIFS('Custom Constraints'!$D:$D,'Custom Constraints'!$A:$A,"caiso-deliverability_"&amp;SUBSTITUTE(Dashboard!$D548,"_group",Dashboard!$D$503)&amp;"."&amp;YEAR(Dashboard!AD$537))</f>
        <v>300</v>
      </c>
      <c r="AH548" s="34" t="s">
        <v>422</v>
      </c>
    </row>
    <row r="549" spans="4:34" outlineLevel="2" x14ac:dyDescent="0.2">
      <c r="D549" s="8" t="s">
        <v>268</v>
      </c>
      <c r="E549" s="10">
        <f>SUMIFS('Custom Constraints'!$D:$D,'Custom Constraints'!$A:$A,"caiso-deliverability_"&amp;SUBSTITUTE(Dashboard!$D549,"_group",Dashboard!$D$503)&amp;"."&amp;YEAR(Dashboard!E$537))</f>
        <v>0</v>
      </c>
      <c r="F549" s="10">
        <f>SUMIFS('Custom Constraints'!$D:$D,'Custom Constraints'!$A:$A,"caiso-deliverability_"&amp;SUBSTITUTE(Dashboard!$D549,"_group",Dashboard!$D$503)&amp;"."&amp;YEAR(Dashboard!F$537))</f>
        <v>0</v>
      </c>
      <c r="G549" s="10">
        <f>SUMIFS('Custom Constraints'!$D:$D,'Custom Constraints'!$A:$A,"caiso-deliverability_"&amp;SUBSTITUTE(Dashboard!$D549,"_group",Dashboard!$D$503)&amp;"."&amp;YEAR(Dashboard!G$537))</f>
        <v>0</v>
      </c>
      <c r="H549" s="10">
        <f>SUMIFS('Custom Constraints'!$D:$D,'Custom Constraints'!$A:$A,"caiso-deliverability_"&amp;SUBSTITUTE(Dashboard!$D549,"_group",Dashboard!$D$503)&amp;"."&amp;YEAR(Dashboard!H$537))</f>
        <v>0</v>
      </c>
      <c r="I549" s="10">
        <f>SUMIFS('Custom Constraints'!$D:$D,'Custom Constraints'!$A:$A,"caiso-deliverability_"&amp;SUBSTITUTE(Dashboard!$D549,"_group",Dashboard!$D$503)&amp;"."&amp;YEAR(Dashboard!I$537))</f>
        <v>0</v>
      </c>
      <c r="J549" s="10">
        <f>SUMIFS('Custom Constraints'!$D:$D,'Custom Constraints'!$A:$A,"caiso-deliverability_"&amp;SUBSTITUTE(Dashboard!$D549,"_group",Dashboard!$D$503)&amp;"."&amp;YEAR(Dashboard!J$537))</f>
        <v>0</v>
      </c>
      <c r="K549" s="10">
        <f>SUMIFS('Custom Constraints'!$D:$D,'Custom Constraints'!$A:$A,"caiso-deliverability_"&amp;SUBSTITUTE(Dashboard!$D549,"_group",Dashboard!$D$503)&amp;"."&amp;YEAR(Dashboard!K$537))</f>
        <v>0</v>
      </c>
      <c r="L549" s="10">
        <f>SUMIFS('Custom Constraints'!$D:$D,'Custom Constraints'!$A:$A,"caiso-deliverability_"&amp;SUBSTITUTE(Dashboard!$D549,"_group",Dashboard!$D$503)&amp;"."&amp;YEAR(Dashboard!L$537))</f>
        <v>0</v>
      </c>
      <c r="M549" s="10">
        <f>SUMIFS('Custom Constraints'!$D:$D,'Custom Constraints'!$A:$A,"caiso-deliverability_"&amp;SUBSTITUTE(Dashboard!$D549,"_group",Dashboard!$D$503)&amp;"."&amp;YEAR(Dashboard!M$537))</f>
        <v>0</v>
      </c>
      <c r="N549" s="10">
        <f>SUMIFS('Custom Constraints'!$D:$D,'Custom Constraints'!$A:$A,"caiso-deliverability_"&amp;SUBSTITUTE(Dashboard!$D549,"_group",Dashboard!$D$503)&amp;"."&amp;YEAR(Dashboard!N$537))</f>
        <v>0</v>
      </c>
      <c r="O549" s="10">
        <f>SUMIFS('Custom Constraints'!$D:$D,'Custom Constraints'!$A:$A,"caiso-deliverability_"&amp;SUBSTITUTE(Dashboard!$D549,"_group",Dashboard!$D$503)&amp;"."&amp;YEAR(Dashboard!O$537))</f>
        <v>0</v>
      </c>
      <c r="P549" s="10">
        <f>SUMIFS('Custom Constraints'!$D:$D,'Custom Constraints'!$A:$A,"caiso-deliverability_"&amp;SUBSTITUTE(Dashboard!$D549,"_group",Dashboard!$D$503)&amp;"."&amp;YEAR(Dashboard!P$537))</f>
        <v>0</v>
      </c>
      <c r="Q549" s="10">
        <f>SUMIFS('Custom Constraints'!$D:$D,'Custom Constraints'!$A:$A,"caiso-deliverability_"&amp;SUBSTITUTE(Dashboard!$D549,"_group",Dashboard!$D$503)&amp;"."&amp;YEAR(Dashboard!Q$537))</f>
        <v>0</v>
      </c>
      <c r="R549" s="10">
        <f>SUMIFS('Custom Constraints'!$D:$D,'Custom Constraints'!$A:$A,"caiso-deliverability_"&amp;SUBSTITUTE(Dashboard!$D549,"_group",Dashboard!$D$503)&amp;"."&amp;YEAR(Dashboard!R$537))</f>
        <v>0</v>
      </c>
      <c r="S549" s="10">
        <f>SUMIFS('Custom Constraints'!$D:$D,'Custom Constraints'!$A:$A,"caiso-deliverability_"&amp;SUBSTITUTE(Dashboard!$D549,"_group",Dashboard!$D$503)&amp;"."&amp;YEAR(Dashboard!S$537))</f>
        <v>0</v>
      </c>
      <c r="T549" s="10">
        <f>SUMIFS('Custom Constraints'!$D:$D,'Custom Constraints'!$A:$A,"caiso-deliverability_"&amp;SUBSTITUTE(Dashboard!$D549,"_group",Dashboard!$D$503)&amp;"."&amp;YEAR(Dashboard!T$537))</f>
        <v>0</v>
      </c>
      <c r="U549" s="10">
        <f>SUMIFS('Custom Constraints'!$D:$D,'Custom Constraints'!$A:$A,"caiso-deliverability_"&amp;SUBSTITUTE(Dashboard!$D549,"_group",Dashboard!$D$503)&amp;"."&amp;YEAR(Dashboard!U$537))</f>
        <v>0</v>
      </c>
      <c r="V549" s="10">
        <f>SUMIFS('Custom Constraints'!$D:$D,'Custom Constraints'!$A:$A,"caiso-deliverability_"&amp;SUBSTITUTE(Dashboard!$D549,"_group",Dashboard!$D$503)&amp;"."&amp;YEAR(Dashboard!V$537))</f>
        <v>0</v>
      </c>
      <c r="W549" s="10">
        <f>SUMIFS('Custom Constraints'!$D:$D,'Custom Constraints'!$A:$A,"caiso-deliverability_"&amp;SUBSTITUTE(Dashboard!$D549,"_group",Dashboard!$D$503)&amp;"."&amp;YEAR(Dashboard!W$537))</f>
        <v>0</v>
      </c>
      <c r="X549" s="10">
        <f>SUMIFS('Custom Constraints'!$D:$D,'Custom Constraints'!$A:$A,"caiso-deliverability_"&amp;SUBSTITUTE(Dashboard!$D549,"_group",Dashboard!$D$503)&amp;"."&amp;YEAR(Dashboard!X$537))</f>
        <v>0</v>
      </c>
      <c r="Y549" s="10">
        <f>SUMIFS('Custom Constraints'!$D:$D,'Custom Constraints'!$A:$A,"caiso-deliverability_"&amp;SUBSTITUTE(Dashboard!$D549,"_group",Dashboard!$D$503)&amp;"."&amp;YEAR(Dashboard!Y$537))</f>
        <v>0</v>
      </c>
      <c r="Z549" s="10">
        <f>SUMIFS('Custom Constraints'!$D:$D,'Custom Constraints'!$A:$A,"caiso-deliverability_"&amp;SUBSTITUTE(Dashboard!$D549,"_group",Dashboard!$D$503)&amp;"."&amp;YEAR(Dashboard!Z$537))</f>
        <v>0</v>
      </c>
      <c r="AA549" s="10">
        <f>SUMIFS('Custom Constraints'!$D:$D,'Custom Constraints'!$A:$A,"caiso-deliverability_"&amp;SUBSTITUTE(Dashboard!$D549,"_group",Dashboard!$D$503)&amp;"."&amp;YEAR(Dashboard!AA$537))</f>
        <v>0</v>
      </c>
      <c r="AB549" s="10">
        <f>SUMIFS('Custom Constraints'!$D:$D,'Custom Constraints'!$A:$A,"caiso-deliverability_"&amp;SUBSTITUTE(Dashboard!$D549,"_group",Dashboard!$D$503)&amp;"."&amp;YEAR(Dashboard!AB$537))</f>
        <v>0</v>
      </c>
      <c r="AC549" s="10">
        <f>SUMIFS('Custom Constraints'!$D:$D,'Custom Constraints'!$A:$A,"caiso-deliverability_"&amp;SUBSTITUTE(Dashboard!$D549,"_group",Dashboard!$D$503)&amp;"."&amp;YEAR(Dashboard!AC$537))</f>
        <v>0</v>
      </c>
      <c r="AD549" s="10">
        <f>SUMIFS('Custom Constraints'!$D:$D,'Custom Constraints'!$A:$A,"caiso-deliverability_"&amp;SUBSTITUTE(Dashboard!$D549,"_group",Dashboard!$D$503)&amp;"."&amp;YEAR(Dashboard!AD$537))</f>
        <v>7241</v>
      </c>
      <c r="AH549" s="34" t="s">
        <v>422</v>
      </c>
    </row>
    <row r="550" spans="4:34" outlineLevel="2" x14ac:dyDescent="0.2">
      <c r="D550" s="8" t="s">
        <v>269</v>
      </c>
      <c r="E550" s="10">
        <f>SUMIFS('Custom Constraints'!$D:$D,'Custom Constraints'!$A:$A,"caiso-deliverability_"&amp;SUBSTITUTE(Dashboard!$D550,"_group",Dashboard!$D$503)&amp;"."&amp;YEAR(Dashboard!E$537))</f>
        <v>0</v>
      </c>
      <c r="F550" s="10">
        <f>SUMIFS('Custom Constraints'!$D:$D,'Custom Constraints'!$A:$A,"caiso-deliverability_"&amp;SUBSTITUTE(Dashboard!$D550,"_group",Dashboard!$D$503)&amp;"."&amp;YEAR(Dashboard!F$537))</f>
        <v>0</v>
      </c>
      <c r="G550" s="10">
        <f>SUMIFS('Custom Constraints'!$D:$D,'Custom Constraints'!$A:$A,"caiso-deliverability_"&amp;SUBSTITUTE(Dashboard!$D550,"_group",Dashboard!$D$503)&amp;"."&amp;YEAR(Dashboard!G$537))</f>
        <v>0</v>
      </c>
      <c r="H550" s="10">
        <f>SUMIFS('Custom Constraints'!$D:$D,'Custom Constraints'!$A:$A,"caiso-deliverability_"&amp;SUBSTITUTE(Dashboard!$D550,"_group",Dashboard!$D$503)&amp;"."&amp;YEAR(Dashboard!H$537))</f>
        <v>0</v>
      </c>
      <c r="I550" s="10">
        <f>SUMIFS('Custom Constraints'!$D:$D,'Custom Constraints'!$A:$A,"caiso-deliverability_"&amp;SUBSTITUTE(Dashboard!$D550,"_group",Dashboard!$D$503)&amp;"."&amp;YEAR(Dashboard!I$537))</f>
        <v>0</v>
      </c>
      <c r="J550" s="10">
        <f>SUMIFS('Custom Constraints'!$D:$D,'Custom Constraints'!$A:$A,"caiso-deliverability_"&amp;SUBSTITUTE(Dashboard!$D550,"_group",Dashboard!$D$503)&amp;"."&amp;YEAR(Dashboard!J$537))</f>
        <v>0</v>
      </c>
      <c r="K550" s="10">
        <f>SUMIFS('Custom Constraints'!$D:$D,'Custom Constraints'!$A:$A,"caiso-deliverability_"&amp;SUBSTITUTE(Dashboard!$D550,"_group",Dashboard!$D$503)&amp;"."&amp;YEAR(Dashboard!K$537))</f>
        <v>0</v>
      </c>
      <c r="L550" s="10">
        <f>SUMIFS('Custom Constraints'!$D:$D,'Custom Constraints'!$A:$A,"caiso-deliverability_"&amp;SUBSTITUTE(Dashboard!$D550,"_group",Dashboard!$D$503)&amp;"."&amp;YEAR(Dashboard!L$537))</f>
        <v>0</v>
      </c>
      <c r="M550" s="10">
        <f>SUMIFS('Custom Constraints'!$D:$D,'Custom Constraints'!$A:$A,"caiso-deliverability_"&amp;SUBSTITUTE(Dashboard!$D550,"_group",Dashboard!$D$503)&amp;"."&amp;YEAR(Dashboard!M$537))</f>
        <v>0</v>
      </c>
      <c r="N550" s="10">
        <f>SUMIFS('Custom Constraints'!$D:$D,'Custom Constraints'!$A:$A,"caiso-deliverability_"&amp;SUBSTITUTE(Dashboard!$D550,"_group",Dashboard!$D$503)&amp;"."&amp;YEAR(Dashboard!N$537))</f>
        <v>0</v>
      </c>
      <c r="O550" s="10">
        <f>SUMIFS('Custom Constraints'!$D:$D,'Custom Constraints'!$A:$A,"caiso-deliverability_"&amp;SUBSTITUTE(Dashboard!$D550,"_group",Dashboard!$D$503)&amp;"."&amp;YEAR(Dashboard!O$537))</f>
        <v>0</v>
      </c>
      <c r="P550" s="10">
        <f>SUMIFS('Custom Constraints'!$D:$D,'Custom Constraints'!$A:$A,"caiso-deliverability_"&amp;SUBSTITUTE(Dashboard!$D550,"_group",Dashboard!$D$503)&amp;"."&amp;YEAR(Dashboard!P$537))</f>
        <v>0</v>
      </c>
      <c r="Q550" s="10">
        <f>SUMIFS('Custom Constraints'!$D:$D,'Custom Constraints'!$A:$A,"caiso-deliverability_"&amp;SUBSTITUTE(Dashboard!$D550,"_group",Dashboard!$D$503)&amp;"."&amp;YEAR(Dashboard!Q$537))</f>
        <v>0</v>
      </c>
      <c r="R550" s="10">
        <f>SUMIFS('Custom Constraints'!$D:$D,'Custom Constraints'!$A:$A,"caiso-deliverability_"&amp;SUBSTITUTE(Dashboard!$D550,"_group",Dashboard!$D$503)&amp;"."&amp;YEAR(Dashboard!R$537))</f>
        <v>0</v>
      </c>
      <c r="S550" s="10">
        <f>SUMIFS('Custom Constraints'!$D:$D,'Custom Constraints'!$A:$A,"caiso-deliverability_"&amp;SUBSTITUTE(Dashboard!$D550,"_group",Dashboard!$D$503)&amp;"."&amp;YEAR(Dashboard!S$537))</f>
        <v>0</v>
      </c>
      <c r="T550" s="10">
        <f>SUMIFS('Custom Constraints'!$D:$D,'Custom Constraints'!$A:$A,"caiso-deliverability_"&amp;SUBSTITUTE(Dashboard!$D550,"_group",Dashboard!$D$503)&amp;"."&amp;YEAR(Dashboard!T$537))</f>
        <v>0</v>
      </c>
      <c r="U550" s="10">
        <f>SUMIFS('Custom Constraints'!$D:$D,'Custom Constraints'!$A:$A,"caiso-deliverability_"&amp;SUBSTITUTE(Dashboard!$D550,"_group",Dashboard!$D$503)&amp;"."&amp;YEAR(Dashboard!U$537))</f>
        <v>0</v>
      </c>
      <c r="V550" s="10">
        <f>SUMIFS('Custom Constraints'!$D:$D,'Custom Constraints'!$A:$A,"caiso-deliverability_"&amp;SUBSTITUTE(Dashboard!$D550,"_group",Dashboard!$D$503)&amp;"."&amp;YEAR(Dashboard!V$537))</f>
        <v>0</v>
      </c>
      <c r="W550" s="10">
        <f>SUMIFS('Custom Constraints'!$D:$D,'Custom Constraints'!$A:$A,"caiso-deliverability_"&amp;SUBSTITUTE(Dashboard!$D550,"_group",Dashboard!$D$503)&amp;"."&amp;YEAR(Dashboard!W$537))</f>
        <v>0</v>
      </c>
      <c r="X550" s="10">
        <f>SUMIFS('Custom Constraints'!$D:$D,'Custom Constraints'!$A:$A,"caiso-deliverability_"&amp;SUBSTITUTE(Dashboard!$D550,"_group",Dashboard!$D$503)&amp;"."&amp;YEAR(Dashboard!X$537))</f>
        <v>0</v>
      </c>
      <c r="Y550" s="10">
        <f>SUMIFS('Custom Constraints'!$D:$D,'Custom Constraints'!$A:$A,"caiso-deliverability_"&amp;SUBSTITUTE(Dashboard!$D550,"_group",Dashboard!$D$503)&amp;"."&amp;YEAR(Dashboard!Y$537))</f>
        <v>0</v>
      </c>
      <c r="Z550" s="10">
        <f>SUMIFS('Custom Constraints'!$D:$D,'Custom Constraints'!$A:$A,"caiso-deliverability_"&amp;SUBSTITUTE(Dashboard!$D550,"_group",Dashboard!$D$503)&amp;"."&amp;YEAR(Dashboard!Z$537))</f>
        <v>0</v>
      </c>
      <c r="AA550" s="10">
        <f>SUMIFS('Custom Constraints'!$D:$D,'Custom Constraints'!$A:$A,"caiso-deliverability_"&amp;SUBSTITUTE(Dashboard!$D550,"_group",Dashboard!$D$503)&amp;"."&amp;YEAR(Dashboard!AA$537))</f>
        <v>0</v>
      </c>
      <c r="AB550" s="10">
        <f>SUMIFS('Custom Constraints'!$D:$D,'Custom Constraints'!$A:$A,"caiso-deliverability_"&amp;SUBSTITUTE(Dashboard!$D550,"_group",Dashboard!$D$503)&amp;"."&amp;YEAR(Dashboard!AB$537))</f>
        <v>0</v>
      </c>
      <c r="AC550" s="10">
        <f>SUMIFS('Custom Constraints'!$D:$D,'Custom Constraints'!$A:$A,"caiso-deliverability_"&amp;SUBSTITUTE(Dashboard!$D550,"_group",Dashboard!$D$503)&amp;"."&amp;YEAR(Dashboard!AC$537))</f>
        <v>0</v>
      </c>
      <c r="AD550" s="10">
        <f>SUMIFS('Custom Constraints'!$D:$D,'Custom Constraints'!$A:$A,"caiso-deliverability_"&amp;SUBSTITUTE(Dashboard!$D550,"_group",Dashboard!$D$503)&amp;"."&amp;YEAR(Dashboard!AD$537))</f>
        <v>20.52</v>
      </c>
      <c r="AH550" s="34" t="s">
        <v>422</v>
      </c>
    </row>
    <row r="551" spans="4:34" outlineLevel="2" x14ac:dyDescent="0.2">
      <c r="D551" s="8" t="s">
        <v>270</v>
      </c>
      <c r="E551" s="10">
        <f>SUMIFS('Custom Constraints'!$D:$D,'Custom Constraints'!$A:$A,"caiso-deliverability_"&amp;SUBSTITUTE(Dashboard!$D551,"_group",Dashboard!$D$503)&amp;"."&amp;YEAR(Dashboard!E$537))</f>
        <v>0</v>
      </c>
      <c r="F551" s="10">
        <f>SUMIFS('Custom Constraints'!$D:$D,'Custom Constraints'!$A:$A,"caiso-deliverability_"&amp;SUBSTITUTE(Dashboard!$D551,"_group",Dashboard!$D$503)&amp;"."&amp;YEAR(Dashboard!F$537))</f>
        <v>0</v>
      </c>
      <c r="G551" s="10">
        <f>SUMIFS('Custom Constraints'!$D:$D,'Custom Constraints'!$A:$A,"caiso-deliverability_"&amp;SUBSTITUTE(Dashboard!$D551,"_group",Dashboard!$D$503)&amp;"."&amp;YEAR(Dashboard!G$537))</f>
        <v>0</v>
      </c>
      <c r="H551" s="10">
        <f>SUMIFS('Custom Constraints'!$D:$D,'Custom Constraints'!$A:$A,"caiso-deliverability_"&amp;SUBSTITUTE(Dashboard!$D551,"_group",Dashboard!$D$503)&amp;"."&amp;YEAR(Dashboard!H$537))</f>
        <v>0</v>
      </c>
      <c r="I551" s="10">
        <f>SUMIFS('Custom Constraints'!$D:$D,'Custom Constraints'!$A:$A,"caiso-deliverability_"&amp;SUBSTITUTE(Dashboard!$D551,"_group",Dashboard!$D$503)&amp;"."&amp;YEAR(Dashboard!I$537))</f>
        <v>0</v>
      </c>
      <c r="J551" s="10">
        <f>SUMIFS('Custom Constraints'!$D:$D,'Custom Constraints'!$A:$A,"caiso-deliverability_"&amp;SUBSTITUTE(Dashboard!$D551,"_group",Dashboard!$D$503)&amp;"."&amp;YEAR(Dashboard!J$537))</f>
        <v>0</v>
      </c>
      <c r="K551" s="10">
        <f>SUMIFS('Custom Constraints'!$D:$D,'Custom Constraints'!$A:$A,"caiso-deliverability_"&amp;SUBSTITUTE(Dashboard!$D551,"_group",Dashboard!$D$503)&amp;"."&amp;YEAR(Dashboard!K$537))</f>
        <v>0</v>
      </c>
      <c r="L551" s="10">
        <f>SUMIFS('Custom Constraints'!$D:$D,'Custom Constraints'!$A:$A,"caiso-deliverability_"&amp;SUBSTITUTE(Dashboard!$D551,"_group",Dashboard!$D$503)&amp;"."&amp;YEAR(Dashboard!L$537))</f>
        <v>0</v>
      </c>
      <c r="M551" s="10">
        <f>SUMIFS('Custom Constraints'!$D:$D,'Custom Constraints'!$A:$A,"caiso-deliverability_"&amp;SUBSTITUTE(Dashboard!$D551,"_group",Dashboard!$D$503)&amp;"."&amp;YEAR(Dashboard!M$537))</f>
        <v>0</v>
      </c>
      <c r="N551" s="10">
        <f>SUMIFS('Custom Constraints'!$D:$D,'Custom Constraints'!$A:$A,"caiso-deliverability_"&amp;SUBSTITUTE(Dashboard!$D551,"_group",Dashboard!$D$503)&amp;"."&amp;YEAR(Dashboard!N$537))</f>
        <v>0</v>
      </c>
      <c r="O551" s="10">
        <f>SUMIFS('Custom Constraints'!$D:$D,'Custom Constraints'!$A:$A,"caiso-deliverability_"&amp;SUBSTITUTE(Dashboard!$D551,"_group",Dashboard!$D$503)&amp;"."&amp;YEAR(Dashboard!O$537))</f>
        <v>0</v>
      </c>
      <c r="P551" s="10">
        <f>SUMIFS('Custom Constraints'!$D:$D,'Custom Constraints'!$A:$A,"caiso-deliverability_"&amp;SUBSTITUTE(Dashboard!$D551,"_group",Dashboard!$D$503)&amp;"."&amp;YEAR(Dashboard!P$537))</f>
        <v>0</v>
      </c>
      <c r="Q551" s="10">
        <f>SUMIFS('Custom Constraints'!$D:$D,'Custom Constraints'!$A:$A,"caiso-deliverability_"&amp;SUBSTITUTE(Dashboard!$D551,"_group",Dashboard!$D$503)&amp;"."&amp;YEAR(Dashboard!Q$537))</f>
        <v>0</v>
      </c>
      <c r="R551" s="10">
        <f>SUMIFS('Custom Constraints'!$D:$D,'Custom Constraints'!$A:$A,"caiso-deliverability_"&amp;SUBSTITUTE(Dashboard!$D551,"_group",Dashboard!$D$503)&amp;"."&amp;YEAR(Dashboard!R$537))</f>
        <v>0</v>
      </c>
      <c r="S551" s="10">
        <f>SUMIFS('Custom Constraints'!$D:$D,'Custom Constraints'!$A:$A,"caiso-deliverability_"&amp;SUBSTITUTE(Dashboard!$D551,"_group",Dashboard!$D$503)&amp;"."&amp;YEAR(Dashboard!S$537))</f>
        <v>0</v>
      </c>
      <c r="T551" s="10">
        <f>SUMIFS('Custom Constraints'!$D:$D,'Custom Constraints'!$A:$A,"caiso-deliverability_"&amp;SUBSTITUTE(Dashboard!$D551,"_group",Dashboard!$D$503)&amp;"."&amp;YEAR(Dashboard!T$537))</f>
        <v>0</v>
      </c>
      <c r="U551" s="10">
        <f>SUMIFS('Custom Constraints'!$D:$D,'Custom Constraints'!$A:$A,"caiso-deliverability_"&amp;SUBSTITUTE(Dashboard!$D551,"_group",Dashboard!$D$503)&amp;"."&amp;YEAR(Dashboard!U$537))</f>
        <v>0</v>
      </c>
      <c r="V551" s="10">
        <f>SUMIFS('Custom Constraints'!$D:$D,'Custom Constraints'!$A:$A,"caiso-deliverability_"&amp;SUBSTITUTE(Dashboard!$D551,"_group",Dashboard!$D$503)&amp;"."&amp;YEAR(Dashboard!V$537))</f>
        <v>0</v>
      </c>
      <c r="W551" s="10">
        <f>SUMIFS('Custom Constraints'!$D:$D,'Custom Constraints'!$A:$A,"caiso-deliverability_"&amp;SUBSTITUTE(Dashboard!$D551,"_group",Dashboard!$D$503)&amp;"."&amp;YEAR(Dashboard!W$537))</f>
        <v>0</v>
      </c>
      <c r="X551" s="10">
        <f>SUMIFS('Custom Constraints'!$D:$D,'Custom Constraints'!$A:$A,"caiso-deliverability_"&amp;SUBSTITUTE(Dashboard!$D551,"_group",Dashboard!$D$503)&amp;"."&amp;YEAR(Dashboard!X$537))</f>
        <v>0</v>
      </c>
      <c r="Y551" s="10">
        <f>SUMIFS('Custom Constraints'!$D:$D,'Custom Constraints'!$A:$A,"caiso-deliverability_"&amp;SUBSTITUTE(Dashboard!$D551,"_group",Dashboard!$D$503)&amp;"."&amp;YEAR(Dashboard!Y$537))</f>
        <v>0</v>
      </c>
      <c r="Z551" s="10">
        <f>SUMIFS('Custom Constraints'!$D:$D,'Custom Constraints'!$A:$A,"caiso-deliverability_"&amp;SUBSTITUTE(Dashboard!$D551,"_group",Dashboard!$D$503)&amp;"."&amp;YEAR(Dashboard!Z$537))</f>
        <v>0</v>
      </c>
      <c r="AA551" s="10">
        <f>SUMIFS('Custom Constraints'!$D:$D,'Custom Constraints'!$A:$A,"caiso-deliverability_"&amp;SUBSTITUTE(Dashboard!$D551,"_group",Dashboard!$D$503)&amp;"."&amp;YEAR(Dashboard!AA$537))</f>
        <v>0</v>
      </c>
      <c r="AB551" s="10">
        <f>SUMIFS('Custom Constraints'!$D:$D,'Custom Constraints'!$A:$A,"caiso-deliverability_"&amp;SUBSTITUTE(Dashboard!$D551,"_group",Dashboard!$D$503)&amp;"."&amp;YEAR(Dashboard!AB$537))</f>
        <v>0</v>
      </c>
      <c r="AC551" s="10">
        <f>SUMIFS('Custom Constraints'!$D:$D,'Custom Constraints'!$A:$A,"caiso-deliverability_"&amp;SUBSTITUTE(Dashboard!$D551,"_group",Dashboard!$D$503)&amp;"."&amp;YEAR(Dashboard!AC$537))</f>
        <v>0</v>
      </c>
      <c r="AD551" s="10">
        <f>SUMIFS('Custom Constraints'!$D:$D,'Custom Constraints'!$A:$A,"caiso-deliverability_"&amp;SUBSTITUTE(Dashboard!$D551,"_group",Dashboard!$D$503)&amp;"."&amp;YEAR(Dashboard!AD$537))</f>
        <v>1959</v>
      </c>
      <c r="AH551" s="34" t="s">
        <v>422</v>
      </c>
    </row>
    <row r="552" spans="4:34" outlineLevel="2" x14ac:dyDescent="0.2">
      <c r="D552" s="8" t="s">
        <v>271</v>
      </c>
      <c r="E552" s="10">
        <f>SUMIFS('Custom Constraints'!$D:$D,'Custom Constraints'!$A:$A,"caiso-deliverability_"&amp;SUBSTITUTE(Dashboard!$D552,"_group",Dashboard!$D$503)&amp;"."&amp;YEAR(Dashboard!E$537))</f>
        <v>0</v>
      </c>
      <c r="F552" s="10">
        <f>SUMIFS('Custom Constraints'!$D:$D,'Custom Constraints'!$A:$A,"caiso-deliverability_"&amp;SUBSTITUTE(Dashboard!$D552,"_group",Dashboard!$D$503)&amp;"."&amp;YEAR(Dashboard!F$537))</f>
        <v>0</v>
      </c>
      <c r="G552" s="10">
        <f>SUMIFS('Custom Constraints'!$D:$D,'Custom Constraints'!$A:$A,"caiso-deliverability_"&amp;SUBSTITUTE(Dashboard!$D552,"_group",Dashboard!$D$503)&amp;"."&amp;YEAR(Dashboard!G$537))</f>
        <v>0</v>
      </c>
      <c r="H552" s="10">
        <f>SUMIFS('Custom Constraints'!$D:$D,'Custom Constraints'!$A:$A,"caiso-deliverability_"&amp;SUBSTITUTE(Dashboard!$D552,"_group",Dashboard!$D$503)&amp;"."&amp;YEAR(Dashboard!H$537))</f>
        <v>0</v>
      </c>
      <c r="I552" s="10">
        <f>SUMIFS('Custom Constraints'!$D:$D,'Custom Constraints'!$A:$A,"caiso-deliverability_"&amp;SUBSTITUTE(Dashboard!$D552,"_group",Dashboard!$D$503)&amp;"."&amp;YEAR(Dashboard!I$537))</f>
        <v>0</v>
      </c>
      <c r="J552" s="10">
        <f>SUMIFS('Custom Constraints'!$D:$D,'Custom Constraints'!$A:$A,"caiso-deliverability_"&amp;SUBSTITUTE(Dashboard!$D552,"_group",Dashboard!$D$503)&amp;"."&amp;YEAR(Dashboard!J$537))</f>
        <v>0</v>
      </c>
      <c r="K552" s="10">
        <f>SUMIFS('Custom Constraints'!$D:$D,'Custom Constraints'!$A:$A,"caiso-deliverability_"&amp;SUBSTITUTE(Dashboard!$D552,"_group",Dashboard!$D$503)&amp;"."&amp;YEAR(Dashboard!K$537))</f>
        <v>0</v>
      </c>
      <c r="L552" s="10">
        <f>SUMIFS('Custom Constraints'!$D:$D,'Custom Constraints'!$A:$A,"caiso-deliverability_"&amp;SUBSTITUTE(Dashboard!$D552,"_group",Dashboard!$D$503)&amp;"."&amp;YEAR(Dashboard!L$537))</f>
        <v>0</v>
      </c>
      <c r="M552" s="10">
        <f>SUMIFS('Custom Constraints'!$D:$D,'Custom Constraints'!$A:$A,"caiso-deliverability_"&amp;SUBSTITUTE(Dashboard!$D552,"_group",Dashboard!$D$503)&amp;"."&amp;YEAR(Dashboard!M$537))</f>
        <v>0</v>
      </c>
      <c r="N552" s="10">
        <f>SUMIFS('Custom Constraints'!$D:$D,'Custom Constraints'!$A:$A,"caiso-deliverability_"&amp;SUBSTITUTE(Dashboard!$D552,"_group",Dashboard!$D$503)&amp;"."&amp;YEAR(Dashboard!N$537))</f>
        <v>0</v>
      </c>
      <c r="O552" s="10">
        <f>SUMIFS('Custom Constraints'!$D:$D,'Custom Constraints'!$A:$A,"caiso-deliverability_"&amp;SUBSTITUTE(Dashboard!$D552,"_group",Dashboard!$D$503)&amp;"."&amp;YEAR(Dashboard!O$537))</f>
        <v>0</v>
      </c>
      <c r="P552" s="10">
        <f>SUMIFS('Custom Constraints'!$D:$D,'Custom Constraints'!$A:$A,"caiso-deliverability_"&amp;SUBSTITUTE(Dashboard!$D552,"_group",Dashboard!$D$503)&amp;"."&amp;YEAR(Dashboard!P$537))</f>
        <v>0</v>
      </c>
      <c r="Q552" s="10">
        <f>SUMIFS('Custom Constraints'!$D:$D,'Custom Constraints'!$A:$A,"caiso-deliverability_"&amp;SUBSTITUTE(Dashboard!$D552,"_group",Dashboard!$D$503)&amp;"."&amp;YEAR(Dashboard!Q$537))</f>
        <v>0</v>
      </c>
      <c r="R552" s="10">
        <f>SUMIFS('Custom Constraints'!$D:$D,'Custom Constraints'!$A:$A,"caiso-deliverability_"&amp;SUBSTITUTE(Dashboard!$D552,"_group",Dashboard!$D$503)&amp;"."&amp;YEAR(Dashboard!R$537))</f>
        <v>0</v>
      </c>
      <c r="S552" s="10">
        <f>SUMIFS('Custom Constraints'!$D:$D,'Custom Constraints'!$A:$A,"caiso-deliverability_"&amp;SUBSTITUTE(Dashboard!$D552,"_group",Dashboard!$D$503)&amp;"."&amp;YEAR(Dashboard!S$537))</f>
        <v>0</v>
      </c>
      <c r="T552" s="10">
        <f>SUMIFS('Custom Constraints'!$D:$D,'Custom Constraints'!$A:$A,"caiso-deliverability_"&amp;SUBSTITUTE(Dashboard!$D552,"_group",Dashboard!$D$503)&amp;"."&amp;YEAR(Dashboard!T$537))</f>
        <v>0</v>
      </c>
      <c r="U552" s="10">
        <f>SUMIFS('Custom Constraints'!$D:$D,'Custom Constraints'!$A:$A,"caiso-deliverability_"&amp;SUBSTITUTE(Dashboard!$D552,"_group",Dashboard!$D$503)&amp;"."&amp;YEAR(Dashboard!U$537))</f>
        <v>0</v>
      </c>
      <c r="V552" s="10">
        <f>SUMIFS('Custom Constraints'!$D:$D,'Custom Constraints'!$A:$A,"caiso-deliverability_"&amp;SUBSTITUTE(Dashboard!$D552,"_group",Dashboard!$D$503)&amp;"."&amp;YEAR(Dashboard!V$537))</f>
        <v>0</v>
      </c>
      <c r="W552" s="10">
        <f>SUMIFS('Custom Constraints'!$D:$D,'Custom Constraints'!$A:$A,"caiso-deliverability_"&amp;SUBSTITUTE(Dashboard!$D552,"_group",Dashboard!$D$503)&amp;"."&amp;YEAR(Dashboard!W$537))</f>
        <v>0</v>
      </c>
      <c r="X552" s="10">
        <f>SUMIFS('Custom Constraints'!$D:$D,'Custom Constraints'!$A:$A,"caiso-deliverability_"&amp;SUBSTITUTE(Dashboard!$D552,"_group",Dashboard!$D$503)&amp;"."&amp;YEAR(Dashboard!X$537))</f>
        <v>0</v>
      </c>
      <c r="Y552" s="10">
        <f>SUMIFS('Custom Constraints'!$D:$D,'Custom Constraints'!$A:$A,"caiso-deliverability_"&amp;SUBSTITUTE(Dashboard!$D552,"_group",Dashboard!$D$503)&amp;"."&amp;YEAR(Dashboard!Y$537))</f>
        <v>0</v>
      </c>
      <c r="Z552" s="10">
        <f>SUMIFS('Custom Constraints'!$D:$D,'Custom Constraints'!$A:$A,"caiso-deliverability_"&amp;SUBSTITUTE(Dashboard!$D552,"_group",Dashboard!$D$503)&amp;"."&amp;YEAR(Dashboard!Z$537))</f>
        <v>0</v>
      </c>
      <c r="AA552" s="10">
        <f>SUMIFS('Custom Constraints'!$D:$D,'Custom Constraints'!$A:$A,"caiso-deliverability_"&amp;SUBSTITUTE(Dashboard!$D552,"_group",Dashboard!$D$503)&amp;"."&amp;YEAR(Dashboard!AA$537))</f>
        <v>0</v>
      </c>
      <c r="AB552" s="10">
        <f>SUMIFS('Custom Constraints'!$D:$D,'Custom Constraints'!$A:$A,"caiso-deliverability_"&amp;SUBSTITUTE(Dashboard!$D552,"_group",Dashboard!$D$503)&amp;"."&amp;YEAR(Dashboard!AB$537))</f>
        <v>0</v>
      </c>
      <c r="AC552" s="10">
        <f>SUMIFS('Custom Constraints'!$D:$D,'Custom Constraints'!$A:$A,"caiso-deliverability_"&amp;SUBSTITUTE(Dashboard!$D552,"_group",Dashboard!$D$503)&amp;"."&amp;YEAR(Dashboard!AC$537))</f>
        <v>0</v>
      </c>
      <c r="AD552" s="10">
        <f>SUMIFS('Custom Constraints'!$D:$D,'Custom Constraints'!$A:$A,"caiso-deliverability_"&amp;SUBSTITUTE(Dashboard!$D552,"_group",Dashboard!$D$503)&amp;"."&amp;YEAR(Dashboard!AD$537))</f>
        <v>968</v>
      </c>
      <c r="AH552" s="34" t="s">
        <v>422</v>
      </c>
    </row>
    <row r="553" spans="4:34" outlineLevel="2" x14ac:dyDescent="0.2">
      <c r="D553" s="8" t="s">
        <v>272</v>
      </c>
      <c r="E553" s="10">
        <f>SUMIFS('Custom Constraints'!$D:$D,'Custom Constraints'!$A:$A,"caiso-deliverability_"&amp;SUBSTITUTE(Dashboard!$D553,"_group",Dashboard!$D$503)&amp;"."&amp;YEAR(Dashboard!E$537))</f>
        <v>0</v>
      </c>
      <c r="F553" s="10">
        <f>SUMIFS('Custom Constraints'!$D:$D,'Custom Constraints'!$A:$A,"caiso-deliverability_"&amp;SUBSTITUTE(Dashboard!$D553,"_group",Dashboard!$D$503)&amp;"."&amp;YEAR(Dashboard!F$537))</f>
        <v>0</v>
      </c>
      <c r="G553" s="10">
        <f>SUMIFS('Custom Constraints'!$D:$D,'Custom Constraints'!$A:$A,"caiso-deliverability_"&amp;SUBSTITUTE(Dashboard!$D553,"_group",Dashboard!$D$503)&amp;"."&amp;YEAR(Dashboard!G$537))</f>
        <v>0</v>
      </c>
      <c r="H553" s="10">
        <f>SUMIFS('Custom Constraints'!$D:$D,'Custom Constraints'!$A:$A,"caiso-deliverability_"&amp;SUBSTITUTE(Dashboard!$D553,"_group",Dashboard!$D$503)&amp;"."&amp;YEAR(Dashboard!H$537))</f>
        <v>0</v>
      </c>
      <c r="I553" s="10">
        <f>SUMIFS('Custom Constraints'!$D:$D,'Custom Constraints'!$A:$A,"caiso-deliverability_"&amp;SUBSTITUTE(Dashboard!$D553,"_group",Dashboard!$D$503)&amp;"."&amp;YEAR(Dashboard!I$537))</f>
        <v>0</v>
      </c>
      <c r="J553" s="10">
        <f>SUMIFS('Custom Constraints'!$D:$D,'Custom Constraints'!$A:$A,"caiso-deliverability_"&amp;SUBSTITUTE(Dashboard!$D553,"_group",Dashboard!$D$503)&amp;"."&amp;YEAR(Dashboard!J$537))</f>
        <v>0</v>
      </c>
      <c r="K553" s="10">
        <f>SUMIFS('Custom Constraints'!$D:$D,'Custom Constraints'!$A:$A,"caiso-deliverability_"&amp;SUBSTITUTE(Dashboard!$D553,"_group",Dashboard!$D$503)&amp;"."&amp;YEAR(Dashboard!K$537))</f>
        <v>0</v>
      </c>
      <c r="L553" s="10">
        <f>SUMIFS('Custom Constraints'!$D:$D,'Custom Constraints'!$A:$A,"caiso-deliverability_"&amp;SUBSTITUTE(Dashboard!$D553,"_group",Dashboard!$D$503)&amp;"."&amp;YEAR(Dashboard!L$537))</f>
        <v>0</v>
      </c>
      <c r="M553" s="10">
        <f>SUMIFS('Custom Constraints'!$D:$D,'Custom Constraints'!$A:$A,"caiso-deliverability_"&amp;SUBSTITUTE(Dashboard!$D553,"_group",Dashboard!$D$503)&amp;"."&amp;YEAR(Dashboard!M$537))</f>
        <v>0</v>
      </c>
      <c r="N553" s="10">
        <f>SUMIFS('Custom Constraints'!$D:$D,'Custom Constraints'!$A:$A,"caiso-deliverability_"&amp;SUBSTITUTE(Dashboard!$D553,"_group",Dashboard!$D$503)&amp;"."&amp;YEAR(Dashboard!N$537))</f>
        <v>0</v>
      </c>
      <c r="O553" s="10">
        <f>SUMIFS('Custom Constraints'!$D:$D,'Custom Constraints'!$A:$A,"caiso-deliverability_"&amp;SUBSTITUTE(Dashboard!$D553,"_group",Dashboard!$D$503)&amp;"."&amp;YEAR(Dashboard!O$537))</f>
        <v>0</v>
      </c>
      <c r="P553" s="10">
        <f>SUMIFS('Custom Constraints'!$D:$D,'Custom Constraints'!$A:$A,"caiso-deliverability_"&amp;SUBSTITUTE(Dashboard!$D553,"_group",Dashboard!$D$503)&amp;"."&amp;YEAR(Dashboard!P$537))</f>
        <v>0</v>
      </c>
      <c r="Q553" s="10">
        <f>SUMIFS('Custom Constraints'!$D:$D,'Custom Constraints'!$A:$A,"caiso-deliverability_"&amp;SUBSTITUTE(Dashboard!$D553,"_group",Dashboard!$D$503)&amp;"."&amp;YEAR(Dashboard!Q$537))</f>
        <v>0</v>
      </c>
      <c r="R553" s="10">
        <f>SUMIFS('Custom Constraints'!$D:$D,'Custom Constraints'!$A:$A,"caiso-deliverability_"&amp;SUBSTITUTE(Dashboard!$D553,"_group",Dashboard!$D$503)&amp;"."&amp;YEAR(Dashboard!R$537))</f>
        <v>0</v>
      </c>
      <c r="S553" s="10">
        <f>SUMIFS('Custom Constraints'!$D:$D,'Custom Constraints'!$A:$A,"caiso-deliverability_"&amp;SUBSTITUTE(Dashboard!$D553,"_group",Dashboard!$D$503)&amp;"."&amp;YEAR(Dashboard!S$537))</f>
        <v>0</v>
      </c>
      <c r="T553" s="10">
        <f>SUMIFS('Custom Constraints'!$D:$D,'Custom Constraints'!$A:$A,"caiso-deliverability_"&amp;SUBSTITUTE(Dashboard!$D553,"_group",Dashboard!$D$503)&amp;"."&amp;YEAR(Dashboard!T$537))</f>
        <v>0</v>
      </c>
      <c r="U553" s="10">
        <f>SUMIFS('Custom Constraints'!$D:$D,'Custom Constraints'!$A:$A,"caiso-deliverability_"&amp;SUBSTITUTE(Dashboard!$D553,"_group",Dashboard!$D$503)&amp;"."&amp;YEAR(Dashboard!U$537))</f>
        <v>0</v>
      </c>
      <c r="V553" s="10">
        <f>SUMIFS('Custom Constraints'!$D:$D,'Custom Constraints'!$A:$A,"caiso-deliverability_"&amp;SUBSTITUTE(Dashboard!$D553,"_group",Dashboard!$D$503)&amp;"."&amp;YEAR(Dashboard!V$537))</f>
        <v>0</v>
      </c>
      <c r="W553" s="10">
        <f>SUMIFS('Custom Constraints'!$D:$D,'Custom Constraints'!$A:$A,"caiso-deliverability_"&amp;SUBSTITUTE(Dashboard!$D553,"_group",Dashboard!$D$503)&amp;"."&amp;YEAR(Dashboard!W$537))</f>
        <v>0</v>
      </c>
      <c r="X553" s="10">
        <f>SUMIFS('Custom Constraints'!$D:$D,'Custom Constraints'!$A:$A,"caiso-deliverability_"&amp;SUBSTITUTE(Dashboard!$D553,"_group",Dashboard!$D$503)&amp;"."&amp;YEAR(Dashboard!X$537))</f>
        <v>0</v>
      </c>
      <c r="Y553" s="10">
        <f>SUMIFS('Custom Constraints'!$D:$D,'Custom Constraints'!$A:$A,"caiso-deliverability_"&amp;SUBSTITUTE(Dashboard!$D553,"_group",Dashboard!$D$503)&amp;"."&amp;YEAR(Dashboard!Y$537))</f>
        <v>0</v>
      </c>
      <c r="Z553" s="10">
        <f>SUMIFS('Custom Constraints'!$D:$D,'Custom Constraints'!$A:$A,"caiso-deliverability_"&amp;SUBSTITUTE(Dashboard!$D553,"_group",Dashboard!$D$503)&amp;"."&amp;YEAR(Dashboard!Z$537))</f>
        <v>0</v>
      </c>
      <c r="AA553" s="10">
        <f>SUMIFS('Custom Constraints'!$D:$D,'Custom Constraints'!$A:$A,"caiso-deliverability_"&amp;SUBSTITUTE(Dashboard!$D553,"_group",Dashboard!$D$503)&amp;"."&amp;YEAR(Dashboard!AA$537))</f>
        <v>0</v>
      </c>
      <c r="AB553" s="10">
        <f>SUMIFS('Custom Constraints'!$D:$D,'Custom Constraints'!$A:$A,"caiso-deliverability_"&amp;SUBSTITUTE(Dashboard!$D553,"_group",Dashboard!$D$503)&amp;"."&amp;YEAR(Dashboard!AB$537))</f>
        <v>0</v>
      </c>
      <c r="AC553" s="10">
        <f>SUMIFS('Custom Constraints'!$D:$D,'Custom Constraints'!$A:$A,"caiso-deliverability_"&amp;SUBSTITUTE(Dashboard!$D553,"_group",Dashboard!$D$503)&amp;"."&amp;YEAR(Dashboard!AC$537))</f>
        <v>0</v>
      </c>
      <c r="AD553" s="10">
        <f>SUMIFS('Custom Constraints'!$D:$D,'Custom Constraints'!$A:$A,"caiso-deliverability_"&amp;SUBSTITUTE(Dashboard!$D553,"_group",Dashboard!$D$503)&amp;"."&amp;YEAR(Dashboard!AD$537))</f>
        <v>1127</v>
      </c>
      <c r="AH553" s="34" t="s">
        <v>422</v>
      </c>
    </row>
    <row r="554" spans="4:34" outlineLevel="2" x14ac:dyDescent="0.2">
      <c r="D554" s="8" t="s">
        <v>273</v>
      </c>
      <c r="E554" s="10">
        <f>SUMIFS('Custom Constraints'!$D:$D,'Custom Constraints'!$A:$A,"caiso-deliverability_"&amp;SUBSTITUTE(Dashboard!$D554,"_group",Dashboard!$D$503)&amp;"."&amp;YEAR(Dashboard!E$537))</f>
        <v>0</v>
      </c>
      <c r="F554" s="10">
        <f>SUMIFS('Custom Constraints'!$D:$D,'Custom Constraints'!$A:$A,"caiso-deliverability_"&amp;SUBSTITUTE(Dashboard!$D554,"_group",Dashboard!$D$503)&amp;"."&amp;YEAR(Dashboard!F$537))</f>
        <v>0</v>
      </c>
      <c r="G554" s="10">
        <f>SUMIFS('Custom Constraints'!$D:$D,'Custom Constraints'!$A:$A,"caiso-deliverability_"&amp;SUBSTITUTE(Dashboard!$D554,"_group",Dashboard!$D$503)&amp;"."&amp;YEAR(Dashboard!G$537))</f>
        <v>0</v>
      </c>
      <c r="H554" s="10">
        <f>SUMIFS('Custom Constraints'!$D:$D,'Custom Constraints'!$A:$A,"caiso-deliverability_"&amp;SUBSTITUTE(Dashboard!$D554,"_group",Dashboard!$D$503)&amp;"."&amp;YEAR(Dashboard!H$537))</f>
        <v>0</v>
      </c>
      <c r="I554" s="10">
        <f>SUMIFS('Custom Constraints'!$D:$D,'Custom Constraints'!$A:$A,"caiso-deliverability_"&amp;SUBSTITUTE(Dashboard!$D554,"_group",Dashboard!$D$503)&amp;"."&amp;YEAR(Dashboard!I$537))</f>
        <v>0</v>
      </c>
      <c r="J554" s="10">
        <f>SUMIFS('Custom Constraints'!$D:$D,'Custom Constraints'!$A:$A,"caiso-deliverability_"&amp;SUBSTITUTE(Dashboard!$D554,"_group",Dashboard!$D$503)&amp;"."&amp;YEAR(Dashboard!J$537))</f>
        <v>0</v>
      </c>
      <c r="K554" s="10">
        <f>SUMIFS('Custom Constraints'!$D:$D,'Custom Constraints'!$A:$A,"caiso-deliverability_"&amp;SUBSTITUTE(Dashboard!$D554,"_group",Dashboard!$D$503)&amp;"."&amp;YEAR(Dashboard!K$537))</f>
        <v>0</v>
      </c>
      <c r="L554" s="10">
        <f>SUMIFS('Custom Constraints'!$D:$D,'Custom Constraints'!$A:$A,"caiso-deliverability_"&amp;SUBSTITUTE(Dashboard!$D554,"_group",Dashboard!$D$503)&amp;"."&amp;YEAR(Dashboard!L$537))</f>
        <v>0</v>
      </c>
      <c r="M554" s="10">
        <f>SUMIFS('Custom Constraints'!$D:$D,'Custom Constraints'!$A:$A,"caiso-deliverability_"&amp;SUBSTITUTE(Dashboard!$D554,"_group",Dashboard!$D$503)&amp;"."&amp;YEAR(Dashboard!M$537))</f>
        <v>0</v>
      </c>
      <c r="N554" s="10">
        <f>SUMIFS('Custom Constraints'!$D:$D,'Custom Constraints'!$A:$A,"caiso-deliverability_"&amp;SUBSTITUTE(Dashboard!$D554,"_group",Dashboard!$D$503)&amp;"."&amp;YEAR(Dashboard!N$537))</f>
        <v>0</v>
      </c>
      <c r="O554" s="10">
        <f>SUMIFS('Custom Constraints'!$D:$D,'Custom Constraints'!$A:$A,"caiso-deliverability_"&amp;SUBSTITUTE(Dashboard!$D554,"_group",Dashboard!$D$503)&amp;"."&amp;YEAR(Dashboard!O$537))</f>
        <v>0</v>
      </c>
      <c r="P554" s="10">
        <f>SUMIFS('Custom Constraints'!$D:$D,'Custom Constraints'!$A:$A,"caiso-deliverability_"&amp;SUBSTITUTE(Dashboard!$D554,"_group",Dashboard!$D$503)&amp;"."&amp;YEAR(Dashboard!P$537))</f>
        <v>0</v>
      </c>
      <c r="Q554" s="10">
        <f>SUMIFS('Custom Constraints'!$D:$D,'Custom Constraints'!$A:$A,"caiso-deliverability_"&amp;SUBSTITUTE(Dashboard!$D554,"_group",Dashboard!$D$503)&amp;"."&amp;YEAR(Dashboard!Q$537))</f>
        <v>0</v>
      </c>
      <c r="R554" s="10">
        <f>SUMIFS('Custom Constraints'!$D:$D,'Custom Constraints'!$A:$A,"caiso-deliverability_"&amp;SUBSTITUTE(Dashboard!$D554,"_group",Dashboard!$D$503)&amp;"."&amp;YEAR(Dashboard!R$537))</f>
        <v>0</v>
      </c>
      <c r="S554" s="10">
        <f>SUMIFS('Custom Constraints'!$D:$D,'Custom Constraints'!$A:$A,"caiso-deliverability_"&amp;SUBSTITUTE(Dashboard!$D554,"_group",Dashboard!$D$503)&amp;"."&amp;YEAR(Dashboard!S$537))</f>
        <v>0</v>
      </c>
      <c r="T554" s="10">
        <f>SUMIFS('Custom Constraints'!$D:$D,'Custom Constraints'!$A:$A,"caiso-deliverability_"&amp;SUBSTITUTE(Dashboard!$D554,"_group",Dashboard!$D$503)&amp;"."&amp;YEAR(Dashboard!T$537))</f>
        <v>0</v>
      </c>
      <c r="U554" s="10">
        <f>SUMIFS('Custom Constraints'!$D:$D,'Custom Constraints'!$A:$A,"caiso-deliverability_"&amp;SUBSTITUTE(Dashboard!$D554,"_group",Dashboard!$D$503)&amp;"."&amp;YEAR(Dashboard!U$537))</f>
        <v>0</v>
      </c>
      <c r="V554" s="10">
        <f>SUMIFS('Custom Constraints'!$D:$D,'Custom Constraints'!$A:$A,"caiso-deliverability_"&amp;SUBSTITUTE(Dashboard!$D554,"_group",Dashboard!$D$503)&amp;"."&amp;YEAR(Dashboard!V$537))</f>
        <v>0</v>
      </c>
      <c r="W554" s="10">
        <f>SUMIFS('Custom Constraints'!$D:$D,'Custom Constraints'!$A:$A,"caiso-deliverability_"&amp;SUBSTITUTE(Dashboard!$D554,"_group",Dashboard!$D$503)&amp;"."&amp;YEAR(Dashboard!W$537))</f>
        <v>0</v>
      </c>
      <c r="X554" s="10">
        <f>SUMIFS('Custom Constraints'!$D:$D,'Custom Constraints'!$A:$A,"caiso-deliverability_"&amp;SUBSTITUTE(Dashboard!$D554,"_group",Dashboard!$D$503)&amp;"."&amp;YEAR(Dashboard!X$537))</f>
        <v>0</v>
      </c>
      <c r="Y554" s="10">
        <f>SUMIFS('Custom Constraints'!$D:$D,'Custom Constraints'!$A:$A,"caiso-deliverability_"&amp;SUBSTITUTE(Dashboard!$D554,"_group",Dashboard!$D$503)&amp;"."&amp;YEAR(Dashboard!Y$537))</f>
        <v>0</v>
      </c>
      <c r="Z554" s="10">
        <f>SUMIFS('Custom Constraints'!$D:$D,'Custom Constraints'!$A:$A,"caiso-deliverability_"&amp;SUBSTITUTE(Dashboard!$D554,"_group",Dashboard!$D$503)&amp;"."&amp;YEAR(Dashboard!Z$537))</f>
        <v>0</v>
      </c>
      <c r="AA554" s="10">
        <f>SUMIFS('Custom Constraints'!$D:$D,'Custom Constraints'!$A:$A,"caiso-deliverability_"&amp;SUBSTITUTE(Dashboard!$D554,"_group",Dashboard!$D$503)&amp;"."&amp;YEAR(Dashboard!AA$537))</f>
        <v>0</v>
      </c>
      <c r="AB554" s="10">
        <f>SUMIFS('Custom Constraints'!$D:$D,'Custom Constraints'!$A:$A,"caiso-deliverability_"&amp;SUBSTITUTE(Dashboard!$D554,"_group",Dashboard!$D$503)&amp;"."&amp;YEAR(Dashboard!AB$537))</f>
        <v>0</v>
      </c>
      <c r="AC554" s="10">
        <f>SUMIFS('Custom Constraints'!$D:$D,'Custom Constraints'!$A:$A,"caiso-deliverability_"&amp;SUBSTITUTE(Dashboard!$D554,"_group",Dashboard!$D$503)&amp;"."&amp;YEAR(Dashboard!AC$537))</f>
        <v>0</v>
      </c>
      <c r="AD554" s="10">
        <f>SUMIFS('Custom Constraints'!$D:$D,'Custom Constraints'!$A:$A,"caiso-deliverability_"&amp;SUBSTITUTE(Dashboard!$D554,"_group",Dashboard!$D$503)&amp;"."&amp;YEAR(Dashboard!AD$537))</f>
        <v>1273</v>
      </c>
      <c r="AH554" s="34" t="s">
        <v>422</v>
      </c>
    </row>
    <row r="555" spans="4:34" outlineLevel="2" x14ac:dyDescent="0.2">
      <c r="D555" s="8" t="s">
        <v>274</v>
      </c>
      <c r="E555" s="10">
        <f>SUMIFS('Custom Constraints'!$D:$D,'Custom Constraints'!$A:$A,"caiso-deliverability_"&amp;SUBSTITUTE(Dashboard!$D555,"_group",Dashboard!$D$503)&amp;"."&amp;YEAR(Dashboard!E$537))</f>
        <v>0</v>
      </c>
      <c r="F555" s="10">
        <f>SUMIFS('Custom Constraints'!$D:$D,'Custom Constraints'!$A:$A,"caiso-deliverability_"&amp;SUBSTITUTE(Dashboard!$D555,"_group",Dashboard!$D$503)&amp;"."&amp;YEAR(Dashboard!F$537))</f>
        <v>0</v>
      </c>
      <c r="G555" s="10">
        <f>SUMIFS('Custom Constraints'!$D:$D,'Custom Constraints'!$A:$A,"caiso-deliverability_"&amp;SUBSTITUTE(Dashboard!$D555,"_group",Dashboard!$D$503)&amp;"."&amp;YEAR(Dashboard!G$537))</f>
        <v>0</v>
      </c>
      <c r="H555" s="10">
        <f>SUMIFS('Custom Constraints'!$D:$D,'Custom Constraints'!$A:$A,"caiso-deliverability_"&amp;SUBSTITUTE(Dashboard!$D555,"_group",Dashboard!$D$503)&amp;"."&amp;YEAR(Dashboard!H$537))</f>
        <v>0</v>
      </c>
      <c r="I555" s="10">
        <f>SUMIFS('Custom Constraints'!$D:$D,'Custom Constraints'!$A:$A,"caiso-deliverability_"&amp;SUBSTITUTE(Dashboard!$D555,"_group",Dashboard!$D$503)&amp;"."&amp;YEAR(Dashboard!I$537))</f>
        <v>0</v>
      </c>
      <c r="J555" s="10">
        <f>SUMIFS('Custom Constraints'!$D:$D,'Custom Constraints'!$A:$A,"caiso-deliverability_"&amp;SUBSTITUTE(Dashboard!$D555,"_group",Dashboard!$D$503)&amp;"."&amp;YEAR(Dashboard!J$537))</f>
        <v>0</v>
      </c>
      <c r="K555" s="10">
        <f>SUMIFS('Custom Constraints'!$D:$D,'Custom Constraints'!$A:$A,"caiso-deliverability_"&amp;SUBSTITUTE(Dashboard!$D555,"_group",Dashboard!$D$503)&amp;"."&amp;YEAR(Dashboard!K$537))</f>
        <v>0</v>
      </c>
      <c r="L555" s="10">
        <f>SUMIFS('Custom Constraints'!$D:$D,'Custom Constraints'!$A:$A,"caiso-deliverability_"&amp;SUBSTITUTE(Dashboard!$D555,"_group",Dashboard!$D$503)&amp;"."&amp;YEAR(Dashboard!L$537))</f>
        <v>0</v>
      </c>
      <c r="M555" s="10">
        <f>SUMIFS('Custom Constraints'!$D:$D,'Custom Constraints'!$A:$A,"caiso-deliverability_"&amp;SUBSTITUTE(Dashboard!$D555,"_group",Dashboard!$D$503)&amp;"."&amp;YEAR(Dashboard!M$537))</f>
        <v>0</v>
      </c>
      <c r="N555" s="10">
        <f>SUMIFS('Custom Constraints'!$D:$D,'Custom Constraints'!$A:$A,"caiso-deliverability_"&amp;SUBSTITUTE(Dashboard!$D555,"_group",Dashboard!$D$503)&amp;"."&amp;YEAR(Dashboard!N$537))</f>
        <v>0</v>
      </c>
      <c r="O555" s="10">
        <f>SUMIFS('Custom Constraints'!$D:$D,'Custom Constraints'!$A:$A,"caiso-deliverability_"&amp;SUBSTITUTE(Dashboard!$D555,"_group",Dashboard!$D$503)&amp;"."&amp;YEAR(Dashboard!O$537))</f>
        <v>0</v>
      </c>
      <c r="P555" s="10">
        <f>SUMIFS('Custom Constraints'!$D:$D,'Custom Constraints'!$A:$A,"caiso-deliverability_"&amp;SUBSTITUTE(Dashboard!$D555,"_group",Dashboard!$D$503)&amp;"."&amp;YEAR(Dashboard!P$537))</f>
        <v>0</v>
      </c>
      <c r="Q555" s="10">
        <f>SUMIFS('Custom Constraints'!$D:$D,'Custom Constraints'!$A:$A,"caiso-deliverability_"&amp;SUBSTITUTE(Dashboard!$D555,"_group",Dashboard!$D$503)&amp;"."&amp;YEAR(Dashboard!Q$537))</f>
        <v>0</v>
      </c>
      <c r="R555" s="10">
        <f>SUMIFS('Custom Constraints'!$D:$D,'Custom Constraints'!$A:$A,"caiso-deliverability_"&amp;SUBSTITUTE(Dashboard!$D555,"_group",Dashboard!$D$503)&amp;"."&amp;YEAR(Dashboard!R$537))</f>
        <v>0</v>
      </c>
      <c r="S555" s="10">
        <f>SUMIFS('Custom Constraints'!$D:$D,'Custom Constraints'!$A:$A,"caiso-deliverability_"&amp;SUBSTITUTE(Dashboard!$D555,"_group",Dashboard!$D$503)&amp;"."&amp;YEAR(Dashboard!S$537))</f>
        <v>0</v>
      </c>
      <c r="T555" s="10">
        <f>SUMIFS('Custom Constraints'!$D:$D,'Custom Constraints'!$A:$A,"caiso-deliverability_"&amp;SUBSTITUTE(Dashboard!$D555,"_group",Dashboard!$D$503)&amp;"."&amp;YEAR(Dashboard!T$537))</f>
        <v>0</v>
      </c>
      <c r="U555" s="10">
        <f>SUMIFS('Custom Constraints'!$D:$D,'Custom Constraints'!$A:$A,"caiso-deliverability_"&amp;SUBSTITUTE(Dashboard!$D555,"_group",Dashboard!$D$503)&amp;"."&amp;YEAR(Dashboard!U$537))</f>
        <v>0</v>
      </c>
      <c r="V555" s="10">
        <f>SUMIFS('Custom Constraints'!$D:$D,'Custom Constraints'!$A:$A,"caiso-deliverability_"&amp;SUBSTITUTE(Dashboard!$D555,"_group",Dashboard!$D$503)&amp;"."&amp;YEAR(Dashboard!V$537))</f>
        <v>0</v>
      </c>
      <c r="W555" s="10">
        <f>SUMIFS('Custom Constraints'!$D:$D,'Custom Constraints'!$A:$A,"caiso-deliverability_"&amp;SUBSTITUTE(Dashboard!$D555,"_group",Dashboard!$D$503)&amp;"."&amp;YEAR(Dashboard!W$537))</f>
        <v>0</v>
      </c>
      <c r="X555" s="10">
        <f>SUMIFS('Custom Constraints'!$D:$D,'Custom Constraints'!$A:$A,"caiso-deliverability_"&amp;SUBSTITUTE(Dashboard!$D555,"_group",Dashboard!$D$503)&amp;"."&amp;YEAR(Dashboard!X$537))</f>
        <v>0</v>
      </c>
      <c r="Y555" s="10">
        <f>SUMIFS('Custom Constraints'!$D:$D,'Custom Constraints'!$A:$A,"caiso-deliverability_"&amp;SUBSTITUTE(Dashboard!$D555,"_group",Dashboard!$D$503)&amp;"."&amp;YEAR(Dashboard!Y$537))</f>
        <v>0</v>
      </c>
      <c r="Z555" s="10">
        <f>SUMIFS('Custom Constraints'!$D:$D,'Custom Constraints'!$A:$A,"caiso-deliverability_"&amp;SUBSTITUTE(Dashboard!$D555,"_group",Dashboard!$D$503)&amp;"."&amp;YEAR(Dashboard!Z$537))</f>
        <v>0</v>
      </c>
      <c r="AA555" s="10">
        <f>SUMIFS('Custom Constraints'!$D:$D,'Custom Constraints'!$A:$A,"caiso-deliverability_"&amp;SUBSTITUTE(Dashboard!$D555,"_group",Dashboard!$D$503)&amp;"."&amp;YEAR(Dashboard!AA$537))</f>
        <v>0</v>
      </c>
      <c r="AB555" s="10">
        <f>SUMIFS('Custom Constraints'!$D:$D,'Custom Constraints'!$A:$A,"caiso-deliverability_"&amp;SUBSTITUTE(Dashboard!$D555,"_group",Dashboard!$D$503)&amp;"."&amp;YEAR(Dashboard!AB$537))</f>
        <v>0</v>
      </c>
      <c r="AC555" s="10">
        <f>SUMIFS('Custom Constraints'!$D:$D,'Custom Constraints'!$A:$A,"caiso-deliverability_"&amp;SUBSTITUTE(Dashboard!$D555,"_group",Dashboard!$D$503)&amp;"."&amp;YEAR(Dashboard!AC$537))</f>
        <v>0</v>
      </c>
      <c r="AD555" s="10">
        <f>SUMIFS('Custom Constraints'!$D:$D,'Custom Constraints'!$A:$A,"caiso-deliverability_"&amp;SUBSTITUTE(Dashboard!$D555,"_group",Dashboard!$D$503)&amp;"."&amp;YEAR(Dashboard!AD$537))</f>
        <v>1576</v>
      </c>
      <c r="AH555" s="34" t="s">
        <v>422</v>
      </c>
    </row>
    <row r="556" spans="4:34" outlineLevel="2" x14ac:dyDescent="0.2">
      <c r="D556" s="8" t="s">
        <v>275</v>
      </c>
      <c r="E556" s="10">
        <f>SUMIFS('Custom Constraints'!$D:$D,'Custom Constraints'!$A:$A,"caiso-deliverability_"&amp;SUBSTITUTE(Dashboard!$D556,"_group",Dashboard!$D$503)&amp;"."&amp;YEAR(Dashboard!E$537))</f>
        <v>0</v>
      </c>
      <c r="F556" s="10">
        <f>SUMIFS('Custom Constraints'!$D:$D,'Custom Constraints'!$A:$A,"caiso-deliverability_"&amp;SUBSTITUTE(Dashboard!$D556,"_group",Dashboard!$D$503)&amp;"."&amp;YEAR(Dashboard!F$537))</f>
        <v>0</v>
      </c>
      <c r="G556" s="10">
        <f>SUMIFS('Custom Constraints'!$D:$D,'Custom Constraints'!$A:$A,"caiso-deliverability_"&amp;SUBSTITUTE(Dashboard!$D556,"_group",Dashboard!$D$503)&amp;"."&amp;YEAR(Dashboard!G$537))</f>
        <v>0</v>
      </c>
      <c r="H556" s="10">
        <f>SUMIFS('Custom Constraints'!$D:$D,'Custom Constraints'!$A:$A,"caiso-deliverability_"&amp;SUBSTITUTE(Dashboard!$D556,"_group",Dashboard!$D$503)&amp;"."&amp;YEAR(Dashboard!H$537))</f>
        <v>0</v>
      </c>
      <c r="I556" s="10">
        <f>SUMIFS('Custom Constraints'!$D:$D,'Custom Constraints'!$A:$A,"caiso-deliverability_"&amp;SUBSTITUTE(Dashboard!$D556,"_group",Dashboard!$D$503)&amp;"."&amp;YEAR(Dashboard!I$537))</f>
        <v>0</v>
      </c>
      <c r="J556" s="10">
        <f>SUMIFS('Custom Constraints'!$D:$D,'Custom Constraints'!$A:$A,"caiso-deliverability_"&amp;SUBSTITUTE(Dashboard!$D556,"_group",Dashboard!$D$503)&amp;"."&amp;YEAR(Dashboard!J$537))</f>
        <v>0</v>
      </c>
      <c r="K556" s="10">
        <f>SUMIFS('Custom Constraints'!$D:$D,'Custom Constraints'!$A:$A,"caiso-deliverability_"&amp;SUBSTITUTE(Dashboard!$D556,"_group",Dashboard!$D$503)&amp;"."&amp;YEAR(Dashboard!K$537))</f>
        <v>0</v>
      </c>
      <c r="L556" s="10">
        <f>SUMIFS('Custom Constraints'!$D:$D,'Custom Constraints'!$A:$A,"caiso-deliverability_"&amp;SUBSTITUTE(Dashboard!$D556,"_group",Dashboard!$D$503)&amp;"."&amp;YEAR(Dashboard!L$537))</f>
        <v>0</v>
      </c>
      <c r="M556" s="10">
        <f>SUMIFS('Custom Constraints'!$D:$D,'Custom Constraints'!$A:$A,"caiso-deliverability_"&amp;SUBSTITUTE(Dashboard!$D556,"_group",Dashboard!$D$503)&amp;"."&amp;YEAR(Dashboard!M$537))</f>
        <v>0</v>
      </c>
      <c r="N556" s="10">
        <f>SUMIFS('Custom Constraints'!$D:$D,'Custom Constraints'!$A:$A,"caiso-deliverability_"&amp;SUBSTITUTE(Dashboard!$D556,"_group",Dashboard!$D$503)&amp;"."&amp;YEAR(Dashboard!N$537))</f>
        <v>0</v>
      </c>
      <c r="O556" s="10">
        <f>SUMIFS('Custom Constraints'!$D:$D,'Custom Constraints'!$A:$A,"caiso-deliverability_"&amp;SUBSTITUTE(Dashboard!$D556,"_group",Dashboard!$D$503)&amp;"."&amp;YEAR(Dashboard!O$537))</f>
        <v>0</v>
      </c>
      <c r="P556" s="10">
        <f>SUMIFS('Custom Constraints'!$D:$D,'Custom Constraints'!$A:$A,"caiso-deliverability_"&amp;SUBSTITUTE(Dashboard!$D556,"_group",Dashboard!$D$503)&amp;"."&amp;YEAR(Dashboard!P$537))</f>
        <v>0</v>
      </c>
      <c r="Q556" s="10">
        <f>SUMIFS('Custom Constraints'!$D:$D,'Custom Constraints'!$A:$A,"caiso-deliverability_"&amp;SUBSTITUTE(Dashboard!$D556,"_group",Dashboard!$D$503)&amp;"."&amp;YEAR(Dashboard!Q$537))</f>
        <v>0</v>
      </c>
      <c r="R556" s="10">
        <f>SUMIFS('Custom Constraints'!$D:$D,'Custom Constraints'!$A:$A,"caiso-deliverability_"&amp;SUBSTITUTE(Dashboard!$D556,"_group",Dashboard!$D$503)&amp;"."&amp;YEAR(Dashboard!R$537))</f>
        <v>0</v>
      </c>
      <c r="S556" s="10">
        <f>SUMIFS('Custom Constraints'!$D:$D,'Custom Constraints'!$A:$A,"caiso-deliverability_"&amp;SUBSTITUTE(Dashboard!$D556,"_group",Dashboard!$D$503)&amp;"."&amp;YEAR(Dashboard!S$537))</f>
        <v>0</v>
      </c>
      <c r="T556" s="10">
        <f>SUMIFS('Custom Constraints'!$D:$D,'Custom Constraints'!$A:$A,"caiso-deliverability_"&amp;SUBSTITUTE(Dashboard!$D556,"_group",Dashboard!$D$503)&amp;"."&amp;YEAR(Dashboard!T$537))</f>
        <v>0</v>
      </c>
      <c r="U556" s="10">
        <f>SUMIFS('Custom Constraints'!$D:$D,'Custom Constraints'!$A:$A,"caiso-deliverability_"&amp;SUBSTITUTE(Dashboard!$D556,"_group",Dashboard!$D$503)&amp;"."&amp;YEAR(Dashboard!U$537))</f>
        <v>0</v>
      </c>
      <c r="V556" s="10">
        <f>SUMIFS('Custom Constraints'!$D:$D,'Custom Constraints'!$A:$A,"caiso-deliverability_"&amp;SUBSTITUTE(Dashboard!$D556,"_group",Dashboard!$D$503)&amp;"."&amp;YEAR(Dashboard!V$537))</f>
        <v>0</v>
      </c>
      <c r="W556" s="10">
        <f>SUMIFS('Custom Constraints'!$D:$D,'Custom Constraints'!$A:$A,"caiso-deliverability_"&amp;SUBSTITUTE(Dashboard!$D556,"_group",Dashboard!$D$503)&amp;"."&amp;YEAR(Dashboard!W$537))</f>
        <v>0</v>
      </c>
      <c r="X556" s="10">
        <f>SUMIFS('Custom Constraints'!$D:$D,'Custom Constraints'!$A:$A,"caiso-deliverability_"&amp;SUBSTITUTE(Dashboard!$D556,"_group",Dashboard!$D$503)&amp;"."&amp;YEAR(Dashboard!X$537))</f>
        <v>0</v>
      </c>
      <c r="Y556" s="10">
        <f>SUMIFS('Custom Constraints'!$D:$D,'Custom Constraints'!$A:$A,"caiso-deliverability_"&amp;SUBSTITUTE(Dashboard!$D556,"_group",Dashboard!$D$503)&amp;"."&amp;YEAR(Dashboard!Y$537))</f>
        <v>0</v>
      </c>
      <c r="Z556" s="10">
        <f>SUMIFS('Custom Constraints'!$D:$D,'Custom Constraints'!$A:$A,"caiso-deliverability_"&amp;SUBSTITUTE(Dashboard!$D556,"_group",Dashboard!$D$503)&amp;"."&amp;YEAR(Dashboard!Z$537))</f>
        <v>0</v>
      </c>
      <c r="AA556" s="10">
        <f>SUMIFS('Custom Constraints'!$D:$D,'Custom Constraints'!$A:$A,"caiso-deliverability_"&amp;SUBSTITUTE(Dashboard!$D556,"_group",Dashboard!$D$503)&amp;"."&amp;YEAR(Dashboard!AA$537))</f>
        <v>0</v>
      </c>
      <c r="AB556" s="10">
        <f>SUMIFS('Custom Constraints'!$D:$D,'Custom Constraints'!$A:$A,"caiso-deliverability_"&amp;SUBSTITUTE(Dashboard!$D556,"_group",Dashboard!$D$503)&amp;"."&amp;YEAR(Dashboard!AB$537))</f>
        <v>0</v>
      </c>
      <c r="AC556" s="10">
        <f>SUMIFS('Custom Constraints'!$D:$D,'Custom Constraints'!$A:$A,"caiso-deliverability_"&amp;SUBSTITUTE(Dashboard!$D556,"_group",Dashboard!$D$503)&amp;"."&amp;YEAR(Dashboard!AC$537))</f>
        <v>0</v>
      </c>
      <c r="AD556" s="10">
        <f>SUMIFS('Custom Constraints'!$D:$D,'Custom Constraints'!$A:$A,"caiso-deliverability_"&amp;SUBSTITUTE(Dashboard!$D556,"_group",Dashboard!$D$503)&amp;"."&amp;YEAR(Dashboard!AD$537))</f>
        <v>1560</v>
      </c>
      <c r="AH556" s="34" t="s">
        <v>422</v>
      </c>
    </row>
    <row r="557" spans="4:34" outlineLevel="2" x14ac:dyDescent="0.2">
      <c r="D557" s="8" t="s">
        <v>276</v>
      </c>
      <c r="E557" s="10">
        <f>SUMIFS('Custom Constraints'!$D:$D,'Custom Constraints'!$A:$A,"caiso-deliverability_"&amp;SUBSTITUTE(Dashboard!$D557,"_group",Dashboard!$D$503)&amp;"."&amp;YEAR(Dashboard!E$537))</f>
        <v>0</v>
      </c>
      <c r="F557" s="10">
        <f>SUMIFS('Custom Constraints'!$D:$D,'Custom Constraints'!$A:$A,"caiso-deliverability_"&amp;SUBSTITUTE(Dashboard!$D557,"_group",Dashboard!$D$503)&amp;"."&amp;YEAR(Dashboard!F$537))</f>
        <v>0</v>
      </c>
      <c r="G557" s="10">
        <f>SUMIFS('Custom Constraints'!$D:$D,'Custom Constraints'!$A:$A,"caiso-deliverability_"&amp;SUBSTITUTE(Dashboard!$D557,"_group",Dashboard!$D$503)&amp;"."&amp;YEAR(Dashboard!G$537))</f>
        <v>0</v>
      </c>
      <c r="H557" s="10">
        <f>SUMIFS('Custom Constraints'!$D:$D,'Custom Constraints'!$A:$A,"caiso-deliverability_"&amp;SUBSTITUTE(Dashboard!$D557,"_group",Dashboard!$D$503)&amp;"."&amp;YEAR(Dashboard!H$537))</f>
        <v>0</v>
      </c>
      <c r="I557" s="10">
        <f>SUMIFS('Custom Constraints'!$D:$D,'Custom Constraints'!$A:$A,"caiso-deliverability_"&amp;SUBSTITUTE(Dashboard!$D557,"_group",Dashboard!$D$503)&amp;"."&amp;YEAR(Dashboard!I$537))</f>
        <v>0</v>
      </c>
      <c r="J557" s="10">
        <f>SUMIFS('Custom Constraints'!$D:$D,'Custom Constraints'!$A:$A,"caiso-deliverability_"&amp;SUBSTITUTE(Dashboard!$D557,"_group",Dashboard!$D$503)&amp;"."&amp;YEAR(Dashboard!J$537))</f>
        <v>0</v>
      </c>
      <c r="K557" s="10">
        <f>SUMIFS('Custom Constraints'!$D:$D,'Custom Constraints'!$A:$A,"caiso-deliverability_"&amp;SUBSTITUTE(Dashboard!$D557,"_group",Dashboard!$D$503)&amp;"."&amp;YEAR(Dashboard!K$537))</f>
        <v>0</v>
      </c>
      <c r="L557" s="10">
        <f>SUMIFS('Custom Constraints'!$D:$D,'Custom Constraints'!$A:$A,"caiso-deliverability_"&amp;SUBSTITUTE(Dashboard!$D557,"_group",Dashboard!$D$503)&amp;"."&amp;YEAR(Dashboard!L$537))</f>
        <v>0</v>
      </c>
      <c r="M557" s="10">
        <f>SUMIFS('Custom Constraints'!$D:$D,'Custom Constraints'!$A:$A,"caiso-deliverability_"&amp;SUBSTITUTE(Dashboard!$D557,"_group",Dashboard!$D$503)&amp;"."&amp;YEAR(Dashboard!M$537))</f>
        <v>0</v>
      </c>
      <c r="N557" s="10">
        <f>SUMIFS('Custom Constraints'!$D:$D,'Custom Constraints'!$A:$A,"caiso-deliverability_"&amp;SUBSTITUTE(Dashboard!$D557,"_group",Dashboard!$D$503)&amp;"."&amp;YEAR(Dashboard!N$537))</f>
        <v>0</v>
      </c>
      <c r="O557" s="10">
        <f>SUMIFS('Custom Constraints'!$D:$D,'Custom Constraints'!$A:$A,"caiso-deliverability_"&amp;SUBSTITUTE(Dashboard!$D557,"_group",Dashboard!$D$503)&amp;"."&amp;YEAR(Dashboard!O$537))</f>
        <v>0</v>
      </c>
      <c r="P557" s="10">
        <f>SUMIFS('Custom Constraints'!$D:$D,'Custom Constraints'!$A:$A,"caiso-deliverability_"&amp;SUBSTITUTE(Dashboard!$D557,"_group",Dashboard!$D$503)&amp;"."&amp;YEAR(Dashboard!P$537))</f>
        <v>0</v>
      </c>
      <c r="Q557" s="10">
        <f>SUMIFS('Custom Constraints'!$D:$D,'Custom Constraints'!$A:$A,"caiso-deliverability_"&amp;SUBSTITUTE(Dashboard!$D557,"_group",Dashboard!$D$503)&amp;"."&amp;YEAR(Dashboard!Q$537))</f>
        <v>0</v>
      </c>
      <c r="R557" s="10">
        <f>SUMIFS('Custom Constraints'!$D:$D,'Custom Constraints'!$A:$A,"caiso-deliverability_"&amp;SUBSTITUTE(Dashboard!$D557,"_group",Dashboard!$D$503)&amp;"."&amp;YEAR(Dashboard!R$537))</f>
        <v>0</v>
      </c>
      <c r="S557" s="10">
        <f>SUMIFS('Custom Constraints'!$D:$D,'Custom Constraints'!$A:$A,"caiso-deliverability_"&amp;SUBSTITUTE(Dashboard!$D557,"_group",Dashboard!$D$503)&amp;"."&amp;YEAR(Dashboard!S$537))</f>
        <v>0</v>
      </c>
      <c r="T557" s="10">
        <f>SUMIFS('Custom Constraints'!$D:$D,'Custom Constraints'!$A:$A,"caiso-deliverability_"&amp;SUBSTITUTE(Dashboard!$D557,"_group",Dashboard!$D$503)&amp;"."&amp;YEAR(Dashboard!T$537))</f>
        <v>0</v>
      </c>
      <c r="U557" s="10">
        <f>SUMIFS('Custom Constraints'!$D:$D,'Custom Constraints'!$A:$A,"caiso-deliverability_"&amp;SUBSTITUTE(Dashboard!$D557,"_group",Dashboard!$D$503)&amp;"."&amp;YEAR(Dashboard!U$537))</f>
        <v>0</v>
      </c>
      <c r="V557" s="10">
        <f>SUMIFS('Custom Constraints'!$D:$D,'Custom Constraints'!$A:$A,"caiso-deliverability_"&amp;SUBSTITUTE(Dashboard!$D557,"_group",Dashboard!$D$503)&amp;"."&amp;YEAR(Dashboard!V$537))</f>
        <v>0</v>
      </c>
      <c r="W557" s="10">
        <f>SUMIFS('Custom Constraints'!$D:$D,'Custom Constraints'!$A:$A,"caiso-deliverability_"&amp;SUBSTITUTE(Dashboard!$D557,"_group",Dashboard!$D$503)&amp;"."&amp;YEAR(Dashboard!W$537))</f>
        <v>0</v>
      </c>
      <c r="X557" s="10">
        <f>SUMIFS('Custom Constraints'!$D:$D,'Custom Constraints'!$A:$A,"caiso-deliverability_"&amp;SUBSTITUTE(Dashboard!$D557,"_group",Dashboard!$D$503)&amp;"."&amp;YEAR(Dashboard!X$537))</f>
        <v>0</v>
      </c>
      <c r="Y557" s="10">
        <f>SUMIFS('Custom Constraints'!$D:$D,'Custom Constraints'!$A:$A,"caiso-deliverability_"&amp;SUBSTITUTE(Dashboard!$D557,"_group",Dashboard!$D$503)&amp;"."&amp;YEAR(Dashboard!Y$537))</f>
        <v>0</v>
      </c>
      <c r="Z557" s="10">
        <f>SUMIFS('Custom Constraints'!$D:$D,'Custom Constraints'!$A:$A,"caiso-deliverability_"&amp;SUBSTITUTE(Dashboard!$D557,"_group",Dashboard!$D$503)&amp;"."&amp;YEAR(Dashboard!Z$537))</f>
        <v>0</v>
      </c>
      <c r="AA557" s="10">
        <f>SUMIFS('Custom Constraints'!$D:$D,'Custom Constraints'!$A:$A,"caiso-deliverability_"&amp;SUBSTITUTE(Dashboard!$D557,"_group",Dashboard!$D$503)&amp;"."&amp;YEAR(Dashboard!AA$537))</f>
        <v>0</v>
      </c>
      <c r="AB557" s="10">
        <f>SUMIFS('Custom Constraints'!$D:$D,'Custom Constraints'!$A:$A,"caiso-deliverability_"&amp;SUBSTITUTE(Dashboard!$D557,"_group",Dashboard!$D$503)&amp;"."&amp;YEAR(Dashboard!AB$537))</f>
        <v>0</v>
      </c>
      <c r="AC557" s="10">
        <f>SUMIFS('Custom Constraints'!$D:$D,'Custom Constraints'!$A:$A,"caiso-deliverability_"&amp;SUBSTITUTE(Dashboard!$D557,"_group",Dashboard!$D$503)&amp;"."&amp;YEAR(Dashboard!AC$537))</f>
        <v>0</v>
      </c>
      <c r="AD557" s="10">
        <f>SUMIFS('Custom Constraints'!$D:$D,'Custom Constraints'!$A:$A,"caiso-deliverability_"&amp;SUBSTITUTE(Dashboard!$D557,"_group",Dashboard!$D$503)&amp;"."&amp;YEAR(Dashboard!AD$537))</f>
        <v>1707.56</v>
      </c>
      <c r="AH557" s="34" t="s">
        <v>422</v>
      </c>
    </row>
    <row r="558" spans="4:34" outlineLevel="2" x14ac:dyDescent="0.2">
      <c r="D558" s="8" t="s">
        <v>277</v>
      </c>
      <c r="E558" s="10">
        <f>SUMIFS('Custom Constraints'!$D:$D,'Custom Constraints'!$A:$A,"caiso-deliverability_"&amp;SUBSTITUTE(Dashboard!$D558,"_group",Dashboard!$D$503)&amp;"."&amp;YEAR(Dashboard!E$537))</f>
        <v>0</v>
      </c>
      <c r="F558" s="10">
        <f>SUMIFS('Custom Constraints'!$D:$D,'Custom Constraints'!$A:$A,"caiso-deliverability_"&amp;SUBSTITUTE(Dashboard!$D558,"_group",Dashboard!$D$503)&amp;"."&amp;YEAR(Dashboard!F$537))</f>
        <v>0</v>
      </c>
      <c r="G558" s="10">
        <f>SUMIFS('Custom Constraints'!$D:$D,'Custom Constraints'!$A:$A,"caiso-deliverability_"&amp;SUBSTITUTE(Dashboard!$D558,"_group",Dashboard!$D$503)&amp;"."&amp;YEAR(Dashboard!G$537))</f>
        <v>0</v>
      </c>
      <c r="H558" s="10">
        <f>SUMIFS('Custom Constraints'!$D:$D,'Custom Constraints'!$A:$A,"caiso-deliverability_"&amp;SUBSTITUTE(Dashboard!$D558,"_group",Dashboard!$D$503)&amp;"."&amp;YEAR(Dashboard!H$537))</f>
        <v>0</v>
      </c>
      <c r="I558" s="10">
        <f>SUMIFS('Custom Constraints'!$D:$D,'Custom Constraints'!$A:$A,"caiso-deliverability_"&amp;SUBSTITUTE(Dashboard!$D558,"_group",Dashboard!$D$503)&amp;"."&amp;YEAR(Dashboard!I$537))</f>
        <v>0</v>
      </c>
      <c r="J558" s="10">
        <f>SUMIFS('Custom Constraints'!$D:$D,'Custom Constraints'!$A:$A,"caiso-deliverability_"&amp;SUBSTITUTE(Dashboard!$D558,"_group",Dashboard!$D$503)&amp;"."&amp;YEAR(Dashboard!J$537))</f>
        <v>0</v>
      </c>
      <c r="K558" s="10">
        <f>SUMIFS('Custom Constraints'!$D:$D,'Custom Constraints'!$A:$A,"caiso-deliverability_"&amp;SUBSTITUTE(Dashboard!$D558,"_group",Dashboard!$D$503)&amp;"."&amp;YEAR(Dashboard!K$537))</f>
        <v>0</v>
      </c>
      <c r="L558" s="10">
        <f>SUMIFS('Custom Constraints'!$D:$D,'Custom Constraints'!$A:$A,"caiso-deliverability_"&amp;SUBSTITUTE(Dashboard!$D558,"_group",Dashboard!$D$503)&amp;"."&amp;YEAR(Dashboard!L$537))</f>
        <v>0</v>
      </c>
      <c r="M558" s="10">
        <f>SUMIFS('Custom Constraints'!$D:$D,'Custom Constraints'!$A:$A,"caiso-deliverability_"&amp;SUBSTITUTE(Dashboard!$D558,"_group",Dashboard!$D$503)&amp;"."&amp;YEAR(Dashboard!M$537))</f>
        <v>0</v>
      </c>
      <c r="N558" s="10">
        <f>SUMIFS('Custom Constraints'!$D:$D,'Custom Constraints'!$A:$A,"caiso-deliverability_"&amp;SUBSTITUTE(Dashboard!$D558,"_group",Dashboard!$D$503)&amp;"."&amp;YEAR(Dashboard!N$537))</f>
        <v>0</v>
      </c>
      <c r="O558" s="10">
        <f>SUMIFS('Custom Constraints'!$D:$D,'Custom Constraints'!$A:$A,"caiso-deliverability_"&amp;SUBSTITUTE(Dashboard!$D558,"_group",Dashboard!$D$503)&amp;"."&amp;YEAR(Dashboard!O$537))</f>
        <v>0</v>
      </c>
      <c r="P558" s="10">
        <f>SUMIFS('Custom Constraints'!$D:$D,'Custom Constraints'!$A:$A,"caiso-deliverability_"&amp;SUBSTITUTE(Dashboard!$D558,"_group",Dashboard!$D$503)&amp;"."&amp;YEAR(Dashboard!P$537))</f>
        <v>0</v>
      </c>
      <c r="Q558" s="10">
        <f>SUMIFS('Custom Constraints'!$D:$D,'Custom Constraints'!$A:$A,"caiso-deliverability_"&amp;SUBSTITUTE(Dashboard!$D558,"_group",Dashboard!$D$503)&amp;"."&amp;YEAR(Dashboard!Q$537))</f>
        <v>0</v>
      </c>
      <c r="R558" s="10">
        <f>SUMIFS('Custom Constraints'!$D:$D,'Custom Constraints'!$A:$A,"caiso-deliverability_"&amp;SUBSTITUTE(Dashboard!$D558,"_group",Dashboard!$D$503)&amp;"."&amp;YEAR(Dashboard!R$537))</f>
        <v>0</v>
      </c>
      <c r="S558" s="10">
        <f>SUMIFS('Custom Constraints'!$D:$D,'Custom Constraints'!$A:$A,"caiso-deliverability_"&amp;SUBSTITUTE(Dashboard!$D558,"_group",Dashboard!$D$503)&amp;"."&amp;YEAR(Dashboard!S$537))</f>
        <v>0</v>
      </c>
      <c r="T558" s="10">
        <f>SUMIFS('Custom Constraints'!$D:$D,'Custom Constraints'!$A:$A,"caiso-deliverability_"&amp;SUBSTITUTE(Dashboard!$D558,"_group",Dashboard!$D$503)&amp;"."&amp;YEAR(Dashboard!T$537))</f>
        <v>0</v>
      </c>
      <c r="U558" s="10">
        <f>SUMIFS('Custom Constraints'!$D:$D,'Custom Constraints'!$A:$A,"caiso-deliverability_"&amp;SUBSTITUTE(Dashboard!$D558,"_group",Dashboard!$D$503)&amp;"."&amp;YEAR(Dashboard!U$537))</f>
        <v>0</v>
      </c>
      <c r="V558" s="10">
        <f>SUMIFS('Custom Constraints'!$D:$D,'Custom Constraints'!$A:$A,"caiso-deliverability_"&amp;SUBSTITUTE(Dashboard!$D558,"_group",Dashboard!$D$503)&amp;"."&amp;YEAR(Dashboard!V$537))</f>
        <v>0</v>
      </c>
      <c r="W558" s="10">
        <f>SUMIFS('Custom Constraints'!$D:$D,'Custom Constraints'!$A:$A,"caiso-deliverability_"&amp;SUBSTITUTE(Dashboard!$D558,"_group",Dashboard!$D$503)&amp;"."&amp;YEAR(Dashboard!W$537))</f>
        <v>0</v>
      </c>
      <c r="X558" s="10">
        <f>SUMIFS('Custom Constraints'!$D:$D,'Custom Constraints'!$A:$A,"caiso-deliverability_"&amp;SUBSTITUTE(Dashboard!$D558,"_group",Dashboard!$D$503)&amp;"."&amp;YEAR(Dashboard!X$537))</f>
        <v>0</v>
      </c>
      <c r="Y558" s="10">
        <f>SUMIFS('Custom Constraints'!$D:$D,'Custom Constraints'!$A:$A,"caiso-deliverability_"&amp;SUBSTITUTE(Dashboard!$D558,"_group",Dashboard!$D$503)&amp;"."&amp;YEAR(Dashboard!Y$537))</f>
        <v>0</v>
      </c>
      <c r="Z558" s="10">
        <f>SUMIFS('Custom Constraints'!$D:$D,'Custom Constraints'!$A:$A,"caiso-deliverability_"&amp;SUBSTITUTE(Dashboard!$D558,"_group",Dashboard!$D$503)&amp;"."&amp;YEAR(Dashboard!Z$537))</f>
        <v>0</v>
      </c>
      <c r="AA558" s="10">
        <f>SUMIFS('Custom Constraints'!$D:$D,'Custom Constraints'!$A:$A,"caiso-deliverability_"&amp;SUBSTITUTE(Dashboard!$D558,"_group",Dashboard!$D$503)&amp;"."&amp;YEAR(Dashboard!AA$537))</f>
        <v>0</v>
      </c>
      <c r="AB558" s="10">
        <f>SUMIFS('Custom Constraints'!$D:$D,'Custom Constraints'!$A:$A,"caiso-deliverability_"&amp;SUBSTITUTE(Dashboard!$D558,"_group",Dashboard!$D$503)&amp;"."&amp;YEAR(Dashboard!AB$537))</f>
        <v>0</v>
      </c>
      <c r="AC558" s="10">
        <f>SUMIFS('Custom Constraints'!$D:$D,'Custom Constraints'!$A:$A,"caiso-deliverability_"&amp;SUBSTITUTE(Dashboard!$D558,"_group",Dashboard!$D$503)&amp;"."&amp;YEAR(Dashboard!AC$537))</f>
        <v>0</v>
      </c>
      <c r="AD558" s="10">
        <f>SUMIFS('Custom Constraints'!$D:$D,'Custom Constraints'!$A:$A,"caiso-deliverability_"&amp;SUBSTITUTE(Dashboard!$D558,"_group",Dashboard!$D$503)&amp;"."&amp;YEAR(Dashboard!AD$537))</f>
        <v>1611</v>
      </c>
      <c r="AH558" s="34" t="s">
        <v>422</v>
      </c>
    </row>
    <row r="559" spans="4:34" outlineLevel="2" x14ac:dyDescent="0.2">
      <c r="D559" s="8" t="s">
        <v>278</v>
      </c>
      <c r="E559" s="10">
        <f>SUMIFS('Custom Constraints'!$D:$D,'Custom Constraints'!$A:$A,"caiso-deliverability_"&amp;SUBSTITUTE(Dashboard!$D559,"_group",Dashboard!$D$503)&amp;"."&amp;YEAR(Dashboard!E$537))</f>
        <v>0</v>
      </c>
      <c r="F559" s="10">
        <f>SUMIFS('Custom Constraints'!$D:$D,'Custom Constraints'!$A:$A,"caiso-deliverability_"&amp;SUBSTITUTE(Dashboard!$D559,"_group",Dashboard!$D$503)&amp;"."&amp;YEAR(Dashboard!F$537))</f>
        <v>0</v>
      </c>
      <c r="G559" s="10">
        <f>SUMIFS('Custom Constraints'!$D:$D,'Custom Constraints'!$A:$A,"caiso-deliverability_"&amp;SUBSTITUTE(Dashboard!$D559,"_group",Dashboard!$D$503)&amp;"."&amp;YEAR(Dashboard!G$537))</f>
        <v>0</v>
      </c>
      <c r="H559" s="10">
        <f>SUMIFS('Custom Constraints'!$D:$D,'Custom Constraints'!$A:$A,"caiso-deliverability_"&amp;SUBSTITUTE(Dashboard!$D559,"_group",Dashboard!$D$503)&amp;"."&amp;YEAR(Dashboard!H$537))</f>
        <v>0</v>
      </c>
      <c r="I559" s="10">
        <f>SUMIFS('Custom Constraints'!$D:$D,'Custom Constraints'!$A:$A,"caiso-deliverability_"&amp;SUBSTITUTE(Dashboard!$D559,"_group",Dashboard!$D$503)&amp;"."&amp;YEAR(Dashboard!I$537))</f>
        <v>0</v>
      </c>
      <c r="J559" s="10">
        <f>SUMIFS('Custom Constraints'!$D:$D,'Custom Constraints'!$A:$A,"caiso-deliverability_"&amp;SUBSTITUTE(Dashboard!$D559,"_group",Dashboard!$D$503)&amp;"."&amp;YEAR(Dashboard!J$537))</f>
        <v>0</v>
      </c>
      <c r="K559" s="10">
        <f>SUMIFS('Custom Constraints'!$D:$D,'Custom Constraints'!$A:$A,"caiso-deliverability_"&amp;SUBSTITUTE(Dashboard!$D559,"_group",Dashboard!$D$503)&amp;"."&amp;YEAR(Dashboard!K$537))</f>
        <v>0</v>
      </c>
      <c r="L559" s="10">
        <f>SUMIFS('Custom Constraints'!$D:$D,'Custom Constraints'!$A:$A,"caiso-deliverability_"&amp;SUBSTITUTE(Dashboard!$D559,"_group",Dashboard!$D$503)&amp;"."&amp;YEAR(Dashboard!L$537))</f>
        <v>0</v>
      </c>
      <c r="M559" s="10">
        <f>SUMIFS('Custom Constraints'!$D:$D,'Custom Constraints'!$A:$A,"caiso-deliverability_"&amp;SUBSTITUTE(Dashboard!$D559,"_group",Dashboard!$D$503)&amp;"."&amp;YEAR(Dashboard!M$537))</f>
        <v>0</v>
      </c>
      <c r="N559" s="10">
        <f>SUMIFS('Custom Constraints'!$D:$D,'Custom Constraints'!$A:$A,"caiso-deliverability_"&amp;SUBSTITUTE(Dashboard!$D559,"_group",Dashboard!$D$503)&amp;"."&amp;YEAR(Dashboard!N$537))</f>
        <v>0</v>
      </c>
      <c r="O559" s="10">
        <f>SUMIFS('Custom Constraints'!$D:$D,'Custom Constraints'!$A:$A,"caiso-deliverability_"&amp;SUBSTITUTE(Dashboard!$D559,"_group",Dashboard!$D$503)&amp;"."&amp;YEAR(Dashboard!O$537))</f>
        <v>0</v>
      </c>
      <c r="P559" s="10">
        <f>SUMIFS('Custom Constraints'!$D:$D,'Custom Constraints'!$A:$A,"caiso-deliverability_"&amp;SUBSTITUTE(Dashboard!$D559,"_group",Dashboard!$D$503)&amp;"."&amp;YEAR(Dashboard!P$537))</f>
        <v>0</v>
      </c>
      <c r="Q559" s="10">
        <f>SUMIFS('Custom Constraints'!$D:$D,'Custom Constraints'!$A:$A,"caiso-deliverability_"&amp;SUBSTITUTE(Dashboard!$D559,"_group",Dashboard!$D$503)&amp;"."&amp;YEAR(Dashboard!Q$537))</f>
        <v>0</v>
      </c>
      <c r="R559" s="10">
        <f>SUMIFS('Custom Constraints'!$D:$D,'Custom Constraints'!$A:$A,"caiso-deliverability_"&amp;SUBSTITUTE(Dashboard!$D559,"_group",Dashboard!$D$503)&amp;"."&amp;YEAR(Dashboard!R$537))</f>
        <v>0</v>
      </c>
      <c r="S559" s="10">
        <f>SUMIFS('Custom Constraints'!$D:$D,'Custom Constraints'!$A:$A,"caiso-deliverability_"&amp;SUBSTITUTE(Dashboard!$D559,"_group",Dashboard!$D$503)&amp;"."&amp;YEAR(Dashboard!S$537))</f>
        <v>0</v>
      </c>
      <c r="T559" s="10">
        <f>SUMIFS('Custom Constraints'!$D:$D,'Custom Constraints'!$A:$A,"caiso-deliverability_"&amp;SUBSTITUTE(Dashboard!$D559,"_group",Dashboard!$D$503)&amp;"."&amp;YEAR(Dashboard!T$537))</f>
        <v>0</v>
      </c>
      <c r="U559" s="10">
        <f>SUMIFS('Custom Constraints'!$D:$D,'Custom Constraints'!$A:$A,"caiso-deliverability_"&amp;SUBSTITUTE(Dashboard!$D559,"_group",Dashboard!$D$503)&amp;"."&amp;YEAR(Dashboard!U$537))</f>
        <v>0</v>
      </c>
      <c r="V559" s="10">
        <f>SUMIFS('Custom Constraints'!$D:$D,'Custom Constraints'!$A:$A,"caiso-deliverability_"&amp;SUBSTITUTE(Dashboard!$D559,"_group",Dashboard!$D$503)&amp;"."&amp;YEAR(Dashboard!V$537))</f>
        <v>0</v>
      </c>
      <c r="W559" s="10">
        <f>SUMIFS('Custom Constraints'!$D:$D,'Custom Constraints'!$A:$A,"caiso-deliverability_"&amp;SUBSTITUTE(Dashboard!$D559,"_group",Dashboard!$D$503)&amp;"."&amp;YEAR(Dashboard!W$537))</f>
        <v>0</v>
      </c>
      <c r="X559" s="10">
        <f>SUMIFS('Custom Constraints'!$D:$D,'Custom Constraints'!$A:$A,"caiso-deliverability_"&amp;SUBSTITUTE(Dashboard!$D559,"_group",Dashboard!$D$503)&amp;"."&amp;YEAR(Dashboard!X$537))</f>
        <v>0</v>
      </c>
      <c r="Y559" s="10">
        <f>SUMIFS('Custom Constraints'!$D:$D,'Custom Constraints'!$A:$A,"caiso-deliverability_"&amp;SUBSTITUTE(Dashboard!$D559,"_group",Dashboard!$D$503)&amp;"."&amp;YEAR(Dashboard!Y$537))</f>
        <v>0</v>
      </c>
      <c r="Z559" s="10">
        <f>SUMIFS('Custom Constraints'!$D:$D,'Custom Constraints'!$A:$A,"caiso-deliverability_"&amp;SUBSTITUTE(Dashboard!$D559,"_group",Dashboard!$D$503)&amp;"."&amp;YEAR(Dashboard!Z$537))</f>
        <v>0</v>
      </c>
      <c r="AA559" s="10">
        <f>SUMIFS('Custom Constraints'!$D:$D,'Custom Constraints'!$A:$A,"caiso-deliverability_"&amp;SUBSTITUTE(Dashboard!$D559,"_group",Dashboard!$D$503)&amp;"."&amp;YEAR(Dashboard!AA$537))</f>
        <v>0</v>
      </c>
      <c r="AB559" s="10">
        <f>SUMIFS('Custom Constraints'!$D:$D,'Custom Constraints'!$A:$A,"caiso-deliverability_"&amp;SUBSTITUTE(Dashboard!$D559,"_group",Dashboard!$D$503)&amp;"."&amp;YEAR(Dashboard!AB$537))</f>
        <v>0</v>
      </c>
      <c r="AC559" s="10">
        <f>SUMIFS('Custom Constraints'!$D:$D,'Custom Constraints'!$A:$A,"caiso-deliverability_"&amp;SUBSTITUTE(Dashboard!$D559,"_group",Dashboard!$D$503)&amp;"."&amp;YEAR(Dashboard!AC$537))</f>
        <v>0</v>
      </c>
      <c r="AD559" s="10">
        <f>SUMIFS('Custom Constraints'!$D:$D,'Custom Constraints'!$A:$A,"caiso-deliverability_"&amp;SUBSTITUTE(Dashboard!$D559,"_group",Dashboard!$D$503)&amp;"."&amp;YEAR(Dashboard!AD$537))</f>
        <v>1748</v>
      </c>
      <c r="AH559" s="34" t="s">
        <v>422</v>
      </c>
    </row>
    <row r="560" spans="4:34" outlineLevel="2" x14ac:dyDescent="0.2">
      <c r="D560" s="8" t="s">
        <v>279</v>
      </c>
      <c r="E560" s="10">
        <f>SUMIFS('Custom Constraints'!$D:$D,'Custom Constraints'!$A:$A,"caiso-deliverability_"&amp;SUBSTITUTE(Dashboard!$D560,"_group",Dashboard!$D$503)&amp;"."&amp;YEAR(Dashboard!E$537))</f>
        <v>0</v>
      </c>
      <c r="F560" s="10">
        <f>SUMIFS('Custom Constraints'!$D:$D,'Custom Constraints'!$A:$A,"caiso-deliverability_"&amp;SUBSTITUTE(Dashboard!$D560,"_group",Dashboard!$D$503)&amp;"."&amp;YEAR(Dashboard!F$537))</f>
        <v>0</v>
      </c>
      <c r="G560" s="10">
        <f>SUMIFS('Custom Constraints'!$D:$D,'Custom Constraints'!$A:$A,"caiso-deliverability_"&amp;SUBSTITUTE(Dashboard!$D560,"_group",Dashboard!$D$503)&amp;"."&amp;YEAR(Dashboard!G$537))</f>
        <v>0</v>
      </c>
      <c r="H560" s="10">
        <f>SUMIFS('Custom Constraints'!$D:$D,'Custom Constraints'!$A:$A,"caiso-deliverability_"&amp;SUBSTITUTE(Dashboard!$D560,"_group",Dashboard!$D$503)&amp;"."&amp;YEAR(Dashboard!H$537))</f>
        <v>0</v>
      </c>
      <c r="I560" s="10">
        <f>SUMIFS('Custom Constraints'!$D:$D,'Custom Constraints'!$A:$A,"caiso-deliverability_"&amp;SUBSTITUTE(Dashboard!$D560,"_group",Dashboard!$D$503)&amp;"."&amp;YEAR(Dashboard!I$537))</f>
        <v>0</v>
      </c>
      <c r="J560" s="10">
        <f>SUMIFS('Custom Constraints'!$D:$D,'Custom Constraints'!$A:$A,"caiso-deliverability_"&amp;SUBSTITUTE(Dashboard!$D560,"_group",Dashboard!$D$503)&amp;"."&amp;YEAR(Dashboard!J$537))</f>
        <v>0</v>
      </c>
      <c r="K560" s="10">
        <f>SUMIFS('Custom Constraints'!$D:$D,'Custom Constraints'!$A:$A,"caiso-deliverability_"&amp;SUBSTITUTE(Dashboard!$D560,"_group",Dashboard!$D$503)&amp;"."&amp;YEAR(Dashboard!K$537))</f>
        <v>0</v>
      </c>
      <c r="L560" s="10">
        <f>SUMIFS('Custom Constraints'!$D:$D,'Custom Constraints'!$A:$A,"caiso-deliverability_"&amp;SUBSTITUTE(Dashboard!$D560,"_group",Dashboard!$D$503)&amp;"."&amp;YEAR(Dashboard!L$537))</f>
        <v>0</v>
      </c>
      <c r="M560" s="10">
        <f>SUMIFS('Custom Constraints'!$D:$D,'Custom Constraints'!$A:$A,"caiso-deliverability_"&amp;SUBSTITUTE(Dashboard!$D560,"_group",Dashboard!$D$503)&amp;"."&amp;YEAR(Dashboard!M$537))</f>
        <v>0</v>
      </c>
      <c r="N560" s="10">
        <f>SUMIFS('Custom Constraints'!$D:$D,'Custom Constraints'!$A:$A,"caiso-deliverability_"&amp;SUBSTITUTE(Dashboard!$D560,"_group",Dashboard!$D$503)&amp;"."&amp;YEAR(Dashboard!N$537))</f>
        <v>0</v>
      </c>
      <c r="O560" s="10">
        <f>SUMIFS('Custom Constraints'!$D:$D,'Custom Constraints'!$A:$A,"caiso-deliverability_"&amp;SUBSTITUTE(Dashboard!$D560,"_group",Dashboard!$D$503)&amp;"."&amp;YEAR(Dashboard!O$537))</f>
        <v>0</v>
      </c>
      <c r="P560" s="10">
        <f>SUMIFS('Custom Constraints'!$D:$D,'Custom Constraints'!$A:$A,"caiso-deliverability_"&amp;SUBSTITUTE(Dashboard!$D560,"_group",Dashboard!$D$503)&amp;"."&amp;YEAR(Dashboard!P$537))</f>
        <v>0</v>
      </c>
      <c r="Q560" s="10">
        <f>SUMIFS('Custom Constraints'!$D:$D,'Custom Constraints'!$A:$A,"caiso-deliverability_"&amp;SUBSTITUTE(Dashboard!$D560,"_group",Dashboard!$D$503)&amp;"."&amp;YEAR(Dashboard!Q$537))</f>
        <v>0</v>
      </c>
      <c r="R560" s="10">
        <f>SUMIFS('Custom Constraints'!$D:$D,'Custom Constraints'!$A:$A,"caiso-deliverability_"&amp;SUBSTITUTE(Dashboard!$D560,"_group",Dashboard!$D$503)&amp;"."&amp;YEAR(Dashboard!R$537))</f>
        <v>0</v>
      </c>
      <c r="S560" s="10">
        <f>SUMIFS('Custom Constraints'!$D:$D,'Custom Constraints'!$A:$A,"caiso-deliverability_"&amp;SUBSTITUTE(Dashboard!$D560,"_group",Dashboard!$D$503)&amp;"."&amp;YEAR(Dashboard!S$537))</f>
        <v>0</v>
      </c>
      <c r="T560" s="10">
        <f>SUMIFS('Custom Constraints'!$D:$D,'Custom Constraints'!$A:$A,"caiso-deliverability_"&amp;SUBSTITUTE(Dashboard!$D560,"_group",Dashboard!$D$503)&amp;"."&amp;YEAR(Dashboard!T$537))</f>
        <v>0</v>
      </c>
      <c r="U560" s="10">
        <f>SUMIFS('Custom Constraints'!$D:$D,'Custom Constraints'!$A:$A,"caiso-deliverability_"&amp;SUBSTITUTE(Dashboard!$D560,"_group",Dashboard!$D$503)&amp;"."&amp;YEAR(Dashboard!U$537))</f>
        <v>0</v>
      </c>
      <c r="V560" s="10">
        <f>SUMIFS('Custom Constraints'!$D:$D,'Custom Constraints'!$A:$A,"caiso-deliverability_"&amp;SUBSTITUTE(Dashboard!$D560,"_group",Dashboard!$D$503)&amp;"."&amp;YEAR(Dashboard!V$537))</f>
        <v>0</v>
      </c>
      <c r="W560" s="10">
        <f>SUMIFS('Custom Constraints'!$D:$D,'Custom Constraints'!$A:$A,"caiso-deliverability_"&amp;SUBSTITUTE(Dashboard!$D560,"_group",Dashboard!$D$503)&amp;"."&amp;YEAR(Dashboard!W$537))</f>
        <v>0</v>
      </c>
      <c r="X560" s="10">
        <f>SUMIFS('Custom Constraints'!$D:$D,'Custom Constraints'!$A:$A,"caiso-deliverability_"&amp;SUBSTITUTE(Dashboard!$D560,"_group",Dashboard!$D$503)&amp;"."&amp;YEAR(Dashboard!X$537))</f>
        <v>0</v>
      </c>
      <c r="Y560" s="10">
        <f>SUMIFS('Custom Constraints'!$D:$D,'Custom Constraints'!$A:$A,"caiso-deliverability_"&amp;SUBSTITUTE(Dashboard!$D560,"_group",Dashboard!$D$503)&amp;"."&amp;YEAR(Dashboard!Y$537))</f>
        <v>0</v>
      </c>
      <c r="Z560" s="10">
        <f>SUMIFS('Custom Constraints'!$D:$D,'Custom Constraints'!$A:$A,"caiso-deliverability_"&amp;SUBSTITUTE(Dashboard!$D560,"_group",Dashboard!$D$503)&amp;"."&amp;YEAR(Dashboard!Z$537))</f>
        <v>0</v>
      </c>
      <c r="AA560" s="10">
        <f>SUMIFS('Custom Constraints'!$D:$D,'Custom Constraints'!$A:$A,"caiso-deliverability_"&amp;SUBSTITUTE(Dashboard!$D560,"_group",Dashboard!$D$503)&amp;"."&amp;YEAR(Dashboard!AA$537))</f>
        <v>0</v>
      </c>
      <c r="AB560" s="10">
        <f>SUMIFS('Custom Constraints'!$D:$D,'Custom Constraints'!$A:$A,"caiso-deliverability_"&amp;SUBSTITUTE(Dashboard!$D560,"_group",Dashboard!$D$503)&amp;"."&amp;YEAR(Dashboard!AB$537))</f>
        <v>0</v>
      </c>
      <c r="AC560" s="10">
        <f>SUMIFS('Custom Constraints'!$D:$D,'Custom Constraints'!$A:$A,"caiso-deliverability_"&amp;SUBSTITUTE(Dashboard!$D560,"_group",Dashboard!$D$503)&amp;"."&amp;YEAR(Dashboard!AC$537))</f>
        <v>0</v>
      </c>
      <c r="AD560" s="10">
        <f>SUMIFS('Custom Constraints'!$D:$D,'Custom Constraints'!$A:$A,"caiso-deliverability_"&amp;SUBSTITUTE(Dashboard!$D560,"_group",Dashboard!$D$503)&amp;"."&amp;YEAR(Dashboard!AD$537))</f>
        <v>5700</v>
      </c>
      <c r="AH560" s="34" t="s">
        <v>422</v>
      </c>
    </row>
    <row r="561" spans="4:34" outlineLevel="2" x14ac:dyDescent="0.2">
      <c r="D561" s="8" t="s">
        <v>280</v>
      </c>
      <c r="E561" s="10">
        <f>SUMIFS('Custom Constraints'!$D:$D,'Custom Constraints'!$A:$A,"caiso-deliverability_"&amp;SUBSTITUTE(Dashboard!$D561,"_group",Dashboard!$D$503)&amp;"."&amp;YEAR(Dashboard!E$537))</f>
        <v>0</v>
      </c>
      <c r="F561" s="10">
        <f>SUMIFS('Custom Constraints'!$D:$D,'Custom Constraints'!$A:$A,"caiso-deliverability_"&amp;SUBSTITUTE(Dashboard!$D561,"_group",Dashboard!$D$503)&amp;"."&amp;YEAR(Dashboard!F$537))</f>
        <v>0</v>
      </c>
      <c r="G561" s="10">
        <f>SUMIFS('Custom Constraints'!$D:$D,'Custom Constraints'!$A:$A,"caiso-deliverability_"&amp;SUBSTITUTE(Dashboard!$D561,"_group",Dashboard!$D$503)&amp;"."&amp;YEAR(Dashboard!G$537))</f>
        <v>0</v>
      </c>
      <c r="H561" s="10">
        <f>SUMIFS('Custom Constraints'!$D:$D,'Custom Constraints'!$A:$A,"caiso-deliverability_"&amp;SUBSTITUTE(Dashboard!$D561,"_group",Dashboard!$D$503)&amp;"."&amp;YEAR(Dashboard!H$537))</f>
        <v>0</v>
      </c>
      <c r="I561" s="10">
        <f>SUMIFS('Custom Constraints'!$D:$D,'Custom Constraints'!$A:$A,"caiso-deliverability_"&amp;SUBSTITUTE(Dashboard!$D561,"_group",Dashboard!$D$503)&amp;"."&amp;YEAR(Dashboard!I$537))</f>
        <v>0</v>
      </c>
      <c r="J561" s="10">
        <f>SUMIFS('Custom Constraints'!$D:$D,'Custom Constraints'!$A:$A,"caiso-deliverability_"&amp;SUBSTITUTE(Dashboard!$D561,"_group",Dashboard!$D$503)&amp;"."&amp;YEAR(Dashboard!J$537))</f>
        <v>0</v>
      </c>
      <c r="K561" s="10">
        <f>SUMIFS('Custom Constraints'!$D:$D,'Custom Constraints'!$A:$A,"caiso-deliverability_"&amp;SUBSTITUTE(Dashboard!$D561,"_group",Dashboard!$D$503)&amp;"."&amp;YEAR(Dashboard!K$537))</f>
        <v>0</v>
      </c>
      <c r="L561" s="10">
        <f>SUMIFS('Custom Constraints'!$D:$D,'Custom Constraints'!$A:$A,"caiso-deliverability_"&amp;SUBSTITUTE(Dashboard!$D561,"_group",Dashboard!$D$503)&amp;"."&amp;YEAR(Dashboard!L$537))</f>
        <v>0</v>
      </c>
      <c r="M561" s="10">
        <f>SUMIFS('Custom Constraints'!$D:$D,'Custom Constraints'!$A:$A,"caiso-deliverability_"&amp;SUBSTITUTE(Dashboard!$D561,"_group",Dashboard!$D$503)&amp;"."&amp;YEAR(Dashboard!M$537))</f>
        <v>0</v>
      </c>
      <c r="N561" s="10">
        <f>SUMIFS('Custom Constraints'!$D:$D,'Custom Constraints'!$A:$A,"caiso-deliverability_"&amp;SUBSTITUTE(Dashboard!$D561,"_group",Dashboard!$D$503)&amp;"."&amp;YEAR(Dashboard!N$537))</f>
        <v>0</v>
      </c>
      <c r="O561" s="10">
        <f>SUMIFS('Custom Constraints'!$D:$D,'Custom Constraints'!$A:$A,"caiso-deliverability_"&amp;SUBSTITUTE(Dashboard!$D561,"_group",Dashboard!$D$503)&amp;"."&amp;YEAR(Dashboard!O$537))</f>
        <v>0</v>
      </c>
      <c r="P561" s="10">
        <f>SUMIFS('Custom Constraints'!$D:$D,'Custom Constraints'!$A:$A,"caiso-deliverability_"&amp;SUBSTITUTE(Dashboard!$D561,"_group",Dashboard!$D$503)&amp;"."&amp;YEAR(Dashboard!P$537))</f>
        <v>0</v>
      </c>
      <c r="Q561" s="10">
        <f>SUMIFS('Custom Constraints'!$D:$D,'Custom Constraints'!$A:$A,"caiso-deliverability_"&amp;SUBSTITUTE(Dashboard!$D561,"_group",Dashboard!$D$503)&amp;"."&amp;YEAR(Dashboard!Q$537))</f>
        <v>0</v>
      </c>
      <c r="R561" s="10">
        <f>SUMIFS('Custom Constraints'!$D:$D,'Custom Constraints'!$A:$A,"caiso-deliverability_"&amp;SUBSTITUTE(Dashboard!$D561,"_group",Dashboard!$D$503)&amp;"."&amp;YEAR(Dashboard!R$537))</f>
        <v>0</v>
      </c>
      <c r="S561" s="10">
        <f>SUMIFS('Custom Constraints'!$D:$D,'Custom Constraints'!$A:$A,"caiso-deliverability_"&amp;SUBSTITUTE(Dashboard!$D561,"_group",Dashboard!$D$503)&amp;"."&amp;YEAR(Dashboard!S$537))</f>
        <v>0</v>
      </c>
      <c r="T561" s="10">
        <f>SUMIFS('Custom Constraints'!$D:$D,'Custom Constraints'!$A:$A,"caiso-deliverability_"&amp;SUBSTITUTE(Dashboard!$D561,"_group",Dashboard!$D$503)&amp;"."&amp;YEAR(Dashboard!T$537))</f>
        <v>0</v>
      </c>
      <c r="U561" s="10">
        <f>SUMIFS('Custom Constraints'!$D:$D,'Custom Constraints'!$A:$A,"caiso-deliverability_"&amp;SUBSTITUTE(Dashboard!$D561,"_group",Dashboard!$D$503)&amp;"."&amp;YEAR(Dashboard!U$537))</f>
        <v>0</v>
      </c>
      <c r="V561" s="10">
        <f>SUMIFS('Custom Constraints'!$D:$D,'Custom Constraints'!$A:$A,"caiso-deliverability_"&amp;SUBSTITUTE(Dashboard!$D561,"_group",Dashboard!$D$503)&amp;"."&amp;YEAR(Dashboard!V$537))</f>
        <v>0</v>
      </c>
      <c r="W561" s="10">
        <f>SUMIFS('Custom Constraints'!$D:$D,'Custom Constraints'!$A:$A,"caiso-deliverability_"&amp;SUBSTITUTE(Dashboard!$D561,"_group",Dashboard!$D$503)&amp;"."&amp;YEAR(Dashboard!W$537))</f>
        <v>0</v>
      </c>
      <c r="X561" s="10">
        <f>SUMIFS('Custom Constraints'!$D:$D,'Custom Constraints'!$A:$A,"caiso-deliverability_"&amp;SUBSTITUTE(Dashboard!$D561,"_group",Dashboard!$D$503)&amp;"."&amp;YEAR(Dashboard!X$537))</f>
        <v>0</v>
      </c>
      <c r="Y561" s="10">
        <f>SUMIFS('Custom Constraints'!$D:$D,'Custom Constraints'!$A:$A,"caiso-deliverability_"&amp;SUBSTITUTE(Dashboard!$D561,"_group",Dashboard!$D$503)&amp;"."&amp;YEAR(Dashboard!Y$537))</f>
        <v>0</v>
      </c>
      <c r="Z561" s="10">
        <f>SUMIFS('Custom Constraints'!$D:$D,'Custom Constraints'!$A:$A,"caiso-deliverability_"&amp;SUBSTITUTE(Dashboard!$D561,"_group",Dashboard!$D$503)&amp;"."&amp;YEAR(Dashboard!Z$537))</f>
        <v>0</v>
      </c>
      <c r="AA561" s="10">
        <f>SUMIFS('Custom Constraints'!$D:$D,'Custom Constraints'!$A:$A,"caiso-deliverability_"&amp;SUBSTITUTE(Dashboard!$D561,"_group",Dashboard!$D$503)&amp;"."&amp;YEAR(Dashboard!AA$537))</f>
        <v>0</v>
      </c>
      <c r="AB561" s="10">
        <f>SUMIFS('Custom Constraints'!$D:$D,'Custom Constraints'!$A:$A,"caiso-deliverability_"&amp;SUBSTITUTE(Dashboard!$D561,"_group",Dashboard!$D$503)&amp;"."&amp;YEAR(Dashboard!AB$537))</f>
        <v>0</v>
      </c>
      <c r="AC561" s="10">
        <f>SUMIFS('Custom Constraints'!$D:$D,'Custom Constraints'!$A:$A,"caiso-deliverability_"&amp;SUBSTITUTE(Dashboard!$D561,"_group",Dashboard!$D$503)&amp;"."&amp;YEAR(Dashboard!AC$537))</f>
        <v>0</v>
      </c>
      <c r="AD561" s="10">
        <f>SUMIFS('Custom Constraints'!$D:$D,'Custom Constraints'!$A:$A,"caiso-deliverability_"&amp;SUBSTITUTE(Dashboard!$D561,"_group",Dashboard!$D$503)&amp;"."&amp;YEAR(Dashboard!AD$537))</f>
        <v>1202</v>
      </c>
      <c r="AH561" s="34" t="s">
        <v>422</v>
      </c>
    </row>
    <row r="562" spans="4:34" outlineLevel="2" x14ac:dyDescent="0.2">
      <c r="D562" s="8" t="s">
        <v>281</v>
      </c>
      <c r="E562" s="10">
        <f>SUMIFS('Custom Constraints'!$D:$D,'Custom Constraints'!$A:$A,"caiso-deliverability_"&amp;SUBSTITUTE(Dashboard!$D562,"_group",Dashboard!$D$503)&amp;"."&amp;YEAR(Dashboard!E$537))</f>
        <v>0</v>
      </c>
      <c r="F562" s="10">
        <f>SUMIFS('Custom Constraints'!$D:$D,'Custom Constraints'!$A:$A,"caiso-deliverability_"&amp;SUBSTITUTE(Dashboard!$D562,"_group",Dashboard!$D$503)&amp;"."&amp;YEAR(Dashboard!F$537))</f>
        <v>0</v>
      </c>
      <c r="G562" s="10">
        <f>SUMIFS('Custom Constraints'!$D:$D,'Custom Constraints'!$A:$A,"caiso-deliverability_"&amp;SUBSTITUTE(Dashboard!$D562,"_group",Dashboard!$D$503)&amp;"."&amp;YEAR(Dashboard!G$537))</f>
        <v>0</v>
      </c>
      <c r="H562" s="10">
        <f>SUMIFS('Custom Constraints'!$D:$D,'Custom Constraints'!$A:$A,"caiso-deliverability_"&amp;SUBSTITUTE(Dashboard!$D562,"_group",Dashboard!$D$503)&amp;"."&amp;YEAR(Dashboard!H$537))</f>
        <v>0</v>
      </c>
      <c r="I562" s="10">
        <f>SUMIFS('Custom Constraints'!$D:$D,'Custom Constraints'!$A:$A,"caiso-deliverability_"&amp;SUBSTITUTE(Dashboard!$D562,"_group",Dashboard!$D$503)&amp;"."&amp;YEAR(Dashboard!I$537))</f>
        <v>0</v>
      </c>
      <c r="J562" s="10">
        <f>SUMIFS('Custom Constraints'!$D:$D,'Custom Constraints'!$A:$A,"caiso-deliverability_"&amp;SUBSTITUTE(Dashboard!$D562,"_group",Dashboard!$D$503)&amp;"."&amp;YEAR(Dashboard!J$537))</f>
        <v>0</v>
      </c>
      <c r="K562" s="10">
        <f>SUMIFS('Custom Constraints'!$D:$D,'Custom Constraints'!$A:$A,"caiso-deliverability_"&amp;SUBSTITUTE(Dashboard!$D562,"_group",Dashboard!$D$503)&amp;"."&amp;YEAR(Dashboard!K$537))</f>
        <v>0</v>
      </c>
      <c r="L562" s="10">
        <f>SUMIFS('Custom Constraints'!$D:$D,'Custom Constraints'!$A:$A,"caiso-deliverability_"&amp;SUBSTITUTE(Dashboard!$D562,"_group",Dashboard!$D$503)&amp;"."&amp;YEAR(Dashboard!L$537))</f>
        <v>0</v>
      </c>
      <c r="M562" s="10">
        <f>SUMIFS('Custom Constraints'!$D:$D,'Custom Constraints'!$A:$A,"caiso-deliverability_"&amp;SUBSTITUTE(Dashboard!$D562,"_group",Dashboard!$D$503)&amp;"."&amp;YEAR(Dashboard!M$537))</f>
        <v>0</v>
      </c>
      <c r="N562" s="10">
        <f>SUMIFS('Custom Constraints'!$D:$D,'Custom Constraints'!$A:$A,"caiso-deliverability_"&amp;SUBSTITUTE(Dashboard!$D562,"_group",Dashboard!$D$503)&amp;"."&amp;YEAR(Dashboard!N$537))</f>
        <v>0</v>
      </c>
      <c r="O562" s="10">
        <f>SUMIFS('Custom Constraints'!$D:$D,'Custom Constraints'!$A:$A,"caiso-deliverability_"&amp;SUBSTITUTE(Dashboard!$D562,"_group",Dashboard!$D$503)&amp;"."&amp;YEAR(Dashboard!O$537))</f>
        <v>0</v>
      </c>
      <c r="P562" s="10">
        <f>SUMIFS('Custom Constraints'!$D:$D,'Custom Constraints'!$A:$A,"caiso-deliverability_"&amp;SUBSTITUTE(Dashboard!$D562,"_group",Dashboard!$D$503)&amp;"."&amp;YEAR(Dashboard!P$537))</f>
        <v>0</v>
      </c>
      <c r="Q562" s="10">
        <f>SUMIFS('Custom Constraints'!$D:$D,'Custom Constraints'!$A:$A,"caiso-deliverability_"&amp;SUBSTITUTE(Dashboard!$D562,"_group",Dashboard!$D$503)&amp;"."&amp;YEAR(Dashboard!Q$537))</f>
        <v>0</v>
      </c>
      <c r="R562" s="10">
        <f>SUMIFS('Custom Constraints'!$D:$D,'Custom Constraints'!$A:$A,"caiso-deliverability_"&amp;SUBSTITUTE(Dashboard!$D562,"_group",Dashboard!$D$503)&amp;"."&amp;YEAR(Dashboard!R$537))</f>
        <v>0</v>
      </c>
      <c r="S562" s="10">
        <f>SUMIFS('Custom Constraints'!$D:$D,'Custom Constraints'!$A:$A,"caiso-deliverability_"&amp;SUBSTITUTE(Dashboard!$D562,"_group",Dashboard!$D$503)&amp;"."&amp;YEAR(Dashboard!S$537))</f>
        <v>0</v>
      </c>
      <c r="T562" s="10">
        <f>SUMIFS('Custom Constraints'!$D:$D,'Custom Constraints'!$A:$A,"caiso-deliverability_"&amp;SUBSTITUTE(Dashboard!$D562,"_group",Dashboard!$D$503)&amp;"."&amp;YEAR(Dashboard!T$537))</f>
        <v>0</v>
      </c>
      <c r="U562" s="10">
        <f>SUMIFS('Custom Constraints'!$D:$D,'Custom Constraints'!$A:$A,"caiso-deliverability_"&amp;SUBSTITUTE(Dashboard!$D562,"_group",Dashboard!$D$503)&amp;"."&amp;YEAR(Dashboard!U$537))</f>
        <v>0</v>
      </c>
      <c r="V562" s="10">
        <f>SUMIFS('Custom Constraints'!$D:$D,'Custom Constraints'!$A:$A,"caiso-deliverability_"&amp;SUBSTITUTE(Dashboard!$D562,"_group",Dashboard!$D$503)&amp;"."&amp;YEAR(Dashboard!V$537))</f>
        <v>0</v>
      </c>
      <c r="W562" s="10">
        <f>SUMIFS('Custom Constraints'!$D:$D,'Custom Constraints'!$A:$A,"caiso-deliverability_"&amp;SUBSTITUTE(Dashboard!$D562,"_group",Dashboard!$D$503)&amp;"."&amp;YEAR(Dashboard!W$537))</f>
        <v>0</v>
      </c>
      <c r="X562" s="10">
        <f>SUMIFS('Custom Constraints'!$D:$D,'Custom Constraints'!$A:$A,"caiso-deliverability_"&amp;SUBSTITUTE(Dashboard!$D562,"_group",Dashboard!$D$503)&amp;"."&amp;YEAR(Dashboard!X$537))</f>
        <v>0</v>
      </c>
      <c r="Y562" s="10">
        <f>SUMIFS('Custom Constraints'!$D:$D,'Custom Constraints'!$A:$A,"caiso-deliverability_"&amp;SUBSTITUTE(Dashboard!$D562,"_group",Dashboard!$D$503)&amp;"."&amp;YEAR(Dashboard!Y$537))</f>
        <v>0</v>
      </c>
      <c r="Z562" s="10">
        <f>SUMIFS('Custom Constraints'!$D:$D,'Custom Constraints'!$A:$A,"caiso-deliverability_"&amp;SUBSTITUTE(Dashboard!$D562,"_group",Dashboard!$D$503)&amp;"."&amp;YEAR(Dashboard!Z$537))</f>
        <v>0</v>
      </c>
      <c r="AA562" s="10">
        <f>SUMIFS('Custom Constraints'!$D:$D,'Custom Constraints'!$A:$A,"caiso-deliverability_"&amp;SUBSTITUTE(Dashboard!$D562,"_group",Dashboard!$D$503)&amp;"."&amp;YEAR(Dashboard!AA$537))</f>
        <v>0</v>
      </c>
      <c r="AB562" s="10">
        <f>SUMIFS('Custom Constraints'!$D:$D,'Custom Constraints'!$A:$A,"caiso-deliverability_"&amp;SUBSTITUTE(Dashboard!$D562,"_group",Dashboard!$D$503)&amp;"."&amp;YEAR(Dashboard!AB$537))</f>
        <v>0</v>
      </c>
      <c r="AC562" s="10">
        <f>SUMIFS('Custom Constraints'!$D:$D,'Custom Constraints'!$A:$A,"caiso-deliverability_"&amp;SUBSTITUTE(Dashboard!$D562,"_group",Dashboard!$D$503)&amp;"."&amp;YEAR(Dashboard!AC$537))</f>
        <v>0</v>
      </c>
      <c r="AD562" s="10">
        <f>SUMIFS('Custom Constraints'!$D:$D,'Custom Constraints'!$A:$A,"caiso-deliverability_"&amp;SUBSTITUTE(Dashboard!$D562,"_group",Dashboard!$D$503)&amp;"."&amp;YEAR(Dashboard!AD$537))</f>
        <v>826</v>
      </c>
      <c r="AH562" s="34" t="s">
        <v>422</v>
      </c>
    </row>
    <row r="563" spans="4:34" outlineLevel="2" x14ac:dyDescent="0.2">
      <c r="D563" s="8" t="s">
        <v>282</v>
      </c>
      <c r="E563" s="10">
        <f>SUMIFS('Custom Constraints'!$D:$D,'Custom Constraints'!$A:$A,"caiso-deliverability_"&amp;SUBSTITUTE(Dashboard!$D563,"_group",Dashboard!$D$503)&amp;"."&amp;YEAR(Dashboard!E$537))</f>
        <v>0</v>
      </c>
      <c r="F563" s="10">
        <f>SUMIFS('Custom Constraints'!$D:$D,'Custom Constraints'!$A:$A,"caiso-deliverability_"&amp;SUBSTITUTE(Dashboard!$D563,"_group",Dashboard!$D$503)&amp;"."&amp;YEAR(Dashboard!F$537))</f>
        <v>0</v>
      </c>
      <c r="G563" s="10">
        <f>SUMIFS('Custom Constraints'!$D:$D,'Custom Constraints'!$A:$A,"caiso-deliverability_"&amp;SUBSTITUTE(Dashboard!$D563,"_group",Dashboard!$D$503)&amp;"."&amp;YEAR(Dashboard!G$537))</f>
        <v>0</v>
      </c>
      <c r="H563" s="10">
        <f>SUMIFS('Custom Constraints'!$D:$D,'Custom Constraints'!$A:$A,"caiso-deliverability_"&amp;SUBSTITUTE(Dashboard!$D563,"_group",Dashboard!$D$503)&amp;"."&amp;YEAR(Dashboard!H$537))</f>
        <v>0</v>
      </c>
      <c r="I563" s="10">
        <f>SUMIFS('Custom Constraints'!$D:$D,'Custom Constraints'!$A:$A,"caiso-deliverability_"&amp;SUBSTITUTE(Dashboard!$D563,"_group",Dashboard!$D$503)&amp;"."&amp;YEAR(Dashboard!I$537))</f>
        <v>0</v>
      </c>
      <c r="J563" s="10">
        <f>SUMIFS('Custom Constraints'!$D:$D,'Custom Constraints'!$A:$A,"caiso-deliverability_"&amp;SUBSTITUTE(Dashboard!$D563,"_group",Dashboard!$D$503)&amp;"."&amp;YEAR(Dashboard!J$537))</f>
        <v>0</v>
      </c>
      <c r="K563" s="10">
        <f>SUMIFS('Custom Constraints'!$D:$D,'Custom Constraints'!$A:$A,"caiso-deliverability_"&amp;SUBSTITUTE(Dashboard!$D563,"_group",Dashboard!$D$503)&amp;"."&amp;YEAR(Dashboard!K$537))</f>
        <v>0</v>
      </c>
      <c r="L563" s="10">
        <f>SUMIFS('Custom Constraints'!$D:$D,'Custom Constraints'!$A:$A,"caiso-deliverability_"&amp;SUBSTITUTE(Dashboard!$D563,"_group",Dashboard!$D$503)&amp;"."&amp;YEAR(Dashboard!L$537))</f>
        <v>0</v>
      </c>
      <c r="M563" s="10">
        <f>SUMIFS('Custom Constraints'!$D:$D,'Custom Constraints'!$A:$A,"caiso-deliverability_"&amp;SUBSTITUTE(Dashboard!$D563,"_group",Dashboard!$D$503)&amp;"."&amp;YEAR(Dashboard!M$537))</f>
        <v>0</v>
      </c>
      <c r="N563" s="10">
        <f>SUMIFS('Custom Constraints'!$D:$D,'Custom Constraints'!$A:$A,"caiso-deliverability_"&amp;SUBSTITUTE(Dashboard!$D563,"_group",Dashboard!$D$503)&amp;"."&amp;YEAR(Dashboard!N$537))</f>
        <v>0</v>
      </c>
      <c r="O563" s="10">
        <f>SUMIFS('Custom Constraints'!$D:$D,'Custom Constraints'!$A:$A,"caiso-deliverability_"&amp;SUBSTITUTE(Dashboard!$D563,"_group",Dashboard!$D$503)&amp;"."&amp;YEAR(Dashboard!O$537))</f>
        <v>0</v>
      </c>
      <c r="P563" s="10">
        <f>SUMIFS('Custom Constraints'!$D:$D,'Custom Constraints'!$A:$A,"caiso-deliverability_"&amp;SUBSTITUTE(Dashboard!$D563,"_group",Dashboard!$D$503)&amp;"."&amp;YEAR(Dashboard!P$537))</f>
        <v>0</v>
      </c>
      <c r="Q563" s="10">
        <f>SUMIFS('Custom Constraints'!$D:$D,'Custom Constraints'!$A:$A,"caiso-deliverability_"&amp;SUBSTITUTE(Dashboard!$D563,"_group",Dashboard!$D$503)&amp;"."&amp;YEAR(Dashboard!Q$537))</f>
        <v>0</v>
      </c>
      <c r="R563" s="10">
        <f>SUMIFS('Custom Constraints'!$D:$D,'Custom Constraints'!$A:$A,"caiso-deliverability_"&amp;SUBSTITUTE(Dashboard!$D563,"_group",Dashboard!$D$503)&amp;"."&amp;YEAR(Dashboard!R$537))</f>
        <v>0</v>
      </c>
      <c r="S563" s="10">
        <f>SUMIFS('Custom Constraints'!$D:$D,'Custom Constraints'!$A:$A,"caiso-deliverability_"&amp;SUBSTITUTE(Dashboard!$D563,"_group",Dashboard!$D$503)&amp;"."&amp;YEAR(Dashboard!S$537))</f>
        <v>0</v>
      </c>
      <c r="T563" s="10">
        <f>SUMIFS('Custom Constraints'!$D:$D,'Custom Constraints'!$A:$A,"caiso-deliverability_"&amp;SUBSTITUTE(Dashboard!$D563,"_group",Dashboard!$D$503)&amp;"."&amp;YEAR(Dashboard!T$537))</f>
        <v>0</v>
      </c>
      <c r="U563" s="10">
        <f>SUMIFS('Custom Constraints'!$D:$D,'Custom Constraints'!$A:$A,"caiso-deliverability_"&amp;SUBSTITUTE(Dashboard!$D563,"_group",Dashboard!$D$503)&amp;"."&amp;YEAR(Dashboard!U$537))</f>
        <v>0</v>
      </c>
      <c r="V563" s="10">
        <f>SUMIFS('Custom Constraints'!$D:$D,'Custom Constraints'!$A:$A,"caiso-deliverability_"&amp;SUBSTITUTE(Dashboard!$D563,"_group",Dashboard!$D$503)&amp;"."&amp;YEAR(Dashboard!V$537))</f>
        <v>0</v>
      </c>
      <c r="W563" s="10">
        <f>SUMIFS('Custom Constraints'!$D:$D,'Custom Constraints'!$A:$A,"caiso-deliverability_"&amp;SUBSTITUTE(Dashboard!$D563,"_group",Dashboard!$D$503)&amp;"."&amp;YEAR(Dashboard!W$537))</f>
        <v>0</v>
      </c>
      <c r="X563" s="10">
        <f>SUMIFS('Custom Constraints'!$D:$D,'Custom Constraints'!$A:$A,"caiso-deliverability_"&amp;SUBSTITUTE(Dashboard!$D563,"_group",Dashboard!$D$503)&amp;"."&amp;YEAR(Dashboard!X$537))</f>
        <v>0</v>
      </c>
      <c r="Y563" s="10">
        <f>SUMIFS('Custom Constraints'!$D:$D,'Custom Constraints'!$A:$A,"caiso-deliverability_"&amp;SUBSTITUTE(Dashboard!$D563,"_group",Dashboard!$D$503)&amp;"."&amp;YEAR(Dashboard!Y$537))</f>
        <v>0</v>
      </c>
      <c r="Z563" s="10">
        <f>SUMIFS('Custom Constraints'!$D:$D,'Custom Constraints'!$A:$A,"caiso-deliverability_"&amp;SUBSTITUTE(Dashboard!$D563,"_group",Dashboard!$D$503)&amp;"."&amp;YEAR(Dashboard!Z$537))</f>
        <v>0</v>
      </c>
      <c r="AA563" s="10">
        <f>SUMIFS('Custom Constraints'!$D:$D,'Custom Constraints'!$A:$A,"caiso-deliverability_"&amp;SUBSTITUTE(Dashboard!$D563,"_group",Dashboard!$D$503)&amp;"."&amp;YEAR(Dashboard!AA$537))</f>
        <v>0</v>
      </c>
      <c r="AB563" s="10">
        <f>SUMIFS('Custom Constraints'!$D:$D,'Custom Constraints'!$A:$A,"caiso-deliverability_"&amp;SUBSTITUTE(Dashboard!$D563,"_group",Dashboard!$D$503)&amp;"."&amp;YEAR(Dashboard!AB$537))</f>
        <v>0</v>
      </c>
      <c r="AC563" s="10">
        <f>SUMIFS('Custom Constraints'!$D:$D,'Custom Constraints'!$A:$A,"caiso-deliverability_"&amp;SUBSTITUTE(Dashboard!$D563,"_group",Dashboard!$D$503)&amp;"."&amp;YEAR(Dashboard!AC$537))</f>
        <v>0</v>
      </c>
      <c r="AD563" s="10">
        <f>SUMIFS('Custom Constraints'!$D:$D,'Custom Constraints'!$A:$A,"caiso-deliverability_"&amp;SUBSTITUTE(Dashboard!$D563,"_group",Dashboard!$D$503)&amp;"."&amp;YEAR(Dashboard!AD$537))</f>
        <v>1156</v>
      </c>
      <c r="AH563" s="34" t="s">
        <v>422</v>
      </c>
    </row>
    <row r="564" spans="4:34" outlineLevel="2" x14ac:dyDescent="0.2">
      <c r="D564" s="8" t="s">
        <v>283</v>
      </c>
      <c r="E564" s="10">
        <f>SUMIFS('Custom Constraints'!$D:$D,'Custom Constraints'!$A:$A,"caiso-deliverability_"&amp;SUBSTITUTE(Dashboard!$D564,"_group",Dashboard!$D$503)&amp;"."&amp;YEAR(Dashboard!E$537))</f>
        <v>0</v>
      </c>
      <c r="F564" s="10">
        <f>SUMIFS('Custom Constraints'!$D:$D,'Custom Constraints'!$A:$A,"caiso-deliverability_"&amp;SUBSTITUTE(Dashboard!$D564,"_group",Dashboard!$D$503)&amp;"."&amp;YEAR(Dashboard!F$537))</f>
        <v>0</v>
      </c>
      <c r="G564" s="10">
        <f>SUMIFS('Custom Constraints'!$D:$D,'Custom Constraints'!$A:$A,"caiso-deliverability_"&amp;SUBSTITUTE(Dashboard!$D564,"_group",Dashboard!$D$503)&amp;"."&amp;YEAR(Dashboard!G$537))</f>
        <v>0</v>
      </c>
      <c r="H564" s="10">
        <f>SUMIFS('Custom Constraints'!$D:$D,'Custom Constraints'!$A:$A,"caiso-deliverability_"&amp;SUBSTITUTE(Dashboard!$D564,"_group",Dashboard!$D$503)&amp;"."&amp;YEAR(Dashboard!H$537))</f>
        <v>0</v>
      </c>
      <c r="I564" s="10">
        <f>SUMIFS('Custom Constraints'!$D:$D,'Custom Constraints'!$A:$A,"caiso-deliverability_"&amp;SUBSTITUTE(Dashboard!$D564,"_group",Dashboard!$D$503)&amp;"."&amp;YEAR(Dashboard!I$537))</f>
        <v>0</v>
      </c>
      <c r="J564" s="10">
        <f>SUMIFS('Custom Constraints'!$D:$D,'Custom Constraints'!$A:$A,"caiso-deliverability_"&amp;SUBSTITUTE(Dashboard!$D564,"_group",Dashboard!$D$503)&amp;"."&amp;YEAR(Dashboard!J$537))</f>
        <v>0</v>
      </c>
      <c r="K564" s="10">
        <f>SUMIFS('Custom Constraints'!$D:$D,'Custom Constraints'!$A:$A,"caiso-deliverability_"&amp;SUBSTITUTE(Dashboard!$D564,"_group",Dashboard!$D$503)&amp;"."&amp;YEAR(Dashboard!K$537))</f>
        <v>0</v>
      </c>
      <c r="L564" s="10">
        <f>SUMIFS('Custom Constraints'!$D:$D,'Custom Constraints'!$A:$A,"caiso-deliverability_"&amp;SUBSTITUTE(Dashboard!$D564,"_group",Dashboard!$D$503)&amp;"."&amp;YEAR(Dashboard!L$537))</f>
        <v>0</v>
      </c>
      <c r="M564" s="10">
        <f>SUMIFS('Custom Constraints'!$D:$D,'Custom Constraints'!$A:$A,"caiso-deliverability_"&amp;SUBSTITUTE(Dashboard!$D564,"_group",Dashboard!$D$503)&amp;"."&amp;YEAR(Dashboard!M$537))</f>
        <v>0</v>
      </c>
      <c r="N564" s="10">
        <f>SUMIFS('Custom Constraints'!$D:$D,'Custom Constraints'!$A:$A,"caiso-deliverability_"&amp;SUBSTITUTE(Dashboard!$D564,"_group",Dashboard!$D$503)&amp;"."&amp;YEAR(Dashboard!N$537))</f>
        <v>0</v>
      </c>
      <c r="O564" s="10">
        <f>SUMIFS('Custom Constraints'!$D:$D,'Custom Constraints'!$A:$A,"caiso-deliverability_"&amp;SUBSTITUTE(Dashboard!$D564,"_group",Dashboard!$D$503)&amp;"."&amp;YEAR(Dashboard!O$537))</f>
        <v>0</v>
      </c>
      <c r="P564" s="10">
        <f>SUMIFS('Custom Constraints'!$D:$D,'Custom Constraints'!$A:$A,"caiso-deliverability_"&amp;SUBSTITUTE(Dashboard!$D564,"_group",Dashboard!$D$503)&amp;"."&amp;YEAR(Dashboard!P$537))</f>
        <v>0</v>
      </c>
      <c r="Q564" s="10">
        <f>SUMIFS('Custom Constraints'!$D:$D,'Custom Constraints'!$A:$A,"caiso-deliverability_"&amp;SUBSTITUTE(Dashboard!$D564,"_group",Dashboard!$D$503)&amp;"."&amp;YEAR(Dashboard!Q$537))</f>
        <v>0</v>
      </c>
      <c r="R564" s="10">
        <f>SUMIFS('Custom Constraints'!$D:$D,'Custom Constraints'!$A:$A,"caiso-deliverability_"&amp;SUBSTITUTE(Dashboard!$D564,"_group",Dashboard!$D$503)&amp;"."&amp;YEAR(Dashboard!R$537))</f>
        <v>0</v>
      </c>
      <c r="S564" s="10">
        <f>SUMIFS('Custom Constraints'!$D:$D,'Custom Constraints'!$A:$A,"caiso-deliverability_"&amp;SUBSTITUTE(Dashboard!$D564,"_group",Dashboard!$D$503)&amp;"."&amp;YEAR(Dashboard!S$537))</f>
        <v>0</v>
      </c>
      <c r="T564" s="10">
        <f>SUMIFS('Custom Constraints'!$D:$D,'Custom Constraints'!$A:$A,"caiso-deliverability_"&amp;SUBSTITUTE(Dashboard!$D564,"_group",Dashboard!$D$503)&amp;"."&amp;YEAR(Dashboard!T$537))</f>
        <v>0</v>
      </c>
      <c r="U564" s="10">
        <f>SUMIFS('Custom Constraints'!$D:$D,'Custom Constraints'!$A:$A,"caiso-deliverability_"&amp;SUBSTITUTE(Dashboard!$D564,"_group",Dashboard!$D$503)&amp;"."&amp;YEAR(Dashboard!U$537))</f>
        <v>0</v>
      </c>
      <c r="V564" s="10">
        <f>SUMIFS('Custom Constraints'!$D:$D,'Custom Constraints'!$A:$A,"caiso-deliverability_"&amp;SUBSTITUTE(Dashboard!$D564,"_group",Dashboard!$D$503)&amp;"."&amp;YEAR(Dashboard!V$537))</f>
        <v>0</v>
      </c>
      <c r="W564" s="10">
        <f>SUMIFS('Custom Constraints'!$D:$D,'Custom Constraints'!$A:$A,"caiso-deliverability_"&amp;SUBSTITUTE(Dashboard!$D564,"_group",Dashboard!$D$503)&amp;"."&amp;YEAR(Dashboard!W$537))</f>
        <v>0</v>
      </c>
      <c r="X564" s="10">
        <f>SUMIFS('Custom Constraints'!$D:$D,'Custom Constraints'!$A:$A,"caiso-deliverability_"&amp;SUBSTITUTE(Dashboard!$D564,"_group",Dashboard!$D$503)&amp;"."&amp;YEAR(Dashboard!X$537))</f>
        <v>0</v>
      </c>
      <c r="Y564" s="10">
        <f>SUMIFS('Custom Constraints'!$D:$D,'Custom Constraints'!$A:$A,"caiso-deliverability_"&amp;SUBSTITUTE(Dashboard!$D564,"_group",Dashboard!$D$503)&amp;"."&amp;YEAR(Dashboard!Y$537))</f>
        <v>0</v>
      </c>
      <c r="Z564" s="10">
        <f>SUMIFS('Custom Constraints'!$D:$D,'Custom Constraints'!$A:$A,"caiso-deliverability_"&amp;SUBSTITUTE(Dashboard!$D564,"_group",Dashboard!$D$503)&amp;"."&amp;YEAR(Dashboard!Z$537))</f>
        <v>0</v>
      </c>
      <c r="AA564" s="10">
        <f>SUMIFS('Custom Constraints'!$D:$D,'Custom Constraints'!$A:$A,"caiso-deliverability_"&amp;SUBSTITUTE(Dashboard!$D564,"_group",Dashboard!$D$503)&amp;"."&amp;YEAR(Dashboard!AA$537))</f>
        <v>0</v>
      </c>
      <c r="AB564" s="10">
        <f>SUMIFS('Custom Constraints'!$D:$D,'Custom Constraints'!$A:$A,"caiso-deliverability_"&amp;SUBSTITUTE(Dashboard!$D564,"_group",Dashboard!$D$503)&amp;"."&amp;YEAR(Dashboard!AB$537))</f>
        <v>0</v>
      </c>
      <c r="AC564" s="10">
        <f>SUMIFS('Custom Constraints'!$D:$D,'Custom Constraints'!$A:$A,"caiso-deliverability_"&amp;SUBSTITUTE(Dashboard!$D564,"_group",Dashboard!$D$503)&amp;"."&amp;YEAR(Dashboard!AC$537))</f>
        <v>0</v>
      </c>
      <c r="AD564" s="10">
        <f>SUMIFS('Custom Constraints'!$D:$D,'Custom Constraints'!$A:$A,"caiso-deliverability_"&amp;SUBSTITUTE(Dashboard!$D564,"_group",Dashboard!$D$503)&amp;"."&amp;YEAR(Dashboard!AD$537))</f>
        <v>4040</v>
      </c>
      <c r="AH564" s="34" t="s">
        <v>422</v>
      </c>
    </row>
    <row r="565" spans="4:34" outlineLevel="2" x14ac:dyDescent="0.2">
      <c r="D565" s="8" t="s">
        <v>284</v>
      </c>
      <c r="E565" s="10">
        <f>SUMIFS('Custom Constraints'!$D:$D,'Custom Constraints'!$A:$A,"caiso-deliverability_"&amp;SUBSTITUTE(Dashboard!$D565,"_group",Dashboard!$D$503)&amp;"."&amp;YEAR(Dashboard!E$537))</f>
        <v>0</v>
      </c>
      <c r="F565" s="10">
        <f>SUMIFS('Custom Constraints'!$D:$D,'Custom Constraints'!$A:$A,"caiso-deliverability_"&amp;SUBSTITUTE(Dashboard!$D565,"_group",Dashboard!$D$503)&amp;"."&amp;YEAR(Dashboard!F$537))</f>
        <v>0</v>
      </c>
      <c r="G565" s="10">
        <f>SUMIFS('Custom Constraints'!$D:$D,'Custom Constraints'!$A:$A,"caiso-deliverability_"&amp;SUBSTITUTE(Dashboard!$D565,"_group",Dashboard!$D$503)&amp;"."&amp;YEAR(Dashboard!G$537))</f>
        <v>0</v>
      </c>
      <c r="H565" s="10">
        <f>SUMIFS('Custom Constraints'!$D:$D,'Custom Constraints'!$A:$A,"caiso-deliverability_"&amp;SUBSTITUTE(Dashboard!$D565,"_group",Dashboard!$D$503)&amp;"."&amp;YEAR(Dashboard!H$537))</f>
        <v>0</v>
      </c>
      <c r="I565" s="10">
        <f>SUMIFS('Custom Constraints'!$D:$D,'Custom Constraints'!$A:$A,"caiso-deliverability_"&amp;SUBSTITUTE(Dashboard!$D565,"_group",Dashboard!$D$503)&amp;"."&amp;YEAR(Dashboard!I$537))</f>
        <v>0</v>
      </c>
      <c r="J565" s="10">
        <f>SUMIFS('Custom Constraints'!$D:$D,'Custom Constraints'!$A:$A,"caiso-deliverability_"&amp;SUBSTITUTE(Dashboard!$D565,"_group",Dashboard!$D$503)&amp;"."&amp;YEAR(Dashboard!J$537))</f>
        <v>0</v>
      </c>
      <c r="K565" s="10">
        <f>SUMIFS('Custom Constraints'!$D:$D,'Custom Constraints'!$A:$A,"caiso-deliverability_"&amp;SUBSTITUTE(Dashboard!$D565,"_group",Dashboard!$D$503)&amp;"."&amp;YEAR(Dashboard!K$537))</f>
        <v>0</v>
      </c>
      <c r="L565" s="10">
        <f>SUMIFS('Custom Constraints'!$D:$D,'Custom Constraints'!$A:$A,"caiso-deliverability_"&amp;SUBSTITUTE(Dashboard!$D565,"_group",Dashboard!$D$503)&amp;"."&amp;YEAR(Dashboard!L$537))</f>
        <v>0</v>
      </c>
      <c r="M565" s="10">
        <f>SUMIFS('Custom Constraints'!$D:$D,'Custom Constraints'!$A:$A,"caiso-deliverability_"&amp;SUBSTITUTE(Dashboard!$D565,"_group",Dashboard!$D$503)&amp;"."&amp;YEAR(Dashboard!M$537))</f>
        <v>0</v>
      </c>
      <c r="N565" s="10">
        <f>SUMIFS('Custom Constraints'!$D:$D,'Custom Constraints'!$A:$A,"caiso-deliverability_"&amp;SUBSTITUTE(Dashboard!$D565,"_group",Dashboard!$D$503)&amp;"."&amp;YEAR(Dashboard!N$537))</f>
        <v>0</v>
      </c>
      <c r="O565" s="10">
        <f>SUMIFS('Custom Constraints'!$D:$D,'Custom Constraints'!$A:$A,"caiso-deliverability_"&amp;SUBSTITUTE(Dashboard!$D565,"_group",Dashboard!$D$503)&amp;"."&amp;YEAR(Dashboard!O$537))</f>
        <v>0</v>
      </c>
      <c r="P565" s="10">
        <f>SUMIFS('Custom Constraints'!$D:$D,'Custom Constraints'!$A:$A,"caiso-deliverability_"&amp;SUBSTITUTE(Dashboard!$D565,"_group",Dashboard!$D$503)&amp;"."&amp;YEAR(Dashboard!P$537))</f>
        <v>0</v>
      </c>
      <c r="Q565" s="10">
        <f>SUMIFS('Custom Constraints'!$D:$D,'Custom Constraints'!$A:$A,"caiso-deliverability_"&amp;SUBSTITUTE(Dashboard!$D565,"_group",Dashboard!$D$503)&amp;"."&amp;YEAR(Dashboard!Q$537))</f>
        <v>0</v>
      </c>
      <c r="R565" s="10">
        <f>SUMIFS('Custom Constraints'!$D:$D,'Custom Constraints'!$A:$A,"caiso-deliverability_"&amp;SUBSTITUTE(Dashboard!$D565,"_group",Dashboard!$D$503)&amp;"."&amp;YEAR(Dashboard!R$537))</f>
        <v>0</v>
      </c>
      <c r="S565" s="10">
        <f>SUMIFS('Custom Constraints'!$D:$D,'Custom Constraints'!$A:$A,"caiso-deliverability_"&amp;SUBSTITUTE(Dashboard!$D565,"_group",Dashboard!$D$503)&amp;"."&amp;YEAR(Dashboard!S$537))</f>
        <v>0</v>
      </c>
      <c r="T565" s="10">
        <f>SUMIFS('Custom Constraints'!$D:$D,'Custom Constraints'!$A:$A,"caiso-deliverability_"&amp;SUBSTITUTE(Dashboard!$D565,"_group",Dashboard!$D$503)&amp;"."&amp;YEAR(Dashboard!T$537))</f>
        <v>0</v>
      </c>
      <c r="U565" s="10">
        <f>SUMIFS('Custom Constraints'!$D:$D,'Custom Constraints'!$A:$A,"caiso-deliverability_"&amp;SUBSTITUTE(Dashboard!$D565,"_group",Dashboard!$D$503)&amp;"."&amp;YEAR(Dashboard!U$537))</f>
        <v>0</v>
      </c>
      <c r="V565" s="10">
        <f>SUMIFS('Custom Constraints'!$D:$D,'Custom Constraints'!$A:$A,"caiso-deliverability_"&amp;SUBSTITUTE(Dashboard!$D565,"_group",Dashboard!$D$503)&amp;"."&amp;YEAR(Dashboard!V$537))</f>
        <v>0</v>
      </c>
      <c r="W565" s="10">
        <f>SUMIFS('Custom Constraints'!$D:$D,'Custom Constraints'!$A:$A,"caiso-deliverability_"&amp;SUBSTITUTE(Dashboard!$D565,"_group",Dashboard!$D$503)&amp;"."&amp;YEAR(Dashboard!W$537))</f>
        <v>0</v>
      </c>
      <c r="X565" s="10">
        <f>SUMIFS('Custom Constraints'!$D:$D,'Custom Constraints'!$A:$A,"caiso-deliverability_"&amp;SUBSTITUTE(Dashboard!$D565,"_group",Dashboard!$D$503)&amp;"."&amp;YEAR(Dashboard!X$537))</f>
        <v>0</v>
      </c>
      <c r="Y565" s="10">
        <f>SUMIFS('Custom Constraints'!$D:$D,'Custom Constraints'!$A:$A,"caiso-deliverability_"&amp;SUBSTITUTE(Dashboard!$D565,"_group",Dashboard!$D$503)&amp;"."&amp;YEAR(Dashboard!Y$537))</f>
        <v>0</v>
      </c>
      <c r="Z565" s="10">
        <f>SUMIFS('Custom Constraints'!$D:$D,'Custom Constraints'!$A:$A,"caiso-deliverability_"&amp;SUBSTITUTE(Dashboard!$D565,"_group",Dashboard!$D$503)&amp;"."&amp;YEAR(Dashboard!Z$537))</f>
        <v>0</v>
      </c>
      <c r="AA565" s="10">
        <f>SUMIFS('Custom Constraints'!$D:$D,'Custom Constraints'!$A:$A,"caiso-deliverability_"&amp;SUBSTITUTE(Dashboard!$D565,"_group",Dashboard!$D$503)&amp;"."&amp;YEAR(Dashboard!AA$537))</f>
        <v>0</v>
      </c>
      <c r="AB565" s="10">
        <f>SUMIFS('Custom Constraints'!$D:$D,'Custom Constraints'!$A:$A,"caiso-deliverability_"&amp;SUBSTITUTE(Dashboard!$D565,"_group",Dashboard!$D$503)&amp;"."&amp;YEAR(Dashboard!AB$537))</f>
        <v>0</v>
      </c>
      <c r="AC565" s="10">
        <f>SUMIFS('Custom Constraints'!$D:$D,'Custom Constraints'!$A:$A,"caiso-deliverability_"&amp;SUBSTITUTE(Dashboard!$D565,"_group",Dashboard!$D$503)&amp;"."&amp;YEAR(Dashboard!AC$537))</f>
        <v>0</v>
      </c>
      <c r="AD565" s="10">
        <f>SUMIFS('Custom Constraints'!$D:$D,'Custom Constraints'!$A:$A,"caiso-deliverability_"&amp;SUBSTITUTE(Dashboard!$D565,"_group",Dashboard!$D$503)&amp;"."&amp;YEAR(Dashboard!AD$537))</f>
        <v>1098</v>
      </c>
      <c r="AH565" s="34" t="s">
        <v>422</v>
      </c>
    </row>
    <row r="566" spans="4:34" ht="12.6" outlineLevel="2" thickBot="1" x14ac:dyDescent="0.25">
      <c r="D566" s="9" t="s">
        <v>139</v>
      </c>
      <c r="E566" s="17">
        <f t="shared" ref="E566" si="695">SUM(E538:E565)</f>
        <v>0</v>
      </c>
      <c r="F566" s="17">
        <f t="shared" ref="F566:AD566" si="696">SUM(F538:F565)</f>
        <v>0</v>
      </c>
      <c r="G566" s="17">
        <f t="shared" si="696"/>
        <v>0</v>
      </c>
      <c r="H566" s="17">
        <f t="shared" si="696"/>
        <v>0</v>
      </c>
      <c r="I566" s="17">
        <f t="shared" si="696"/>
        <v>0</v>
      </c>
      <c r="J566" s="17">
        <f t="shared" si="696"/>
        <v>0</v>
      </c>
      <c r="K566" s="17">
        <f t="shared" si="696"/>
        <v>0</v>
      </c>
      <c r="L566" s="17">
        <f t="shared" si="696"/>
        <v>0</v>
      </c>
      <c r="M566" s="17">
        <f t="shared" si="696"/>
        <v>0</v>
      </c>
      <c r="N566" s="17">
        <f t="shared" si="696"/>
        <v>0</v>
      </c>
      <c r="O566" s="17">
        <f t="shared" si="696"/>
        <v>0</v>
      </c>
      <c r="P566" s="17">
        <f t="shared" si="696"/>
        <v>0</v>
      </c>
      <c r="Q566" s="17">
        <f t="shared" si="696"/>
        <v>0</v>
      </c>
      <c r="R566" s="17">
        <f t="shared" si="696"/>
        <v>0</v>
      </c>
      <c r="S566" s="17">
        <f t="shared" si="696"/>
        <v>0</v>
      </c>
      <c r="T566" s="17">
        <f t="shared" si="696"/>
        <v>0</v>
      </c>
      <c r="U566" s="17">
        <f t="shared" si="696"/>
        <v>0</v>
      </c>
      <c r="V566" s="17">
        <f t="shared" si="696"/>
        <v>0</v>
      </c>
      <c r="W566" s="17">
        <f t="shared" si="696"/>
        <v>0</v>
      </c>
      <c r="X566" s="17">
        <f t="shared" si="696"/>
        <v>0</v>
      </c>
      <c r="Y566" s="17">
        <f t="shared" si="696"/>
        <v>0</v>
      </c>
      <c r="Z566" s="17">
        <f t="shared" si="696"/>
        <v>0</v>
      </c>
      <c r="AA566" s="17">
        <f t="shared" si="696"/>
        <v>0</v>
      </c>
      <c r="AB566" s="17">
        <f t="shared" si="696"/>
        <v>0</v>
      </c>
      <c r="AC566" s="17">
        <f t="shared" si="696"/>
        <v>0</v>
      </c>
      <c r="AD566" s="17">
        <f t="shared" si="696"/>
        <v>66384.079999999987</v>
      </c>
      <c r="AH566" s="34" t="s">
        <v>422</v>
      </c>
    </row>
    <row r="567" spans="4:34" ht="12" outlineLevel="2" thickTop="1" x14ac:dyDescent="0.2">
      <c r="AH567" s="34" t="s">
        <v>422</v>
      </c>
    </row>
    <row r="568" spans="4:34" ht="13.2" outlineLevel="2" x14ac:dyDescent="0.2">
      <c r="E568" s="2" t="s">
        <v>314</v>
      </c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H568" s="34" t="s">
        <v>422</v>
      </c>
    </row>
    <row r="569" spans="4:34" outlineLevel="2" x14ac:dyDescent="0.2">
      <c r="E569" s="7">
        <v>43831</v>
      </c>
      <c r="F569" s="7">
        <f t="shared" ref="F569" si="697">EDATE(E569,12)</f>
        <v>44197</v>
      </c>
      <c r="G569" s="7">
        <f t="shared" ref="G569" si="698">EDATE(F569,12)</f>
        <v>44562</v>
      </c>
      <c r="H569" s="7">
        <f t="shared" ref="H569" si="699">EDATE(G569,12)</f>
        <v>44927</v>
      </c>
      <c r="I569" s="7">
        <f t="shared" ref="I569" si="700">EDATE(H569,12)</f>
        <v>45292</v>
      </c>
      <c r="J569" s="7">
        <f t="shared" ref="J569" si="701">EDATE(I569,12)</f>
        <v>45658</v>
      </c>
      <c r="K569" s="7">
        <f t="shared" ref="K569" si="702">EDATE(J569,12)</f>
        <v>46023</v>
      </c>
      <c r="L569" s="7">
        <f t="shared" ref="L569" si="703">EDATE(K569,12)</f>
        <v>46388</v>
      </c>
      <c r="M569" s="7">
        <f t="shared" ref="M569" si="704">EDATE(L569,12)</f>
        <v>46753</v>
      </c>
      <c r="N569" s="7">
        <f t="shared" ref="N569" si="705">EDATE(M569,12)</f>
        <v>47119</v>
      </c>
      <c r="O569" s="7">
        <f t="shared" ref="O569" si="706">EDATE(N569,12)</f>
        <v>47484</v>
      </c>
      <c r="P569" s="7">
        <f t="shared" ref="P569" si="707">EDATE(O569,12)</f>
        <v>47849</v>
      </c>
      <c r="Q569" s="7">
        <f t="shared" ref="Q569" si="708">EDATE(P569,12)</f>
        <v>48214</v>
      </c>
      <c r="R569" s="7">
        <f t="shared" ref="R569" si="709">EDATE(Q569,12)</f>
        <v>48580</v>
      </c>
      <c r="S569" s="7">
        <f t="shared" ref="S569" si="710">EDATE(R569,12)</f>
        <v>48945</v>
      </c>
      <c r="T569" s="7">
        <f t="shared" ref="T569" si="711">EDATE(S569,12)</f>
        <v>49310</v>
      </c>
      <c r="U569" s="7">
        <f t="shared" ref="U569" si="712">EDATE(T569,12)</f>
        <v>49675</v>
      </c>
      <c r="V569" s="7">
        <f t="shared" ref="V569" si="713">EDATE(U569,12)</f>
        <v>50041</v>
      </c>
      <c r="W569" s="7">
        <f t="shared" ref="W569" si="714">EDATE(V569,12)</f>
        <v>50406</v>
      </c>
      <c r="X569" s="7">
        <f t="shared" ref="X569" si="715">EDATE(W569,12)</f>
        <v>50771</v>
      </c>
      <c r="Y569" s="7">
        <f t="shared" ref="Y569" si="716">EDATE(X569,12)</f>
        <v>51136</v>
      </c>
      <c r="Z569" s="7">
        <f t="shared" ref="Z569" si="717">EDATE(Y569,12)</f>
        <v>51502</v>
      </c>
      <c r="AA569" s="7">
        <f t="shared" ref="AA569" si="718">EDATE(Z569,12)</f>
        <v>51867</v>
      </c>
      <c r="AB569" s="7">
        <f t="shared" ref="AB569" si="719">EDATE(AA569,12)</f>
        <v>52232</v>
      </c>
      <c r="AC569" s="7">
        <f t="shared" ref="AC569" si="720">EDATE(AB569,12)</f>
        <v>52597</v>
      </c>
      <c r="AD569" s="7">
        <f>EDATE(AC569,12)</f>
        <v>52963</v>
      </c>
      <c r="AH569" s="34" t="s">
        <v>422</v>
      </c>
    </row>
    <row r="570" spans="4:34" outlineLevel="2" x14ac:dyDescent="0.2">
      <c r="D570" s="8" t="s">
        <v>257</v>
      </c>
      <c r="E570" s="10">
        <f>-E408*INDEX('Deliverability Upgrade Factors'!$F:$F,MATCH(SUBSTITUTE(Dashboard!$D570,"_group",Dashboard!$D$503),'Deliverability Upgrade Factors'!$B:$B,0))</f>
        <v>0</v>
      </c>
      <c r="F570" s="10">
        <f>-F408*INDEX('Deliverability Upgrade Factors'!$F:$F,MATCH(SUBSTITUTE(Dashboard!$D570,"_group",Dashboard!$D$503),'Deliverability Upgrade Factors'!$B:$B,0))</f>
        <v>0</v>
      </c>
      <c r="G570" s="10">
        <f>-G408*INDEX('Deliverability Upgrade Factors'!$F:$F,MATCH(SUBSTITUTE(Dashboard!$D570,"_group",Dashboard!$D$503),'Deliverability Upgrade Factors'!$B:$B,0))</f>
        <v>0</v>
      </c>
      <c r="H570" s="10">
        <f>-H408*INDEX('Deliverability Upgrade Factors'!$F:$F,MATCH(SUBSTITUTE(Dashboard!$D570,"_group",Dashboard!$D$503),'Deliverability Upgrade Factors'!$B:$B,0))</f>
        <v>0</v>
      </c>
      <c r="I570" s="10">
        <f>-I408*INDEX('Deliverability Upgrade Factors'!$F:$F,MATCH(SUBSTITUTE(Dashboard!$D570,"_group",Dashboard!$D$503),'Deliverability Upgrade Factors'!$B:$B,0))</f>
        <v>0</v>
      </c>
      <c r="J570" s="10">
        <f>-J408*INDEX('Deliverability Upgrade Factors'!$F:$F,MATCH(SUBSTITUTE(Dashboard!$D570,"_group",Dashboard!$D$503),'Deliverability Upgrade Factors'!$B:$B,0))</f>
        <v>0</v>
      </c>
      <c r="K570" s="10">
        <f>-K408*INDEX('Deliverability Upgrade Factors'!$F:$F,MATCH(SUBSTITUTE(Dashboard!$D570,"_group",Dashboard!$D$503),'Deliverability Upgrade Factors'!$B:$B,0))</f>
        <v>0</v>
      </c>
      <c r="L570" s="10">
        <f>-L408*INDEX('Deliverability Upgrade Factors'!$F:$F,MATCH(SUBSTITUTE(Dashboard!$D570,"_group",Dashboard!$D$503),'Deliverability Upgrade Factors'!$B:$B,0))</f>
        <v>0</v>
      </c>
      <c r="M570" s="10">
        <f>-M408*INDEX('Deliverability Upgrade Factors'!$F:$F,MATCH(SUBSTITUTE(Dashboard!$D570,"_group",Dashboard!$D$503),'Deliverability Upgrade Factors'!$B:$B,0))</f>
        <v>0</v>
      </c>
      <c r="N570" s="10">
        <f>-N408*INDEX('Deliverability Upgrade Factors'!$F:$F,MATCH(SUBSTITUTE(Dashboard!$D570,"_group",Dashboard!$D$503),'Deliverability Upgrade Factors'!$B:$B,0))</f>
        <v>0</v>
      </c>
      <c r="O570" s="10">
        <f>-O408*INDEX('Deliverability Upgrade Factors'!$F:$F,MATCH(SUBSTITUTE(Dashboard!$D570,"_group",Dashboard!$D$503),'Deliverability Upgrade Factors'!$B:$B,0))</f>
        <v>0</v>
      </c>
      <c r="P570" s="10">
        <f>-P408*INDEX('Deliverability Upgrade Factors'!$F:$F,MATCH(SUBSTITUTE(Dashboard!$D570,"_group",Dashboard!$D$503),'Deliverability Upgrade Factors'!$B:$B,0))</f>
        <v>0</v>
      </c>
      <c r="Q570" s="10">
        <f>-Q408*INDEX('Deliverability Upgrade Factors'!$F:$F,MATCH(SUBSTITUTE(Dashboard!$D570,"_group",Dashboard!$D$503),'Deliverability Upgrade Factors'!$B:$B,0))</f>
        <v>0</v>
      </c>
      <c r="R570" s="10">
        <f>-R408*INDEX('Deliverability Upgrade Factors'!$F:$F,MATCH(SUBSTITUTE(Dashboard!$D570,"_group",Dashboard!$D$503),'Deliverability Upgrade Factors'!$B:$B,0))</f>
        <v>0</v>
      </c>
      <c r="S570" s="10">
        <f>-S408*INDEX('Deliverability Upgrade Factors'!$F:$F,MATCH(SUBSTITUTE(Dashboard!$D570,"_group",Dashboard!$D$503),'Deliverability Upgrade Factors'!$B:$B,0))</f>
        <v>0</v>
      </c>
      <c r="T570" s="10">
        <f>-T408*INDEX('Deliverability Upgrade Factors'!$F:$F,MATCH(SUBSTITUTE(Dashboard!$D570,"_group",Dashboard!$D$503),'Deliverability Upgrade Factors'!$B:$B,0))</f>
        <v>0</v>
      </c>
      <c r="U570" s="10">
        <f>-U408*INDEX('Deliverability Upgrade Factors'!$F:$F,MATCH(SUBSTITUTE(Dashboard!$D570,"_group",Dashboard!$D$503),'Deliverability Upgrade Factors'!$B:$B,0))</f>
        <v>0</v>
      </c>
      <c r="V570" s="10">
        <f>-V408*INDEX('Deliverability Upgrade Factors'!$F:$F,MATCH(SUBSTITUTE(Dashboard!$D570,"_group",Dashboard!$D$503),'Deliverability Upgrade Factors'!$B:$B,0))</f>
        <v>0</v>
      </c>
      <c r="W570" s="10">
        <f>-W408*INDEX('Deliverability Upgrade Factors'!$F:$F,MATCH(SUBSTITUTE(Dashboard!$D570,"_group",Dashboard!$D$503),'Deliverability Upgrade Factors'!$B:$B,0))</f>
        <v>0</v>
      </c>
      <c r="X570" s="10">
        <f>-X408*INDEX('Deliverability Upgrade Factors'!$F:$F,MATCH(SUBSTITUTE(Dashboard!$D570,"_group",Dashboard!$D$503),'Deliverability Upgrade Factors'!$B:$B,0))</f>
        <v>0</v>
      </c>
      <c r="Y570" s="10">
        <f>-Y408*INDEX('Deliverability Upgrade Factors'!$F:$F,MATCH(SUBSTITUTE(Dashboard!$D570,"_group",Dashboard!$D$503),'Deliverability Upgrade Factors'!$B:$B,0))</f>
        <v>0</v>
      </c>
      <c r="Z570" s="10">
        <f>-Z408*INDEX('Deliverability Upgrade Factors'!$F:$F,MATCH(SUBSTITUTE(Dashboard!$D570,"_group",Dashboard!$D$503),'Deliverability Upgrade Factors'!$B:$B,0))</f>
        <v>0</v>
      </c>
      <c r="AA570" s="10">
        <f>-AA408*INDEX('Deliverability Upgrade Factors'!$F:$F,MATCH(SUBSTITUTE(Dashboard!$D570,"_group",Dashboard!$D$503),'Deliverability Upgrade Factors'!$B:$B,0))</f>
        <v>0</v>
      </c>
      <c r="AB570" s="10">
        <f>-AB408*INDEX('Deliverability Upgrade Factors'!$F:$F,MATCH(SUBSTITUTE(Dashboard!$D570,"_group",Dashboard!$D$503),'Deliverability Upgrade Factors'!$B:$B,0))</f>
        <v>0</v>
      </c>
      <c r="AC570" s="10">
        <f>-AC408*INDEX('Deliverability Upgrade Factors'!$F:$F,MATCH(SUBSTITUTE(Dashboard!$D570,"_group",Dashboard!$D$503),'Deliverability Upgrade Factors'!$B:$B,0))</f>
        <v>0</v>
      </c>
      <c r="AD570" s="10">
        <f>-AD408*INDEX('Deliverability Upgrade Factors'!$F:$F,MATCH(SUBSTITUTE(Dashboard!$D570,"_group",Dashboard!$D$503),'Deliverability Upgrade Factors'!$B:$B,0))</f>
        <v>0</v>
      </c>
      <c r="AH570" s="34" t="s">
        <v>422</v>
      </c>
    </row>
    <row r="571" spans="4:34" outlineLevel="2" x14ac:dyDescent="0.2">
      <c r="D571" s="8" t="s">
        <v>258</v>
      </c>
      <c r="E571" s="10">
        <f>-E409*INDEX('Deliverability Upgrade Factors'!$F:$F,MATCH(SUBSTITUTE(Dashboard!$D571,"_group",Dashboard!$D$503),'Deliverability Upgrade Factors'!$B:$B,0))</f>
        <v>0</v>
      </c>
      <c r="F571" s="10">
        <f>-F409*INDEX('Deliverability Upgrade Factors'!$F:$F,MATCH(SUBSTITUTE(Dashboard!$D571,"_group",Dashboard!$D$503),'Deliverability Upgrade Factors'!$B:$B,0))</f>
        <v>0</v>
      </c>
      <c r="G571" s="10">
        <f>-G409*INDEX('Deliverability Upgrade Factors'!$F:$F,MATCH(SUBSTITUTE(Dashboard!$D571,"_group",Dashboard!$D$503),'Deliverability Upgrade Factors'!$B:$B,0))</f>
        <v>0</v>
      </c>
      <c r="H571" s="10">
        <f>-H409*INDEX('Deliverability Upgrade Factors'!$F:$F,MATCH(SUBSTITUTE(Dashboard!$D571,"_group",Dashboard!$D$503),'Deliverability Upgrade Factors'!$B:$B,0))</f>
        <v>0</v>
      </c>
      <c r="I571" s="10">
        <f>-I409*INDEX('Deliverability Upgrade Factors'!$F:$F,MATCH(SUBSTITUTE(Dashboard!$D571,"_group",Dashboard!$D$503),'Deliverability Upgrade Factors'!$B:$B,0))</f>
        <v>0</v>
      </c>
      <c r="J571" s="10">
        <f>-J409*INDEX('Deliverability Upgrade Factors'!$F:$F,MATCH(SUBSTITUTE(Dashboard!$D571,"_group",Dashboard!$D$503),'Deliverability Upgrade Factors'!$B:$B,0))</f>
        <v>0</v>
      </c>
      <c r="K571" s="10">
        <f>-K409*INDEX('Deliverability Upgrade Factors'!$F:$F,MATCH(SUBSTITUTE(Dashboard!$D571,"_group",Dashboard!$D$503),'Deliverability Upgrade Factors'!$B:$B,0))</f>
        <v>0</v>
      </c>
      <c r="L571" s="10">
        <f>-L409*INDEX('Deliverability Upgrade Factors'!$F:$F,MATCH(SUBSTITUTE(Dashboard!$D571,"_group",Dashboard!$D$503),'Deliverability Upgrade Factors'!$B:$B,0))</f>
        <v>0</v>
      </c>
      <c r="M571" s="10">
        <f>-M409*INDEX('Deliverability Upgrade Factors'!$F:$F,MATCH(SUBSTITUTE(Dashboard!$D571,"_group",Dashboard!$D$503),'Deliverability Upgrade Factors'!$B:$B,0))</f>
        <v>0</v>
      </c>
      <c r="N571" s="10">
        <f>-N409*INDEX('Deliverability Upgrade Factors'!$F:$F,MATCH(SUBSTITUTE(Dashboard!$D571,"_group",Dashboard!$D$503),'Deliverability Upgrade Factors'!$B:$B,0))</f>
        <v>0</v>
      </c>
      <c r="O571" s="10">
        <f>-O409*INDEX('Deliverability Upgrade Factors'!$F:$F,MATCH(SUBSTITUTE(Dashboard!$D571,"_group",Dashboard!$D$503),'Deliverability Upgrade Factors'!$B:$B,0))</f>
        <v>0</v>
      </c>
      <c r="P571" s="10">
        <f>-P409*INDEX('Deliverability Upgrade Factors'!$F:$F,MATCH(SUBSTITUTE(Dashboard!$D571,"_group",Dashboard!$D$503),'Deliverability Upgrade Factors'!$B:$B,0))</f>
        <v>0</v>
      </c>
      <c r="Q571" s="10">
        <f>-Q409*INDEX('Deliverability Upgrade Factors'!$F:$F,MATCH(SUBSTITUTE(Dashboard!$D571,"_group",Dashboard!$D$503),'Deliverability Upgrade Factors'!$B:$B,0))</f>
        <v>0</v>
      </c>
      <c r="R571" s="10">
        <f>-R409*INDEX('Deliverability Upgrade Factors'!$F:$F,MATCH(SUBSTITUTE(Dashboard!$D571,"_group",Dashboard!$D$503),'Deliverability Upgrade Factors'!$B:$B,0))</f>
        <v>0</v>
      </c>
      <c r="S571" s="10">
        <f>-S409*INDEX('Deliverability Upgrade Factors'!$F:$F,MATCH(SUBSTITUTE(Dashboard!$D571,"_group",Dashboard!$D$503),'Deliverability Upgrade Factors'!$B:$B,0))</f>
        <v>0</v>
      </c>
      <c r="T571" s="10">
        <f>-T409*INDEX('Deliverability Upgrade Factors'!$F:$F,MATCH(SUBSTITUTE(Dashboard!$D571,"_group",Dashboard!$D$503),'Deliverability Upgrade Factors'!$B:$B,0))</f>
        <v>0</v>
      </c>
      <c r="U571" s="10">
        <f>-U409*INDEX('Deliverability Upgrade Factors'!$F:$F,MATCH(SUBSTITUTE(Dashboard!$D571,"_group",Dashboard!$D$503),'Deliverability Upgrade Factors'!$B:$B,0))</f>
        <v>0</v>
      </c>
      <c r="V571" s="10">
        <f>-V409*INDEX('Deliverability Upgrade Factors'!$F:$F,MATCH(SUBSTITUTE(Dashboard!$D571,"_group",Dashboard!$D$503),'Deliverability Upgrade Factors'!$B:$B,0))</f>
        <v>0</v>
      </c>
      <c r="W571" s="10">
        <f>-W409*INDEX('Deliverability Upgrade Factors'!$F:$F,MATCH(SUBSTITUTE(Dashboard!$D571,"_group",Dashboard!$D$503),'Deliverability Upgrade Factors'!$B:$B,0))</f>
        <v>0</v>
      </c>
      <c r="X571" s="10">
        <f>-X409*INDEX('Deliverability Upgrade Factors'!$F:$F,MATCH(SUBSTITUTE(Dashboard!$D571,"_group",Dashboard!$D$503),'Deliverability Upgrade Factors'!$B:$B,0))</f>
        <v>0</v>
      </c>
      <c r="Y571" s="10">
        <f>-Y409*INDEX('Deliverability Upgrade Factors'!$F:$F,MATCH(SUBSTITUTE(Dashboard!$D571,"_group",Dashboard!$D$503),'Deliverability Upgrade Factors'!$B:$B,0))</f>
        <v>0</v>
      </c>
      <c r="Z571" s="10">
        <f>-Z409*INDEX('Deliverability Upgrade Factors'!$F:$F,MATCH(SUBSTITUTE(Dashboard!$D571,"_group",Dashboard!$D$503),'Deliverability Upgrade Factors'!$B:$B,0))</f>
        <v>0</v>
      </c>
      <c r="AA571" s="10">
        <f>-AA409*INDEX('Deliverability Upgrade Factors'!$F:$F,MATCH(SUBSTITUTE(Dashboard!$D571,"_group",Dashboard!$D$503),'Deliverability Upgrade Factors'!$B:$B,0))</f>
        <v>0</v>
      </c>
      <c r="AB571" s="10">
        <f>-AB409*INDEX('Deliverability Upgrade Factors'!$F:$F,MATCH(SUBSTITUTE(Dashboard!$D571,"_group",Dashboard!$D$503),'Deliverability Upgrade Factors'!$B:$B,0))</f>
        <v>0</v>
      </c>
      <c r="AC571" s="10">
        <f>-AC409*INDEX('Deliverability Upgrade Factors'!$F:$F,MATCH(SUBSTITUTE(Dashboard!$D571,"_group",Dashboard!$D$503),'Deliverability Upgrade Factors'!$B:$B,0))</f>
        <v>0</v>
      </c>
      <c r="AD571" s="10">
        <f>-AD409*INDEX('Deliverability Upgrade Factors'!$F:$F,MATCH(SUBSTITUTE(Dashboard!$D571,"_group",Dashboard!$D$503),'Deliverability Upgrade Factors'!$B:$B,0))</f>
        <v>0</v>
      </c>
      <c r="AH571" s="34" t="s">
        <v>422</v>
      </c>
    </row>
    <row r="572" spans="4:34" outlineLevel="2" x14ac:dyDescent="0.2">
      <c r="D572" s="8" t="s">
        <v>259</v>
      </c>
      <c r="E572" s="10">
        <f>-E410*INDEX('Deliverability Upgrade Factors'!$F:$F,MATCH(SUBSTITUTE(Dashboard!$D572,"_group",Dashboard!$D$503),'Deliverability Upgrade Factors'!$B:$B,0))</f>
        <v>0</v>
      </c>
      <c r="F572" s="10">
        <f>-F410*INDEX('Deliverability Upgrade Factors'!$F:$F,MATCH(SUBSTITUTE(Dashboard!$D572,"_group",Dashboard!$D$503),'Deliverability Upgrade Factors'!$B:$B,0))</f>
        <v>0</v>
      </c>
      <c r="G572" s="10">
        <f>-G410*INDEX('Deliverability Upgrade Factors'!$F:$F,MATCH(SUBSTITUTE(Dashboard!$D572,"_group",Dashboard!$D$503),'Deliverability Upgrade Factors'!$B:$B,0))</f>
        <v>0</v>
      </c>
      <c r="H572" s="10">
        <f>-H410*INDEX('Deliverability Upgrade Factors'!$F:$F,MATCH(SUBSTITUTE(Dashboard!$D572,"_group",Dashboard!$D$503),'Deliverability Upgrade Factors'!$B:$B,0))</f>
        <v>0</v>
      </c>
      <c r="I572" s="10">
        <f>-I410*INDEX('Deliverability Upgrade Factors'!$F:$F,MATCH(SUBSTITUTE(Dashboard!$D572,"_group",Dashboard!$D$503),'Deliverability Upgrade Factors'!$B:$B,0))</f>
        <v>0</v>
      </c>
      <c r="J572" s="10">
        <f>-J410*INDEX('Deliverability Upgrade Factors'!$F:$F,MATCH(SUBSTITUTE(Dashboard!$D572,"_group",Dashboard!$D$503),'Deliverability Upgrade Factors'!$B:$B,0))</f>
        <v>0</v>
      </c>
      <c r="K572" s="10">
        <f>-K410*INDEX('Deliverability Upgrade Factors'!$F:$F,MATCH(SUBSTITUTE(Dashboard!$D572,"_group",Dashboard!$D$503),'Deliverability Upgrade Factors'!$B:$B,0))</f>
        <v>0</v>
      </c>
      <c r="L572" s="10">
        <f>-L410*INDEX('Deliverability Upgrade Factors'!$F:$F,MATCH(SUBSTITUTE(Dashboard!$D572,"_group",Dashboard!$D$503),'Deliverability Upgrade Factors'!$B:$B,0))</f>
        <v>0</v>
      </c>
      <c r="M572" s="10">
        <f>-M410*INDEX('Deliverability Upgrade Factors'!$F:$F,MATCH(SUBSTITUTE(Dashboard!$D572,"_group",Dashboard!$D$503),'Deliverability Upgrade Factors'!$B:$B,0))</f>
        <v>0</v>
      </c>
      <c r="N572" s="10">
        <f>-N410*INDEX('Deliverability Upgrade Factors'!$F:$F,MATCH(SUBSTITUTE(Dashboard!$D572,"_group",Dashboard!$D$503),'Deliverability Upgrade Factors'!$B:$B,0))</f>
        <v>0</v>
      </c>
      <c r="O572" s="10">
        <f>-O410*INDEX('Deliverability Upgrade Factors'!$F:$F,MATCH(SUBSTITUTE(Dashboard!$D572,"_group",Dashboard!$D$503),'Deliverability Upgrade Factors'!$B:$B,0))</f>
        <v>0</v>
      </c>
      <c r="P572" s="10">
        <f>-P410*INDEX('Deliverability Upgrade Factors'!$F:$F,MATCH(SUBSTITUTE(Dashboard!$D572,"_group",Dashboard!$D$503),'Deliverability Upgrade Factors'!$B:$B,0))</f>
        <v>0</v>
      </c>
      <c r="Q572" s="10">
        <f>-Q410*INDEX('Deliverability Upgrade Factors'!$F:$F,MATCH(SUBSTITUTE(Dashboard!$D572,"_group",Dashboard!$D$503),'Deliverability Upgrade Factors'!$B:$B,0))</f>
        <v>0</v>
      </c>
      <c r="R572" s="10">
        <f>-R410*INDEX('Deliverability Upgrade Factors'!$F:$F,MATCH(SUBSTITUTE(Dashboard!$D572,"_group",Dashboard!$D$503),'Deliverability Upgrade Factors'!$B:$B,0))</f>
        <v>0</v>
      </c>
      <c r="S572" s="10">
        <f>-S410*INDEX('Deliverability Upgrade Factors'!$F:$F,MATCH(SUBSTITUTE(Dashboard!$D572,"_group",Dashboard!$D$503),'Deliverability Upgrade Factors'!$B:$B,0))</f>
        <v>0</v>
      </c>
      <c r="T572" s="10">
        <f>-T410*INDEX('Deliverability Upgrade Factors'!$F:$F,MATCH(SUBSTITUTE(Dashboard!$D572,"_group",Dashboard!$D$503),'Deliverability Upgrade Factors'!$B:$B,0))</f>
        <v>0</v>
      </c>
      <c r="U572" s="10">
        <f>-U410*INDEX('Deliverability Upgrade Factors'!$F:$F,MATCH(SUBSTITUTE(Dashboard!$D572,"_group",Dashboard!$D$503),'Deliverability Upgrade Factors'!$B:$B,0))</f>
        <v>0</v>
      </c>
      <c r="V572" s="10">
        <f>-V410*INDEX('Deliverability Upgrade Factors'!$F:$F,MATCH(SUBSTITUTE(Dashboard!$D572,"_group",Dashboard!$D$503),'Deliverability Upgrade Factors'!$B:$B,0))</f>
        <v>0</v>
      </c>
      <c r="W572" s="10">
        <f>-W410*INDEX('Deliverability Upgrade Factors'!$F:$F,MATCH(SUBSTITUTE(Dashboard!$D572,"_group",Dashboard!$D$503),'Deliverability Upgrade Factors'!$B:$B,0))</f>
        <v>0</v>
      </c>
      <c r="X572" s="10">
        <f>-X410*INDEX('Deliverability Upgrade Factors'!$F:$F,MATCH(SUBSTITUTE(Dashboard!$D572,"_group",Dashboard!$D$503),'Deliverability Upgrade Factors'!$B:$B,0))</f>
        <v>0</v>
      </c>
      <c r="Y572" s="10">
        <f>-Y410*INDEX('Deliverability Upgrade Factors'!$F:$F,MATCH(SUBSTITUTE(Dashboard!$D572,"_group",Dashboard!$D$503),'Deliverability Upgrade Factors'!$B:$B,0))</f>
        <v>0</v>
      </c>
      <c r="Z572" s="10">
        <f>-Z410*INDEX('Deliverability Upgrade Factors'!$F:$F,MATCH(SUBSTITUTE(Dashboard!$D572,"_group",Dashboard!$D$503),'Deliverability Upgrade Factors'!$B:$B,0))</f>
        <v>0</v>
      </c>
      <c r="AA572" s="10">
        <f>-AA410*INDEX('Deliverability Upgrade Factors'!$F:$F,MATCH(SUBSTITUTE(Dashboard!$D572,"_group",Dashboard!$D$503),'Deliverability Upgrade Factors'!$B:$B,0))</f>
        <v>0</v>
      </c>
      <c r="AB572" s="10">
        <f>-AB410*INDEX('Deliverability Upgrade Factors'!$F:$F,MATCH(SUBSTITUTE(Dashboard!$D572,"_group",Dashboard!$D$503),'Deliverability Upgrade Factors'!$B:$B,0))</f>
        <v>0</v>
      </c>
      <c r="AC572" s="10">
        <f>-AC410*INDEX('Deliverability Upgrade Factors'!$F:$F,MATCH(SUBSTITUTE(Dashboard!$D572,"_group",Dashboard!$D$503),'Deliverability Upgrade Factors'!$B:$B,0))</f>
        <v>0</v>
      </c>
      <c r="AD572" s="10">
        <f>-AD410*INDEX('Deliverability Upgrade Factors'!$F:$F,MATCH(SUBSTITUTE(Dashboard!$D572,"_group",Dashboard!$D$503),'Deliverability Upgrade Factors'!$B:$B,0))</f>
        <v>0</v>
      </c>
      <c r="AH572" s="34" t="s">
        <v>422</v>
      </c>
    </row>
    <row r="573" spans="4:34" outlineLevel="2" x14ac:dyDescent="0.2">
      <c r="D573" s="8" t="s">
        <v>260</v>
      </c>
      <c r="E573" s="10">
        <f>-E411*INDEX('Deliverability Upgrade Factors'!$F:$F,MATCH(SUBSTITUTE(Dashboard!$D573,"_group",Dashboard!$D$503),'Deliverability Upgrade Factors'!$B:$B,0))</f>
        <v>0</v>
      </c>
      <c r="F573" s="10">
        <f>-F411*INDEX('Deliverability Upgrade Factors'!$F:$F,MATCH(SUBSTITUTE(Dashboard!$D573,"_group",Dashboard!$D$503),'Deliverability Upgrade Factors'!$B:$B,0))</f>
        <v>0</v>
      </c>
      <c r="G573" s="10">
        <f>-G411*INDEX('Deliverability Upgrade Factors'!$F:$F,MATCH(SUBSTITUTE(Dashboard!$D573,"_group",Dashboard!$D$503),'Deliverability Upgrade Factors'!$B:$B,0))</f>
        <v>0</v>
      </c>
      <c r="H573" s="10">
        <f>-H411*INDEX('Deliverability Upgrade Factors'!$F:$F,MATCH(SUBSTITUTE(Dashboard!$D573,"_group",Dashboard!$D$503),'Deliverability Upgrade Factors'!$B:$B,0))</f>
        <v>0</v>
      </c>
      <c r="I573" s="10">
        <f>-I411*INDEX('Deliverability Upgrade Factors'!$F:$F,MATCH(SUBSTITUTE(Dashboard!$D573,"_group",Dashboard!$D$503),'Deliverability Upgrade Factors'!$B:$B,0))</f>
        <v>0</v>
      </c>
      <c r="J573" s="10">
        <f>-J411*INDEX('Deliverability Upgrade Factors'!$F:$F,MATCH(SUBSTITUTE(Dashboard!$D573,"_group",Dashboard!$D$503),'Deliverability Upgrade Factors'!$B:$B,0))</f>
        <v>0</v>
      </c>
      <c r="K573" s="10">
        <f>-K411*INDEX('Deliverability Upgrade Factors'!$F:$F,MATCH(SUBSTITUTE(Dashboard!$D573,"_group",Dashboard!$D$503),'Deliverability Upgrade Factors'!$B:$B,0))</f>
        <v>0</v>
      </c>
      <c r="L573" s="10">
        <f>-L411*INDEX('Deliverability Upgrade Factors'!$F:$F,MATCH(SUBSTITUTE(Dashboard!$D573,"_group",Dashboard!$D$503),'Deliverability Upgrade Factors'!$B:$B,0))</f>
        <v>0</v>
      </c>
      <c r="M573" s="10">
        <f>-M411*INDEX('Deliverability Upgrade Factors'!$F:$F,MATCH(SUBSTITUTE(Dashboard!$D573,"_group",Dashboard!$D$503),'Deliverability Upgrade Factors'!$B:$B,0))</f>
        <v>0</v>
      </c>
      <c r="N573" s="10">
        <f>-N411*INDEX('Deliverability Upgrade Factors'!$F:$F,MATCH(SUBSTITUTE(Dashboard!$D573,"_group",Dashboard!$D$503),'Deliverability Upgrade Factors'!$B:$B,0))</f>
        <v>0</v>
      </c>
      <c r="O573" s="10">
        <f>-O411*INDEX('Deliverability Upgrade Factors'!$F:$F,MATCH(SUBSTITUTE(Dashboard!$D573,"_group",Dashboard!$D$503),'Deliverability Upgrade Factors'!$B:$B,0))</f>
        <v>0</v>
      </c>
      <c r="P573" s="10">
        <f>-P411*INDEX('Deliverability Upgrade Factors'!$F:$F,MATCH(SUBSTITUTE(Dashboard!$D573,"_group",Dashboard!$D$503),'Deliverability Upgrade Factors'!$B:$B,0))</f>
        <v>0</v>
      </c>
      <c r="Q573" s="10">
        <f>-Q411*INDEX('Deliverability Upgrade Factors'!$F:$F,MATCH(SUBSTITUTE(Dashboard!$D573,"_group",Dashboard!$D$503),'Deliverability Upgrade Factors'!$B:$B,0))</f>
        <v>0</v>
      </c>
      <c r="R573" s="10">
        <f>-R411*INDEX('Deliverability Upgrade Factors'!$F:$F,MATCH(SUBSTITUTE(Dashboard!$D573,"_group",Dashboard!$D$503),'Deliverability Upgrade Factors'!$B:$B,0))</f>
        <v>0</v>
      </c>
      <c r="S573" s="10">
        <f>-S411*INDEX('Deliverability Upgrade Factors'!$F:$F,MATCH(SUBSTITUTE(Dashboard!$D573,"_group",Dashboard!$D$503),'Deliverability Upgrade Factors'!$B:$B,0))</f>
        <v>0</v>
      </c>
      <c r="T573" s="10">
        <f>-T411*INDEX('Deliverability Upgrade Factors'!$F:$F,MATCH(SUBSTITUTE(Dashboard!$D573,"_group",Dashboard!$D$503),'Deliverability Upgrade Factors'!$B:$B,0))</f>
        <v>0</v>
      </c>
      <c r="U573" s="10">
        <f>-U411*INDEX('Deliverability Upgrade Factors'!$F:$F,MATCH(SUBSTITUTE(Dashboard!$D573,"_group",Dashboard!$D$503),'Deliverability Upgrade Factors'!$B:$B,0))</f>
        <v>0</v>
      </c>
      <c r="V573" s="10">
        <f>-V411*INDEX('Deliverability Upgrade Factors'!$F:$F,MATCH(SUBSTITUTE(Dashboard!$D573,"_group",Dashboard!$D$503),'Deliverability Upgrade Factors'!$B:$B,0))</f>
        <v>0</v>
      </c>
      <c r="W573" s="10">
        <f>-W411*INDEX('Deliverability Upgrade Factors'!$F:$F,MATCH(SUBSTITUTE(Dashboard!$D573,"_group",Dashboard!$D$503),'Deliverability Upgrade Factors'!$B:$B,0))</f>
        <v>0</v>
      </c>
      <c r="X573" s="10">
        <f>-X411*INDEX('Deliverability Upgrade Factors'!$F:$F,MATCH(SUBSTITUTE(Dashboard!$D573,"_group",Dashboard!$D$503),'Deliverability Upgrade Factors'!$B:$B,0))</f>
        <v>0</v>
      </c>
      <c r="Y573" s="10">
        <f>-Y411*INDEX('Deliverability Upgrade Factors'!$F:$F,MATCH(SUBSTITUTE(Dashboard!$D573,"_group",Dashboard!$D$503),'Deliverability Upgrade Factors'!$B:$B,0))</f>
        <v>0</v>
      </c>
      <c r="Z573" s="10">
        <f>-Z411*INDEX('Deliverability Upgrade Factors'!$F:$F,MATCH(SUBSTITUTE(Dashboard!$D573,"_group",Dashboard!$D$503),'Deliverability Upgrade Factors'!$B:$B,0))</f>
        <v>0</v>
      </c>
      <c r="AA573" s="10">
        <f>-AA411*INDEX('Deliverability Upgrade Factors'!$F:$F,MATCH(SUBSTITUTE(Dashboard!$D573,"_group",Dashboard!$D$503),'Deliverability Upgrade Factors'!$B:$B,0))</f>
        <v>0</v>
      </c>
      <c r="AB573" s="10">
        <f>-AB411*INDEX('Deliverability Upgrade Factors'!$F:$F,MATCH(SUBSTITUTE(Dashboard!$D573,"_group",Dashboard!$D$503),'Deliverability Upgrade Factors'!$B:$B,0))</f>
        <v>0</v>
      </c>
      <c r="AC573" s="10">
        <f>-AC411*INDEX('Deliverability Upgrade Factors'!$F:$F,MATCH(SUBSTITUTE(Dashboard!$D573,"_group",Dashboard!$D$503),'Deliverability Upgrade Factors'!$B:$B,0))</f>
        <v>0</v>
      </c>
      <c r="AD573" s="10">
        <f>-AD411*INDEX('Deliverability Upgrade Factors'!$F:$F,MATCH(SUBSTITUTE(Dashboard!$D573,"_group",Dashboard!$D$503),'Deliverability Upgrade Factors'!$B:$B,0))</f>
        <v>0</v>
      </c>
      <c r="AH573" s="34" t="s">
        <v>422</v>
      </c>
    </row>
    <row r="574" spans="4:34" outlineLevel="2" x14ac:dyDescent="0.2">
      <c r="D574" s="8" t="s">
        <v>261</v>
      </c>
      <c r="E574" s="10">
        <f>-E412*INDEX('Deliverability Upgrade Factors'!$F:$F,MATCH(SUBSTITUTE(Dashboard!$D574,"_group",Dashboard!$D$503),'Deliverability Upgrade Factors'!$B:$B,0))</f>
        <v>0</v>
      </c>
      <c r="F574" s="10">
        <f>-F412*INDEX('Deliverability Upgrade Factors'!$F:$F,MATCH(SUBSTITUTE(Dashboard!$D574,"_group",Dashboard!$D$503),'Deliverability Upgrade Factors'!$B:$B,0))</f>
        <v>0</v>
      </c>
      <c r="G574" s="10">
        <f>-G412*INDEX('Deliverability Upgrade Factors'!$F:$F,MATCH(SUBSTITUTE(Dashboard!$D574,"_group",Dashboard!$D$503),'Deliverability Upgrade Factors'!$B:$B,0))</f>
        <v>0</v>
      </c>
      <c r="H574" s="10">
        <f>-H412*INDEX('Deliverability Upgrade Factors'!$F:$F,MATCH(SUBSTITUTE(Dashboard!$D574,"_group",Dashboard!$D$503),'Deliverability Upgrade Factors'!$B:$B,0))</f>
        <v>0</v>
      </c>
      <c r="I574" s="10">
        <f>-I412*INDEX('Deliverability Upgrade Factors'!$F:$F,MATCH(SUBSTITUTE(Dashboard!$D574,"_group",Dashboard!$D$503),'Deliverability Upgrade Factors'!$B:$B,0))</f>
        <v>0</v>
      </c>
      <c r="J574" s="10">
        <f>-J412*INDEX('Deliverability Upgrade Factors'!$F:$F,MATCH(SUBSTITUTE(Dashboard!$D574,"_group",Dashboard!$D$503),'Deliverability Upgrade Factors'!$B:$B,0))</f>
        <v>0</v>
      </c>
      <c r="K574" s="10">
        <f>-K412*INDEX('Deliverability Upgrade Factors'!$F:$F,MATCH(SUBSTITUTE(Dashboard!$D574,"_group",Dashboard!$D$503),'Deliverability Upgrade Factors'!$B:$B,0))</f>
        <v>0</v>
      </c>
      <c r="L574" s="10">
        <f>-L412*INDEX('Deliverability Upgrade Factors'!$F:$F,MATCH(SUBSTITUTE(Dashboard!$D574,"_group",Dashboard!$D$503),'Deliverability Upgrade Factors'!$B:$B,0))</f>
        <v>0</v>
      </c>
      <c r="M574" s="10">
        <f>-M412*INDEX('Deliverability Upgrade Factors'!$F:$F,MATCH(SUBSTITUTE(Dashboard!$D574,"_group",Dashboard!$D$503),'Deliverability Upgrade Factors'!$B:$B,0))</f>
        <v>0</v>
      </c>
      <c r="N574" s="10">
        <f>-N412*INDEX('Deliverability Upgrade Factors'!$F:$F,MATCH(SUBSTITUTE(Dashboard!$D574,"_group",Dashboard!$D$503),'Deliverability Upgrade Factors'!$B:$B,0))</f>
        <v>0</v>
      </c>
      <c r="O574" s="10">
        <f>-O412*INDEX('Deliverability Upgrade Factors'!$F:$F,MATCH(SUBSTITUTE(Dashboard!$D574,"_group",Dashboard!$D$503),'Deliverability Upgrade Factors'!$B:$B,0))</f>
        <v>0</v>
      </c>
      <c r="P574" s="10">
        <f>-P412*INDEX('Deliverability Upgrade Factors'!$F:$F,MATCH(SUBSTITUTE(Dashboard!$D574,"_group",Dashboard!$D$503),'Deliverability Upgrade Factors'!$B:$B,0))</f>
        <v>0</v>
      </c>
      <c r="Q574" s="10">
        <f>-Q412*INDEX('Deliverability Upgrade Factors'!$F:$F,MATCH(SUBSTITUTE(Dashboard!$D574,"_group",Dashboard!$D$503),'Deliverability Upgrade Factors'!$B:$B,0))</f>
        <v>0</v>
      </c>
      <c r="R574" s="10">
        <f>-R412*INDEX('Deliverability Upgrade Factors'!$F:$F,MATCH(SUBSTITUTE(Dashboard!$D574,"_group",Dashboard!$D$503),'Deliverability Upgrade Factors'!$B:$B,0))</f>
        <v>0</v>
      </c>
      <c r="S574" s="10">
        <f>-S412*INDEX('Deliverability Upgrade Factors'!$F:$F,MATCH(SUBSTITUTE(Dashboard!$D574,"_group",Dashboard!$D$503),'Deliverability Upgrade Factors'!$B:$B,0))</f>
        <v>0</v>
      </c>
      <c r="T574" s="10">
        <f>-T412*INDEX('Deliverability Upgrade Factors'!$F:$F,MATCH(SUBSTITUTE(Dashboard!$D574,"_group",Dashboard!$D$503),'Deliverability Upgrade Factors'!$B:$B,0))</f>
        <v>0</v>
      </c>
      <c r="U574" s="10">
        <f>-U412*INDEX('Deliverability Upgrade Factors'!$F:$F,MATCH(SUBSTITUTE(Dashboard!$D574,"_group",Dashboard!$D$503),'Deliverability Upgrade Factors'!$B:$B,0))</f>
        <v>0</v>
      </c>
      <c r="V574" s="10">
        <f>-V412*INDEX('Deliverability Upgrade Factors'!$F:$F,MATCH(SUBSTITUTE(Dashboard!$D574,"_group",Dashboard!$D$503),'Deliverability Upgrade Factors'!$B:$B,0))</f>
        <v>0</v>
      </c>
      <c r="W574" s="10">
        <f>-W412*INDEX('Deliverability Upgrade Factors'!$F:$F,MATCH(SUBSTITUTE(Dashboard!$D574,"_group",Dashboard!$D$503),'Deliverability Upgrade Factors'!$B:$B,0))</f>
        <v>0</v>
      </c>
      <c r="X574" s="10">
        <f>-X412*INDEX('Deliverability Upgrade Factors'!$F:$F,MATCH(SUBSTITUTE(Dashboard!$D574,"_group",Dashboard!$D$503),'Deliverability Upgrade Factors'!$B:$B,0))</f>
        <v>0</v>
      </c>
      <c r="Y574" s="10">
        <f>-Y412*INDEX('Deliverability Upgrade Factors'!$F:$F,MATCH(SUBSTITUTE(Dashboard!$D574,"_group",Dashboard!$D$503),'Deliverability Upgrade Factors'!$B:$B,0))</f>
        <v>0</v>
      </c>
      <c r="Z574" s="10">
        <f>-Z412*INDEX('Deliverability Upgrade Factors'!$F:$F,MATCH(SUBSTITUTE(Dashboard!$D574,"_group",Dashboard!$D$503),'Deliverability Upgrade Factors'!$B:$B,0))</f>
        <v>0</v>
      </c>
      <c r="AA574" s="10">
        <f>-AA412*INDEX('Deliverability Upgrade Factors'!$F:$F,MATCH(SUBSTITUTE(Dashboard!$D574,"_group",Dashboard!$D$503),'Deliverability Upgrade Factors'!$B:$B,0))</f>
        <v>0</v>
      </c>
      <c r="AB574" s="10">
        <f>-AB412*INDEX('Deliverability Upgrade Factors'!$F:$F,MATCH(SUBSTITUTE(Dashboard!$D574,"_group",Dashboard!$D$503),'Deliverability Upgrade Factors'!$B:$B,0))</f>
        <v>0</v>
      </c>
      <c r="AC574" s="10">
        <f>-AC412*INDEX('Deliverability Upgrade Factors'!$F:$F,MATCH(SUBSTITUTE(Dashboard!$D574,"_group",Dashboard!$D$503),'Deliverability Upgrade Factors'!$B:$B,0))</f>
        <v>0</v>
      </c>
      <c r="AD574" s="10">
        <f>-AD412*INDEX('Deliverability Upgrade Factors'!$F:$F,MATCH(SUBSTITUTE(Dashboard!$D574,"_group",Dashboard!$D$503),'Deliverability Upgrade Factors'!$B:$B,0))</f>
        <v>0</v>
      </c>
      <c r="AH574" s="34" t="s">
        <v>422</v>
      </c>
    </row>
    <row r="575" spans="4:34" outlineLevel="2" x14ac:dyDescent="0.2">
      <c r="D575" s="8" t="s">
        <v>262</v>
      </c>
      <c r="E575" s="10">
        <f>-E413*INDEX('Deliverability Upgrade Factors'!$F:$F,MATCH(SUBSTITUTE(Dashboard!$D575,"_group",Dashboard!$D$503),'Deliverability Upgrade Factors'!$B:$B,0))</f>
        <v>0</v>
      </c>
      <c r="F575" s="10">
        <f>-F413*INDEX('Deliverability Upgrade Factors'!$F:$F,MATCH(SUBSTITUTE(Dashboard!$D575,"_group",Dashboard!$D$503),'Deliverability Upgrade Factors'!$B:$B,0))</f>
        <v>0</v>
      </c>
      <c r="G575" s="10">
        <f>-G413*INDEX('Deliverability Upgrade Factors'!$F:$F,MATCH(SUBSTITUTE(Dashboard!$D575,"_group",Dashboard!$D$503),'Deliverability Upgrade Factors'!$B:$B,0))</f>
        <v>0</v>
      </c>
      <c r="H575" s="10">
        <f>-H413*INDEX('Deliverability Upgrade Factors'!$F:$F,MATCH(SUBSTITUTE(Dashboard!$D575,"_group",Dashboard!$D$503),'Deliverability Upgrade Factors'!$B:$B,0))</f>
        <v>0</v>
      </c>
      <c r="I575" s="10">
        <f>-I413*INDEX('Deliverability Upgrade Factors'!$F:$F,MATCH(SUBSTITUTE(Dashboard!$D575,"_group",Dashboard!$D$503),'Deliverability Upgrade Factors'!$B:$B,0))</f>
        <v>0</v>
      </c>
      <c r="J575" s="10">
        <f>-J413*INDEX('Deliverability Upgrade Factors'!$F:$F,MATCH(SUBSTITUTE(Dashboard!$D575,"_group",Dashboard!$D$503),'Deliverability Upgrade Factors'!$B:$B,0))</f>
        <v>0</v>
      </c>
      <c r="K575" s="10">
        <f>-K413*INDEX('Deliverability Upgrade Factors'!$F:$F,MATCH(SUBSTITUTE(Dashboard!$D575,"_group",Dashboard!$D$503),'Deliverability Upgrade Factors'!$B:$B,0))</f>
        <v>0</v>
      </c>
      <c r="L575" s="10">
        <f>-L413*INDEX('Deliverability Upgrade Factors'!$F:$F,MATCH(SUBSTITUTE(Dashboard!$D575,"_group",Dashboard!$D$503),'Deliverability Upgrade Factors'!$B:$B,0))</f>
        <v>0</v>
      </c>
      <c r="M575" s="10">
        <f>-M413*INDEX('Deliverability Upgrade Factors'!$F:$F,MATCH(SUBSTITUTE(Dashboard!$D575,"_group",Dashboard!$D$503),'Deliverability Upgrade Factors'!$B:$B,0))</f>
        <v>0</v>
      </c>
      <c r="N575" s="10">
        <f>-N413*INDEX('Deliverability Upgrade Factors'!$F:$F,MATCH(SUBSTITUTE(Dashboard!$D575,"_group",Dashboard!$D$503),'Deliverability Upgrade Factors'!$B:$B,0))</f>
        <v>0</v>
      </c>
      <c r="O575" s="10">
        <f>-O413*INDEX('Deliverability Upgrade Factors'!$F:$F,MATCH(SUBSTITUTE(Dashboard!$D575,"_group",Dashboard!$D$503),'Deliverability Upgrade Factors'!$B:$B,0))</f>
        <v>0</v>
      </c>
      <c r="P575" s="10">
        <f>-P413*INDEX('Deliverability Upgrade Factors'!$F:$F,MATCH(SUBSTITUTE(Dashboard!$D575,"_group",Dashboard!$D$503),'Deliverability Upgrade Factors'!$B:$B,0))</f>
        <v>0</v>
      </c>
      <c r="Q575" s="10">
        <f>-Q413*INDEX('Deliverability Upgrade Factors'!$F:$F,MATCH(SUBSTITUTE(Dashboard!$D575,"_group",Dashboard!$D$503),'Deliverability Upgrade Factors'!$B:$B,0))</f>
        <v>0</v>
      </c>
      <c r="R575" s="10">
        <f>-R413*INDEX('Deliverability Upgrade Factors'!$F:$F,MATCH(SUBSTITUTE(Dashboard!$D575,"_group",Dashboard!$D$503),'Deliverability Upgrade Factors'!$B:$B,0))</f>
        <v>0</v>
      </c>
      <c r="S575" s="10">
        <f>-S413*INDEX('Deliverability Upgrade Factors'!$F:$F,MATCH(SUBSTITUTE(Dashboard!$D575,"_group",Dashboard!$D$503),'Deliverability Upgrade Factors'!$B:$B,0))</f>
        <v>0</v>
      </c>
      <c r="T575" s="10">
        <f>-T413*INDEX('Deliverability Upgrade Factors'!$F:$F,MATCH(SUBSTITUTE(Dashboard!$D575,"_group",Dashboard!$D$503),'Deliverability Upgrade Factors'!$B:$B,0))</f>
        <v>0</v>
      </c>
      <c r="U575" s="10">
        <f>-U413*INDEX('Deliverability Upgrade Factors'!$F:$F,MATCH(SUBSTITUTE(Dashboard!$D575,"_group",Dashboard!$D$503),'Deliverability Upgrade Factors'!$B:$B,0))</f>
        <v>0</v>
      </c>
      <c r="V575" s="10">
        <f>-V413*INDEX('Deliverability Upgrade Factors'!$F:$F,MATCH(SUBSTITUTE(Dashboard!$D575,"_group",Dashboard!$D$503),'Deliverability Upgrade Factors'!$B:$B,0))</f>
        <v>0</v>
      </c>
      <c r="W575" s="10">
        <f>-W413*INDEX('Deliverability Upgrade Factors'!$F:$F,MATCH(SUBSTITUTE(Dashboard!$D575,"_group",Dashboard!$D$503),'Deliverability Upgrade Factors'!$B:$B,0))</f>
        <v>0</v>
      </c>
      <c r="X575" s="10">
        <f>-X413*INDEX('Deliverability Upgrade Factors'!$F:$F,MATCH(SUBSTITUTE(Dashboard!$D575,"_group",Dashboard!$D$503),'Deliverability Upgrade Factors'!$B:$B,0))</f>
        <v>0</v>
      </c>
      <c r="Y575" s="10">
        <f>-Y413*INDEX('Deliverability Upgrade Factors'!$F:$F,MATCH(SUBSTITUTE(Dashboard!$D575,"_group",Dashboard!$D$503),'Deliverability Upgrade Factors'!$B:$B,0))</f>
        <v>0</v>
      </c>
      <c r="Z575" s="10">
        <f>-Z413*INDEX('Deliverability Upgrade Factors'!$F:$F,MATCH(SUBSTITUTE(Dashboard!$D575,"_group",Dashboard!$D$503),'Deliverability Upgrade Factors'!$B:$B,0))</f>
        <v>0</v>
      </c>
      <c r="AA575" s="10">
        <f>-AA413*INDEX('Deliverability Upgrade Factors'!$F:$F,MATCH(SUBSTITUTE(Dashboard!$D575,"_group",Dashboard!$D$503),'Deliverability Upgrade Factors'!$B:$B,0))</f>
        <v>0</v>
      </c>
      <c r="AB575" s="10">
        <f>-AB413*INDEX('Deliverability Upgrade Factors'!$F:$F,MATCH(SUBSTITUTE(Dashboard!$D575,"_group",Dashboard!$D$503),'Deliverability Upgrade Factors'!$B:$B,0))</f>
        <v>0</v>
      </c>
      <c r="AC575" s="10">
        <f>-AC413*INDEX('Deliverability Upgrade Factors'!$F:$F,MATCH(SUBSTITUTE(Dashboard!$D575,"_group",Dashboard!$D$503),'Deliverability Upgrade Factors'!$B:$B,0))</f>
        <v>0</v>
      </c>
      <c r="AD575" s="10">
        <f>-AD413*INDEX('Deliverability Upgrade Factors'!$F:$F,MATCH(SUBSTITUTE(Dashboard!$D575,"_group",Dashboard!$D$503),'Deliverability Upgrade Factors'!$B:$B,0))</f>
        <v>400</v>
      </c>
      <c r="AH575" s="34" t="s">
        <v>422</v>
      </c>
    </row>
    <row r="576" spans="4:34" outlineLevel="2" x14ac:dyDescent="0.2">
      <c r="D576" s="8" t="s">
        <v>263</v>
      </c>
      <c r="E576" s="10">
        <f>-E414*INDEX('Deliverability Upgrade Factors'!$F:$F,MATCH(SUBSTITUTE(Dashboard!$D576,"_group",Dashboard!$D$503),'Deliverability Upgrade Factors'!$B:$B,0))</f>
        <v>0</v>
      </c>
      <c r="F576" s="10">
        <f>-F414*INDEX('Deliverability Upgrade Factors'!$F:$F,MATCH(SUBSTITUTE(Dashboard!$D576,"_group",Dashboard!$D$503),'Deliverability Upgrade Factors'!$B:$B,0))</f>
        <v>0</v>
      </c>
      <c r="G576" s="10">
        <f>-G414*INDEX('Deliverability Upgrade Factors'!$F:$F,MATCH(SUBSTITUTE(Dashboard!$D576,"_group",Dashboard!$D$503),'Deliverability Upgrade Factors'!$B:$B,0))</f>
        <v>0</v>
      </c>
      <c r="H576" s="10">
        <f>-H414*INDEX('Deliverability Upgrade Factors'!$F:$F,MATCH(SUBSTITUTE(Dashboard!$D576,"_group",Dashboard!$D$503),'Deliverability Upgrade Factors'!$B:$B,0))</f>
        <v>0</v>
      </c>
      <c r="I576" s="10">
        <f>-I414*INDEX('Deliverability Upgrade Factors'!$F:$F,MATCH(SUBSTITUTE(Dashboard!$D576,"_group",Dashboard!$D$503),'Deliverability Upgrade Factors'!$B:$B,0))</f>
        <v>0</v>
      </c>
      <c r="J576" s="10">
        <f>-J414*INDEX('Deliverability Upgrade Factors'!$F:$F,MATCH(SUBSTITUTE(Dashboard!$D576,"_group",Dashboard!$D$503),'Deliverability Upgrade Factors'!$B:$B,0))</f>
        <v>0</v>
      </c>
      <c r="K576" s="10">
        <f>-K414*INDEX('Deliverability Upgrade Factors'!$F:$F,MATCH(SUBSTITUTE(Dashboard!$D576,"_group",Dashboard!$D$503),'Deliverability Upgrade Factors'!$B:$B,0))</f>
        <v>0</v>
      </c>
      <c r="L576" s="10">
        <f>-L414*INDEX('Deliverability Upgrade Factors'!$F:$F,MATCH(SUBSTITUTE(Dashboard!$D576,"_group",Dashboard!$D$503),'Deliverability Upgrade Factors'!$B:$B,0))</f>
        <v>0</v>
      </c>
      <c r="M576" s="10">
        <f>-M414*INDEX('Deliverability Upgrade Factors'!$F:$F,MATCH(SUBSTITUTE(Dashboard!$D576,"_group",Dashboard!$D$503),'Deliverability Upgrade Factors'!$B:$B,0))</f>
        <v>0</v>
      </c>
      <c r="N576" s="10">
        <f>-N414*INDEX('Deliverability Upgrade Factors'!$F:$F,MATCH(SUBSTITUTE(Dashboard!$D576,"_group",Dashboard!$D$503),'Deliverability Upgrade Factors'!$B:$B,0))</f>
        <v>0</v>
      </c>
      <c r="O576" s="10">
        <f>-O414*INDEX('Deliverability Upgrade Factors'!$F:$F,MATCH(SUBSTITUTE(Dashboard!$D576,"_group",Dashboard!$D$503),'Deliverability Upgrade Factors'!$B:$B,0))</f>
        <v>0</v>
      </c>
      <c r="P576" s="10">
        <f>-P414*INDEX('Deliverability Upgrade Factors'!$F:$F,MATCH(SUBSTITUTE(Dashboard!$D576,"_group",Dashboard!$D$503),'Deliverability Upgrade Factors'!$B:$B,0))</f>
        <v>0</v>
      </c>
      <c r="Q576" s="10">
        <f>-Q414*INDEX('Deliverability Upgrade Factors'!$F:$F,MATCH(SUBSTITUTE(Dashboard!$D576,"_group",Dashboard!$D$503),'Deliverability Upgrade Factors'!$B:$B,0))</f>
        <v>0</v>
      </c>
      <c r="R576" s="10">
        <f>-R414*INDEX('Deliverability Upgrade Factors'!$F:$F,MATCH(SUBSTITUTE(Dashboard!$D576,"_group",Dashboard!$D$503),'Deliverability Upgrade Factors'!$B:$B,0))</f>
        <v>0</v>
      </c>
      <c r="S576" s="10">
        <f>-S414*INDEX('Deliverability Upgrade Factors'!$F:$F,MATCH(SUBSTITUTE(Dashboard!$D576,"_group",Dashboard!$D$503),'Deliverability Upgrade Factors'!$B:$B,0))</f>
        <v>0</v>
      </c>
      <c r="T576" s="10">
        <f>-T414*INDEX('Deliverability Upgrade Factors'!$F:$F,MATCH(SUBSTITUTE(Dashboard!$D576,"_group",Dashboard!$D$503),'Deliverability Upgrade Factors'!$B:$B,0))</f>
        <v>0</v>
      </c>
      <c r="U576" s="10">
        <f>-U414*INDEX('Deliverability Upgrade Factors'!$F:$F,MATCH(SUBSTITUTE(Dashboard!$D576,"_group",Dashboard!$D$503),'Deliverability Upgrade Factors'!$B:$B,0))</f>
        <v>0</v>
      </c>
      <c r="V576" s="10">
        <f>-V414*INDEX('Deliverability Upgrade Factors'!$F:$F,MATCH(SUBSTITUTE(Dashboard!$D576,"_group",Dashboard!$D$503),'Deliverability Upgrade Factors'!$B:$B,0))</f>
        <v>0</v>
      </c>
      <c r="W576" s="10">
        <f>-W414*INDEX('Deliverability Upgrade Factors'!$F:$F,MATCH(SUBSTITUTE(Dashboard!$D576,"_group",Dashboard!$D$503),'Deliverability Upgrade Factors'!$B:$B,0))</f>
        <v>0</v>
      </c>
      <c r="X576" s="10">
        <f>-X414*INDEX('Deliverability Upgrade Factors'!$F:$F,MATCH(SUBSTITUTE(Dashboard!$D576,"_group",Dashboard!$D$503),'Deliverability Upgrade Factors'!$B:$B,0))</f>
        <v>0</v>
      </c>
      <c r="Y576" s="10">
        <f>-Y414*INDEX('Deliverability Upgrade Factors'!$F:$F,MATCH(SUBSTITUTE(Dashboard!$D576,"_group",Dashboard!$D$503),'Deliverability Upgrade Factors'!$B:$B,0))</f>
        <v>0</v>
      </c>
      <c r="Z576" s="10">
        <f>-Z414*INDEX('Deliverability Upgrade Factors'!$F:$F,MATCH(SUBSTITUTE(Dashboard!$D576,"_group",Dashboard!$D$503),'Deliverability Upgrade Factors'!$B:$B,0))</f>
        <v>0</v>
      </c>
      <c r="AA576" s="10">
        <f>-AA414*INDEX('Deliverability Upgrade Factors'!$F:$F,MATCH(SUBSTITUTE(Dashboard!$D576,"_group",Dashboard!$D$503),'Deliverability Upgrade Factors'!$B:$B,0))</f>
        <v>0</v>
      </c>
      <c r="AB576" s="10">
        <f>-AB414*INDEX('Deliverability Upgrade Factors'!$F:$F,MATCH(SUBSTITUTE(Dashboard!$D576,"_group",Dashboard!$D$503),'Deliverability Upgrade Factors'!$B:$B,0))</f>
        <v>0</v>
      </c>
      <c r="AC576" s="10">
        <f>-AC414*INDEX('Deliverability Upgrade Factors'!$F:$F,MATCH(SUBSTITUTE(Dashboard!$D576,"_group",Dashboard!$D$503),'Deliverability Upgrade Factors'!$B:$B,0))</f>
        <v>0</v>
      </c>
      <c r="AD576" s="10">
        <f>-AD414*INDEX('Deliverability Upgrade Factors'!$F:$F,MATCH(SUBSTITUTE(Dashboard!$D576,"_group",Dashboard!$D$503),'Deliverability Upgrade Factors'!$B:$B,0))</f>
        <v>0</v>
      </c>
      <c r="AH576" s="34" t="s">
        <v>422</v>
      </c>
    </row>
    <row r="577" spans="4:34" outlineLevel="2" x14ac:dyDescent="0.2">
      <c r="D577" s="8" t="s">
        <v>264</v>
      </c>
      <c r="E577" s="10">
        <f>-E415*INDEX('Deliverability Upgrade Factors'!$F:$F,MATCH(SUBSTITUTE(Dashboard!$D577,"_group",Dashboard!$D$503),'Deliverability Upgrade Factors'!$B:$B,0))</f>
        <v>0</v>
      </c>
      <c r="F577" s="10">
        <f>-F415*INDEX('Deliverability Upgrade Factors'!$F:$F,MATCH(SUBSTITUTE(Dashboard!$D577,"_group",Dashboard!$D$503),'Deliverability Upgrade Factors'!$B:$B,0))</f>
        <v>0</v>
      </c>
      <c r="G577" s="10">
        <f>-G415*INDEX('Deliverability Upgrade Factors'!$F:$F,MATCH(SUBSTITUTE(Dashboard!$D577,"_group",Dashboard!$D$503),'Deliverability Upgrade Factors'!$B:$B,0))</f>
        <v>0</v>
      </c>
      <c r="H577" s="10">
        <f>-H415*INDEX('Deliverability Upgrade Factors'!$F:$F,MATCH(SUBSTITUTE(Dashboard!$D577,"_group",Dashboard!$D$503),'Deliverability Upgrade Factors'!$B:$B,0))</f>
        <v>0</v>
      </c>
      <c r="I577" s="10">
        <f>-I415*INDEX('Deliverability Upgrade Factors'!$F:$F,MATCH(SUBSTITUTE(Dashboard!$D577,"_group",Dashboard!$D$503),'Deliverability Upgrade Factors'!$B:$B,0))</f>
        <v>0</v>
      </c>
      <c r="J577" s="10">
        <f>-J415*INDEX('Deliverability Upgrade Factors'!$F:$F,MATCH(SUBSTITUTE(Dashboard!$D577,"_group",Dashboard!$D$503),'Deliverability Upgrade Factors'!$B:$B,0))</f>
        <v>0</v>
      </c>
      <c r="K577" s="10">
        <f>-K415*INDEX('Deliverability Upgrade Factors'!$F:$F,MATCH(SUBSTITUTE(Dashboard!$D577,"_group",Dashboard!$D$503),'Deliverability Upgrade Factors'!$B:$B,0))</f>
        <v>0</v>
      </c>
      <c r="L577" s="10">
        <f>-L415*INDEX('Deliverability Upgrade Factors'!$F:$F,MATCH(SUBSTITUTE(Dashboard!$D577,"_group",Dashboard!$D$503),'Deliverability Upgrade Factors'!$B:$B,0))</f>
        <v>0</v>
      </c>
      <c r="M577" s="10">
        <f>-M415*INDEX('Deliverability Upgrade Factors'!$F:$F,MATCH(SUBSTITUTE(Dashboard!$D577,"_group",Dashboard!$D$503),'Deliverability Upgrade Factors'!$B:$B,0))</f>
        <v>0</v>
      </c>
      <c r="N577" s="10">
        <f>-N415*INDEX('Deliverability Upgrade Factors'!$F:$F,MATCH(SUBSTITUTE(Dashboard!$D577,"_group",Dashboard!$D$503),'Deliverability Upgrade Factors'!$B:$B,0))</f>
        <v>0</v>
      </c>
      <c r="O577" s="10">
        <f>-O415*INDEX('Deliverability Upgrade Factors'!$F:$F,MATCH(SUBSTITUTE(Dashboard!$D577,"_group",Dashboard!$D$503),'Deliverability Upgrade Factors'!$B:$B,0))</f>
        <v>0</v>
      </c>
      <c r="P577" s="10">
        <f>-P415*INDEX('Deliverability Upgrade Factors'!$F:$F,MATCH(SUBSTITUTE(Dashboard!$D577,"_group",Dashboard!$D$503),'Deliverability Upgrade Factors'!$B:$B,0))</f>
        <v>0</v>
      </c>
      <c r="Q577" s="10">
        <f>-Q415*INDEX('Deliverability Upgrade Factors'!$F:$F,MATCH(SUBSTITUTE(Dashboard!$D577,"_group",Dashboard!$D$503),'Deliverability Upgrade Factors'!$B:$B,0))</f>
        <v>0</v>
      </c>
      <c r="R577" s="10">
        <f>-R415*INDEX('Deliverability Upgrade Factors'!$F:$F,MATCH(SUBSTITUTE(Dashboard!$D577,"_group",Dashboard!$D$503),'Deliverability Upgrade Factors'!$B:$B,0))</f>
        <v>0</v>
      </c>
      <c r="S577" s="10">
        <f>-S415*INDEX('Deliverability Upgrade Factors'!$F:$F,MATCH(SUBSTITUTE(Dashboard!$D577,"_group",Dashboard!$D$503),'Deliverability Upgrade Factors'!$B:$B,0))</f>
        <v>0</v>
      </c>
      <c r="T577" s="10">
        <f>-T415*INDEX('Deliverability Upgrade Factors'!$F:$F,MATCH(SUBSTITUTE(Dashboard!$D577,"_group",Dashboard!$D$503),'Deliverability Upgrade Factors'!$B:$B,0))</f>
        <v>0</v>
      </c>
      <c r="U577" s="10">
        <f>-U415*INDEX('Deliverability Upgrade Factors'!$F:$F,MATCH(SUBSTITUTE(Dashboard!$D577,"_group",Dashboard!$D$503),'Deliverability Upgrade Factors'!$B:$B,0))</f>
        <v>0</v>
      </c>
      <c r="V577" s="10">
        <f>-V415*INDEX('Deliverability Upgrade Factors'!$F:$F,MATCH(SUBSTITUTE(Dashboard!$D577,"_group",Dashboard!$D$503),'Deliverability Upgrade Factors'!$B:$B,0))</f>
        <v>0</v>
      </c>
      <c r="W577" s="10">
        <f>-W415*INDEX('Deliverability Upgrade Factors'!$F:$F,MATCH(SUBSTITUTE(Dashboard!$D577,"_group",Dashboard!$D$503),'Deliverability Upgrade Factors'!$B:$B,0))</f>
        <v>0</v>
      </c>
      <c r="X577" s="10">
        <f>-X415*INDEX('Deliverability Upgrade Factors'!$F:$F,MATCH(SUBSTITUTE(Dashboard!$D577,"_group",Dashboard!$D$503),'Deliverability Upgrade Factors'!$B:$B,0))</f>
        <v>0</v>
      </c>
      <c r="Y577" s="10">
        <f>-Y415*INDEX('Deliverability Upgrade Factors'!$F:$F,MATCH(SUBSTITUTE(Dashboard!$D577,"_group",Dashboard!$D$503),'Deliverability Upgrade Factors'!$B:$B,0))</f>
        <v>0</v>
      </c>
      <c r="Z577" s="10">
        <f>-Z415*INDEX('Deliverability Upgrade Factors'!$F:$F,MATCH(SUBSTITUTE(Dashboard!$D577,"_group",Dashboard!$D$503),'Deliverability Upgrade Factors'!$B:$B,0))</f>
        <v>0</v>
      </c>
      <c r="AA577" s="10">
        <f>-AA415*INDEX('Deliverability Upgrade Factors'!$F:$F,MATCH(SUBSTITUTE(Dashboard!$D577,"_group",Dashboard!$D$503),'Deliverability Upgrade Factors'!$B:$B,0))</f>
        <v>0</v>
      </c>
      <c r="AB577" s="10">
        <f>-AB415*INDEX('Deliverability Upgrade Factors'!$F:$F,MATCH(SUBSTITUTE(Dashboard!$D577,"_group",Dashboard!$D$503),'Deliverability Upgrade Factors'!$B:$B,0))</f>
        <v>0</v>
      </c>
      <c r="AC577" s="10">
        <f>-AC415*INDEX('Deliverability Upgrade Factors'!$F:$F,MATCH(SUBSTITUTE(Dashboard!$D577,"_group",Dashboard!$D$503),'Deliverability Upgrade Factors'!$B:$B,0))</f>
        <v>0</v>
      </c>
      <c r="AD577" s="10">
        <f>-AD415*INDEX('Deliverability Upgrade Factors'!$F:$F,MATCH(SUBSTITUTE(Dashboard!$D577,"_group",Dashboard!$D$503),'Deliverability Upgrade Factors'!$B:$B,0))</f>
        <v>0</v>
      </c>
      <c r="AH577" s="34" t="s">
        <v>422</v>
      </c>
    </row>
    <row r="578" spans="4:34" outlineLevel="2" x14ac:dyDescent="0.2">
      <c r="D578" s="8" t="s">
        <v>265</v>
      </c>
      <c r="E578" s="10">
        <f>-E416*INDEX('Deliverability Upgrade Factors'!$F:$F,MATCH(SUBSTITUTE(Dashboard!$D578,"_group",Dashboard!$D$503),'Deliverability Upgrade Factors'!$B:$B,0))</f>
        <v>0</v>
      </c>
      <c r="F578" s="10">
        <f>-F416*INDEX('Deliverability Upgrade Factors'!$F:$F,MATCH(SUBSTITUTE(Dashboard!$D578,"_group",Dashboard!$D$503),'Deliverability Upgrade Factors'!$B:$B,0))</f>
        <v>0</v>
      </c>
      <c r="G578" s="10">
        <f>-G416*INDEX('Deliverability Upgrade Factors'!$F:$F,MATCH(SUBSTITUTE(Dashboard!$D578,"_group",Dashboard!$D$503),'Deliverability Upgrade Factors'!$B:$B,0))</f>
        <v>0</v>
      </c>
      <c r="H578" s="10">
        <f>-H416*INDEX('Deliverability Upgrade Factors'!$F:$F,MATCH(SUBSTITUTE(Dashboard!$D578,"_group",Dashboard!$D$503),'Deliverability Upgrade Factors'!$B:$B,0))</f>
        <v>0</v>
      </c>
      <c r="I578" s="10">
        <f>-I416*INDEX('Deliverability Upgrade Factors'!$F:$F,MATCH(SUBSTITUTE(Dashboard!$D578,"_group",Dashboard!$D$503),'Deliverability Upgrade Factors'!$B:$B,0))</f>
        <v>0</v>
      </c>
      <c r="J578" s="10">
        <f>-J416*INDEX('Deliverability Upgrade Factors'!$F:$F,MATCH(SUBSTITUTE(Dashboard!$D578,"_group",Dashboard!$D$503),'Deliverability Upgrade Factors'!$B:$B,0))</f>
        <v>0</v>
      </c>
      <c r="K578" s="10">
        <f>-K416*INDEX('Deliverability Upgrade Factors'!$F:$F,MATCH(SUBSTITUTE(Dashboard!$D578,"_group",Dashboard!$D$503),'Deliverability Upgrade Factors'!$B:$B,0))</f>
        <v>0</v>
      </c>
      <c r="L578" s="10">
        <f>-L416*INDEX('Deliverability Upgrade Factors'!$F:$F,MATCH(SUBSTITUTE(Dashboard!$D578,"_group",Dashboard!$D$503),'Deliverability Upgrade Factors'!$B:$B,0))</f>
        <v>0</v>
      </c>
      <c r="M578" s="10">
        <f>-M416*INDEX('Deliverability Upgrade Factors'!$F:$F,MATCH(SUBSTITUTE(Dashboard!$D578,"_group",Dashboard!$D$503),'Deliverability Upgrade Factors'!$B:$B,0))</f>
        <v>0</v>
      </c>
      <c r="N578" s="10">
        <f>-N416*INDEX('Deliverability Upgrade Factors'!$F:$F,MATCH(SUBSTITUTE(Dashboard!$D578,"_group",Dashboard!$D$503),'Deliverability Upgrade Factors'!$B:$B,0))</f>
        <v>0</v>
      </c>
      <c r="O578" s="10">
        <f>-O416*INDEX('Deliverability Upgrade Factors'!$F:$F,MATCH(SUBSTITUTE(Dashboard!$D578,"_group",Dashboard!$D$503),'Deliverability Upgrade Factors'!$B:$B,0))</f>
        <v>0</v>
      </c>
      <c r="P578" s="10">
        <f>-P416*INDEX('Deliverability Upgrade Factors'!$F:$F,MATCH(SUBSTITUTE(Dashboard!$D578,"_group",Dashboard!$D$503),'Deliverability Upgrade Factors'!$B:$B,0))</f>
        <v>0</v>
      </c>
      <c r="Q578" s="10">
        <f>-Q416*INDEX('Deliverability Upgrade Factors'!$F:$F,MATCH(SUBSTITUTE(Dashboard!$D578,"_group",Dashboard!$D$503),'Deliverability Upgrade Factors'!$B:$B,0))</f>
        <v>0</v>
      </c>
      <c r="R578" s="10">
        <f>-R416*INDEX('Deliverability Upgrade Factors'!$F:$F,MATCH(SUBSTITUTE(Dashboard!$D578,"_group",Dashboard!$D$503),'Deliverability Upgrade Factors'!$B:$B,0))</f>
        <v>0</v>
      </c>
      <c r="S578" s="10">
        <f>-S416*INDEX('Deliverability Upgrade Factors'!$F:$F,MATCH(SUBSTITUTE(Dashboard!$D578,"_group",Dashboard!$D$503),'Deliverability Upgrade Factors'!$B:$B,0))</f>
        <v>0</v>
      </c>
      <c r="T578" s="10">
        <f>-T416*INDEX('Deliverability Upgrade Factors'!$F:$F,MATCH(SUBSTITUTE(Dashboard!$D578,"_group",Dashboard!$D$503),'Deliverability Upgrade Factors'!$B:$B,0))</f>
        <v>0</v>
      </c>
      <c r="U578" s="10">
        <f>-U416*INDEX('Deliverability Upgrade Factors'!$F:$F,MATCH(SUBSTITUTE(Dashboard!$D578,"_group",Dashboard!$D$503),'Deliverability Upgrade Factors'!$B:$B,0))</f>
        <v>0</v>
      </c>
      <c r="V578" s="10">
        <f>-V416*INDEX('Deliverability Upgrade Factors'!$F:$F,MATCH(SUBSTITUTE(Dashboard!$D578,"_group",Dashboard!$D$503),'Deliverability Upgrade Factors'!$B:$B,0))</f>
        <v>0</v>
      </c>
      <c r="W578" s="10">
        <f>-W416*INDEX('Deliverability Upgrade Factors'!$F:$F,MATCH(SUBSTITUTE(Dashboard!$D578,"_group",Dashboard!$D$503),'Deliverability Upgrade Factors'!$B:$B,0))</f>
        <v>0</v>
      </c>
      <c r="X578" s="10">
        <f>-X416*INDEX('Deliverability Upgrade Factors'!$F:$F,MATCH(SUBSTITUTE(Dashboard!$D578,"_group",Dashboard!$D$503),'Deliverability Upgrade Factors'!$B:$B,0))</f>
        <v>0</v>
      </c>
      <c r="Y578" s="10">
        <f>-Y416*INDEX('Deliverability Upgrade Factors'!$F:$F,MATCH(SUBSTITUTE(Dashboard!$D578,"_group",Dashboard!$D$503),'Deliverability Upgrade Factors'!$B:$B,0))</f>
        <v>0</v>
      </c>
      <c r="Z578" s="10">
        <f>-Z416*INDEX('Deliverability Upgrade Factors'!$F:$F,MATCH(SUBSTITUTE(Dashboard!$D578,"_group",Dashboard!$D$503),'Deliverability Upgrade Factors'!$B:$B,0))</f>
        <v>0</v>
      </c>
      <c r="AA578" s="10">
        <f>-AA416*INDEX('Deliverability Upgrade Factors'!$F:$F,MATCH(SUBSTITUTE(Dashboard!$D578,"_group",Dashboard!$D$503),'Deliverability Upgrade Factors'!$B:$B,0))</f>
        <v>0</v>
      </c>
      <c r="AB578" s="10">
        <f>-AB416*INDEX('Deliverability Upgrade Factors'!$F:$F,MATCH(SUBSTITUTE(Dashboard!$D578,"_group",Dashboard!$D$503),'Deliverability Upgrade Factors'!$B:$B,0))</f>
        <v>0</v>
      </c>
      <c r="AC578" s="10">
        <f>-AC416*INDEX('Deliverability Upgrade Factors'!$F:$F,MATCH(SUBSTITUTE(Dashboard!$D578,"_group",Dashboard!$D$503),'Deliverability Upgrade Factors'!$B:$B,0))</f>
        <v>0</v>
      </c>
      <c r="AD578" s="10">
        <f>-AD416*INDEX('Deliverability Upgrade Factors'!$F:$F,MATCH(SUBSTITUTE(Dashboard!$D578,"_group",Dashboard!$D$503),'Deliverability Upgrade Factors'!$B:$B,0))</f>
        <v>0</v>
      </c>
      <c r="AH578" s="34" t="s">
        <v>422</v>
      </c>
    </row>
    <row r="579" spans="4:34" outlineLevel="2" x14ac:dyDescent="0.2">
      <c r="D579" s="8" t="s">
        <v>266</v>
      </c>
      <c r="E579" s="10">
        <f>-E417*INDEX('Deliverability Upgrade Factors'!$F:$F,MATCH(SUBSTITUTE(Dashboard!$D579,"_group",Dashboard!$D$503),'Deliverability Upgrade Factors'!$B:$B,0))</f>
        <v>0</v>
      </c>
      <c r="F579" s="10">
        <f>-F417*INDEX('Deliverability Upgrade Factors'!$F:$F,MATCH(SUBSTITUTE(Dashboard!$D579,"_group",Dashboard!$D$503),'Deliverability Upgrade Factors'!$B:$B,0))</f>
        <v>0</v>
      </c>
      <c r="G579" s="10">
        <f>-G417*INDEX('Deliverability Upgrade Factors'!$F:$F,MATCH(SUBSTITUTE(Dashboard!$D579,"_group",Dashboard!$D$503),'Deliverability Upgrade Factors'!$B:$B,0))</f>
        <v>0</v>
      </c>
      <c r="H579" s="10">
        <f>-H417*INDEX('Deliverability Upgrade Factors'!$F:$F,MATCH(SUBSTITUTE(Dashboard!$D579,"_group",Dashboard!$D$503),'Deliverability Upgrade Factors'!$B:$B,0))</f>
        <v>0</v>
      </c>
      <c r="I579" s="10">
        <f>-I417*INDEX('Deliverability Upgrade Factors'!$F:$F,MATCH(SUBSTITUTE(Dashboard!$D579,"_group",Dashboard!$D$503),'Deliverability Upgrade Factors'!$B:$B,0))</f>
        <v>0</v>
      </c>
      <c r="J579" s="10">
        <f>-J417*INDEX('Deliverability Upgrade Factors'!$F:$F,MATCH(SUBSTITUTE(Dashboard!$D579,"_group",Dashboard!$D$503),'Deliverability Upgrade Factors'!$B:$B,0))</f>
        <v>0</v>
      </c>
      <c r="K579" s="10">
        <f>-K417*INDEX('Deliverability Upgrade Factors'!$F:$F,MATCH(SUBSTITUTE(Dashboard!$D579,"_group",Dashboard!$D$503),'Deliverability Upgrade Factors'!$B:$B,0))</f>
        <v>0</v>
      </c>
      <c r="L579" s="10">
        <f>-L417*INDEX('Deliverability Upgrade Factors'!$F:$F,MATCH(SUBSTITUTE(Dashboard!$D579,"_group",Dashboard!$D$503),'Deliverability Upgrade Factors'!$B:$B,0))</f>
        <v>0</v>
      </c>
      <c r="M579" s="10">
        <f>-M417*INDEX('Deliverability Upgrade Factors'!$F:$F,MATCH(SUBSTITUTE(Dashboard!$D579,"_group",Dashboard!$D$503),'Deliverability Upgrade Factors'!$B:$B,0))</f>
        <v>0</v>
      </c>
      <c r="N579" s="10">
        <f>-N417*INDEX('Deliverability Upgrade Factors'!$F:$F,MATCH(SUBSTITUTE(Dashboard!$D579,"_group",Dashboard!$D$503),'Deliverability Upgrade Factors'!$B:$B,0))</f>
        <v>0</v>
      </c>
      <c r="O579" s="10">
        <f>-O417*INDEX('Deliverability Upgrade Factors'!$F:$F,MATCH(SUBSTITUTE(Dashboard!$D579,"_group",Dashboard!$D$503),'Deliverability Upgrade Factors'!$B:$B,0))</f>
        <v>0</v>
      </c>
      <c r="P579" s="10">
        <f>-P417*INDEX('Deliverability Upgrade Factors'!$F:$F,MATCH(SUBSTITUTE(Dashboard!$D579,"_group",Dashboard!$D$503),'Deliverability Upgrade Factors'!$B:$B,0))</f>
        <v>0</v>
      </c>
      <c r="Q579" s="10">
        <f>-Q417*INDEX('Deliverability Upgrade Factors'!$F:$F,MATCH(SUBSTITUTE(Dashboard!$D579,"_group",Dashboard!$D$503),'Deliverability Upgrade Factors'!$B:$B,0))</f>
        <v>0</v>
      </c>
      <c r="R579" s="10">
        <f>-R417*INDEX('Deliverability Upgrade Factors'!$F:$F,MATCH(SUBSTITUTE(Dashboard!$D579,"_group",Dashboard!$D$503),'Deliverability Upgrade Factors'!$B:$B,0))</f>
        <v>0</v>
      </c>
      <c r="S579" s="10">
        <f>-S417*INDEX('Deliverability Upgrade Factors'!$F:$F,MATCH(SUBSTITUTE(Dashboard!$D579,"_group",Dashboard!$D$503),'Deliverability Upgrade Factors'!$B:$B,0))</f>
        <v>0</v>
      </c>
      <c r="T579" s="10">
        <f>-T417*INDEX('Deliverability Upgrade Factors'!$F:$F,MATCH(SUBSTITUTE(Dashboard!$D579,"_group",Dashboard!$D$503),'Deliverability Upgrade Factors'!$B:$B,0))</f>
        <v>0</v>
      </c>
      <c r="U579" s="10">
        <f>-U417*INDEX('Deliverability Upgrade Factors'!$F:$F,MATCH(SUBSTITUTE(Dashboard!$D579,"_group",Dashboard!$D$503),'Deliverability Upgrade Factors'!$B:$B,0))</f>
        <v>0</v>
      </c>
      <c r="V579" s="10">
        <f>-V417*INDEX('Deliverability Upgrade Factors'!$F:$F,MATCH(SUBSTITUTE(Dashboard!$D579,"_group",Dashboard!$D$503),'Deliverability Upgrade Factors'!$B:$B,0))</f>
        <v>0</v>
      </c>
      <c r="W579" s="10">
        <f>-W417*INDEX('Deliverability Upgrade Factors'!$F:$F,MATCH(SUBSTITUTE(Dashboard!$D579,"_group",Dashboard!$D$503),'Deliverability Upgrade Factors'!$B:$B,0))</f>
        <v>0</v>
      </c>
      <c r="X579" s="10">
        <f>-X417*INDEX('Deliverability Upgrade Factors'!$F:$F,MATCH(SUBSTITUTE(Dashboard!$D579,"_group",Dashboard!$D$503),'Deliverability Upgrade Factors'!$B:$B,0))</f>
        <v>0</v>
      </c>
      <c r="Y579" s="10">
        <f>-Y417*INDEX('Deliverability Upgrade Factors'!$F:$F,MATCH(SUBSTITUTE(Dashboard!$D579,"_group",Dashboard!$D$503),'Deliverability Upgrade Factors'!$B:$B,0))</f>
        <v>0</v>
      </c>
      <c r="Z579" s="10">
        <f>-Z417*INDEX('Deliverability Upgrade Factors'!$F:$F,MATCH(SUBSTITUTE(Dashboard!$D579,"_group",Dashboard!$D$503),'Deliverability Upgrade Factors'!$B:$B,0))</f>
        <v>0</v>
      </c>
      <c r="AA579" s="10">
        <f>-AA417*INDEX('Deliverability Upgrade Factors'!$F:$F,MATCH(SUBSTITUTE(Dashboard!$D579,"_group",Dashboard!$D$503),'Deliverability Upgrade Factors'!$B:$B,0))</f>
        <v>0</v>
      </c>
      <c r="AB579" s="10">
        <f>-AB417*INDEX('Deliverability Upgrade Factors'!$F:$F,MATCH(SUBSTITUTE(Dashboard!$D579,"_group",Dashboard!$D$503),'Deliverability Upgrade Factors'!$B:$B,0))</f>
        <v>0</v>
      </c>
      <c r="AC579" s="10">
        <f>-AC417*INDEX('Deliverability Upgrade Factors'!$F:$F,MATCH(SUBSTITUTE(Dashboard!$D579,"_group",Dashboard!$D$503),'Deliverability Upgrade Factors'!$B:$B,0))</f>
        <v>0</v>
      </c>
      <c r="AD579" s="10">
        <f>-AD417*INDEX('Deliverability Upgrade Factors'!$F:$F,MATCH(SUBSTITUTE(Dashboard!$D579,"_group",Dashboard!$D$503),'Deliverability Upgrade Factors'!$B:$B,0))</f>
        <v>0</v>
      </c>
      <c r="AH579" s="34" t="s">
        <v>422</v>
      </c>
    </row>
    <row r="580" spans="4:34" outlineLevel="2" x14ac:dyDescent="0.2">
      <c r="D580" s="8" t="s">
        <v>267</v>
      </c>
      <c r="E580" s="10">
        <f>-E418*INDEX('Deliverability Upgrade Factors'!$F:$F,MATCH(SUBSTITUTE(Dashboard!$D580,"_group",Dashboard!$D$503),'Deliverability Upgrade Factors'!$B:$B,0))</f>
        <v>0</v>
      </c>
      <c r="F580" s="10">
        <f>-F418*INDEX('Deliverability Upgrade Factors'!$F:$F,MATCH(SUBSTITUTE(Dashboard!$D580,"_group",Dashboard!$D$503),'Deliverability Upgrade Factors'!$B:$B,0))</f>
        <v>0</v>
      </c>
      <c r="G580" s="10">
        <f>-G418*INDEX('Deliverability Upgrade Factors'!$F:$F,MATCH(SUBSTITUTE(Dashboard!$D580,"_group",Dashboard!$D$503),'Deliverability Upgrade Factors'!$B:$B,0))</f>
        <v>0</v>
      </c>
      <c r="H580" s="10">
        <f>-H418*INDEX('Deliverability Upgrade Factors'!$F:$F,MATCH(SUBSTITUTE(Dashboard!$D580,"_group",Dashboard!$D$503),'Deliverability Upgrade Factors'!$B:$B,0))</f>
        <v>0</v>
      </c>
      <c r="I580" s="10">
        <f>-I418*INDEX('Deliverability Upgrade Factors'!$F:$F,MATCH(SUBSTITUTE(Dashboard!$D580,"_group",Dashboard!$D$503),'Deliverability Upgrade Factors'!$B:$B,0))</f>
        <v>0</v>
      </c>
      <c r="J580" s="10">
        <f>-J418*INDEX('Deliverability Upgrade Factors'!$F:$F,MATCH(SUBSTITUTE(Dashboard!$D580,"_group",Dashboard!$D$503),'Deliverability Upgrade Factors'!$B:$B,0))</f>
        <v>0</v>
      </c>
      <c r="K580" s="10">
        <f>-K418*INDEX('Deliverability Upgrade Factors'!$F:$F,MATCH(SUBSTITUTE(Dashboard!$D580,"_group",Dashboard!$D$503),'Deliverability Upgrade Factors'!$B:$B,0))</f>
        <v>0</v>
      </c>
      <c r="L580" s="10">
        <f>-L418*INDEX('Deliverability Upgrade Factors'!$F:$F,MATCH(SUBSTITUTE(Dashboard!$D580,"_group",Dashboard!$D$503),'Deliverability Upgrade Factors'!$B:$B,0))</f>
        <v>0</v>
      </c>
      <c r="M580" s="10">
        <f>-M418*INDEX('Deliverability Upgrade Factors'!$F:$F,MATCH(SUBSTITUTE(Dashboard!$D580,"_group",Dashboard!$D$503),'Deliverability Upgrade Factors'!$B:$B,0))</f>
        <v>0</v>
      </c>
      <c r="N580" s="10">
        <f>-N418*INDEX('Deliverability Upgrade Factors'!$F:$F,MATCH(SUBSTITUTE(Dashboard!$D580,"_group",Dashboard!$D$503),'Deliverability Upgrade Factors'!$B:$B,0))</f>
        <v>0</v>
      </c>
      <c r="O580" s="10">
        <f>-O418*INDEX('Deliverability Upgrade Factors'!$F:$F,MATCH(SUBSTITUTE(Dashboard!$D580,"_group",Dashboard!$D$503),'Deliverability Upgrade Factors'!$B:$B,0))</f>
        <v>0</v>
      </c>
      <c r="P580" s="10">
        <f>-P418*INDEX('Deliverability Upgrade Factors'!$F:$F,MATCH(SUBSTITUTE(Dashboard!$D580,"_group",Dashboard!$D$503),'Deliverability Upgrade Factors'!$B:$B,0))</f>
        <v>0</v>
      </c>
      <c r="Q580" s="10">
        <f>-Q418*INDEX('Deliverability Upgrade Factors'!$F:$F,MATCH(SUBSTITUTE(Dashboard!$D580,"_group",Dashboard!$D$503),'Deliverability Upgrade Factors'!$B:$B,0))</f>
        <v>0</v>
      </c>
      <c r="R580" s="10">
        <f>-R418*INDEX('Deliverability Upgrade Factors'!$F:$F,MATCH(SUBSTITUTE(Dashboard!$D580,"_group",Dashboard!$D$503),'Deliverability Upgrade Factors'!$B:$B,0))</f>
        <v>0</v>
      </c>
      <c r="S580" s="10">
        <f>-S418*INDEX('Deliverability Upgrade Factors'!$F:$F,MATCH(SUBSTITUTE(Dashboard!$D580,"_group",Dashboard!$D$503),'Deliverability Upgrade Factors'!$B:$B,0))</f>
        <v>0</v>
      </c>
      <c r="T580" s="10">
        <f>-T418*INDEX('Deliverability Upgrade Factors'!$F:$F,MATCH(SUBSTITUTE(Dashboard!$D580,"_group",Dashboard!$D$503),'Deliverability Upgrade Factors'!$B:$B,0))</f>
        <v>0</v>
      </c>
      <c r="U580" s="10">
        <f>-U418*INDEX('Deliverability Upgrade Factors'!$F:$F,MATCH(SUBSTITUTE(Dashboard!$D580,"_group",Dashboard!$D$503),'Deliverability Upgrade Factors'!$B:$B,0))</f>
        <v>0</v>
      </c>
      <c r="V580" s="10">
        <f>-V418*INDEX('Deliverability Upgrade Factors'!$F:$F,MATCH(SUBSTITUTE(Dashboard!$D580,"_group",Dashboard!$D$503),'Deliverability Upgrade Factors'!$B:$B,0))</f>
        <v>0</v>
      </c>
      <c r="W580" s="10">
        <f>-W418*INDEX('Deliverability Upgrade Factors'!$F:$F,MATCH(SUBSTITUTE(Dashboard!$D580,"_group",Dashboard!$D$503),'Deliverability Upgrade Factors'!$B:$B,0))</f>
        <v>0</v>
      </c>
      <c r="X580" s="10">
        <f>-X418*INDEX('Deliverability Upgrade Factors'!$F:$F,MATCH(SUBSTITUTE(Dashboard!$D580,"_group",Dashboard!$D$503),'Deliverability Upgrade Factors'!$B:$B,0))</f>
        <v>0</v>
      </c>
      <c r="Y580" s="10">
        <f>-Y418*INDEX('Deliverability Upgrade Factors'!$F:$F,MATCH(SUBSTITUTE(Dashboard!$D580,"_group",Dashboard!$D$503),'Deliverability Upgrade Factors'!$B:$B,0))</f>
        <v>0</v>
      </c>
      <c r="Z580" s="10">
        <f>-Z418*INDEX('Deliverability Upgrade Factors'!$F:$F,MATCH(SUBSTITUTE(Dashboard!$D580,"_group",Dashboard!$D$503),'Deliverability Upgrade Factors'!$B:$B,0))</f>
        <v>0</v>
      </c>
      <c r="AA580" s="10">
        <f>-AA418*INDEX('Deliverability Upgrade Factors'!$F:$F,MATCH(SUBSTITUTE(Dashboard!$D580,"_group",Dashboard!$D$503),'Deliverability Upgrade Factors'!$B:$B,0))</f>
        <v>0</v>
      </c>
      <c r="AB580" s="10">
        <f>-AB418*INDEX('Deliverability Upgrade Factors'!$F:$F,MATCH(SUBSTITUTE(Dashboard!$D580,"_group",Dashboard!$D$503),'Deliverability Upgrade Factors'!$B:$B,0))</f>
        <v>0</v>
      </c>
      <c r="AC580" s="10">
        <f>-AC418*INDEX('Deliverability Upgrade Factors'!$F:$F,MATCH(SUBSTITUTE(Dashboard!$D580,"_group",Dashboard!$D$503),'Deliverability Upgrade Factors'!$B:$B,0))</f>
        <v>0</v>
      </c>
      <c r="AD580" s="10">
        <f>-AD418*INDEX('Deliverability Upgrade Factors'!$F:$F,MATCH(SUBSTITUTE(Dashboard!$D580,"_group",Dashboard!$D$503),'Deliverability Upgrade Factors'!$B:$B,0))</f>
        <v>0</v>
      </c>
      <c r="AH580" s="34" t="s">
        <v>422</v>
      </c>
    </row>
    <row r="581" spans="4:34" outlineLevel="2" x14ac:dyDescent="0.2">
      <c r="D581" s="8" t="s">
        <v>268</v>
      </c>
      <c r="E581" s="10">
        <f>-E419*INDEX('Deliverability Upgrade Factors'!$F:$F,MATCH(SUBSTITUTE(Dashboard!$D581,"_group",Dashboard!$D$503),'Deliverability Upgrade Factors'!$B:$B,0))</f>
        <v>0</v>
      </c>
      <c r="F581" s="10">
        <f>-F419*INDEX('Deliverability Upgrade Factors'!$F:$F,MATCH(SUBSTITUTE(Dashboard!$D581,"_group",Dashboard!$D$503),'Deliverability Upgrade Factors'!$B:$B,0))</f>
        <v>0</v>
      </c>
      <c r="G581" s="10">
        <f>-G419*INDEX('Deliverability Upgrade Factors'!$F:$F,MATCH(SUBSTITUTE(Dashboard!$D581,"_group",Dashboard!$D$503),'Deliverability Upgrade Factors'!$B:$B,0))</f>
        <v>0</v>
      </c>
      <c r="H581" s="10">
        <f>-H419*INDEX('Deliverability Upgrade Factors'!$F:$F,MATCH(SUBSTITUTE(Dashboard!$D581,"_group",Dashboard!$D$503),'Deliverability Upgrade Factors'!$B:$B,0))</f>
        <v>0</v>
      </c>
      <c r="I581" s="10">
        <f>-I419*INDEX('Deliverability Upgrade Factors'!$F:$F,MATCH(SUBSTITUTE(Dashboard!$D581,"_group",Dashboard!$D$503),'Deliverability Upgrade Factors'!$B:$B,0))</f>
        <v>0</v>
      </c>
      <c r="J581" s="10">
        <f>-J419*INDEX('Deliverability Upgrade Factors'!$F:$F,MATCH(SUBSTITUTE(Dashboard!$D581,"_group",Dashboard!$D$503),'Deliverability Upgrade Factors'!$B:$B,0))</f>
        <v>0</v>
      </c>
      <c r="K581" s="10">
        <f>-K419*INDEX('Deliverability Upgrade Factors'!$F:$F,MATCH(SUBSTITUTE(Dashboard!$D581,"_group",Dashboard!$D$503),'Deliverability Upgrade Factors'!$B:$B,0))</f>
        <v>0</v>
      </c>
      <c r="L581" s="10">
        <f>-L419*INDEX('Deliverability Upgrade Factors'!$F:$F,MATCH(SUBSTITUTE(Dashboard!$D581,"_group",Dashboard!$D$503),'Deliverability Upgrade Factors'!$B:$B,0))</f>
        <v>0</v>
      </c>
      <c r="M581" s="10">
        <f>-M419*INDEX('Deliverability Upgrade Factors'!$F:$F,MATCH(SUBSTITUTE(Dashboard!$D581,"_group",Dashboard!$D$503),'Deliverability Upgrade Factors'!$B:$B,0))</f>
        <v>0</v>
      </c>
      <c r="N581" s="10">
        <f>-N419*INDEX('Deliverability Upgrade Factors'!$F:$F,MATCH(SUBSTITUTE(Dashboard!$D581,"_group",Dashboard!$D$503),'Deliverability Upgrade Factors'!$B:$B,0))</f>
        <v>0</v>
      </c>
      <c r="O581" s="10">
        <f>-O419*INDEX('Deliverability Upgrade Factors'!$F:$F,MATCH(SUBSTITUTE(Dashboard!$D581,"_group",Dashboard!$D$503),'Deliverability Upgrade Factors'!$B:$B,0))</f>
        <v>0</v>
      </c>
      <c r="P581" s="10">
        <f>-P419*INDEX('Deliverability Upgrade Factors'!$F:$F,MATCH(SUBSTITUTE(Dashboard!$D581,"_group",Dashboard!$D$503),'Deliverability Upgrade Factors'!$B:$B,0))</f>
        <v>0</v>
      </c>
      <c r="Q581" s="10">
        <f>-Q419*INDEX('Deliverability Upgrade Factors'!$F:$F,MATCH(SUBSTITUTE(Dashboard!$D581,"_group",Dashboard!$D$503),'Deliverability Upgrade Factors'!$B:$B,0))</f>
        <v>0</v>
      </c>
      <c r="R581" s="10">
        <f>-R419*INDEX('Deliverability Upgrade Factors'!$F:$F,MATCH(SUBSTITUTE(Dashboard!$D581,"_group",Dashboard!$D$503),'Deliverability Upgrade Factors'!$B:$B,0))</f>
        <v>0</v>
      </c>
      <c r="S581" s="10">
        <f>-S419*INDEX('Deliverability Upgrade Factors'!$F:$F,MATCH(SUBSTITUTE(Dashboard!$D581,"_group",Dashboard!$D$503),'Deliverability Upgrade Factors'!$B:$B,0))</f>
        <v>0</v>
      </c>
      <c r="T581" s="10">
        <f>-T419*INDEX('Deliverability Upgrade Factors'!$F:$F,MATCH(SUBSTITUTE(Dashboard!$D581,"_group",Dashboard!$D$503),'Deliverability Upgrade Factors'!$B:$B,0))</f>
        <v>0</v>
      </c>
      <c r="U581" s="10">
        <f>-U419*INDEX('Deliverability Upgrade Factors'!$F:$F,MATCH(SUBSTITUTE(Dashboard!$D581,"_group",Dashboard!$D$503),'Deliverability Upgrade Factors'!$B:$B,0))</f>
        <v>0</v>
      </c>
      <c r="V581" s="10">
        <f>-V419*INDEX('Deliverability Upgrade Factors'!$F:$F,MATCH(SUBSTITUTE(Dashboard!$D581,"_group",Dashboard!$D$503),'Deliverability Upgrade Factors'!$B:$B,0))</f>
        <v>0</v>
      </c>
      <c r="W581" s="10">
        <f>-W419*INDEX('Deliverability Upgrade Factors'!$F:$F,MATCH(SUBSTITUTE(Dashboard!$D581,"_group",Dashboard!$D$503),'Deliverability Upgrade Factors'!$B:$B,0))</f>
        <v>0</v>
      </c>
      <c r="X581" s="10">
        <f>-X419*INDEX('Deliverability Upgrade Factors'!$F:$F,MATCH(SUBSTITUTE(Dashboard!$D581,"_group",Dashboard!$D$503),'Deliverability Upgrade Factors'!$B:$B,0))</f>
        <v>0</v>
      </c>
      <c r="Y581" s="10">
        <f>-Y419*INDEX('Deliverability Upgrade Factors'!$F:$F,MATCH(SUBSTITUTE(Dashboard!$D581,"_group",Dashboard!$D$503),'Deliverability Upgrade Factors'!$B:$B,0))</f>
        <v>0</v>
      </c>
      <c r="Z581" s="10">
        <f>-Z419*INDEX('Deliverability Upgrade Factors'!$F:$F,MATCH(SUBSTITUTE(Dashboard!$D581,"_group",Dashboard!$D$503),'Deliverability Upgrade Factors'!$B:$B,0))</f>
        <v>0</v>
      </c>
      <c r="AA581" s="10">
        <f>-AA419*INDEX('Deliverability Upgrade Factors'!$F:$F,MATCH(SUBSTITUTE(Dashboard!$D581,"_group",Dashboard!$D$503),'Deliverability Upgrade Factors'!$B:$B,0))</f>
        <v>0</v>
      </c>
      <c r="AB581" s="10">
        <f>-AB419*INDEX('Deliverability Upgrade Factors'!$F:$F,MATCH(SUBSTITUTE(Dashboard!$D581,"_group",Dashboard!$D$503),'Deliverability Upgrade Factors'!$B:$B,0))</f>
        <v>0</v>
      </c>
      <c r="AC581" s="10">
        <f>-AC419*INDEX('Deliverability Upgrade Factors'!$F:$F,MATCH(SUBSTITUTE(Dashboard!$D581,"_group",Dashboard!$D$503),'Deliverability Upgrade Factors'!$B:$B,0))</f>
        <v>0</v>
      </c>
      <c r="AD581" s="10">
        <f>-AD419*INDEX('Deliverability Upgrade Factors'!$F:$F,MATCH(SUBSTITUTE(Dashboard!$D581,"_group",Dashboard!$D$503),'Deliverability Upgrade Factors'!$B:$B,0))</f>
        <v>0</v>
      </c>
      <c r="AH581" s="34" t="s">
        <v>422</v>
      </c>
    </row>
    <row r="582" spans="4:34" outlineLevel="2" x14ac:dyDescent="0.2">
      <c r="D582" s="8" t="s">
        <v>269</v>
      </c>
      <c r="E582" s="10">
        <f>-E420*INDEX('Deliverability Upgrade Factors'!$F:$F,MATCH(SUBSTITUTE(Dashboard!$D582,"_group",Dashboard!$D$503),'Deliverability Upgrade Factors'!$B:$B,0))</f>
        <v>0</v>
      </c>
      <c r="F582" s="10">
        <f>-F420*INDEX('Deliverability Upgrade Factors'!$F:$F,MATCH(SUBSTITUTE(Dashboard!$D582,"_group",Dashboard!$D$503),'Deliverability Upgrade Factors'!$B:$B,0))</f>
        <v>0</v>
      </c>
      <c r="G582" s="10">
        <f>-G420*INDEX('Deliverability Upgrade Factors'!$F:$F,MATCH(SUBSTITUTE(Dashboard!$D582,"_group",Dashboard!$D$503),'Deliverability Upgrade Factors'!$B:$B,0))</f>
        <v>0</v>
      </c>
      <c r="H582" s="10">
        <f>-H420*INDEX('Deliverability Upgrade Factors'!$F:$F,MATCH(SUBSTITUTE(Dashboard!$D582,"_group",Dashboard!$D$503),'Deliverability Upgrade Factors'!$B:$B,0))</f>
        <v>0</v>
      </c>
      <c r="I582" s="10">
        <f>-I420*INDEX('Deliverability Upgrade Factors'!$F:$F,MATCH(SUBSTITUTE(Dashboard!$D582,"_group",Dashboard!$D$503),'Deliverability Upgrade Factors'!$B:$B,0))</f>
        <v>0</v>
      </c>
      <c r="J582" s="10">
        <f>-J420*INDEX('Deliverability Upgrade Factors'!$F:$F,MATCH(SUBSTITUTE(Dashboard!$D582,"_group",Dashboard!$D$503),'Deliverability Upgrade Factors'!$B:$B,0))</f>
        <v>0</v>
      </c>
      <c r="K582" s="10">
        <f>-K420*INDEX('Deliverability Upgrade Factors'!$F:$F,MATCH(SUBSTITUTE(Dashboard!$D582,"_group",Dashboard!$D$503),'Deliverability Upgrade Factors'!$B:$B,0))</f>
        <v>0</v>
      </c>
      <c r="L582" s="10">
        <f>-L420*INDEX('Deliverability Upgrade Factors'!$F:$F,MATCH(SUBSTITUTE(Dashboard!$D582,"_group",Dashboard!$D$503),'Deliverability Upgrade Factors'!$B:$B,0))</f>
        <v>0</v>
      </c>
      <c r="M582" s="10">
        <f>-M420*INDEX('Deliverability Upgrade Factors'!$F:$F,MATCH(SUBSTITUTE(Dashboard!$D582,"_group",Dashboard!$D$503),'Deliverability Upgrade Factors'!$B:$B,0))</f>
        <v>0</v>
      </c>
      <c r="N582" s="10">
        <f>-N420*INDEX('Deliverability Upgrade Factors'!$F:$F,MATCH(SUBSTITUTE(Dashboard!$D582,"_group",Dashboard!$D$503),'Deliverability Upgrade Factors'!$B:$B,0))</f>
        <v>0</v>
      </c>
      <c r="O582" s="10">
        <f>-O420*INDEX('Deliverability Upgrade Factors'!$F:$F,MATCH(SUBSTITUTE(Dashboard!$D582,"_group",Dashboard!$D$503),'Deliverability Upgrade Factors'!$B:$B,0))</f>
        <v>0</v>
      </c>
      <c r="P582" s="10">
        <f>-P420*INDEX('Deliverability Upgrade Factors'!$F:$F,MATCH(SUBSTITUTE(Dashboard!$D582,"_group",Dashboard!$D$503),'Deliverability Upgrade Factors'!$B:$B,0))</f>
        <v>0</v>
      </c>
      <c r="Q582" s="10">
        <f>-Q420*INDEX('Deliverability Upgrade Factors'!$F:$F,MATCH(SUBSTITUTE(Dashboard!$D582,"_group",Dashboard!$D$503),'Deliverability Upgrade Factors'!$B:$B,0))</f>
        <v>0</v>
      </c>
      <c r="R582" s="10">
        <f>-R420*INDEX('Deliverability Upgrade Factors'!$F:$F,MATCH(SUBSTITUTE(Dashboard!$D582,"_group",Dashboard!$D$503),'Deliverability Upgrade Factors'!$B:$B,0))</f>
        <v>0</v>
      </c>
      <c r="S582" s="10">
        <f>-S420*INDEX('Deliverability Upgrade Factors'!$F:$F,MATCH(SUBSTITUTE(Dashboard!$D582,"_group",Dashboard!$D$503),'Deliverability Upgrade Factors'!$B:$B,0))</f>
        <v>0</v>
      </c>
      <c r="T582" s="10">
        <f>-T420*INDEX('Deliverability Upgrade Factors'!$F:$F,MATCH(SUBSTITUTE(Dashboard!$D582,"_group",Dashboard!$D$503),'Deliverability Upgrade Factors'!$B:$B,0))</f>
        <v>0</v>
      </c>
      <c r="U582" s="10">
        <f>-U420*INDEX('Deliverability Upgrade Factors'!$F:$F,MATCH(SUBSTITUTE(Dashboard!$D582,"_group",Dashboard!$D$503),'Deliverability Upgrade Factors'!$B:$B,0))</f>
        <v>0</v>
      </c>
      <c r="V582" s="10">
        <f>-V420*INDEX('Deliverability Upgrade Factors'!$F:$F,MATCH(SUBSTITUTE(Dashboard!$D582,"_group",Dashboard!$D$503),'Deliverability Upgrade Factors'!$B:$B,0))</f>
        <v>0</v>
      </c>
      <c r="W582" s="10">
        <f>-W420*INDEX('Deliverability Upgrade Factors'!$F:$F,MATCH(SUBSTITUTE(Dashboard!$D582,"_group",Dashboard!$D$503),'Deliverability Upgrade Factors'!$B:$B,0))</f>
        <v>0</v>
      </c>
      <c r="X582" s="10">
        <f>-X420*INDEX('Deliverability Upgrade Factors'!$F:$F,MATCH(SUBSTITUTE(Dashboard!$D582,"_group",Dashboard!$D$503),'Deliverability Upgrade Factors'!$B:$B,0))</f>
        <v>0</v>
      </c>
      <c r="Y582" s="10">
        <f>-Y420*INDEX('Deliverability Upgrade Factors'!$F:$F,MATCH(SUBSTITUTE(Dashboard!$D582,"_group",Dashboard!$D$503),'Deliverability Upgrade Factors'!$B:$B,0))</f>
        <v>0</v>
      </c>
      <c r="Z582" s="10">
        <f>-Z420*INDEX('Deliverability Upgrade Factors'!$F:$F,MATCH(SUBSTITUTE(Dashboard!$D582,"_group",Dashboard!$D$503),'Deliverability Upgrade Factors'!$B:$B,0))</f>
        <v>0</v>
      </c>
      <c r="AA582" s="10">
        <f>-AA420*INDEX('Deliverability Upgrade Factors'!$F:$F,MATCH(SUBSTITUTE(Dashboard!$D582,"_group",Dashboard!$D$503),'Deliverability Upgrade Factors'!$B:$B,0))</f>
        <v>0</v>
      </c>
      <c r="AB582" s="10">
        <f>-AB420*INDEX('Deliverability Upgrade Factors'!$F:$F,MATCH(SUBSTITUTE(Dashboard!$D582,"_group",Dashboard!$D$503),'Deliverability Upgrade Factors'!$B:$B,0))</f>
        <v>0</v>
      </c>
      <c r="AC582" s="10">
        <f>-AC420*INDEX('Deliverability Upgrade Factors'!$F:$F,MATCH(SUBSTITUTE(Dashboard!$D582,"_group",Dashboard!$D$503),'Deliverability Upgrade Factors'!$B:$B,0))</f>
        <v>0</v>
      </c>
      <c r="AD582" s="10">
        <f>-AD420*INDEX('Deliverability Upgrade Factors'!$F:$F,MATCH(SUBSTITUTE(Dashboard!$D582,"_group",Dashboard!$D$503),'Deliverability Upgrade Factors'!$B:$B,0))</f>
        <v>0</v>
      </c>
      <c r="AH582" s="34" t="s">
        <v>422</v>
      </c>
    </row>
    <row r="583" spans="4:34" outlineLevel="2" x14ac:dyDescent="0.2">
      <c r="D583" s="8" t="s">
        <v>270</v>
      </c>
      <c r="E583" s="10">
        <f>-E421*INDEX('Deliverability Upgrade Factors'!$F:$F,MATCH(SUBSTITUTE(Dashboard!$D583,"_group",Dashboard!$D$503),'Deliverability Upgrade Factors'!$B:$B,0))</f>
        <v>0</v>
      </c>
      <c r="F583" s="10">
        <f>-F421*INDEX('Deliverability Upgrade Factors'!$F:$F,MATCH(SUBSTITUTE(Dashboard!$D583,"_group",Dashboard!$D$503),'Deliverability Upgrade Factors'!$B:$B,0))</f>
        <v>0</v>
      </c>
      <c r="G583" s="10">
        <f>-G421*INDEX('Deliverability Upgrade Factors'!$F:$F,MATCH(SUBSTITUTE(Dashboard!$D583,"_group",Dashboard!$D$503),'Deliverability Upgrade Factors'!$B:$B,0))</f>
        <v>0</v>
      </c>
      <c r="H583" s="10">
        <f>-H421*INDEX('Deliverability Upgrade Factors'!$F:$F,MATCH(SUBSTITUTE(Dashboard!$D583,"_group",Dashboard!$D$503),'Deliverability Upgrade Factors'!$B:$B,0))</f>
        <v>0</v>
      </c>
      <c r="I583" s="10">
        <f>-I421*INDEX('Deliverability Upgrade Factors'!$F:$F,MATCH(SUBSTITUTE(Dashboard!$D583,"_group",Dashboard!$D$503),'Deliverability Upgrade Factors'!$B:$B,0))</f>
        <v>0</v>
      </c>
      <c r="J583" s="10">
        <f>-J421*INDEX('Deliverability Upgrade Factors'!$F:$F,MATCH(SUBSTITUTE(Dashboard!$D583,"_group",Dashboard!$D$503),'Deliverability Upgrade Factors'!$B:$B,0))</f>
        <v>0</v>
      </c>
      <c r="K583" s="10">
        <f>-K421*INDEX('Deliverability Upgrade Factors'!$F:$F,MATCH(SUBSTITUTE(Dashboard!$D583,"_group",Dashboard!$D$503),'Deliverability Upgrade Factors'!$B:$B,0))</f>
        <v>0</v>
      </c>
      <c r="L583" s="10">
        <f>-L421*INDEX('Deliverability Upgrade Factors'!$F:$F,MATCH(SUBSTITUTE(Dashboard!$D583,"_group",Dashboard!$D$503),'Deliverability Upgrade Factors'!$B:$B,0))</f>
        <v>0</v>
      </c>
      <c r="M583" s="10">
        <f>-M421*INDEX('Deliverability Upgrade Factors'!$F:$F,MATCH(SUBSTITUTE(Dashboard!$D583,"_group",Dashboard!$D$503),'Deliverability Upgrade Factors'!$B:$B,0))</f>
        <v>0</v>
      </c>
      <c r="N583" s="10">
        <f>-N421*INDEX('Deliverability Upgrade Factors'!$F:$F,MATCH(SUBSTITUTE(Dashboard!$D583,"_group",Dashboard!$D$503),'Deliverability Upgrade Factors'!$B:$B,0))</f>
        <v>0</v>
      </c>
      <c r="O583" s="10">
        <f>-O421*INDEX('Deliverability Upgrade Factors'!$F:$F,MATCH(SUBSTITUTE(Dashboard!$D583,"_group",Dashboard!$D$503),'Deliverability Upgrade Factors'!$B:$B,0))</f>
        <v>0</v>
      </c>
      <c r="P583" s="10">
        <f>-P421*INDEX('Deliverability Upgrade Factors'!$F:$F,MATCH(SUBSTITUTE(Dashboard!$D583,"_group",Dashboard!$D$503),'Deliverability Upgrade Factors'!$B:$B,0))</f>
        <v>0</v>
      </c>
      <c r="Q583" s="10">
        <f>-Q421*INDEX('Deliverability Upgrade Factors'!$F:$F,MATCH(SUBSTITUTE(Dashboard!$D583,"_group",Dashboard!$D$503),'Deliverability Upgrade Factors'!$B:$B,0))</f>
        <v>0</v>
      </c>
      <c r="R583" s="10">
        <f>-R421*INDEX('Deliverability Upgrade Factors'!$F:$F,MATCH(SUBSTITUTE(Dashboard!$D583,"_group",Dashboard!$D$503),'Deliverability Upgrade Factors'!$B:$B,0))</f>
        <v>0</v>
      </c>
      <c r="S583" s="10">
        <f>-S421*INDEX('Deliverability Upgrade Factors'!$F:$F,MATCH(SUBSTITUTE(Dashboard!$D583,"_group",Dashboard!$D$503),'Deliverability Upgrade Factors'!$B:$B,0))</f>
        <v>0</v>
      </c>
      <c r="T583" s="10">
        <f>-T421*INDEX('Deliverability Upgrade Factors'!$F:$F,MATCH(SUBSTITUTE(Dashboard!$D583,"_group",Dashboard!$D$503),'Deliverability Upgrade Factors'!$B:$B,0))</f>
        <v>0</v>
      </c>
      <c r="U583" s="10">
        <f>-U421*INDEX('Deliverability Upgrade Factors'!$F:$F,MATCH(SUBSTITUTE(Dashboard!$D583,"_group",Dashboard!$D$503),'Deliverability Upgrade Factors'!$B:$B,0))</f>
        <v>0</v>
      </c>
      <c r="V583" s="10">
        <f>-V421*INDEX('Deliverability Upgrade Factors'!$F:$F,MATCH(SUBSTITUTE(Dashboard!$D583,"_group",Dashboard!$D$503),'Deliverability Upgrade Factors'!$B:$B,0))</f>
        <v>0</v>
      </c>
      <c r="W583" s="10">
        <f>-W421*INDEX('Deliverability Upgrade Factors'!$F:$F,MATCH(SUBSTITUTE(Dashboard!$D583,"_group",Dashboard!$D$503),'Deliverability Upgrade Factors'!$B:$B,0))</f>
        <v>0</v>
      </c>
      <c r="X583" s="10">
        <f>-X421*INDEX('Deliverability Upgrade Factors'!$F:$F,MATCH(SUBSTITUTE(Dashboard!$D583,"_group",Dashboard!$D$503),'Deliverability Upgrade Factors'!$B:$B,0))</f>
        <v>0</v>
      </c>
      <c r="Y583" s="10">
        <f>-Y421*INDEX('Deliverability Upgrade Factors'!$F:$F,MATCH(SUBSTITUTE(Dashboard!$D583,"_group",Dashboard!$D$503),'Deliverability Upgrade Factors'!$B:$B,0))</f>
        <v>0</v>
      </c>
      <c r="Z583" s="10">
        <f>-Z421*INDEX('Deliverability Upgrade Factors'!$F:$F,MATCH(SUBSTITUTE(Dashboard!$D583,"_group",Dashboard!$D$503),'Deliverability Upgrade Factors'!$B:$B,0))</f>
        <v>0</v>
      </c>
      <c r="AA583" s="10">
        <f>-AA421*INDEX('Deliverability Upgrade Factors'!$F:$F,MATCH(SUBSTITUTE(Dashboard!$D583,"_group",Dashboard!$D$503),'Deliverability Upgrade Factors'!$B:$B,0))</f>
        <v>0</v>
      </c>
      <c r="AB583" s="10">
        <f>-AB421*INDEX('Deliverability Upgrade Factors'!$F:$F,MATCH(SUBSTITUTE(Dashboard!$D583,"_group",Dashboard!$D$503),'Deliverability Upgrade Factors'!$B:$B,0))</f>
        <v>0</v>
      </c>
      <c r="AC583" s="10">
        <f>-AC421*INDEX('Deliverability Upgrade Factors'!$F:$F,MATCH(SUBSTITUTE(Dashboard!$D583,"_group",Dashboard!$D$503),'Deliverability Upgrade Factors'!$B:$B,0))</f>
        <v>0</v>
      </c>
      <c r="AD583" s="10">
        <f>-AD421*INDEX('Deliverability Upgrade Factors'!$F:$F,MATCH(SUBSTITUTE(Dashboard!$D583,"_group",Dashboard!$D$503),'Deliverability Upgrade Factors'!$B:$B,0))</f>
        <v>0</v>
      </c>
      <c r="AH583" s="34" t="s">
        <v>422</v>
      </c>
    </row>
    <row r="584" spans="4:34" outlineLevel="2" x14ac:dyDescent="0.2">
      <c r="D584" s="8" t="s">
        <v>271</v>
      </c>
      <c r="E584" s="10">
        <f>-E422*INDEX('Deliverability Upgrade Factors'!$F:$F,MATCH(SUBSTITUTE(Dashboard!$D584,"_group",Dashboard!$D$503),'Deliverability Upgrade Factors'!$B:$B,0))</f>
        <v>0</v>
      </c>
      <c r="F584" s="10">
        <f>-F422*INDEX('Deliverability Upgrade Factors'!$F:$F,MATCH(SUBSTITUTE(Dashboard!$D584,"_group",Dashboard!$D$503),'Deliverability Upgrade Factors'!$B:$B,0))</f>
        <v>0</v>
      </c>
      <c r="G584" s="10">
        <f>-G422*INDEX('Deliverability Upgrade Factors'!$F:$F,MATCH(SUBSTITUTE(Dashboard!$D584,"_group",Dashboard!$D$503),'Deliverability Upgrade Factors'!$B:$B,0))</f>
        <v>0</v>
      </c>
      <c r="H584" s="10">
        <f>-H422*INDEX('Deliverability Upgrade Factors'!$F:$F,MATCH(SUBSTITUTE(Dashboard!$D584,"_group",Dashboard!$D$503),'Deliverability Upgrade Factors'!$B:$B,0))</f>
        <v>0</v>
      </c>
      <c r="I584" s="10">
        <f>-I422*INDEX('Deliverability Upgrade Factors'!$F:$F,MATCH(SUBSTITUTE(Dashboard!$D584,"_group",Dashboard!$D$503),'Deliverability Upgrade Factors'!$B:$B,0))</f>
        <v>0</v>
      </c>
      <c r="J584" s="10">
        <f>-J422*INDEX('Deliverability Upgrade Factors'!$F:$F,MATCH(SUBSTITUTE(Dashboard!$D584,"_group",Dashboard!$D$503),'Deliverability Upgrade Factors'!$B:$B,0))</f>
        <v>0</v>
      </c>
      <c r="K584" s="10">
        <f>-K422*INDEX('Deliverability Upgrade Factors'!$F:$F,MATCH(SUBSTITUTE(Dashboard!$D584,"_group",Dashboard!$D$503),'Deliverability Upgrade Factors'!$B:$B,0))</f>
        <v>0</v>
      </c>
      <c r="L584" s="10">
        <f>-L422*INDEX('Deliverability Upgrade Factors'!$F:$F,MATCH(SUBSTITUTE(Dashboard!$D584,"_group",Dashboard!$D$503),'Deliverability Upgrade Factors'!$B:$B,0))</f>
        <v>0</v>
      </c>
      <c r="M584" s="10">
        <f>-M422*INDEX('Deliverability Upgrade Factors'!$F:$F,MATCH(SUBSTITUTE(Dashboard!$D584,"_group",Dashboard!$D$503),'Deliverability Upgrade Factors'!$B:$B,0))</f>
        <v>0</v>
      </c>
      <c r="N584" s="10">
        <f>-N422*INDEX('Deliverability Upgrade Factors'!$F:$F,MATCH(SUBSTITUTE(Dashboard!$D584,"_group",Dashboard!$D$503),'Deliverability Upgrade Factors'!$B:$B,0))</f>
        <v>0</v>
      </c>
      <c r="O584" s="10">
        <f>-O422*INDEX('Deliverability Upgrade Factors'!$F:$F,MATCH(SUBSTITUTE(Dashboard!$D584,"_group",Dashboard!$D$503),'Deliverability Upgrade Factors'!$B:$B,0))</f>
        <v>0</v>
      </c>
      <c r="P584" s="10">
        <f>-P422*INDEX('Deliverability Upgrade Factors'!$F:$F,MATCH(SUBSTITUTE(Dashboard!$D584,"_group",Dashboard!$D$503),'Deliverability Upgrade Factors'!$B:$B,0))</f>
        <v>0</v>
      </c>
      <c r="Q584" s="10">
        <f>-Q422*INDEX('Deliverability Upgrade Factors'!$F:$F,MATCH(SUBSTITUTE(Dashboard!$D584,"_group",Dashboard!$D$503),'Deliverability Upgrade Factors'!$B:$B,0))</f>
        <v>0</v>
      </c>
      <c r="R584" s="10">
        <f>-R422*INDEX('Deliverability Upgrade Factors'!$F:$F,MATCH(SUBSTITUTE(Dashboard!$D584,"_group",Dashboard!$D$503),'Deliverability Upgrade Factors'!$B:$B,0))</f>
        <v>0</v>
      </c>
      <c r="S584" s="10">
        <f>-S422*INDEX('Deliverability Upgrade Factors'!$F:$F,MATCH(SUBSTITUTE(Dashboard!$D584,"_group",Dashboard!$D$503),'Deliverability Upgrade Factors'!$B:$B,0))</f>
        <v>0</v>
      </c>
      <c r="T584" s="10">
        <f>-T422*INDEX('Deliverability Upgrade Factors'!$F:$F,MATCH(SUBSTITUTE(Dashboard!$D584,"_group",Dashboard!$D$503),'Deliverability Upgrade Factors'!$B:$B,0))</f>
        <v>0</v>
      </c>
      <c r="U584" s="10">
        <f>-U422*INDEX('Deliverability Upgrade Factors'!$F:$F,MATCH(SUBSTITUTE(Dashboard!$D584,"_group",Dashboard!$D$503),'Deliverability Upgrade Factors'!$B:$B,0))</f>
        <v>0</v>
      </c>
      <c r="V584" s="10">
        <f>-V422*INDEX('Deliverability Upgrade Factors'!$F:$F,MATCH(SUBSTITUTE(Dashboard!$D584,"_group",Dashboard!$D$503),'Deliverability Upgrade Factors'!$B:$B,0))</f>
        <v>0</v>
      </c>
      <c r="W584" s="10">
        <f>-W422*INDEX('Deliverability Upgrade Factors'!$F:$F,MATCH(SUBSTITUTE(Dashboard!$D584,"_group",Dashboard!$D$503),'Deliverability Upgrade Factors'!$B:$B,0))</f>
        <v>0</v>
      </c>
      <c r="X584" s="10">
        <f>-X422*INDEX('Deliverability Upgrade Factors'!$F:$F,MATCH(SUBSTITUTE(Dashboard!$D584,"_group",Dashboard!$D$503),'Deliverability Upgrade Factors'!$B:$B,0))</f>
        <v>0</v>
      </c>
      <c r="Y584" s="10">
        <f>-Y422*INDEX('Deliverability Upgrade Factors'!$F:$F,MATCH(SUBSTITUTE(Dashboard!$D584,"_group",Dashboard!$D$503),'Deliverability Upgrade Factors'!$B:$B,0))</f>
        <v>0</v>
      </c>
      <c r="Z584" s="10">
        <f>-Z422*INDEX('Deliverability Upgrade Factors'!$F:$F,MATCH(SUBSTITUTE(Dashboard!$D584,"_group",Dashboard!$D$503),'Deliverability Upgrade Factors'!$B:$B,0))</f>
        <v>0</v>
      </c>
      <c r="AA584" s="10">
        <f>-AA422*INDEX('Deliverability Upgrade Factors'!$F:$F,MATCH(SUBSTITUTE(Dashboard!$D584,"_group",Dashboard!$D$503),'Deliverability Upgrade Factors'!$B:$B,0))</f>
        <v>0</v>
      </c>
      <c r="AB584" s="10">
        <f>-AB422*INDEX('Deliverability Upgrade Factors'!$F:$F,MATCH(SUBSTITUTE(Dashboard!$D584,"_group",Dashboard!$D$503),'Deliverability Upgrade Factors'!$B:$B,0))</f>
        <v>0</v>
      </c>
      <c r="AC584" s="10">
        <f>-AC422*INDEX('Deliverability Upgrade Factors'!$F:$F,MATCH(SUBSTITUTE(Dashboard!$D584,"_group",Dashboard!$D$503),'Deliverability Upgrade Factors'!$B:$B,0))</f>
        <v>0</v>
      </c>
      <c r="AD584" s="10">
        <f>-AD422*INDEX('Deliverability Upgrade Factors'!$F:$F,MATCH(SUBSTITUTE(Dashboard!$D584,"_group",Dashboard!$D$503),'Deliverability Upgrade Factors'!$B:$B,0))</f>
        <v>1933</v>
      </c>
      <c r="AH584" s="34" t="s">
        <v>422</v>
      </c>
    </row>
    <row r="585" spans="4:34" outlineLevel="2" x14ac:dyDescent="0.2">
      <c r="D585" s="8" t="s">
        <v>272</v>
      </c>
      <c r="E585" s="10">
        <f>-E423*INDEX('Deliverability Upgrade Factors'!$F:$F,MATCH(SUBSTITUTE(Dashboard!$D585,"_group",Dashboard!$D$503),'Deliverability Upgrade Factors'!$B:$B,0))</f>
        <v>0</v>
      </c>
      <c r="F585" s="10">
        <f>-F423*INDEX('Deliverability Upgrade Factors'!$F:$F,MATCH(SUBSTITUTE(Dashboard!$D585,"_group",Dashboard!$D$503),'Deliverability Upgrade Factors'!$B:$B,0))</f>
        <v>0</v>
      </c>
      <c r="G585" s="10">
        <f>-G423*INDEX('Deliverability Upgrade Factors'!$F:$F,MATCH(SUBSTITUTE(Dashboard!$D585,"_group",Dashboard!$D$503),'Deliverability Upgrade Factors'!$B:$B,0))</f>
        <v>0</v>
      </c>
      <c r="H585" s="10">
        <f>-H423*INDEX('Deliverability Upgrade Factors'!$F:$F,MATCH(SUBSTITUTE(Dashboard!$D585,"_group",Dashboard!$D$503),'Deliverability Upgrade Factors'!$B:$B,0))</f>
        <v>0</v>
      </c>
      <c r="I585" s="10">
        <f>-I423*INDEX('Deliverability Upgrade Factors'!$F:$F,MATCH(SUBSTITUTE(Dashboard!$D585,"_group",Dashboard!$D$503),'Deliverability Upgrade Factors'!$B:$B,0))</f>
        <v>0</v>
      </c>
      <c r="J585" s="10">
        <f>-J423*INDEX('Deliverability Upgrade Factors'!$F:$F,MATCH(SUBSTITUTE(Dashboard!$D585,"_group",Dashboard!$D$503),'Deliverability Upgrade Factors'!$B:$B,0))</f>
        <v>0</v>
      </c>
      <c r="K585" s="10">
        <f>-K423*INDEX('Deliverability Upgrade Factors'!$F:$F,MATCH(SUBSTITUTE(Dashboard!$D585,"_group",Dashboard!$D$503),'Deliverability Upgrade Factors'!$B:$B,0))</f>
        <v>0</v>
      </c>
      <c r="L585" s="10">
        <f>-L423*INDEX('Deliverability Upgrade Factors'!$F:$F,MATCH(SUBSTITUTE(Dashboard!$D585,"_group",Dashboard!$D$503),'Deliverability Upgrade Factors'!$B:$B,0))</f>
        <v>0</v>
      </c>
      <c r="M585" s="10">
        <f>-M423*INDEX('Deliverability Upgrade Factors'!$F:$F,MATCH(SUBSTITUTE(Dashboard!$D585,"_group",Dashboard!$D$503),'Deliverability Upgrade Factors'!$B:$B,0))</f>
        <v>0</v>
      </c>
      <c r="N585" s="10">
        <f>-N423*INDEX('Deliverability Upgrade Factors'!$F:$F,MATCH(SUBSTITUTE(Dashboard!$D585,"_group",Dashboard!$D$503),'Deliverability Upgrade Factors'!$B:$B,0))</f>
        <v>0</v>
      </c>
      <c r="O585" s="10">
        <f>-O423*INDEX('Deliverability Upgrade Factors'!$F:$F,MATCH(SUBSTITUTE(Dashboard!$D585,"_group",Dashboard!$D$503),'Deliverability Upgrade Factors'!$B:$B,0))</f>
        <v>0</v>
      </c>
      <c r="P585" s="10">
        <f>-P423*INDEX('Deliverability Upgrade Factors'!$F:$F,MATCH(SUBSTITUTE(Dashboard!$D585,"_group",Dashboard!$D$503),'Deliverability Upgrade Factors'!$B:$B,0))</f>
        <v>0</v>
      </c>
      <c r="Q585" s="10">
        <f>-Q423*INDEX('Deliverability Upgrade Factors'!$F:$F,MATCH(SUBSTITUTE(Dashboard!$D585,"_group",Dashboard!$D$503),'Deliverability Upgrade Factors'!$B:$B,0))</f>
        <v>0</v>
      </c>
      <c r="R585" s="10">
        <f>-R423*INDEX('Deliverability Upgrade Factors'!$F:$F,MATCH(SUBSTITUTE(Dashboard!$D585,"_group",Dashboard!$D$503),'Deliverability Upgrade Factors'!$B:$B,0))</f>
        <v>0</v>
      </c>
      <c r="S585" s="10">
        <f>-S423*INDEX('Deliverability Upgrade Factors'!$F:$F,MATCH(SUBSTITUTE(Dashboard!$D585,"_group",Dashboard!$D$503),'Deliverability Upgrade Factors'!$B:$B,0))</f>
        <v>0</v>
      </c>
      <c r="T585" s="10">
        <f>-T423*INDEX('Deliverability Upgrade Factors'!$F:$F,MATCH(SUBSTITUTE(Dashboard!$D585,"_group",Dashboard!$D$503),'Deliverability Upgrade Factors'!$B:$B,0))</f>
        <v>0</v>
      </c>
      <c r="U585" s="10">
        <f>-U423*INDEX('Deliverability Upgrade Factors'!$F:$F,MATCH(SUBSTITUTE(Dashboard!$D585,"_group",Dashboard!$D$503),'Deliverability Upgrade Factors'!$B:$B,0))</f>
        <v>0</v>
      </c>
      <c r="V585" s="10">
        <f>-V423*INDEX('Deliverability Upgrade Factors'!$F:$F,MATCH(SUBSTITUTE(Dashboard!$D585,"_group",Dashboard!$D$503),'Deliverability Upgrade Factors'!$B:$B,0))</f>
        <v>0</v>
      </c>
      <c r="W585" s="10">
        <f>-W423*INDEX('Deliverability Upgrade Factors'!$F:$F,MATCH(SUBSTITUTE(Dashboard!$D585,"_group",Dashboard!$D$503),'Deliverability Upgrade Factors'!$B:$B,0))</f>
        <v>0</v>
      </c>
      <c r="X585" s="10">
        <f>-X423*INDEX('Deliverability Upgrade Factors'!$F:$F,MATCH(SUBSTITUTE(Dashboard!$D585,"_group",Dashboard!$D$503),'Deliverability Upgrade Factors'!$B:$B,0))</f>
        <v>0</v>
      </c>
      <c r="Y585" s="10">
        <f>-Y423*INDEX('Deliverability Upgrade Factors'!$F:$F,MATCH(SUBSTITUTE(Dashboard!$D585,"_group",Dashboard!$D$503),'Deliverability Upgrade Factors'!$B:$B,0))</f>
        <v>0</v>
      </c>
      <c r="Z585" s="10">
        <f>-Z423*INDEX('Deliverability Upgrade Factors'!$F:$F,MATCH(SUBSTITUTE(Dashboard!$D585,"_group",Dashboard!$D$503),'Deliverability Upgrade Factors'!$B:$B,0))</f>
        <v>0</v>
      </c>
      <c r="AA585" s="10">
        <f>-AA423*INDEX('Deliverability Upgrade Factors'!$F:$F,MATCH(SUBSTITUTE(Dashboard!$D585,"_group",Dashboard!$D$503),'Deliverability Upgrade Factors'!$B:$B,0))</f>
        <v>0</v>
      </c>
      <c r="AB585" s="10">
        <f>-AB423*INDEX('Deliverability Upgrade Factors'!$F:$F,MATCH(SUBSTITUTE(Dashboard!$D585,"_group",Dashboard!$D$503),'Deliverability Upgrade Factors'!$B:$B,0))</f>
        <v>0</v>
      </c>
      <c r="AC585" s="10">
        <f>-AC423*INDEX('Deliverability Upgrade Factors'!$F:$F,MATCH(SUBSTITUTE(Dashboard!$D585,"_group",Dashboard!$D$503),'Deliverability Upgrade Factors'!$B:$B,0))</f>
        <v>0</v>
      </c>
      <c r="AD585" s="10">
        <f>-AD423*INDEX('Deliverability Upgrade Factors'!$F:$F,MATCH(SUBSTITUTE(Dashboard!$D585,"_group",Dashboard!$D$503),'Deliverability Upgrade Factors'!$B:$B,0))</f>
        <v>0</v>
      </c>
      <c r="AH585" s="34" t="s">
        <v>422</v>
      </c>
    </row>
    <row r="586" spans="4:34" outlineLevel="2" x14ac:dyDescent="0.2">
      <c r="D586" s="8" t="s">
        <v>273</v>
      </c>
      <c r="E586" s="10">
        <f>-E424*INDEX('Deliverability Upgrade Factors'!$F:$F,MATCH(SUBSTITUTE(Dashboard!$D586,"_group",Dashboard!$D$503),'Deliverability Upgrade Factors'!$B:$B,0))</f>
        <v>0</v>
      </c>
      <c r="F586" s="10">
        <f>-F424*INDEX('Deliverability Upgrade Factors'!$F:$F,MATCH(SUBSTITUTE(Dashboard!$D586,"_group",Dashboard!$D$503),'Deliverability Upgrade Factors'!$B:$B,0))</f>
        <v>0</v>
      </c>
      <c r="G586" s="10">
        <f>-G424*INDEX('Deliverability Upgrade Factors'!$F:$F,MATCH(SUBSTITUTE(Dashboard!$D586,"_group",Dashboard!$D$503),'Deliverability Upgrade Factors'!$B:$B,0))</f>
        <v>0</v>
      </c>
      <c r="H586" s="10">
        <f>-H424*INDEX('Deliverability Upgrade Factors'!$F:$F,MATCH(SUBSTITUTE(Dashboard!$D586,"_group",Dashboard!$D$503),'Deliverability Upgrade Factors'!$B:$B,0))</f>
        <v>0</v>
      </c>
      <c r="I586" s="10">
        <f>-I424*INDEX('Deliverability Upgrade Factors'!$F:$F,MATCH(SUBSTITUTE(Dashboard!$D586,"_group",Dashboard!$D$503),'Deliverability Upgrade Factors'!$B:$B,0))</f>
        <v>0</v>
      </c>
      <c r="J586" s="10">
        <f>-J424*INDEX('Deliverability Upgrade Factors'!$F:$F,MATCH(SUBSTITUTE(Dashboard!$D586,"_group",Dashboard!$D$503),'Deliverability Upgrade Factors'!$B:$B,0))</f>
        <v>0</v>
      </c>
      <c r="K586" s="10">
        <f>-K424*INDEX('Deliverability Upgrade Factors'!$F:$F,MATCH(SUBSTITUTE(Dashboard!$D586,"_group",Dashboard!$D$503),'Deliverability Upgrade Factors'!$B:$B,0))</f>
        <v>0</v>
      </c>
      <c r="L586" s="10">
        <f>-L424*INDEX('Deliverability Upgrade Factors'!$F:$F,MATCH(SUBSTITUTE(Dashboard!$D586,"_group",Dashboard!$D$503),'Deliverability Upgrade Factors'!$B:$B,0))</f>
        <v>0</v>
      </c>
      <c r="M586" s="10">
        <f>-M424*INDEX('Deliverability Upgrade Factors'!$F:$F,MATCH(SUBSTITUTE(Dashboard!$D586,"_group",Dashboard!$D$503),'Deliverability Upgrade Factors'!$B:$B,0))</f>
        <v>0</v>
      </c>
      <c r="N586" s="10">
        <f>-N424*INDEX('Deliverability Upgrade Factors'!$F:$F,MATCH(SUBSTITUTE(Dashboard!$D586,"_group",Dashboard!$D$503),'Deliverability Upgrade Factors'!$B:$B,0))</f>
        <v>0</v>
      </c>
      <c r="O586" s="10">
        <f>-O424*INDEX('Deliverability Upgrade Factors'!$F:$F,MATCH(SUBSTITUTE(Dashboard!$D586,"_group",Dashboard!$D$503),'Deliverability Upgrade Factors'!$B:$B,0))</f>
        <v>0</v>
      </c>
      <c r="P586" s="10">
        <f>-P424*INDEX('Deliverability Upgrade Factors'!$F:$F,MATCH(SUBSTITUTE(Dashboard!$D586,"_group",Dashboard!$D$503),'Deliverability Upgrade Factors'!$B:$B,0))</f>
        <v>0</v>
      </c>
      <c r="Q586" s="10">
        <f>-Q424*INDEX('Deliverability Upgrade Factors'!$F:$F,MATCH(SUBSTITUTE(Dashboard!$D586,"_group",Dashboard!$D$503),'Deliverability Upgrade Factors'!$B:$B,0))</f>
        <v>0</v>
      </c>
      <c r="R586" s="10">
        <f>-R424*INDEX('Deliverability Upgrade Factors'!$F:$F,MATCH(SUBSTITUTE(Dashboard!$D586,"_group",Dashboard!$D$503),'Deliverability Upgrade Factors'!$B:$B,0))</f>
        <v>0</v>
      </c>
      <c r="S586" s="10">
        <f>-S424*INDEX('Deliverability Upgrade Factors'!$F:$F,MATCH(SUBSTITUTE(Dashboard!$D586,"_group",Dashboard!$D$503),'Deliverability Upgrade Factors'!$B:$B,0))</f>
        <v>0</v>
      </c>
      <c r="T586" s="10">
        <f>-T424*INDEX('Deliverability Upgrade Factors'!$F:$F,MATCH(SUBSTITUTE(Dashboard!$D586,"_group",Dashboard!$D$503),'Deliverability Upgrade Factors'!$B:$B,0))</f>
        <v>0</v>
      </c>
      <c r="U586" s="10">
        <f>-U424*INDEX('Deliverability Upgrade Factors'!$F:$F,MATCH(SUBSTITUTE(Dashboard!$D586,"_group",Dashboard!$D$503),'Deliverability Upgrade Factors'!$B:$B,0))</f>
        <v>0</v>
      </c>
      <c r="V586" s="10">
        <f>-V424*INDEX('Deliverability Upgrade Factors'!$F:$F,MATCH(SUBSTITUTE(Dashboard!$D586,"_group",Dashboard!$D$503),'Deliverability Upgrade Factors'!$B:$B,0))</f>
        <v>0</v>
      </c>
      <c r="W586" s="10">
        <f>-W424*INDEX('Deliverability Upgrade Factors'!$F:$F,MATCH(SUBSTITUTE(Dashboard!$D586,"_group",Dashboard!$D$503),'Deliverability Upgrade Factors'!$B:$B,0))</f>
        <v>0</v>
      </c>
      <c r="X586" s="10">
        <f>-X424*INDEX('Deliverability Upgrade Factors'!$F:$F,MATCH(SUBSTITUTE(Dashboard!$D586,"_group",Dashboard!$D$503),'Deliverability Upgrade Factors'!$B:$B,0))</f>
        <v>0</v>
      </c>
      <c r="Y586" s="10">
        <f>-Y424*INDEX('Deliverability Upgrade Factors'!$F:$F,MATCH(SUBSTITUTE(Dashboard!$D586,"_group",Dashboard!$D$503),'Deliverability Upgrade Factors'!$B:$B,0))</f>
        <v>0</v>
      </c>
      <c r="Z586" s="10">
        <f>-Z424*INDEX('Deliverability Upgrade Factors'!$F:$F,MATCH(SUBSTITUTE(Dashboard!$D586,"_group",Dashboard!$D$503),'Deliverability Upgrade Factors'!$B:$B,0))</f>
        <v>0</v>
      </c>
      <c r="AA586" s="10">
        <f>-AA424*INDEX('Deliverability Upgrade Factors'!$F:$F,MATCH(SUBSTITUTE(Dashboard!$D586,"_group",Dashboard!$D$503),'Deliverability Upgrade Factors'!$B:$B,0))</f>
        <v>0</v>
      </c>
      <c r="AB586" s="10">
        <f>-AB424*INDEX('Deliverability Upgrade Factors'!$F:$F,MATCH(SUBSTITUTE(Dashboard!$D586,"_group",Dashboard!$D$503),'Deliverability Upgrade Factors'!$B:$B,0))</f>
        <v>0</v>
      </c>
      <c r="AC586" s="10">
        <f>-AC424*INDEX('Deliverability Upgrade Factors'!$F:$F,MATCH(SUBSTITUTE(Dashboard!$D586,"_group",Dashboard!$D$503),'Deliverability Upgrade Factors'!$B:$B,0))</f>
        <v>0</v>
      </c>
      <c r="AD586" s="10">
        <f>-AD424*INDEX('Deliverability Upgrade Factors'!$F:$F,MATCH(SUBSTITUTE(Dashboard!$D586,"_group",Dashboard!$D$503),'Deliverability Upgrade Factors'!$B:$B,0))</f>
        <v>0</v>
      </c>
      <c r="AH586" s="34" t="s">
        <v>422</v>
      </c>
    </row>
    <row r="587" spans="4:34" outlineLevel="2" x14ac:dyDescent="0.2">
      <c r="D587" s="8" t="s">
        <v>274</v>
      </c>
      <c r="E587" s="10">
        <f>-E425*INDEX('Deliverability Upgrade Factors'!$F:$F,MATCH(SUBSTITUTE(Dashboard!$D587,"_group",Dashboard!$D$503),'Deliverability Upgrade Factors'!$B:$B,0))</f>
        <v>0</v>
      </c>
      <c r="F587" s="10">
        <f>-F425*INDEX('Deliverability Upgrade Factors'!$F:$F,MATCH(SUBSTITUTE(Dashboard!$D587,"_group",Dashboard!$D$503),'Deliverability Upgrade Factors'!$B:$B,0))</f>
        <v>0</v>
      </c>
      <c r="G587" s="10">
        <f>-G425*INDEX('Deliverability Upgrade Factors'!$F:$F,MATCH(SUBSTITUTE(Dashboard!$D587,"_group",Dashboard!$D$503),'Deliverability Upgrade Factors'!$B:$B,0))</f>
        <v>0</v>
      </c>
      <c r="H587" s="10">
        <f>-H425*INDEX('Deliverability Upgrade Factors'!$F:$F,MATCH(SUBSTITUTE(Dashboard!$D587,"_group",Dashboard!$D$503),'Deliverability Upgrade Factors'!$B:$B,0))</f>
        <v>0</v>
      </c>
      <c r="I587" s="10">
        <f>-I425*INDEX('Deliverability Upgrade Factors'!$F:$F,MATCH(SUBSTITUTE(Dashboard!$D587,"_group",Dashboard!$D$503),'Deliverability Upgrade Factors'!$B:$B,0))</f>
        <v>0</v>
      </c>
      <c r="J587" s="10">
        <f>-J425*INDEX('Deliverability Upgrade Factors'!$F:$F,MATCH(SUBSTITUTE(Dashboard!$D587,"_group",Dashboard!$D$503),'Deliverability Upgrade Factors'!$B:$B,0))</f>
        <v>0</v>
      </c>
      <c r="K587" s="10">
        <f>-K425*INDEX('Deliverability Upgrade Factors'!$F:$F,MATCH(SUBSTITUTE(Dashboard!$D587,"_group",Dashboard!$D$503),'Deliverability Upgrade Factors'!$B:$B,0))</f>
        <v>0</v>
      </c>
      <c r="L587" s="10">
        <f>-L425*INDEX('Deliverability Upgrade Factors'!$F:$F,MATCH(SUBSTITUTE(Dashboard!$D587,"_group",Dashboard!$D$503),'Deliverability Upgrade Factors'!$B:$B,0))</f>
        <v>0</v>
      </c>
      <c r="M587" s="10">
        <f>-M425*INDEX('Deliverability Upgrade Factors'!$F:$F,MATCH(SUBSTITUTE(Dashboard!$D587,"_group",Dashboard!$D$503),'Deliverability Upgrade Factors'!$B:$B,0))</f>
        <v>0</v>
      </c>
      <c r="N587" s="10">
        <f>-N425*INDEX('Deliverability Upgrade Factors'!$F:$F,MATCH(SUBSTITUTE(Dashboard!$D587,"_group",Dashboard!$D$503),'Deliverability Upgrade Factors'!$B:$B,0))</f>
        <v>0</v>
      </c>
      <c r="O587" s="10">
        <f>-O425*INDEX('Deliverability Upgrade Factors'!$F:$F,MATCH(SUBSTITUTE(Dashboard!$D587,"_group",Dashboard!$D$503),'Deliverability Upgrade Factors'!$B:$B,0))</f>
        <v>0</v>
      </c>
      <c r="P587" s="10">
        <f>-P425*INDEX('Deliverability Upgrade Factors'!$F:$F,MATCH(SUBSTITUTE(Dashboard!$D587,"_group",Dashboard!$D$503),'Deliverability Upgrade Factors'!$B:$B,0))</f>
        <v>0</v>
      </c>
      <c r="Q587" s="10">
        <f>-Q425*INDEX('Deliverability Upgrade Factors'!$F:$F,MATCH(SUBSTITUTE(Dashboard!$D587,"_group",Dashboard!$D$503),'Deliverability Upgrade Factors'!$B:$B,0))</f>
        <v>0</v>
      </c>
      <c r="R587" s="10">
        <f>-R425*INDEX('Deliverability Upgrade Factors'!$F:$F,MATCH(SUBSTITUTE(Dashboard!$D587,"_group",Dashboard!$D$503),'Deliverability Upgrade Factors'!$B:$B,0))</f>
        <v>0</v>
      </c>
      <c r="S587" s="10">
        <f>-S425*INDEX('Deliverability Upgrade Factors'!$F:$F,MATCH(SUBSTITUTE(Dashboard!$D587,"_group",Dashboard!$D$503),'Deliverability Upgrade Factors'!$B:$B,0))</f>
        <v>0</v>
      </c>
      <c r="T587" s="10">
        <f>-T425*INDEX('Deliverability Upgrade Factors'!$F:$F,MATCH(SUBSTITUTE(Dashboard!$D587,"_group",Dashboard!$D$503),'Deliverability Upgrade Factors'!$B:$B,0))</f>
        <v>0</v>
      </c>
      <c r="U587" s="10">
        <f>-U425*INDEX('Deliverability Upgrade Factors'!$F:$F,MATCH(SUBSTITUTE(Dashboard!$D587,"_group",Dashboard!$D$503),'Deliverability Upgrade Factors'!$B:$B,0))</f>
        <v>0</v>
      </c>
      <c r="V587" s="10">
        <f>-V425*INDEX('Deliverability Upgrade Factors'!$F:$F,MATCH(SUBSTITUTE(Dashboard!$D587,"_group",Dashboard!$D$503),'Deliverability Upgrade Factors'!$B:$B,0))</f>
        <v>0</v>
      </c>
      <c r="W587" s="10">
        <f>-W425*INDEX('Deliverability Upgrade Factors'!$F:$F,MATCH(SUBSTITUTE(Dashboard!$D587,"_group",Dashboard!$D$503),'Deliverability Upgrade Factors'!$B:$B,0))</f>
        <v>0</v>
      </c>
      <c r="X587" s="10">
        <f>-X425*INDEX('Deliverability Upgrade Factors'!$F:$F,MATCH(SUBSTITUTE(Dashboard!$D587,"_group",Dashboard!$D$503),'Deliverability Upgrade Factors'!$B:$B,0))</f>
        <v>0</v>
      </c>
      <c r="Y587" s="10">
        <f>-Y425*INDEX('Deliverability Upgrade Factors'!$F:$F,MATCH(SUBSTITUTE(Dashboard!$D587,"_group",Dashboard!$D$503),'Deliverability Upgrade Factors'!$B:$B,0))</f>
        <v>0</v>
      </c>
      <c r="Z587" s="10">
        <f>-Z425*INDEX('Deliverability Upgrade Factors'!$F:$F,MATCH(SUBSTITUTE(Dashboard!$D587,"_group",Dashboard!$D$503),'Deliverability Upgrade Factors'!$B:$B,0))</f>
        <v>0</v>
      </c>
      <c r="AA587" s="10">
        <f>-AA425*INDEX('Deliverability Upgrade Factors'!$F:$F,MATCH(SUBSTITUTE(Dashboard!$D587,"_group",Dashboard!$D$503),'Deliverability Upgrade Factors'!$B:$B,0))</f>
        <v>0</v>
      </c>
      <c r="AB587" s="10">
        <f>-AB425*INDEX('Deliverability Upgrade Factors'!$F:$F,MATCH(SUBSTITUTE(Dashboard!$D587,"_group",Dashboard!$D$503),'Deliverability Upgrade Factors'!$B:$B,0))</f>
        <v>0</v>
      </c>
      <c r="AC587" s="10">
        <f>-AC425*INDEX('Deliverability Upgrade Factors'!$F:$F,MATCH(SUBSTITUTE(Dashboard!$D587,"_group",Dashboard!$D$503),'Deliverability Upgrade Factors'!$B:$B,0))</f>
        <v>0</v>
      </c>
      <c r="AD587" s="10">
        <f>-AD425*INDEX('Deliverability Upgrade Factors'!$F:$F,MATCH(SUBSTITUTE(Dashboard!$D587,"_group",Dashboard!$D$503),'Deliverability Upgrade Factors'!$B:$B,0))</f>
        <v>980</v>
      </c>
      <c r="AH587" s="34" t="s">
        <v>422</v>
      </c>
    </row>
    <row r="588" spans="4:34" outlineLevel="2" x14ac:dyDescent="0.2">
      <c r="D588" s="8" t="s">
        <v>275</v>
      </c>
      <c r="E588" s="10">
        <f>-E426*INDEX('Deliverability Upgrade Factors'!$F:$F,MATCH(SUBSTITUTE(Dashboard!$D588,"_group",Dashboard!$D$503),'Deliverability Upgrade Factors'!$B:$B,0))</f>
        <v>0</v>
      </c>
      <c r="F588" s="10">
        <f>-F426*INDEX('Deliverability Upgrade Factors'!$F:$F,MATCH(SUBSTITUTE(Dashboard!$D588,"_group",Dashboard!$D$503),'Deliverability Upgrade Factors'!$B:$B,0))</f>
        <v>0</v>
      </c>
      <c r="G588" s="10">
        <f>-G426*INDEX('Deliverability Upgrade Factors'!$F:$F,MATCH(SUBSTITUTE(Dashboard!$D588,"_group",Dashboard!$D$503),'Deliverability Upgrade Factors'!$B:$B,0))</f>
        <v>0</v>
      </c>
      <c r="H588" s="10">
        <f>-H426*INDEX('Deliverability Upgrade Factors'!$F:$F,MATCH(SUBSTITUTE(Dashboard!$D588,"_group",Dashboard!$D$503),'Deliverability Upgrade Factors'!$B:$B,0))</f>
        <v>0</v>
      </c>
      <c r="I588" s="10">
        <f>-I426*INDEX('Deliverability Upgrade Factors'!$F:$F,MATCH(SUBSTITUTE(Dashboard!$D588,"_group",Dashboard!$D$503),'Deliverability Upgrade Factors'!$B:$B,0))</f>
        <v>0</v>
      </c>
      <c r="J588" s="10">
        <f>-J426*INDEX('Deliverability Upgrade Factors'!$F:$F,MATCH(SUBSTITUTE(Dashboard!$D588,"_group",Dashboard!$D$503),'Deliverability Upgrade Factors'!$B:$B,0))</f>
        <v>0</v>
      </c>
      <c r="K588" s="10">
        <f>-K426*INDEX('Deliverability Upgrade Factors'!$F:$F,MATCH(SUBSTITUTE(Dashboard!$D588,"_group",Dashboard!$D$503),'Deliverability Upgrade Factors'!$B:$B,0))</f>
        <v>0</v>
      </c>
      <c r="L588" s="10">
        <f>-L426*INDEX('Deliverability Upgrade Factors'!$F:$F,MATCH(SUBSTITUTE(Dashboard!$D588,"_group",Dashboard!$D$503),'Deliverability Upgrade Factors'!$B:$B,0))</f>
        <v>0</v>
      </c>
      <c r="M588" s="10">
        <f>-M426*INDEX('Deliverability Upgrade Factors'!$F:$F,MATCH(SUBSTITUTE(Dashboard!$D588,"_group",Dashboard!$D$503),'Deliverability Upgrade Factors'!$B:$B,0))</f>
        <v>0</v>
      </c>
      <c r="N588" s="10">
        <f>-N426*INDEX('Deliverability Upgrade Factors'!$F:$F,MATCH(SUBSTITUTE(Dashboard!$D588,"_group",Dashboard!$D$503),'Deliverability Upgrade Factors'!$B:$B,0))</f>
        <v>0</v>
      </c>
      <c r="O588" s="10">
        <f>-O426*INDEX('Deliverability Upgrade Factors'!$F:$F,MATCH(SUBSTITUTE(Dashboard!$D588,"_group",Dashboard!$D$503),'Deliverability Upgrade Factors'!$B:$B,0))</f>
        <v>0</v>
      </c>
      <c r="P588" s="10">
        <f>-P426*INDEX('Deliverability Upgrade Factors'!$F:$F,MATCH(SUBSTITUTE(Dashboard!$D588,"_group",Dashboard!$D$503),'Deliverability Upgrade Factors'!$B:$B,0))</f>
        <v>0</v>
      </c>
      <c r="Q588" s="10">
        <f>-Q426*INDEX('Deliverability Upgrade Factors'!$F:$F,MATCH(SUBSTITUTE(Dashboard!$D588,"_group",Dashboard!$D$503),'Deliverability Upgrade Factors'!$B:$B,0))</f>
        <v>0</v>
      </c>
      <c r="R588" s="10">
        <f>-R426*INDEX('Deliverability Upgrade Factors'!$F:$F,MATCH(SUBSTITUTE(Dashboard!$D588,"_group",Dashboard!$D$503),'Deliverability Upgrade Factors'!$B:$B,0))</f>
        <v>0</v>
      </c>
      <c r="S588" s="10">
        <f>-S426*INDEX('Deliverability Upgrade Factors'!$F:$F,MATCH(SUBSTITUTE(Dashboard!$D588,"_group",Dashboard!$D$503),'Deliverability Upgrade Factors'!$B:$B,0))</f>
        <v>0</v>
      </c>
      <c r="T588" s="10">
        <f>-T426*INDEX('Deliverability Upgrade Factors'!$F:$F,MATCH(SUBSTITUTE(Dashboard!$D588,"_group",Dashboard!$D$503),'Deliverability Upgrade Factors'!$B:$B,0))</f>
        <v>0</v>
      </c>
      <c r="U588" s="10">
        <f>-U426*INDEX('Deliverability Upgrade Factors'!$F:$F,MATCH(SUBSTITUTE(Dashboard!$D588,"_group",Dashboard!$D$503),'Deliverability Upgrade Factors'!$B:$B,0))</f>
        <v>0</v>
      </c>
      <c r="V588" s="10">
        <f>-V426*INDEX('Deliverability Upgrade Factors'!$F:$F,MATCH(SUBSTITUTE(Dashboard!$D588,"_group",Dashboard!$D$503),'Deliverability Upgrade Factors'!$B:$B,0))</f>
        <v>0</v>
      </c>
      <c r="W588" s="10">
        <f>-W426*INDEX('Deliverability Upgrade Factors'!$F:$F,MATCH(SUBSTITUTE(Dashboard!$D588,"_group",Dashboard!$D$503),'Deliverability Upgrade Factors'!$B:$B,0))</f>
        <v>0</v>
      </c>
      <c r="X588" s="10">
        <f>-X426*INDEX('Deliverability Upgrade Factors'!$F:$F,MATCH(SUBSTITUTE(Dashboard!$D588,"_group",Dashboard!$D$503),'Deliverability Upgrade Factors'!$B:$B,0))</f>
        <v>0</v>
      </c>
      <c r="Y588" s="10">
        <f>-Y426*INDEX('Deliverability Upgrade Factors'!$F:$F,MATCH(SUBSTITUTE(Dashboard!$D588,"_group",Dashboard!$D$503),'Deliverability Upgrade Factors'!$B:$B,0))</f>
        <v>0</v>
      </c>
      <c r="Z588" s="10">
        <f>-Z426*INDEX('Deliverability Upgrade Factors'!$F:$F,MATCH(SUBSTITUTE(Dashboard!$D588,"_group",Dashboard!$D$503),'Deliverability Upgrade Factors'!$B:$B,0))</f>
        <v>0</v>
      </c>
      <c r="AA588" s="10">
        <f>-AA426*INDEX('Deliverability Upgrade Factors'!$F:$F,MATCH(SUBSTITUTE(Dashboard!$D588,"_group",Dashboard!$D$503),'Deliverability Upgrade Factors'!$B:$B,0))</f>
        <v>0</v>
      </c>
      <c r="AB588" s="10">
        <f>-AB426*INDEX('Deliverability Upgrade Factors'!$F:$F,MATCH(SUBSTITUTE(Dashboard!$D588,"_group",Dashboard!$D$503),'Deliverability Upgrade Factors'!$B:$B,0))</f>
        <v>0</v>
      </c>
      <c r="AC588" s="10">
        <f>-AC426*INDEX('Deliverability Upgrade Factors'!$F:$F,MATCH(SUBSTITUTE(Dashboard!$D588,"_group",Dashboard!$D$503),'Deliverability Upgrade Factors'!$B:$B,0))</f>
        <v>0</v>
      </c>
      <c r="AD588" s="10">
        <f>-AD426*INDEX('Deliverability Upgrade Factors'!$F:$F,MATCH(SUBSTITUTE(Dashboard!$D588,"_group",Dashboard!$D$503),'Deliverability Upgrade Factors'!$B:$B,0))</f>
        <v>0</v>
      </c>
      <c r="AH588" s="34" t="s">
        <v>422</v>
      </c>
    </row>
    <row r="589" spans="4:34" outlineLevel="2" x14ac:dyDescent="0.2">
      <c r="D589" s="8" t="s">
        <v>276</v>
      </c>
      <c r="E589" s="10">
        <f>-E427*INDEX('Deliverability Upgrade Factors'!$F:$F,MATCH(SUBSTITUTE(Dashboard!$D589,"_group",Dashboard!$D$503),'Deliverability Upgrade Factors'!$B:$B,0))</f>
        <v>0</v>
      </c>
      <c r="F589" s="10">
        <f>-F427*INDEX('Deliverability Upgrade Factors'!$F:$F,MATCH(SUBSTITUTE(Dashboard!$D589,"_group",Dashboard!$D$503),'Deliverability Upgrade Factors'!$B:$B,0))</f>
        <v>0</v>
      </c>
      <c r="G589" s="10">
        <f>-G427*INDEX('Deliverability Upgrade Factors'!$F:$F,MATCH(SUBSTITUTE(Dashboard!$D589,"_group",Dashboard!$D$503),'Deliverability Upgrade Factors'!$B:$B,0))</f>
        <v>0</v>
      </c>
      <c r="H589" s="10">
        <f>-H427*INDEX('Deliverability Upgrade Factors'!$F:$F,MATCH(SUBSTITUTE(Dashboard!$D589,"_group",Dashboard!$D$503),'Deliverability Upgrade Factors'!$B:$B,0))</f>
        <v>0</v>
      </c>
      <c r="I589" s="10">
        <f>-I427*INDEX('Deliverability Upgrade Factors'!$F:$F,MATCH(SUBSTITUTE(Dashboard!$D589,"_group",Dashboard!$D$503),'Deliverability Upgrade Factors'!$B:$B,0))</f>
        <v>0</v>
      </c>
      <c r="J589" s="10">
        <f>-J427*INDEX('Deliverability Upgrade Factors'!$F:$F,MATCH(SUBSTITUTE(Dashboard!$D589,"_group",Dashboard!$D$503),'Deliverability Upgrade Factors'!$B:$B,0))</f>
        <v>0</v>
      </c>
      <c r="K589" s="10">
        <f>-K427*INDEX('Deliverability Upgrade Factors'!$F:$F,MATCH(SUBSTITUTE(Dashboard!$D589,"_group",Dashboard!$D$503),'Deliverability Upgrade Factors'!$B:$B,0))</f>
        <v>0</v>
      </c>
      <c r="L589" s="10">
        <f>-L427*INDEX('Deliverability Upgrade Factors'!$F:$F,MATCH(SUBSTITUTE(Dashboard!$D589,"_group",Dashboard!$D$503),'Deliverability Upgrade Factors'!$B:$B,0))</f>
        <v>0</v>
      </c>
      <c r="M589" s="10">
        <f>-M427*INDEX('Deliverability Upgrade Factors'!$F:$F,MATCH(SUBSTITUTE(Dashboard!$D589,"_group",Dashboard!$D$503),'Deliverability Upgrade Factors'!$B:$B,0))</f>
        <v>0</v>
      </c>
      <c r="N589" s="10">
        <f>-N427*INDEX('Deliverability Upgrade Factors'!$F:$F,MATCH(SUBSTITUTE(Dashboard!$D589,"_group",Dashboard!$D$503),'Deliverability Upgrade Factors'!$B:$B,0))</f>
        <v>0</v>
      </c>
      <c r="O589" s="10">
        <f>-O427*INDEX('Deliverability Upgrade Factors'!$F:$F,MATCH(SUBSTITUTE(Dashboard!$D589,"_group",Dashboard!$D$503),'Deliverability Upgrade Factors'!$B:$B,0))</f>
        <v>0</v>
      </c>
      <c r="P589" s="10">
        <f>-P427*INDEX('Deliverability Upgrade Factors'!$F:$F,MATCH(SUBSTITUTE(Dashboard!$D589,"_group",Dashboard!$D$503),'Deliverability Upgrade Factors'!$B:$B,0))</f>
        <v>0</v>
      </c>
      <c r="Q589" s="10">
        <f>-Q427*INDEX('Deliverability Upgrade Factors'!$F:$F,MATCH(SUBSTITUTE(Dashboard!$D589,"_group",Dashboard!$D$503),'Deliverability Upgrade Factors'!$B:$B,0))</f>
        <v>0</v>
      </c>
      <c r="R589" s="10">
        <f>-R427*INDEX('Deliverability Upgrade Factors'!$F:$F,MATCH(SUBSTITUTE(Dashboard!$D589,"_group",Dashboard!$D$503),'Deliverability Upgrade Factors'!$B:$B,0))</f>
        <v>0</v>
      </c>
      <c r="S589" s="10">
        <f>-S427*INDEX('Deliverability Upgrade Factors'!$F:$F,MATCH(SUBSTITUTE(Dashboard!$D589,"_group",Dashboard!$D$503),'Deliverability Upgrade Factors'!$B:$B,0))</f>
        <v>0</v>
      </c>
      <c r="T589" s="10">
        <f>-T427*INDEX('Deliverability Upgrade Factors'!$F:$F,MATCH(SUBSTITUTE(Dashboard!$D589,"_group",Dashboard!$D$503),'Deliverability Upgrade Factors'!$B:$B,0))</f>
        <v>0</v>
      </c>
      <c r="U589" s="10">
        <f>-U427*INDEX('Deliverability Upgrade Factors'!$F:$F,MATCH(SUBSTITUTE(Dashboard!$D589,"_group",Dashboard!$D$503),'Deliverability Upgrade Factors'!$B:$B,0))</f>
        <v>0</v>
      </c>
      <c r="V589" s="10">
        <f>-V427*INDEX('Deliverability Upgrade Factors'!$F:$F,MATCH(SUBSTITUTE(Dashboard!$D589,"_group",Dashboard!$D$503),'Deliverability Upgrade Factors'!$B:$B,0))</f>
        <v>0</v>
      </c>
      <c r="W589" s="10">
        <f>-W427*INDEX('Deliverability Upgrade Factors'!$F:$F,MATCH(SUBSTITUTE(Dashboard!$D589,"_group",Dashboard!$D$503),'Deliverability Upgrade Factors'!$B:$B,0))</f>
        <v>0</v>
      </c>
      <c r="X589" s="10">
        <f>-X427*INDEX('Deliverability Upgrade Factors'!$F:$F,MATCH(SUBSTITUTE(Dashboard!$D589,"_group",Dashboard!$D$503),'Deliverability Upgrade Factors'!$B:$B,0))</f>
        <v>0</v>
      </c>
      <c r="Y589" s="10">
        <f>-Y427*INDEX('Deliverability Upgrade Factors'!$F:$F,MATCH(SUBSTITUTE(Dashboard!$D589,"_group",Dashboard!$D$503),'Deliverability Upgrade Factors'!$B:$B,0))</f>
        <v>0</v>
      </c>
      <c r="Z589" s="10">
        <f>-Z427*INDEX('Deliverability Upgrade Factors'!$F:$F,MATCH(SUBSTITUTE(Dashboard!$D589,"_group",Dashboard!$D$503),'Deliverability Upgrade Factors'!$B:$B,0))</f>
        <v>0</v>
      </c>
      <c r="AA589" s="10">
        <f>-AA427*INDEX('Deliverability Upgrade Factors'!$F:$F,MATCH(SUBSTITUTE(Dashboard!$D589,"_group",Dashboard!$D$503),'Deliverability Upgrade Factors'!$B:$B,0))</f>
        <v>0</v>
      </c>
      <c r="AB589" s="10">
        <f>-AB427*INDEX('Deliverability Upgrade Factors'!$F:$F,MATCH(SUBSTITUTE(Dashboard!$D589,"_group",Dashboard!$D$503),'Deliverability Upgrade Factors'!$B:$B,0))</f>
        <v>0</v>
      </c>
      <c r="AC589" s="10">
        <f>-AC427*INDEX('Deliverability Upgrade Factors'!$F:$F,MATCH(SUBSTITUTE(Dashboard!$D589,"_group",Dashboard!$D$503),'Deliverability Upgrade Factors'!$B:$B,0))</f>
        <v>0</v>
      </c>
      <c r="AD589" s="10">
        <f>-AD427*INDEX('Deliverability Upgrade Factors'!$F:$F,MATCH(SUBSTITUTE(Dashboard!$D589,"_group",Dashboard!$D$503),'Deliverability Upgrade Factors'!$B:$B,0))</f>
        <v>0</v>
      </c>
      <c r="AH589" s="34" t="s">
        <v>422</v>
      </c>
    </row>
    <row r="590" spans="4:34" outlineLevel="2" x14ac:dyDescent="0.2">
      <c r="D590" s="8" t="s">
        <v>277</v>
      </c>
      <c r="E590" s="10">
        <f>-E428*INDEX('Deliverability Upgrade Factors'!$F:$F,MATCH(SUBSTITUTE(Dashboard!$D590,"_group",Dashboard!$D$503),'Deliverability Upgrade Factors'!$B:$B,0))</f>
        <v>0</v>
      </c>
      <c r="F590" s="10">
        <f>-F428*INDEX('Deliverability Upgrade Factors'!$F:$F,MATCH(SUBSTITUTE(Dashboard!$D590,"_group",Dashboard!$D$503),'Deliverability Upgrade Factors'!$B:$B,0))</f>
        <v>0</v>
      </c>
      <c r="G590" s="10">
        <f>-G428*INDEX('Deliverability Upgrade Factors'!$F:$F,MATCH(SUBSTITUTE(Dashboard!$D590,"_group",Dashboard!$D$503),'Deliverability Upgrade Factors'!$B:$B,0))</f>
        <v>0</v>
      </c>
      <c r="H590" s="10">
        <f>-H428*INDEX('Deliverability Upgrade Factors'!$F:$F,MATCH(SUBSTITUTE(Dashboard!$D590,"_group",Dashboard!$D$503),'Deliverability Upgrade Factors'!$B:$B,0))</f>
        <v>0</v>
      </c>
      <c r="I590" s="10">
        <f>-I428*INDEX('Deliverability Upgrade Factors'!$F:$F,MATCH(SUBSTITUTE(Dashboard!$D590,"_group",Dashboard!$D$503),'Deliverability Upgrade Factors'!$B:$B,0))</f>
        <v>0</v>
      </c>
      <c r="J590" s="10">
        <f>-J428*INDEX('Deliverability Upgrade Factors'!$F:$F,MATCH(SUBSTITUTE(Dashboard!$D590,"_group",Dashboard!$D$503),'Deliverability Upgrade Factors'!$B:$B,0))</f>
        <v>0</v>
      </c>
      <c r="K590" s="10">
        <f>-K428*INDEX('Deliverability Upgrade Factors'!$F:$F,MATCH(SUBSTITUTE(Dashboard!$D590,"_group",Dashboard!$D$503),'Deliverability Upgrade Factors'!$B:$B,0))</f>
        <v>0</v>
      </c>
      <c r="L590" s="10">
        <f>-L428*INDEX('Deliverability Upgrade Factors'!$F:$F,MATCH(SUBSTITUTE(Dashboard!$D590,"_group",Dashboard!$D$503),'Deliverability Upgrade Factors'!$B:$B,0))</f>
        <v>0</v>
      </c>
      <c r="M590" s="10">
        <f>-M428*INDEX('Deliverability Upgrade Factors'!$F:$F,MATCH(SUBSTITUTE(Dashboard!$D590,"_group",Dashboard!$D$503),'Deliverability Upgrade Factors'!$B:$B,0))</f>
        <v>0</v>
      </c>
      <c r="N590" s="10">
        <f>-N428*INDEX('Deliverability Upgrade Factors'!$F:$F,MATCH(SUBSTITUTE(Dashboard!$D590,"_group",Dashboard!$D$503),'Deliverability Upgrade Factors'!$B:$B,0))</f>
        <v>0</v>
      </c>
      <c r="O590" s="10">
        <f>-O428*INDEX('Deliverability Upgrade Factors'!$F:$F,MATCH(SUBSTITUTE(Dashboard!$D590,"_group",Dashboard!$D$503),'Deliverability Upgrade Factors'!$B:$B,0))</f>
        <v>0</v>
      </c>
      <c r="P590" s="10">
        <f>-P428*INDEX('Deliverability Upgrade Factors'!$F:$F,MATCH(SUBSTITUTE(Dashboard!$D590,"_group",Dashboard!$D$503),'Deliverability Upgrade Factors'!$B:$B,0))</f>
        <v>0</v>
      </c>
      <c r="Q590" s="10">
        <f>-Q428*INDEX('Deliverability Upgrade Factors'!$F:$F,MATCH(SUBSTITUTE(Dashboard!$D590,"_group",Dashboard!$D$503),'Deliverability Upgrade Factors'!$B:$B,0))</f>
        <v>0</v>
      </c>
      <c r="R590" s="10">
        <f>-R428*INDEX('Deliverability Upgrade Factors'!$F:$F,MATCH(SUBSTITUTE(Dashboard!$D590,"_group",Dashboard!$D$503),'Deliverability Upgrade Factors'!$B:$B,0))</f>
        <v>0</v>
      </c>
      <c r="S590" s="10">
        <f>-S428*INDEX('Deliverability Upgrade Factors'!$F:$F,MATCH(SUBSTITUTE(Dashboard!$D590,"_group",Dashboard!$D$503),'Deliverability Upgrade Factors'!$B:$B,0))</f>
        <v>0</v>
      </c>
      <c r="T590" s="10">
        <f>-T428*INDEX('Deliverability Upgrade Factors'!$F:$F,MATCH(SUBSTITUTE(Dashboard!$D590,"_group",Dashboard!$D$503),'Deliverability Upgrade Factors'!$B:$B,0))</f>
        <v>0</v>
      </c>
      <c r="U590" s="10">
        <f>-U428*INDEX('Deliverability Upgrade Factors'!$F:$F,MATCH(SUBSTITUTE(Dashboard!$D590,"_group",Dashboard!$D$503),'Deliverability Upgrade Factors'!$B:$B,0))</f>
        <v>0</v>
      </c>
      <c r="V590" s="10">
        <f>-V428*INDEX('Deliverability Upgrade Factors'!$F:$F,MATCH(SUBSTITUTE(Dashboard!$D590,"_group",Dashboard!$D$503),'Deliverability Upgrade Factors'!$B:$B,0))</f>
        <v>0</v>
      </c>
      <c r="W590" s="10">
        <f>-W428*INDEX('Deliverability Upgrade Factors'!$F:$F,MATCH(SUBSTITUTE(Dashboard!$D590,"_group",Dashboard!$D$503),'Deliverability Upgrade Factors'!$B:$B,0))</f>
        <v>0</v>
      </c>
      <c r="X590" s="10">
        <f>-X428*INDEX('Deliverability Upgrade Factors'!$F:$F,MATCH(SUBSTITUTE(Dashboard!$D590,"_group",Dashboard!$D$503),'Deliverability Upgrade Factors'!$B:$B,0))</f>
        <v>0</v>
      </c>
      <c r="Y590" s="10">
        <f>-Y428*INDEX('Deliverability Upgrade Factors'!$F:$F,MATCH(SUBSTITUTE(Dashboard!$D590,"_group",Dashboard!$D$503),'Deliverability Upgrade Factors'!$B:$B,0))</f>
        <v>0</v>
      </c>
      <c r="Z590" s="10">
        <f>-Z428*INDEX('Deliverability Upgrade Factors'!$F:$F,MATCH(SUBSTITUTE(Dashboard!$D590,"_group",Dashboard!$D$503),'Deliverability Upgrade Factors'!$B:$B,0))</f>
        <v>0</v>
      </c>
      <c r="AA590" s="10">
        <f>-AA428*INDEX('Deliverability Upgrade Factors'!$F:$F,MATCH(SUBSTITUTE(Dashboard!$D590,"_group",Dashboard!$D$503),'Deliverability Upgrade Factors'!$B:$B,0))</f>
        <v>0</v>
      </c>
      <c r="AB590" s="10">
        <f>-AB428*INDEX('Deliverability Upgrade Factors'!$F:$F,MATCH(SUBSTITUTE(Dashboard!$D590,"_group",Dashboard!$D$503),'Deliverability Upgrade Factors'!$B:$B,0))</f>
        <v>0</v>
      </c>
      <c r="AC590" s="10">
        <f>-AC428*INDEX('Deliverability Upgrade Factors'!$F:$F,MATCH(SUBSTITUTE(Dashboard!$D590,"_group",Dashboard!$D$503),'Deliverability Upgrade Factors'!$B:$B,0))</f>
        <v>0</v>
      </c>
      <c r="AD590" s="10">
        <f>-AD428*INDEX('Deliverability Upgrade Factors'!$F:$F,MATCH(SUBSTITUTE(Dashboard!$D590,"_group",Dashboard!$D$503),'Deliverability Upgrade Factors'!$B:$B,0))</f>
        <v>0</v>
      </c>
      <c r="AH590" s="34" t="s">
        <v>422</v>
      </c>
    </row>
    <row r="591" spans="4:34" outlineLevel="2" x14ac:dyDescent="0.2">
      <c r="D591" s="8" t="s">
        <v>278</v>
      </c>
      <c r="E591" s="10">
        <f>-E429*INDEX('Deliverability Upgrade Factors'!$F:$F,MATCH(SUBSTITUTE(Dashboard!$D591,"_group",Dashboard!$D$503),'Deliverability Upgrade Factors'!$B:$B,0))</f>
        <v>0</v>
      </c>
      <c r="F591" s="10">
        <f>-F429*INDEX('Deliverability Upgrade Factors'!$F:$F,MATCH(SUBSTITUTE(Dashboard!$D591,"_group",Dashboard!$D$503),'Deliverability Upgrade Factors'!$B:$B,0))</f>
        <v>0</v>
      </c>
      <c r="G591" s="10">
        <f>-G429*INDEX('Deliverability Upgrade Factors'!$F:$F,MATCH(SUBSTITUTE(Dashboard!$D591,"_group",Dashboard!$D$503),'Deliverability Upgrade Factors'!$B:$B,0))</f>
        <v>0</v>
      </c>
      <c r="H591" s="10">
        <f>-H429*INDEX('Deliverability Upgrade Factors'!$F:$F,MATCH(SUBSTITUTE(Dashboard!$D591,"_group",Dashboard!$D$503),'Deliverability Upgrade Factors'!$B:$B,0))</f>
        <v>0</v>
      </c>
      <c r="I591" s="10">
        <f>-I429*INDEX('Deliverability Upgrade Factors'!$F:$F,MATCH(SUBSTITUTE(Dashboard!$D591,"_group",Dashboard!$D$503),'Deliverability Upgrade Factors'!$B:$B,0))</f>
        <v>0</v>
      </c>
      <c r="J591" s="10">
        <f>-J429*INDEX('Deliverability Upgrade Factors'!$F:$F,MATCH(SUBSTITUTE(Dashboard!$D591,"_group",Dashboard!$D$503),'Deliverability Upgrade Factors'!$B:$B,0))</f>
        <v>0</v>
      </c>
      <c r="K591" s="10">
        <f>-K429*INDEX('Deliverability Upgrade Factors'!$F:$F,MATCH(SUBSTITUTE(Dashboard!$D591,"_group",Dashboard!$D$503),'Deliverability Upgrade Factors'!$B:$B,0))</f>
        <v>0</v>
      </c>
      <c r="L591" s="10">
        <f>-L429*INDEX('Deliverability Upgrade Factors'!$F:$F,MATCH(SUBSTITUTE(Dashboard!$D591,"_group",Dashboard!$D$503),'Deliverability Upgrade Factors'!$B:$B,0))</f>
        <v>0</v>
      </c>
      <c r="M591" s="10">
        <f>-M429*INDEX('Deliverability Upgrade Factors'!$F:$F,MATCH(SUBSTITUTE(Dashboard!$D591,"_group",Dashboard!$D$503),'Deliverability Upgrade Factors'!$B:$B,0))</f>
        <v>0</v>
      </c>
      <c r="N591" s="10">
        <f>-N429*INDEX('Deliverability Upgrade Factors'!$F:$F,MATCH(SUBSTITUTE(Dashboard!$D591,"_group",Dashboard!$D$503),'Deliverability Upgrade Factors'!$B:$B,0))</f>
        <v>0</v>
      </c>
      <c r="O591" s="10">
        <f>-O429*INDEX('Deliverability Upgrade Factors'!$F:$F,MATCH(SUBSTITUTE(Dashboard!$D591,"_group",Dashboard!$D$503),'Deliverability Upgrade Factors'!$B:$B,0))</f>
        <v>0</v>
      </c>
      <c r="P591" s="10">
        <f>-P429*INDEX('Deliverability Upgrade Factors'!$F:$F,MATCH(SUBSTITUTE(Dashboard!$D591,"_group",Dashboard!$D$503),'Deliverability Upgrade Factors'!$B:$B,0))</f>
        <v>0</v>
      </c>
      <c r="Q591" s="10">
        <f>-Q429*INDEX('Deliverability Upgrade Factors'!$F:$F,MATCH(SUBSTITUTE(Dashboard!$D591,"_group",Dashboard!$D$503),'Deliverability Upgrade Factors'!$B:$B,0))</f>
        <v>0</v>
      </c>
      <c r="R591" s="10">
        <f>-R429*INDEX('Deliverability Upgrade Factors'!$F:$F,MATCH(SUBSTITUTE(Dashboard!$D591,"_group",Dashboard!$D$503),'Deliverability Upgrade Factors'!$B:$B,0))</f>
        <v>0</v>
      </c>
      <c r="S591" s="10">
        <f>-S429*INDEX('Deliverability Upgrade Factors'!$F:$F,MATCH(SUBSTITUTE(Dashboard!$D591,"_group",Dashboard!$D$503),'Deliverability Upgrade Factors'!$B:$B,0))</f>
        <v>0</v>
      </c>
      <c r="T591" s="10">
        <f>-T429*INDEX('Deliverability Upgrade Factors'!$F:$F,MATCH(SUBSTITUTE(Dashboard!$D591,"_group",Dashboard!$D$503),'Deliverability Upgrade Factors'!$B:$B,0))</f>
        <v>0</v>
      </c>
      <c r="U591" s="10">
        <f>-U429*INDEX('Deliverability Upgrade Factors'!$F:$F,MATCH(SUBSTITUTE(Dashboard!$D591,"_group",Dashboard!$D$503),'Deliverability Upgrade Factors'!$B:$B,0))</f>
        <v>0</v>
      </c>
      <c r="V591" s="10">
        <f>-V429*INDEX('Deliverability Upgrade Factors'!$F:$F,MATCH(SUBSTITUTE(Dashboard!$D591,"_group",Dashboard!$D$503),'Deliverability Upgrade Factors'!$B:$B,0))</f>
        <v>0</v>
      </c>
      <c r="W591" s="10">
        <f>-W429*INDEX('Deliverability Upgrade Factors'!$F:$F,MATCH(SUBSTITUTE(Dashboard!$D591,"_group",Dashboard!$D$503),'Deliverability Upgrade Factors'!$B:$B,0))</f>
        <v>0</v>
      </c>
      <c r="X591" s="10">
        <f>-X429*INDEX('Deliverability Upgrade Factors'!$F:$F,MATCH(SUBSTITUTE(Dashboard!$D591,"_group",Dashboard!$D$503),'Deliverability Upgrade Factors'!$B:$B,0))</f>
        <v>0</v>
      </c>
      <c r="Y591" s="10">
        <f>-Y429*INDEX('Deliverability Upgrade Factors'!$F:$F,MATCH(SUBSTITUTE(Dashboard!$D591,"_group",Dashboard!$D$503),'Deliverability Upgrade Factors'!$B:$B,0))</f>
        <v>0</v>
      </c>
      <c r="Z591" s="10">
        <f>-Z429*INDEX('Deliverability Upgrade Factors'!$F:$F,MATCH(SUBSTITUTE(Dashboard!$D591,"_group",Dashboard!$D$503),'Deliverability Upgrade Factors'!$B:$B,0))</f>
        <v>0</v>
      </c>
      <c r="AA591" s="10">
        <f>-AA429*INDEX('Deliverability Upgrade Factors'!$F:$F,MATCH(SUBSTITUTE(Dashboard!$D591,"_group",Dashboard!$D$503),'Deliverability Upgrade Factors'!$B:$B,0))</f>
        <v>0</v>
      </c>
      <c r="AB591" s="10">
        <f>-AB429*INDEX('Deliverability Upgrade Factors'!$F:$F,MATCH(SUBSTITUTE(Dashboard!$D591,"_group",Dashboard!$D$503),'Deliverability Upgrade Factors'!$B:$B,0))</f>
        <v>0</v>
      </c>
      <c r="AC591" s="10">
        <f>-AC429*INDEX('Deliverability Upgrade Factors'!$F:$F,MATCH(SUBSTITUTE(Dashboard!$D591,"_group",Dashboard!$D$503),'Deliverability Upgrade Factors'!$B:$B,0))</f>
        <v>0</v>
      </c>
      <c r="AD591" s="10">
        <f>-AD429*INDEX('Deliverability Upgrade Factors'!$F:$F,MATCH(SUBSTITUTE(Dashboard!$D591,"_group",Dashboard!$D$503),'Deliverability Upgrade Factors'!$B:$B,0))</f>
        <v>1153</v>
      </c>
      <c r="AH591" s="34" t="s">
        <v>422</v>
      </c>
    </row>
    <row r="592" spans="4:34" outlineLevel="2" x14ac:dyDescent="0.2">
      <c r="D592" s="8" t="s">
        <v>279</v>
      </c>
      <c r="E592" s="10">
        <f>-E430*INDEX('Deliverability Upgrade Factors'!$F:$F,MATCH(SUBSTITUTE(Dashboard!$D592,"_group",Dashboard!$D$503),'Deliverability Upgrade Factors'!$B:$B,0))</f>
        <v>0</v>
      </c>
      <c r="F592" s="10">
        <f>-F430*INDEX('Deliverability Upgrade Factors'!$F:$F,MATCH(SUBSTITUTE(Dashboard!$D592,"_group",Dashboard!$D$503),'Deliverability Upgrade Factors'!$B:$B,0))</f>
        <v>0</v>
      </c>
      <c r="G592" s="10">
        <f>-G430*INDEX('Deliverability Upgrade Factors'!$F:$F,MATCH(SUBSTITUTE(Dashboard!$D592,"_group",Dashboard!$D$503),'Deliverability Upgrade Factors'!$B:$B,0))</f>
        <v>0</v>
      </c>
      <c r="H592" s="10">
        <f>-H430*INDEX('Deliverability Upgrade Factors'!$F:$F,MATCH(SUBSTITUTE(Dashboard!$D592,"_group",Dashboard!$D$503),'Deliverability Upgrade Factors'!$B:$B,0))</f>
        <v>0</v>
      </c>
      <c r="I592" s="10">
        <f>-I430*INDEX('Deliverability Upgrade Factors'!$F:$F,MATCH(SUBSTITUTE(Dashboard!$D592,"_group",Dashboard!$D$503),'Deliverability Upgrade Factors'!$B:$B,0))</f>
        <v>0</v>
      </c>
      <c r="J592" s="10">
        <f>-J430*INDEX('Deliverability Upgrade Factors'!$F:$F,MATCH(SUBSTITUTE(Dashboard!$D592,"_group",Dashboard!$D$503),'Deliverability Upgrade Factors'!$B:$B,0))</f>
        <v>0</v>
      </c>
      <c r="K592" s="10">
        <f>-K430*INDEX('Deliverability Upgrade Factors'!$F:$F,MATCH(SUBSTITUTE(Dashboard!$D592,"_group",Dashboard!$D$503),'Deliverability Upgrade Factors'!$B:$B,0))</f>
        <v>0</v>
      </c>
      <c r="L592" s="10">
        <f>-L430*INDEX('Deliverability Upgrade Factors'!$F:$F,MATCH(SUBSTITUTE(Dashboard!$D592,"_group",Dashboard!$D$503),'Deliverability Upgrade Factors'!$B:$B,0))</f>
        <v>0</v>
      </c>
      <c r="M592" s="10">
        <f>-M430*INDEX('Deliverability Upgrade Factors'!$F:$F,MATCH(SUBSTITUTE(Dashboard!$D592,"_group",Dashboard!$D$503),'Deliverability Upgrade Factors'!$B:$B,0))</f>
        <v>0</v>
      </c>
      <c r="N592" s="10">
        <f>-N430*INDEX('Deliverability Upgrade Factors'!$F:$F,MATCH(SUBSTITUTE(Dashboard!$D592,"_group",Dashboard!$D$503),'Deliverability Upgrade Factors'!$B:$B,0))</f>
        <v>0</v>
      </c>
      <c r="O592" s="10">
        <f>-O430*INDEX('Deliverability Upgrade Factors'!$F:$F,MATCH(SUBSTITUTE(Dashboard!$D592,"_group",Dashboard!$D$503),'Deliverability Upgrade Factors'!$B:$B,0))</f>
        <v>0</v>
      </c>
      <c r="P592" s="10">
        <f>-P430*INDEX('Deliverability Upgrade Factors'!$F:$F,MATCH(SUBSTITUTE(Dashboard!$D592,"_group",Dashboard!$D$503),'Deliverability Upgrade Factors'!$B:$B,0))</f>
        <v>0</v>
      </c>
      <c r="Q592" s="10">
        <f>-Q430*INDEX('Deliverability Upgrade Factors'!$F:$F,MATCH(SUBSTITUTE(Dashboard!$D592,"_group",Dashboard!$D$503),'Deliverability Upgrade Factors'!$B:$B,0))</f>
        <v>0</v>
      </c>
      <c r="R592" s="10">
        <f>-R430*INDEX('Deliverability Upgrade Factors'!$F:$F,MATCH(SUBSTITUTE(Dashboard!$D592,"_group",Dashboard!$D$503),'Deliverability Upgrade Factors'!$B:$B,0))</f>
        <v>0</v>
      </c>
      <c r="S592" s="10">
        <f>-S430*INDEX('Deliverability Upgrade Factors'!$F:$F,MATCH(SUBSTITUTE(Dashboard!$D592,"_group",Dashboard!$D$503),'Deliverability Upgrade Factors'!$B:$B,0))</f>
        <v>0</v>
      </c>
      <c r="T592" s="10">
        <f>-T430*INDEX('Deliverability Upgrade Factors'!$F:$F,MATCH(SUBSTITUTE(Dashboard!$D592,"_group",Dashboard!$D$503),'Deliverability Upgrade Factors'!$B:$B,0))</f>
        <v>0</v>
      </c>
      <c r="U592" s="10">
        <f>-U430*INDEX('Deliverability Upgrade Factors'!$F:$F,MATCH(SUBSTITUTE(Dashboard!$D592,"_group",Dashboard!$D$503),'Deliverability Upgrade Factors'!$B:$B,0))</f>
        <v>0</v>
      </c>
      <c r="V592" s="10">
        <f>-V430*INDEX('Deliverability Upgrade Factors'!$F:$F,MATCH(SUBSTITUTE(Dashboard!$D592,"_group",Dashboard!$D$503),'Deliverability Upgrade Factors'!$B:$B,0))</f>
        <v>0</v>
      </c>
      <c r="W592" s="10">
        <f>-W430*INDEX('Deliverability Upgrade Factors'!$F:$F,MATCH(SUBSTITUTE(Dashboard!$D592,"_group",Dashboard!$D$503),'Deliverability Upgrade Factors'!$B:$B,0))</f>
        <v>0</v>
      </c>
      <c r="X592" s="10">
        <f>-X430*INDEX('Deliverability Upgrade Factors'!$F:$F,MATCH(SUBSTITUTE(Dashboard!$D592,"_group",Dashboard!$D$503),'Deliverability Upgrade Factors'!$B:$B,0))</f>
        <v>0</v>
      </c>
      <c r="Y592" s="10">
        <f>-Y430*INDEX('Deliverability Upgrade Factors'!$F:$F,MATCH(SUBSTITUTE(Dashboard!$D592,"_group",Dashboard!$D$503),'Deliverability Upgrade Factors'!$B:$B,0))</f>
        <v>0</v>
      </c>
      <c r="Z592" s="10">
        <f>-Z430*INDEX('Deliverability Upgrade Factors'!$F:$F,MATCH(SUBSTITUTE(Dashboard!$D592,"_group",Dashboard!$D$503),'Deliverability Upgrade Factors'!$B:$B,0))</f>
        <v>0</v>
      </c>
      <c r="AA592" s="10">
        <f>-AA430*INDEX('Deliverability Upgrade Factors'!$F:$F,MATCH(SUBSTITUTE(Dashboard!$D592,"_group",Dashboard!$D$503),'Deliverability Upgrade Factors'!$B:$B,0))</f>
        <v>0</v>
      </c>
      <c r="AB592" s="10">
        <f>-AB430*INDEX('Deliverability Upgrade Factors'!$F:$F,MATCH(SUBSTITUTE(Dashboard!$D592,"_group",Dashboard!$D$503),'Deliverability Upgrade Factors'!$B:$B,0))</f>
        <v>0</v>
      </c>
      <c r="AC592" s="10">
        <f>-AC430*INDEX('Deliverability Upgrade Factors'!$F:$F,MATCH(SUBSTITUTE(Dashboard!$D592,"_group",Dashboard!$D$503),'Deliverability Upgrade Factors'!$B:$B,0))</f>
        <v>0</v>
      </c>
      <c r="AD592" s="10">
        <f>-AD430*INDEX('Deliverability Upgrade Factors'!$F:$F,MATCH(SUBSTITUTE(Dashboard!$D592,"_group",Dashboard!$D$503),'Deliverability Upgrade Factors'!$B:$B,0))</f>
        <v>0</v>
      </c>
      <c r="AH592" s="34" t="s">
        <v>422</v>
      </c>
    </row>
    <row r="593" spans="4:34" outlineLevel="2" x14ac:dyDescent="0.2">
      <c r="D593" s="8" t="s">
        <v>280</v>
      </c>
      <c r="E593" s="10">
        <f>-E431*INDEX('Deliverability Upgrade Factors'!$F:$F,MATCH(SUBSTITUTE(Dashboard!$D593,"_group",Dashboard!$D$503),'Deliverability Upgrade Factors'!$B:$B,0))</f>
        <v>0</v>
      </c>
      <c r="F593" s="10">
        <f>-F431*INDEX('Deliverability Upgrade Factors'!$F:$F,MATCH(SUBSTITUTE(Dashboard!$D593,"_group",Dashboard!$D$503),'Deliverability Upgrade Factors'!$B:$B,0))</f>
        <v>0</v>
      </c>
      <c r="G593" s="10">
        <f>-G431*INDEX('Deliverability Upgrade Factors'!$F:$F,MATCH(SUBSTITUTE(Dashboard!$D593,"_group",Dashboard!$D$503),'Deliverability Upgrade Factors'!$B:$B,0))</f>
        <v>0</v>
      </c>
      <c r="H593" s="10">
        <f>-H431*INDEX('Deliverability Upgrade Factors'!$F:$F,MATCH(SUBSTITUTE(Dashboard!$D593,"_group",Dashboard!$D$503),'Deliverability Upgrade Factors'!$B:$B,0))</f>
        <v>0</v>
      </c>
      <c r="I593" s="10">
        <f>-I431*INDEX('Deliverability Upgrade Factors'!$F:$F,MATCH(SUBSTITUTE(Dashboard!$D593,"_group",Dashboard!$D$503),'Deliverability Upgrade Factors'!$B:$B,0))</f>
        <v>0</v>
      </c>
      <c r="J593" s="10">
        <f>-J431*INDEX('Deliverability Upgrade Factors'!$F:$F,MATCH(SUBSTITUTE(Dashboard!$D593,"_group",Dashboard!$D$503),'Deliverability Upgrade Factors'!$B:$B,0))</f>
        <v>0</v>
      </c>
      <c r="K593" s="10">
        <f>-K431*INDEX('Deliverability Upgrade Factors'!$F:$F,MATCH(SUBSTITUTE(Dashboard!$D593,"_group",Dashboard!$D$503),'Deliverability Upgrade Factors'!$B:$B,0))</f>
        <v>0</v>
      </c>
      <c r="L593" s="10">
        <f>-L431*INDEX('Deliverability Upgrade Factors'!$F:$F,MATCH(SUBSTITUTE(Dashboard!$D593,"_group",Dashboard!$D$503),'Deliverability Upgrade Factors'!$B:$B,0))</f>
        <v>0</v>
      </c>
      <c r="M593" s="10">
        <f>-M431*INDEX('Deliverability Upgrade Factors'!$F:$F,MATCH(SUBSTITUTE(Dashboard!$D593,"_group",Dashboard!$D$503),'Deliverability Upgrade Factors'!$B:$B,0))</f>
        <v>0</v>
      </c>
      <c r="N593" s="10">
        <f>-N431*INDEX('Deliverability Upgrade Factors'!$F:$F,MATCH(SUBSTITUTE(Dashboard!$D593,"_group",Dashboard!$D$503),'Deliverability Upgrade Factors'!$B:$B,0))</f>
        <v>0</v>
      </c>
      <c r="O593" s="10">
        <f>-O431*INDEX('Deliverability Upgrade Factors'!$F:$F,MATCH(SUBSTITUTE(Dashboard!$D593,"_group",Dashboard!$D$503),'Deliverability Upgrade Factors'!$B:$B,0))</f>
        <v>0</v>
      </c>
      <c r="P593" s="10">
        <f>-P431*INDEX('Deliverability Upgrade Factors'!$F:$F,MATCH(SUBSTITUTE(Dashboard!$D593,"_group",Dashboard!$D$503),'Deliverability Upgrade Factors'!$B:$B,0))</f>
        <v>0</v>
      </c>
      <c r="Q593" s="10">
        <f>-Q431*INDEX('Deliverability Upgrade Factors'!$F:$F,MATCH(SUBSTITUTE(Dashboard!$D593,"_group",Dashboard!$D$503),'Deliverability Upgrade Factors'!$B:$B,0))</f>
        <v>0</v>
      </c>
      <c r="R593" s="10">
        <f>-R431*INDEX('Deliverability Upgrade Factors'!$F:$F,MATCH(SUBSTITUTE(Dashboard!$D593,"_group",Dashboard!$D$503),'Deliverability Upgrade Factors'!$B:$B,0))</f>
        <v>0</v>
      </c>
      <c r="S593" s="10">
        <f>-S431*INDEX('Deliverability Upgrade Factors'!$F:$F,MATCH(SUBSTITUTE(Dashboard!$D593,"_group",Dashboard!$D$503),'Deliverability Upgrade Factors'!$B:$B,0))</f>
        <v>0</v>
      </c>
      <c r="T593" s="10">
        <f>-T431*INDEX('Deliverability Upgrade Factors'!$F:$F,MATCH(SUBSTITUTE(Dashboard!$D593,"_group",Dashboard!$D$503),'Deliverability Upgrade Factors'!$B:$B,0))</f>
        <v>0</v>
      </c>
      <c r="U593" s="10">
        <f>-U431*INDEX('Deliverability Upgrade Factors'!$F:$F,MATCH(SUBSTITUTE(Dashboard!$D593,"_group",Dashboard!$D$503),'Deliverability Upgrade Factors'!$B:$B,0))</f>
        <v>0</v>
      </c>
      <c r="V593" s="10">
        <f>-V431*INDEX('Deliverability Upgrade Factors'!$F:$F,MATCH(SUBSTITUTE(Dashboard!$D593,"_group",Dashboard!$D$503),'Deliverability Upgrade Factors'!$B:$B,0))</f>
        <v>0</v>
      </c>
      <c r="W593" s="10">
        <f>-W431*INDEX('Deliverability Upgrade Factors'!$F:$F,MATCH(SUBSTITUTE(Dashboard!$D593,"_group",Dashboard!$D$503),'Deliverability Upgrade Factors'!$B:$B,0))</f>
        <v>0</v>
      </c>
      <c r="X593" s="10">
        <f>-X431*INDEX('Deliverability Upgrade Factors'!$F:$F,MATCH(SUBSTITUTE(Dashboard!$D593,"_group",Dashboard!$D$503),'Deliverability Upgrade Factors'!$B:$B,0))</f>
        <v>0</v>
      </c>
      <c r="Y593" s="10">
        <f>-Y431*INDEX('Deliverability Upgrade Factors'!$F:$F,MATCH(SUBSTITUTE(Dashboard!$D593,"_group",Dashboard!$D$503),'Deliverability Upgrade Factors'!$B:$B,0))</f>
        <v>0</v>
      </c>
      <c r="Z593" s="10">
        <f>-Z431*INDEX('Deliverability Upgrade Factors'!$F:$F,MATCH(SUBSTITUTE(Dashboard!$D593,"_group",Dashboard!$D$503),'Deliverability Upgrade Factors'!$B:$B,0))</f>
        <v>0</v>
      </c>
      <c r="AA593" s="10">
        <f>-AA431*INDEX('Deliverability Upgrade Factors'!$F:$F,MATCH(SUBSTITUTE(Dashboard!$D593,"_group",Dashboard!$D$503),'Deliverability Upgrade Factors'!$B:$B,0))</f>
        <v>0</v>
      </c>
      <c r="AB593" s="10">
        <f>-AB431*INDEX('Deliverability Upgrade Factors'!$F:$F,MATCH(SUBSTITUTE(Dashboard!$D593,"_group",Dashboard!$D$503),'Deliverability Upgrade Factors'!$B:$B,0))</f>
        <v>0</v>
      </c>
      <c r="AC593" s="10">
        <f>-AC431*INDEX('Deliverability Upgrade Factors'!$F:$F,MATCH(SUBSTITUTE(Dashboard!$D593,"_group",Dashboard!$D$503),'Deliverability Upgrade Factors'!$B:$B,0))</f>
        <v>0</v>
      </c>
      <c r="AD593" s="10">
        <f>-AD431*INDEX('Deliverability Upgrade Factors'!$F:$F,MATCH(SUBSTITUTE(Dashboard!$D593,"_group",Dashboard!$D$503),'Deliverability Upgrade Factors'!$B:$B,0))</f>
        <v>1699</v>
      </c>
      <c r="AH593" s="34" t="s">
        <v>422</v>
      </c>
    </row>
    <row r="594" spans="4:34" outlineLevel="2" x14ac:dyDescent="0.2">
      <c r="D594" s="8" t="s">
        <v>281</v>
      </c>
      <c r="E594" s="10">
        <f>-E432*INDEX('Deliverability Upgrade Factors'!$F:$F,MATCH(SUBSTITUTE(Dashboard!$D594,"_group",Dashboard!$D$503),'Deliverability Upgrade Factors'!$B:$B,0))</f>
        <v>0</v>
      </c>
      <c r="F594" s="10">
        <f>-F432*INDEX('Deliverability Upgrade Factors'!$F:$F,MATCH(SUBSTITUTE(Dashboard!$D594,"_group",Dashboard!$D$503),'Deliverability Upgrade Factors'!$B:$B,0))</f>
        <v>0</v>
      </c>
      <c r="G594" s="10">
        <f>-G432*INDEX('Deliverability Upgrade Factors'!$F:$F,MATCH(SUBSTITUTE(Dashboard!$D594,"_group",Dashboard!$D$503),'Deliverability Upgrade Factors'!$B:$B,0))</f>
        <v>0</v>
      </c>
      <c r="H594" s="10">
        <f>-H432*INDEX('Deliverability Upgrade Factors'!$F:$F,MATCH(SUBSTITUTE(Dashboard!$D594,"_group",Dashboard!$D$503),'Deliverability Upgrade Factors'!$B:$B,0))</f>
        <v>0</v>
      </c>
      <c r="I594" s="10">
        <f>-I432*INDEX('Deliverability Upgrade Factors'!$F:$F,MATCH(SUBSTITUTE(Dashboard!$D594,"_group",Dashboard!$D$503),'Deliverability Upgrade Factors'!$B:$B,0))</f>
        <v>0</v>
      </c>
      <c r="J594" s="10">
        <f>-J432*INDEX('Deliverability Upgrade Factors'!$F:$F,MATCH(SUBSTITUTE(Dashboard!$D594,"_group",Dashboard!$D$503),'Deliverability Upgrade Factors'!$B:$B,0))</f>
        <v>0</v>
      </c>
      <c r="K594" s="10">
        <f>-K432*INDEX('Deliverability Upgrade Factors'!$F:$F,MATCH(SUBSTITUTE(Dashboard!$D594,"_group",Dashboard!$D$503),'Deliverability Upgrade Factors'!$B:$B,0))</f>
        <v>0</v>
      </c>
      <c r="L594" s="10">
        <f>-L432*INDEX('Deliverability Upgrade Factors'!$F:$F,MATCH(SUBSTITUTE(Dashboard!$D594,"_group",Dashboard!$D$503),'Deliverability Upgrade Factors'!$B:$B,0))</f>
        <v>0</v>
      </c>
      <c r="M594" s="10">
        <f>-M432*INDEX('Deliverability Upgrade Factors'!$F:$F,MATCH(SUBSTITUTE(Dashboard!$D594,"_group",Dashboard!$D$503),'Deliverability Upgrade Factors'!$B:$B,0))</f>
        <v>0</v>
      </c>
      <c r="N594" s="10">
        <f>-N432*INDEX('Deliverability Upgrade Factors'!$F:$F,MATCH(SUBSTITUTE(Dashboard!$D594,"_group",Dashboard!$D$503),'Deliverability Upgrade Factors'!$B:$B,0))</f>
        <v>0</v>
      </c>
      <c r="O594" s="10">
        <f>-O432*INDEX('Deliverability Upgrade Factors'!$F:$F,MATCH(SUBSTITUTE(Dashboard!$D594,"_group",Dashboard!$D$503),'Deliverability Upgrade Factors'!$B:$B,0))</f>
        <v>0</v>
      </c>
      <c r="P594" s="10">
        <f>-P432*INDEX('Deliverability Upgrade Factors'!$F:$F,MATCH(SUBSTITUTE(Dashboard!$D594,"_group",Dashboard!$D$503),'Deliverability Upgrade Factors'!$B:$B,0))</f>
        <v>0</v>
      </c>
      <c r="Q594" s="10">
        <f>-Q432*INDEX('Deliverability Upgrade Factors'!$F:$F,MATCH(SUBSTITUTE(Dashboard!$D594,"_group",Dashboard!$D$503),'Deliverability Upgrade Factors'!$B:$B,0))</f>
        <v>0</v>
      </c>
      <c r="R594" s="10">
        <f>-R432*INDEX('Deliverability Upgrade Factors'!$F:$F,MATCH(SUBSTITUTE(Dashboard!$D594,"_group",Dashboard!$D$503),'Deliverability Upgrade Factors'!$B:$B,0))</f>
        <v>0</v>
      </c>
      <c r="S594" s="10">
        <f>-S432*INDEX('Deliverability Upgrade Factors'!$F:$F,MATCH(SUBSTITUTE(Dashboard!$D594,"_group",Dashboard!$D$503),'Deliverability Upgrade Factors'!$B:$B,0))</f>
        <v>0</v>
      </c>
      <c r="T594" s="10">
        <f>-T432*INDEX('Deliverability Upgrade Factors'!$F:$F,MATCH(SUBSTITUTE(Dashboard!$D594,"_group",Dashboard!$D$503),'Deliverability Upgrade Factors'!$B:$B,0))</f>
        <v>0</v>
      </c>
      <c r="U594" s="10">
        <f>-U432*INDEX('Deliverability Upgrade Factors'!$F:$F,MATCH(SUBSTITUTE(Dashboard!$D594,"_group",Dashboard!$D$503),'Deliverability Upgrade Factors'!$B:$B,0))</f>
        <v>0</v>
      </c>
      <c r="V594" s="10">
        <f>-V432*INDEX('Deliverability Upgrade Factors'!$F:$F,MATCH(SUBSTITUTE(Dashboard!$D594,"_group",Dashboard!$D$503),'Deliverability Upgrade Factors'!$B:$B,0))</f>
        <v>0</v>
      </c>
      <c r="W594" s="10">
        <f>-W432*INDEX('Deliverability Upgrade Factors'!$F:$F,MATCH(SUBSTITUTE(Dashboard!$D594,"_group",Dashboard!$D$503),'Deliverability Upgrade Factors'!$B:$B,0))</f>
        <v>0</v>
      </c>
      <c r="X594" s="10">
        <f>-X432*INDEX('Deliverability Upgrade Factors'!$F:$F,MATCH(SUBSTITUTE(Dashboard!$D594,"_group",Dashboard!$D$503),'Deliverability Upgrade Factors'!$B:$B,0))</f>
        <v>0</v>
      </c>
      <c r="Y594" s="10">
        <f>-Y432*INDEX('Deliverability Upgrade Factors'!$F:$F,MATCH(SUBSTITUTE(Dashboard!$D594,"_group",Dashboard!$D$503),'Deliverability Upgrade Factors'!$B:$B,0))</f>
        <v>0</v>
      </c>
      <c r="Z594" s="10">
        <f>-Z432*INDEX('Deliverability Upgrade Factors'!$F:$F,MATCH(SUBSTITUTE(Dashboard!$D594,"_group",Dashboard!$D$503),'Deliverability Upgrade Factors'!$B:$B,0))</f>
        <v>0</v>
      </c>
      <c r="AA594" s="10">
        <f>-AA432*INDEX('Deliverability Upgrade Factors'!$F:$F,MATCH(SUBSTITUTE(Dashboard!$D594,"_group",Dashboard!$D$503),'Deliverability Upgrade Factors'!$B:$B,0))</f>
        <v>0</v>
      </c>
      <c r="AB594" s="10">
        <f>-AB432*INDEX('Deliverability Upgrade Factors'!$F:$F,MATCH(SUBSTITUTE(Dashboard!$D594,"_group",Dashboard!$D$503),'Deliverability Upgrade Factors'!$B:$B,0))</f>
        <v>0</v>
      </c>
      <c r="AC594" s="10">
        <f>-AC432*INDEX('Deliverability Upgrade Factors'!$F:$F,MATCH(SUBSTITUTE(Dashboard!$D594,"_group",Dashboard!$D$503),'Deliverability Upgrade Factors'!$B:$B,0))</f>
        <v>0</v>
      </c>
      <c r="AD594" s="10">
        <f>-AD432*INDEX('Deliverability Upgrade Factors'!$F:$F,MATCH(SUBSTITUTE(Dashboard!$D594,"_group",Dashboard!$D$503),'Deliverability Upgrade Factors'!$B:$B,0))</f>
        <v>0</v>
      </c>
      <c r="AH594" s="34" t="s">
        <v>422</v>
      </c>
    </row>
    <row r="595" spans="4:34" outlineLevel="2" x14ac:dyDescent="0.2">
      <c r="D595" s="8" t="s">
        <v>282</v>
      </c>
      <c r="E595" s="10">
        <f>-E433*INDEX('Deliverability Upgrade Factors'!$F:$F,MATCH(SUBSTITUTE(Dashboard!$D595,"_group",Dashboard!$D$503),'Deliverability Upgrade Factors'!$B:$B,0))</f>
        <v>0</v>
      </c>
      <c r="F595" s="10">
        <f>-F433*INDEX('Deliverability Upgrade Factors'!$F:$F,MATCH(SUBSTITUTE(Dashboard!$D595,"_group",Dashboard!$D$503),'Deliverability Upgrade Factors'!$B:$B,0))</f>
        <v>0</v>
      </c>
      <c r="G595" s="10">
        <f>-G433*INDEX('Deliverability Upgrade Factors'!$F:$F,MATCH(SUBSTITUTE(Dashboard!$D595,"_group",Dashboard!$D$503),'Deliverability Upgrade Factors'!$B:$B,0))</f>
        <v>0</v>
      </c>
      <c r="H595" s="10">
        <f>-H433*INDEX('Deliverability Upgrade Factors'!$F:$F,MATCH(SUBSTITUTE(Dashboard!$D595,"_group",Dashboard!$D$503),'Deliverability Upgrade Factors'!$B:$B,0))</f>
        <v>0</v>
      </c>
      <c r="I595" s="10">
        <f>-I433*INDEX('Deliverability Upgrade Factors'!$F:$F,MATCH(SUBSTITUTE(Dashboard!$D595,"_group",Dashboard!$D$503),'Deliverability Upgrade Factors'!$B:$B,0))</f>
        <v>0</v>
      </c>
      <c r="J595" s="10">
        <f>-J433*INDEX('Deliverability Upgrade Factors'!$F:$F,MATCH(SUBSTITUTE(Dashboard!$D595,"_group",Dashboard!$D$503),'Deliverability Upgrade Factors'!$B:$B,0))</f>
        <v>0</v>
      </c>
      <c r="K595" s="10">
        <f>-K433*INDEX('Deliverability Upgrade Factors'!$F:$F,MATCH(SUBSTITUTE(Dashboard!$D595,"_group",Dashboard!$D$503),'Deliverability Upgrade Factors'!$B:$B,0))</f>
        <v>0</v>
      </c>
      <c r="L595" s="10">
        <f>-L433*INDEX('Deliverability Upgrade Factors'!$F:$F,MATCH(SUBSTITUTE(Dashboard!$D595,"_group",Dashboard!$D$503),'Deliverability Upgrade Factors'!$B:$B,0))</f>
        <v>0</v>
      </c>
      <c r="M595" s="10">
        <f>-M433*INDEX('Deliverability Upgrade Factors'!$F:$F,MATCH(SUBSTITUTE(Dashboard!$D595,"_group",Dashboard!$D$503),'Deliverability Upgrade Factors'!$B:$B,0))</f>
        <v>0</v>
      </c>
      <c r="N595" s="10">
        <f>-N433*INDEX('Deliverability Upgrade Factors'!$F:$F,MATCH(SUBSTITUTE(Dashboard!$D595,"_group",Dashboard!$D$503),'Deliverability Upgrade Factors'!$B:$B,0))</f>
        <v>0</v>
      </c>
      <c r="O595" s="10">
        <f>-O433*INDEX('Deliverability Upgrade Factors'!$F:$F,MATCH(SUBSTITUTE(Dashboard!$D595,"_group",Dashboard!$D$503),'Deliverability Upgrade Factors'!$B:$B,0))</f>
        <v>0</v>
      </c>
      <c r="P595" s="10">
        <f>-P433*INDEX('Deliverability Upgrade Factors'!$F:$F,MATCH(SUBSTITUTE(Dashboard!$D595,"_group",Dashboard!$D$503),'Deliverability Upgrade Factors'!$B:$B,0))</f>
        <v>0</v>
      </c>
      <c r="Q595" s="10">
        <f>-Q433*INDEX('Deliverability Upgrade Factors'!$F:$F,MATCH(SUBSTITUTE(Dashboard!$D595,"_group",Dashboard!$D$503),'Deliverability Upgrade Factors'!$B:$B,0))</f>
        <v>0</v>
      </c>
      <c r="R595" s="10">
        <f>-R433*INDEX('Deliverability Upgrade Factors'!$F:$F,MATCH(SUBSTITUTE(Dashboard!$D595,"_group",Dashboard!$D$503),'Deliverability Upgrade Factors'!$B:$B,0))</f>
        <v>0</v>
      </c>
      <c r="S595" s="10">
        <f>-S433*INDEX('Deliverability Upgrade Factors'!$F:$F,MATCH(SUBSTITUTE(Dashboard!$D595,"_group",Dashboard!$D$503),'Deliverability Upgrade Factors'!$B:$B,0))</f>
        <v>0</v>
      </c>
      <c r="T595" s="10">
        <f>-T433*INDEX('Deliverability Upgrade Factors'!$F:$F,MATCH(SUBSTITUTE(Dashboard!$D595,"_group",Dashboard!$D$503),'Deliverability Upgrade Factors'!$B:$B,0))</f>
        <v>0</v>
      </c>
      <c r="U595" s="10">
        <f>-U433*INDEX('Deliverability Upgrade Factors'!$F:$F,MATCH(SUBSTITUTE(Dashboard!$D595,"_group",Dashboard!$D$503),'Deliverability Upgrade Factors'!$B:$B,0))</f>
        <v>0</v>
      </c>
      <c r="V595" s="10">
        <f>-V433*INDEX('Deliverability Upgrade Factors'!$F:$F,MATCH(SUBSTITUTE(Dashboard!$D595,"_group",Dashboard!$D$503),'Deliverability Upgrade Factors'!$B:$B,0))</f>
        <v>0</v>
      </c>
      <c r="W595" s="10">
        <f>-W433*INDEX('Deliverability Upgrade Factors'!$F:$F,MATCH(SUBSTITUTE(Dashboard!$D595,"_group",Dashboard!$D$503),'Deliverability Upgrade Factors'!$B:$B,0))</f>
        <v>0</v>
      </c>
      <c r="X595" s="10">
        <f>-X433*INDEX('Deliverability Upgrade Factors'!$F:$F,MATCH(SUBSTITUTE(Dashboard!$D595,"_group",Dashboard!$D$503),'Deliverability Upgrade Factors'!$B:$B,0))</f>
        <v>0</v>
      </c>
      <c r="Y595" s="10">
        <f>-Y433*INDEX('Deliverability Upgrade Factors'!$F:$F,MATCH(SUBSTITUTE(Dashboard!$D595,"_group",Dashboard!$D$503),'Deliverability Upgrade Factors'!$B:$B,0))</f>
        <v>0</v>
      </c>
      <c r="Z595" s="10">
        <f>-Z433*INDEX('Deliverability Upgrade Factors'!$F:$F,MATCH(SUBSTITUTE(Dashboard!$D595,"_group",Dashboard!$D$503),'Deliverability Upgrade Factors'!$B:$B,0))</f>
        <v>0</v>
      </c>
      <c r="AA595" s="10">
        <f>-AA433*INDEX('Deliverability Upgrade Factors'!$F:$F,MATCH(SUBSTITUTE(Dashboard!$D595,"_group",Dashboard!$D$503),'Deliverability Upgrade Factors'!$B:$B,0))</f>
        <v>0</v>
      </c>
      <c r="AB595" s="10">
        <f>-AB433*INDEX('Deliverability Upgrade Factors'!$F:$F,MATCH(SUBSTITUTE(Dashboard!$D595,"_group",Dashboard!$D$503),'Deliverability Upgrade Factors'!$B:$B,0))</f>
        <v>0</v>
      </c>
      <c r="AC595" s="10">
        <f>-AC433*INDEX('Deliverability Upgrade Factors'!$F:$F,MATCH(SUBSTITUTE(Dashboard!$D595,"_group",Dashboard!$D$503),'Deliverability Upgrade Factors'!$B:$B,0))</f>
        <v>0</v>
      </c>
      <c r="AD595" s="10">
        <f>-AD433*INDEX('Deliverability Upgrade Factors'!$F:$F,MATCH(SUBSTITUTE(Dashboard!$D595,"_group",Dashboard!$D$503),'Deliverability Upgrade Factors'!$B:$B,0))</f>
        <v>0</v>
      </c>
      <c r="AH595" s="34" t="s">
        <v>422</v>
      </c>
    </row>
    <row r="596" spans="4:34" outlineLevel="2" x14ac:dyDescent="0.2">
      <c r="D596" s="8" t="s">
        <v>283</v>
      </c>
      <c r="E596" s="10">
        <f>-E434*INDEX('Deliverability Upgrade Factors'!$F:$F,MATCH(SUBSTITUTE(Dashboard!$D596,"_group",Dashboard!$D$503),'Deliverability Upgrade Factors'!$B:$B,0))</f>
        <v>0</v>
      </c>
      <c r="F596" s="10">
        <f>-F434*INDEX('Deliverability Upgrade Factors'!$F:$F,MATCH(SUBSTITUTE(Dashboard!$D596,"_group",Dashboard!$D$503),'Deliverability Upgrade Factors'!$B:$B,0))</f>
        <v>0</v>
      </c>
      <c r="G596" s="10">
        <f>-G434*INDEX('Deliverability Upgrade Factors'!$F:$F,MATCH(SUBSTITUTE(Dashboard!$D596,"_group",Dashboard!$D$503),'Deliverability Upgrade Factors'!$B:$B,0))</f>
        <v>0</v>
      </c>
      <c r="H596" s="10">
        <f>-H434*INDEX('Deliverability Upgrade Factors'!$F:$F,MATCH(SUBSTITUTE(Dashboard!$D596,"_group",Dashboard!$D$503),'Deliverability Upgrade Factors'!$B:$B,0))</f>
        <v>0</v>
      </c>
      <c r="I596" s="10">
        <f>-I434*INDEX('Deliverability Upgrade Factors'!$F:$F,MATCH(SUBSTITUTE(Dashboard!$D596,"_group",Dashboard!$D$503),'Deliverability Upgrade Factors'!$B:$B,0))</f>
        <v>0</v>
      </c>
      <c r="J596" s="10">
        <f>-J434*INDEX('Deliverability Upgrade Factors'!$F:$F,MATCH(SUBSTITUTE(Dashboard!$D596,"_group",Dashboard!$D$503),'Deliverability Upgrade Factors'!$B:$B,0))</f>
        <v>0</v>
      </c>
      <c r="K596" s="10">
        <f>-K434*INDEX('Deliverability Upgrade Factors'!$F:$F,MATCH(SUBSTITUTE(Dashboard!$D596,"_group",Dashboard!$D$503),'Deliverability Upgrade Factors'!$B:$B,0))</f>
        <v>0</v>
      </c>
      <c r="L596" s="10">
        <f>-L434*INDEX('Deliverability Upgrade Factors'!$F:$F,MATCH(SUBSTITUTE(Dashboard!$D596,"_group",Dashboard!$D$503),'Deliverability Upgrade Factors'!$B:$B,0))</f>
        <v>0</v>
      </c>
      <c r="M596" s="10">
        <f>-M434*INDEX('Deliverability Upgrade Factors'!$F:$F,MATCH(SUBSTITUTE(Dashboard!$D596,"_group",Dashboard!$D$503),'Deliverability Upgrade Factors'!$B:$B,0))</f>
        <v>0</v>
      </c>
      <c r="N596" s="10">
        <f>-N434*INDEX('Deliverability Upgrade Factors'!$F:$F,MATCH(SUBSTITUTE(Dashboard!$D596,"_group",Dashboard!$D$503),'Deliverability Upgrade Factors'!$B:$B,0))</f>
        <v>0</v>
      </c>
      <c r="O596" s="10">
        <f>-O434*INDEX('Deliverability Upgrade Factors'!$F:$F,MATCH(SUBSTITUTE(Dashboard!$D596,"_group",Dashboard!$D$503),'Deliverability Upgrade Factors'!$B:$B,0))</f>
        <v>0</v>
      </c>
      <c r="P596" s="10">
        <f>-P434*INDEX('Deliverability Upgrade Factors'!$F:$F,MATCH(SUBSTITUTE(Dashboard!$D596,"_group",Dashboard!$D$503),'Deliverability Upgrade Factors'!$B:$B,0))</f>
        <v>0</v>
      </c>
      <c r="Q596" s="10">
        <f>-Q434*INDEX('Deliverability Upgrade Factors'!$F:$F,MATCH(SUBSTITUTE(Dashboard!$D596,"_group",Dashboard!$D$503),'Deliverability Upgrade Factors'!$B:$B,0))</f>
        <v>0</v>
      </c>
      <c r="R596" s="10">
        <f>-R434*INDEX('Deliverability Upgrade Factors'!$F:$F,MATCH(SUBSTITUTE(Dashboard!$D596,"_group",Dashboard!$D$503),'Deliverability Upgrade Factors'!$B:$B,0))</f>
        <v>0</v>
      </c>
      <c r="S596" s="10">
        <f>-S434*INDEX('Deliverability Upgrade Factors'!$F:$F,MATCH(SUBSTITUTE(Dashboard!$D596,"_group",Dashboard!$D$503),'Deliverability Upgrade Factors'!$B:$B,0))</f>
        <v>0</v>
      </c>
      <c r="T596" s="10">
        <f>-T434*INDEX('Deliverability Upgrade Factors'!$F:$F,MATCH(SUBSTITUTE(Dashboard!$D596,"_group",Dashboard!$D$503),'Deliverability Upgrade Factors'!$B:$B,0))</f>
        <v>0</v>
      </c>
      <c r="U596" s="10">
        <f>-U434*INDEX('Deliverability Upgrade Factors'!$F:$F,MATCH(SUBSTITUTE(Dashboard!$D596,"_group",Dashboard!$D$503),'Deliverability Upgrade Factors'!$B:$B,0))</f>
        <v>0</v>
      </c>
      <c r="V596" s="10">
        <f>-V434*INDEX('Deliverability Upgrade Factors'!$F:$F,MATCH(SUBSTITUTE(Dashboard!$D596,"_group",Dashboard!$D$503),'Deliverability Upgrade Factors'!$B:$B,0))</f>
        <v>0</v>
      </c>
      <c r="W596" s="10">
        <f>-W434*INDEX('Deliverability Upgrade Factors'!$F:$F,MATCH(SUBSTITUTE(Dashboard!$D596,"_group",Dashboard!$D$503),'Deliverability Upgrade Factors'!$B:$B,0))</f>
        <v>0</v>
      </c>
      <c r="X596" s="10">
        <f>-X434*INDEX('Deliverability Upgrade Factors'!$F:$F,MATCH(SUBSTITUTE(Dashboard!$D596,"_group",Dashboard!$D$503),'Deliverability Upgrade Factors'!$B:$B,0))</f>
        <v>0</v>
      </c>
      <c r="Y596" s="10">
        <f>-Y434*INDEX('Deliverability Upgrade Factors'!$F:$F,MATCH(SUBSTITUTE(Dashboard!$D596,"_group",Dashboard!$D$503),'Deliverability Upgrade Factors'!$B:$B,0))</f>
        <v>0</v>
      </c>
      <c r="Z596" s="10">
        <f>-Z434*INDEX('Deliverability Upgrade Factors'!$F:$F,MATCH(SUBSTITUTE(Dashboard!$D596,"_group",Dashboard!$D$503),'Deliverability Upgrade Factors'!$B:$B,0))</f>
        <v>0</v>
      </c>
      <c r="AA596" s="10">
        <f>-AA434*INDEX('Deliverability Upgrade Factors'!$F:$F,MATCH(SUBSTITUTE(Dashboard!$D596,"_group",Dashboard!$D$503),'Deliverability Upgrade Factors'!$B:$B,0))</f>
        <v>0</v>
      </c>
      <c r="AB596" s="10">
        <f>-AB434*INDEX('Deliverability Upgrade Factors'!$F:$F,MATCH(SUBSTITUTE(Dashboard!$D596,"_group",Dashboard!$D$503),'Deliverability Upgrade Factors'!$B:$B,0))</f>
        <v>0</v>
      </c>
      <c r="AC596" s="10">
        <f>-AC434*INDEX('Deliverability Upgrade Factors'!$F:$F,MATCH(SUBSTITUTE(Dashboard!$D596,"_group",Dashboard!$D$503),'Deliverability Upgrade Factors'!$B:$B,0))</f>
        <v>0</v>
      </c>
      <c r="AD596" s="10">
        <f>-AD434*INDEX('Deliverability Upgrade Factors'!$F:$F,MATCH(SUBSTITUTE(Dashboard!$D596,"_group",Dashboard!$D$503),'Deliverability Upgrade Factors'!$B:$B,0))</f>
        <v>2700</v>
      </c>
      <c r="AH596" s="34" t="s">
        <v>422</v>
      </c>
    </row>
    <row r="597" spans="4:34" outlineLevel="2" x14ac:dyDescent="0.2">
      <c r="D597" s="8" t="s">
        <v>284</v>
      </c>
      <c r="E597" s="10">
        <f>-E435*INDEX('Deliverability Upgrade Factors'!$F:$F,MATCH(SUBSTITUTE(Dashboard!$D597,"_group",Dashboard!$D$503),'Deliverability Upgrade Factors'!$B:$B,0))</f>
        <v>0</v>
      </c>
      <c r="F597" s="10">
        <f>-F435*INDEX('Deliverability Upgrade Factors'!$F:$F,MATCH(SUBSTITUTE(Dashboard!$D597,"_group",Dashboard!$D$503),'Deliverability Upgrade Factors'!$B:$B,0))</f>
        <v>0</v>
      </c>
      <c r="G597" s="10">
        <f>-G435*INDEX('Deliverability Upgrade Factors'!$F:$F,MATCH(SUBSTITUTE(Dashboard!$D597,"_group",Dashboard!$D$503),'Deliverability Upgrade Factors'!$B:$B,0))</f>
        <v>0</v>
      </c>
      <c r="H597" s="10">
        <f>-H435*INDEX('Deliverability Upgrade Factors'!$F:$F,MATCH(SUBSTITUTE(Dashboard!$D597,"_group",Dashboard!$D$503),'Deliverability Upgrade Factors'!$B:$B,0))</f>
        <v>0</v>
      </c>
      <c r="I597" s="10">
        <f>-I435*INDEX('Deliverability Upgrade Factors'!$F:$F,MATCH(SUBSTITUTE(Dashboard!$D597,"_group",Dashboard!$D$503),'Deliverability Upgrade Factors'!$B:$B,0))</f>
        <v>0</v>
      </c>
      <c r="J597" s="10">
        <f>-J435*INDEX('Deliverability Upgrade Factors'!$F:$F,MATCH(SUBSTITUTE(Dashboard!$D597,"_group",Dashboard!$D$503),'Deliverability Upgrade Factors'!$B:$B,0))</f>
        <v>0</v>
      </c>
      <c r="K597" s="10">
        <f>-K435*INDEX('Deliverability Upgrade Factors'!$F:$F,MATCH(SUBSTITUTE(Dashboard!$D597,"_group",Dashboard!$D$503),'Deliverability Upgrade Factors'!$B:$B,0))</f>
        <v>0</v>
      </c>
      <c r="L597" s="10">
        <f>-L435*INDEX('Deliverability Upgrade Factors'!$F:$F,MATCH(SUBSTITUTE(Dashboard!$D597,"_group",Dashboard!$D$503),'Deliverability Upgrade Factors'!$B:$B,0))</f>
        <v>0</v>
      </c>
      <c r="M597" s="10">
        <f>-M435*INDEX('Deliverability Upgrade Factors'!$F:$F,MATCH(SUBSTITUTE(Dashboard!$D597,"_group",Dashboard!$D$503),'Deliverability Upgrade Factors'!$B:$B,0))</f>
        <v>0</v>
      </c>
      <c r="N597" s="10">
        <f>-N435*INDEX('Deliverability Upgrade Factors'!$F:$F,MATCH(SUBSTITUTE(Dashboard!$D597,"_group",Dashboard!$D$503),'Deliverability Upgrade Factors'!$B:$B,0))</f>
        <v>0</v>
      </c>
      <c r="O597" s="10">
        <f>-O435*INDEX('Deliverability Upgrade Factors'!$F:$F,MATCH(SUBSTITUTE(Dashboard!$D597,"_group",Dashboard!$D$503),'Deliverability Upgrade Factors'!$B:$B,0))</f>
        <v>0</v>
      </c>
      <c r="P597" s="10">
        <f>-P435*INDEX('Deliverability Upgrade Factors'!$F:$F,MATCH(SUBSTITUTE(Dashboard!$D597,"_group",Dashboard!$D$503),'Deliverability Upgrade Factors'!$B:$B,0))</f>
        <v>0</v>
      </c>
      <c r="Q597" s="10">
        <f>-Q435*INDEX('Deliverability Upgrade Factors'!$F:$F,MATCH(SUBSTITUTE(Dashboard!$D597,"_group",Dashboard!$D$503),'Deliverability Upgrade Factors'!$B:$B,0))</f>
        <v>0</v>
      </c>
      <c r="R597" s="10">
        <f>-R435*INDEX('Deliverability Upgrade Factors'!$F:$F,MATCH(SUBSTITUTE(Dashboard!$D597,"_group",Dashboard!$D$503),'Deliverability Upgrade Factors'!$B:$B,0))</f>
        <v>0</v>
      </c>
      <c r="S597" s="10">
        <f>-S435*INDEX('Deliverability Upgrade Factors'!$F:$F,MATCH(SUBSTITUTE(Dashboard!$D597,"_group",Dashboard!$D$503),'Deliverability Upgrade Factors'!$B:$B,0))</f>
        <v>0</v>
      </c>
      <c r="T597" s="10">
        <f>-T435*INDEX('Deliverability Upgrade Factors'!$F:$F,MATCH(SUBSTITUTE(Dashboard!$D597,"_group",Dashboard!$D$503),'Deliverability Upgrade Factors'!$B:$B,0))</f>
        <v>0</v>
      </c>
      <c r="U597" s="10">
        <f>-U435*INDEX('Deliverability Upgrade Factors'!$F:$F,MATCH(SUBSTITUTE(Dashboard!$D597,"_group",Dashboard!$D$503),'Deliverability Upgrade Factors'!$B:$B,0))</f>
        <v>0</v>
      </c>
      <c r="V597" s="10">
        <f>-V435*INDEX('Deliverability Upgrade Factors'!$F:$F,MATCH(SUBSTITUTE(Dashboard!$D597,"_group",Dashboard!$D$503),'Deliverability Upgrade Factors'!$B:$B,0))</f>
        <v>0</v>
      </c>
      <c r="W597" s="10">
        <f>-W435*INDEX('Deliverability Upgrade Factors'!$F:$F,MATCH(SUBSTITUTE(Dashboard!$D597,"_group",Dashboard!$D$503),'Deliverability Upgrade Factors'!$B:$B,0))</f>
        <v>0</v>
      </c>
      <c r="X597" s="10">
        <f>-X435*INDEX('Deliverability Upgrade Factors'!$F:$F,MATCH(SUBSTITUTE(Dashboard!$D597,"_group",Dashboard!$D$503),'Deliverability Upgrade Factors'!$B:$B,0))</f>
        <v>0</v>
      </c>
      <c r="Y597" s="10">
        <f>-Y435*INDEX('Deliverability Upgrade Factors'!$F:$F,MATCH(SUBSTITUTE(Dashboard!$D597,"_group",Dashboard!$D$503),'Deliverability Upgrade Factors'!$B:$B,0))</f>
        <v>0</v>
      </c>
      <c r="Z597" s="10">
        <f>-Z435*INDEX('Deliverability Upgrade Factors'!$F:$F,MATCH(SUBSTITUTE(Dashboard!$D597,"_group",Dashboard!$D$503),'Deliverability Upgrade Factors'!$B:$B,0))</f>
        <v>0</v>
      </c>
      <c r="AA597" s="10">
        <f>-AA435*INDEX('Deliverability Upgrade Factors'!$F:$F,MATCH(SUBSTITUTE(Dashboard!$D597,"_group",Dashboard!$D$503),'Deliverability Upgrade Factors'!$B:$B,0))</f>
        <v>0</v>
      </c>
      <c r="AB597" s="10">
        <f>-AB435*INDEX('Deliverability Upgrade Factors'!$F:$F,MATCH(SUBSTITUTE(Dashboard!$D597,"_group",Dashboard!$D$503),'Deliverability Upgrade Factors'!$B:$B,0))</f>
        <v>0</v>
      </c>
      <c r="AC597" s="10">
        <f>-AC435*INDEX('Deliverability Upgrade Factors'!$F:$F,MATCH(SUBSTITUTE(Dashboard!$D597,"_group",Dashboard!$D$503),'Deliverability Upgrade Factors'!$B:$B,0))</f>
        <v>0</v>
      </c>
      <c r="AD597" s="10">
        <f>-AD435*INDEX('Deliverability Upgrade Factors'!$F:$F,MATCH(SUBSTITUTE(Dashboard!$D597,"_group",Dashboard!$D$503),'Deliverability Upgrade Factors'!$B:$B,0))</f>
        <v>0</v>
      </c>
      <c r="AH597" s="34" t="s">
        <v>422</v>
      </c>
    </row>
    <row r="598" spans="4:34" ht="12.6" outlineLevel="2" thickBot="1" x14ac:dyDescent="0.25">
      <c r="D598" s="9" t="s">
        <v>139</v>
      </c>
      <c r="E598" s="17">
        <f t="shared" ref="E598" si="721">SUM(E570:E597)</f>
        <v>0</v>
      </c>
      <c r="F598" s="17">
        <f t="shared" ref="F598:AD598" si="722">SUM(F570:F597)</f>
        <v>0</v>
      </c>
      <c r="G598" s="17">
        <f t="shared" si="722"/>
        <v>0</v>
      </c>
      <c r="H598" s="17">
        <f t="shared" si="722"/>
        <v>0</v>
      </c>
      <c r="I598" s="17">
        <f t="shared" si="722"/>
        <v>0</v>
      </c>
      <c r="J598" s="17">
        <f t="shared" si="722"/>
        <v>0</v>
      </c>
      <c r="K598" s="17">
        <f t="shared" si="722"/>
        <v>0</v>
      </c>
      <c r="L598" s="17">
        <f t="shared" si="722"/>
        <v>0</v>
      </c>
      <c r="M598" s="17">
        <f t="shared" si="722"/>
        <v>0</v>
      </c>
      <c r="N598" s="17">
        <f t="shared" si="722"/>
        <v>0</v>
      </c>
      <c r="O598" s="17">
        <f t="shared" si="722"/>
        <v>0</v>
      </c>
      <c r="P598" s="17">
        <f t="shared" si="722"/>
        <v>0</v>
      </c>
      <c r="Q598" s="17">
        <f t="shared" si="722"/>
        <v>0</v>
      </c>
      <c r="R598" s="17">
        <f t="shared" si="722"/>
        <v>0</v>
      </c>
      <c r="S598" s="17">
        <f t="shared" si="722"/>
        <v>0</v>
      </c>
      <c r="T598" s="17">
        <f t="shared" si="722"/>
        <v>0</v>
      </c>
      <c r="U598" s="17">
        <f t="shared" si="722"/>
        <v>0</v>
      </c>
      <c r="V598" s="17">
        <f t="shared" si="722"/>
        <v>0</v>
      </c>
      <c r="W598" s="17">
        <f t="shared" si="722"/>
        <v>0</v>
      </c>
      <c r="X598" s="17">
        <f t="shared" si="722"/>
        <v>0</v>
      </c>
      <c r="Y598" s="17">
        <f t="shared" si="722"/>
        <v>0</v>
      </c>
      <c r="Z598" s="17">
        <f t="shared" si="722"/>
        <v>0</v>
      </c>
      <c r="AA598" s="17">
        <f t="shared" si="722"/>
        <v>0</v>
      </c>
      <c r="AB598" s="17">
        <f t="shared" si="722"/>
        <v>0</v>
      </c>
      <c r="AC598" s="17">
        <f t="shared" si="722"/>
        <v>0</v>
      </c>
      <c r="AD598" s="17">
        <f t="shared" si="722"/>
        <v>8865</v>
      </c>
      <c r="AH598" s="34" t="s">
        <v>422</v>
      </c>
    </row>
    <row r="599" spans="4:34" ht="12" outlineLevel="2" thickTop="1" x14ac:dyDescent="0.2">
      <c r="AH599" s="34" t="s">
        <v>422</v>
      </c>
    </row>
    <row r="600" spans="4:34" ht="13.2" outlineLevel="2" x14ac:dyDescent="0.2">
      <c r="E600" s="2" t="s">
        <v>411</v>
      </c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H600" s="34" t="s">
        <v>422</v>
      </c>
    </row>
    <row r="601" spans="4:34" outlineLevel="2" x14ac:dyDescent="0.2">
      <c r="E601" s="7">
        <v>43831</v>
      </c>
      <c r="F601" s="7">
        <f t="shared" ref="F601" si="723">EDATE(E601,12)</f>
        <v>44197</v>
      </c>
      <c r="G601" s="7">
        <f t="shared" ref="G601" si="724">EDATE(F601,12)</f>
        <v>44562</v>
      </c>
      <c r="H601" s="7">
        <f t="shared" ref="H601" si="725">EDATE(G601,12)</f>
        <v>44927</v>
      </c>
      <c r="I601" s="7">
        <f t="shared" ref="I601" si="726">EDATE(H601,12)</f>
        <v>45292</v>
      </c>
      <c r="J601" s="7">
        <f t="shared" ref="J601" si="727">EDATE(I601,12)</f>
        <v>45658</v>
      </c>
      <c r="K601" s="7">
        <f t="shared" ref="K601" si="728">EDATE(J601,12)</f>
        <v>46023</v>
      </c>
      <c r="L601" s="7">
        <f t="shared" ref="L601" si="729">EDATE(K601,12)</f>
        <v>46388</v>
      </c>
      <c r="M601" s="7">
        <f t="shared" ref="M601" si="730">EDATE(L601,12)</f>
        <v>46753</v>
      </c>
      <c r="N601" s="7">
        <f t="shared" ref="N601" si="731">EDATE(M601,12)</f>
        <v>47119</v>
      </c>
      <c r="O601" s="7">
        <f t="shared" ref="O601" si="732">EDATE(N601,12)</f>
        <v>47484</v>
      </c>
      <c r="P601" s="7">
        <f t="shared" ref="P601" si="733">EDATE(O601,12)</f>
        <v>47849</v>
      </c>
      <c r="Q601" s="7">
        <f t="shared" ref="Q601" si="734">EDATE(P601,12)</f>
        <v>48214</v>
      </c>
      <c r="R601" s="7">
        <f t="shared" ref="R601" si="735">EDATE(Q601,12)</f>
        <v>48580</v>
      </c>
      <c r="S601" s="7">
        <f t="shared" ref="S601" si="736">EDATE(R601,12)</f>
        <v>48945</v>
      </c>
      <c r="T601" s="7">
        <f t="shared" ref="T601" si="737">EDATE(S601,12)</f>
        <v>49310</v>
      </c>
      <c r="U601" s="7">
        <f t="shared" ref="U601" si="738">EDATE(T601,12)</f>
        <v>49675</v>
      </c>
      <c r="V601" s="7">
        <f t="shared" ref="V601" si="739">EDATE(U601,12)</f>
        <v>50041</v>
      </c>
      <c r="W601" s="7">
        <f t="shared" ref="W601" si="740">EDATE(V601,12)</f>
        <v>50406</v>
      </c>
      <c r="X601" s="7">
        <f t="shared" ref="X601" si="741">EDATE(W601,12)</f>
        <v>50771</v>
      </c>
      <c r="Y601" s="7">
        <f t="shared" ref="Y601" si="742">EDATE(X601,12)</f>
        <v>51136</v>
      </c>
      <c r="Z601" s="7">
        <f t="shared" ref="Z601" si="743">EDATE(Y601,12)</f>
        <v>51502</v>
      </c>
      <c r="AA601" s="7">
        <f t="shared" ref="AA601" si="744">EDATE(Z601,12)</f>
        <v>51867</v>
      </c>
      <c r="AB601" s="7">
        <f t="shared" ref="AB601" si="745">EDATE(AA601,12)</f>
        <v>52232</v>
      </c>
      <c r="AC601" s="7">
        <f t="shared" ref="AC601" si="746">EDATE(AB601,12)</f>
        <v>52597</v>
      </c>
      <c r="AD601" s="7">
        <f>EDATE(AC601,12)</f>
        <v>52963</v>
      </c>
      <c r="AH601" s="34" t="s">
        <v>422</v>
      </c>
    </row>
    <row r="602" spans="4:34" outlineLevel="2" x14ac:dyDescent="0.2">
      <c r="D602" s="8" t="s">
        <v>257</v>
      </c>
      <c r="E602" s="10">
        <f>SUMIFS('Custom Constraints'!$C:$C,'Custom Constraints'!$A:$A,"caiso-deliverability_"&amp;SUBSTITUTE(Dashboard!$D602,"_group",Dashboard!$D$503)&amp;"."&amp;YEAR(Dashboard!E$537))+E570</f>
        <v>0</v>
      </c>
      <c r="F602" s="10">
        <f>SUMIFS('Custom Constraints'!$C:$C,'Custom Constraints'!$A:$A,"caiso-deliverability_"&amp;SUBSTITUTE(Dashboard!$D602,"_group",Dashboard!$D$503)&amp;"."&amp;YEAR(Dashboard!F$537))+F570</f>
        <v>0</v>
      </c>
      <c r="G602" s="10">
        <f>SUMIFS('Custom Constraints'!$C:$C,'Custom Constraints'!$A:$A,"caiso-deliverability_"&amp;SUBSTITUTE(Dashboard!$D602,"_group",Dashboard!$D$503)&amp;"."&amp;YEAR(Dashboard!G$537))+G570</f>
        <v>0</v>
      </c>
      <c r="H602" s="10">
        <f>SUMIFS('Custom Constraints'!$C:$C,'Custom Constraints'!$A:$A,"caiso-deliverability_"&amp;SUBSTITUTE(Dashboard!$D602,"_group",Dashboard!$D$503)&amp;"."&amp;YEAR(Dashboard!H$537))+H570</f>
        <v>0</v>
      </c>
      <c r="I602" s="10">
        <f>SUMIFS('Custom Constraints'!$C:$C,'Custom Constraints'!$A:$A,"caiso-deliverability_"&amp;SUBSTITUTE(Dashboard!$D602,"_group",Dashboard!$D$503)&amp;"."&amp;YEAR(Dashboard!I$537))+I570</f>
        <v>0</v>
      </c>
      <c r="J602" s="10">
        <f>SUMIFS('Custom Constraints'!$C:$C,'Custom Constraints'!$A:$A,"caiso-deliverability_"&amp;SUBSTITUTE(Dashboard!$D602,"_group",Dashboard!$D$503)&amp;"."&amp;YEAR(Dashboard!J$537))+J570</f>
        <v>0</v>
      </c>
      <c r="K602" s="10">
        <f>SUMIFS('Custom Constraints'!$C:$C,'Custom Constraints'!$A:$A,"caiso-deliverability_"&amp;SUBSTITUTE(Dashboard!$D602,"_group",Dashboard!$D$503)&amp;"."&amp;YEAR(Dashboard!K$537))+K570</f>
        <v>0</v>
      </c>
      <c r="L602" s="10">
        <f>SUMIFS('Custom Constraints'!$C:$C,'Custom Constraints'!$A:$A,"caiso-deliverability_"&amp;SUBSTITUTE(Dashboard!$D602,"_group",Dashboard!$D$503)&amp;"."&amp;YEAR(Dashboard!L$537))+L570</f>
        <v>0</v>
      </c>
      <c r="M602" s="10">
        <f>SUMIFS('Custom Constraints'!$C:$C,'Custom Constraints'!$A:$A,"caiso-deliverability_"&amp;SUBSTITUTE(Dashboard!$D602,"_group",Dashboard!$D$503)&amp;"."&amp;YEAR(Dashboard!M$537))+M570</f>
        <v>0</v>
      </c>
      <c r="N602" s="10">
        <f>SUMIFS('Custom Constraints'!$C:$C,'Custom Constraints'!$A:$A,"caiso-deliverability_"&amp;SUBSTITUTE(Dashboard!$D602,"_group",Dashboard!$D$503)&amp;"."&amp;YEAR(Dashboard!N$537))+N570</f>
        <v>0</v>
      </c>
      <c r="O602" s="10">
        <f>SUMIFS('Custom Constraints'!$C:$C,'Custom Constraints'!$A:$A,"caiso-deliverability_"&amp;SUBSTITUTE(Dashboard!$D602,"_group",Dashboard!$D$503)&amp;"."&amp;YEAR(Dashboard!O$537))+O570</f>
        <v>0</v>
      </c>
      <c r="P602" s="10">
        <f>SUMIFS('Custom Constraints'!$C:$C,'Custom Constraints'!$A:$A,"caiso-deliverability_"&amp;SUBSTITUTE(Dashboard!$D602,"_group",Dashboard!$D$503)&amp;"."&amp;YEAR(Dashboard!P$537))+P570</f>
        <v>0</v>
      </c>
      <c r="Q602" s="10">
        <f>SUMIFS('Custom Constraints'!$C:$C,'Custom Constraints'!$A:$A,"caiso-deliverability_"&amp;SUBSTITUTE(Dashboard!$D602,"_group",Dashboard!$D$503)&amp;"."&amp;YEAR(Dashboard!Q$537))+Q570</f>
        <v>0</v>
      </c>
      <c r="R602" s="10">
        <f>SUMIFS('Custom Constraints'!$C:$C,'Custom Constraints'!$A:$A,"caiso-deliverability_"&amp;SUBSTITUTE(Dashboard!$D602,"_group",Dashboard!$D$503)&amp;"."&amp;YEAR(Dashboard!R$537))+R570</f>
        <v>0</v>
      </c>
      <c r="S602" s="10">
        <f>SUMIFS('Custom Constraints'!$C:$C,'Custom Constraints'!$A:$A,"caiso-deliverability_"&amp;SUBSTITUTE(Dashboard!$D602,"_group",Dashboard!$D$503)&amp;"."&amp;YEAR(Dashboard!S$537))+S570</f>
        <v>0</v>
      </c>
      <c r="T602" s="10">
        <f>SUMIFS('Custom Constraints'!$C:$C,'Custom Constraints'!$A:$A,"caiso-deliverability_"&amp;SUBSTITUTE(Dashboard!$D602,"_group",Dashboard!$D$503)&amp;"."&amp;YEAR(Dashboard!T$537))+T570</f>
        <v>0</v>
      </c>
      <c r="U602" s="10">
        <f>SUMIFS('Custom Constraints'!$C:$C,'Custom Constraints'!$A:$A,"caiso-deliverability_"&amp;SUBSTITUTE(Dashboard!$D602,"_group",Dashboard!$D$503)&amp;"."&amp;YEAR(Dashboard!U$537))+U570</f>
        <v>0</v>
      </c>
      <c r="V602" s="10">
        <f>SUMIFS('Custom Constraints'!$C:$C,'Custom Constraints'!$A:$A,"caiso-deliverability_"&amp;SUBSTITUTE(Dashboard!$D602,"_group",Dashboard!$D$503)&amp;"."&amp;YEAR(Dashboard!V$537))+V570</f>
        <v>0</v>
      </c>
      <c r="W602" s="10">
        <f>SUMIFS('Custom Constraints'!$C:$C,'Custom Constraints'!$A:$A,"caiso-deliverability_"&amp;SUBSTITUTE(Dashboard!$D602,"_group",Dashboard!$D$503)&amp;"."&amp;YEAR(Dashboard!W$537))+W570</f>
        <v>0</v>
      </c>
      <c r="X602" s="10">
        <f>SUMIFS('Custom Constraints'!$C:$C,'Custom Constraints'!$A:$A,"caiso-deliverability_"&amp;SUBSTITUTE(Dashboard!$D602,"_group",Dashboard!$D$503)&amp;"."&amp;YEAR(Dashboard!X$537))+X570</f>
        <v>0</v>
      </c>
      <c r="Y602" s="10">
        <f>SUMIFS('Custom Constraints'!$C:$C,'Custom Constraints'!$A:$A,"caiso-deliverability_"&amp;SUBSTITUTE(Dashboard!$D602,"_group",Dashboard!$D$503)&amp;"."&amp;YEAR(Dashboard!Y$537))+Y570</f>
        <v>0</v>
      </c>
      <c r="Z602" s="10">
        <f>SUMIFS('Custom Constraints'!$C:$C,'Custom Constraints'!$A:$A,"caiso-deliverability_"&amp;SUBSTITUTE(Dashboard!$D602,"_group",Dashboard!$D$503)&amp;"."&amp;YEAR(Dashboard!Z$537))+Z570</f>
        <v>0</v>
      </c>
      <c r="AA602" s="10">
        <f>SUMIFS('Custom Constraints'!$C:$C,'Custom Constraints'!$A:$A,"caiso-deliverability_"&amp;SUBSTITUTE(Dashboard!$D602,"_group",Dashboard!$D$503)&amp;"."&amp;YEAR(Dashboard!AA$537))+AA570</f>
        <v>0</v>
      </c>
      <c r="AB602" s="10">
        <f>SUMIFS('Custom Constraints'!$C:$C,'Custom Constraints'!$A:$A,"caiso-deliverability_"&amp;SUBSTITUTE(Dashboard!$D602,"_group",Dashboard!$D$503)&amp;"."&amp;YEAR(Dashboard!AB$537))+AB570</f>
        <v>0</v>
      </c>
      <c r="AC602" s="10">
        <f>SUMIFS('Custom Constraints'!$C:$C,'Custom Constraints'!$A:$A,"caiso-deliverability_"&amp;SUBSTITUTE(Dashboard!$D602,"_group",Dashboard!$D$503)&amp;"."&amp;YEAR(Dashboard!AC$537))+AC570</f>
        <v>0</v>
      </c>
      <c r="AD602" s="10">
        <f>SUMIFS('Custom Constraints'!$C:$C,'Custom Constraints'!$A:$A,"caiso-deliverability_"&amp;SUBSTITUTE(Dashboard!$D602,"_group",Dashboard!$D$503)&amp;"."&amp;YEAR(Dashboard!AD$537))+AD570</f>
        <v>0</v>
      </c>
      <c r="AH602" s="34" t="s">
        <v>422</v>
      </c>
    </row>
    <row r="603" spans="4:34" outlineLevel="2" x14ac:dyDescent="0.2">
      <c r="D603" s="8" t="s">
        <v>258</v>
      </c>
      <c r="E603" s="10">
        <f>SUMIFS('Custom Constraints'!$C:$C,'Custom Constraints'!$A:$A,"caiso-deliverability_"&amp;SUBSTITUTE(Dashboard!$D603,"_group",Dashboard!$D$503)&amp;"."&amp;YEAR(Dashboard!E$537))+E571</f>
        <v>0</v>
      </c>
      <c r="F603" s="10">
        <f>SUMIFS('Custom Constraints'!$C:$C,'Custom Constraints'!$A:$A,"caiso-deliverability_"&amp;SUBSTITUTE(Dashboard!$D603,"_group",Dashboard!$D$503)&amp;"."&amp;YEAR(Dashboard!F$537))+F571</f>
        <v>0</v>
      </c>
      <c r="G603" s="10">
        <f>SUMIFS('Custom Constraints'!$C:$C,'Custom Constraints'!$A:$A,"caiso-deliverability_"&amp;SUBSTITUTE(Dashboard!$D603,"_group",Dashboard!$D$503)&amp;"."&amp;YEAR(Dashboard!G$537))+G571</f>
        <v>0</v>
      </c>
      <c r="H603" s="10">
        <f>SUMIFS('Custom Constraints'!$C:$C,'Custom Constraints'!$A:$A,"caiso-deliverability_"&amp;SUBSTITUTE(Dashboard!$D603,"_group",Dashboard!$D$503)&amp;"."&amp;YEAR(Dashboard!H$537))+H571</f>
        <v>0</v>
      </c>
      <c r="I603" s="10">
        <f>SUMIFS('Custom Constraints'!$C:$C,'Custom Constraints'!$A:$A,"caiso-deliverability_"&amp;SUBSTITUTE(Dashboard!$D603,"_group",Dashboard!$D$503)&amp;"."&amp;YEAR(Dashboard!I$537))+I571</f>
        <v>0</v>
      </c>
      <c r="J603" s="10">
        <f>SUMIFS('Custom Constraints'!$C:$C,'Custom Constraints'!$A:$A,"caiso-deliverability_"&amp;SUBSTITUTE(Dashboard!$D603,"_group",Dashboard!$D$503)&amp;"."&amp;YEAR(Dashboard!J$537))+J571</f>
        <v>0</v>
      </c>
      <c r="K603" s="10">
        <f>SUMIFS('Custom Constraints'!$C:$C,'Custom Constraints'!$A:$A,"caiso-deliverability_"&amp;SUBSTITUTE(Dashboard!$D603,"_group",Dashboard!$D$503)&amp;"."&amp;YEAR(Dashboard!K$537))+K571</f>
        <v>0</v>
      </c>
      <c r="L603" s="10">
        <f>SUMIFS('Custom Constraints'!$C:$C,'Custom Constraints'!$A:$A,"caiso-deliverability_"&amp;SUBSTITUTE(Dashboard!$D603,"_group",Dashboard!$D$503)&amp;"."&amp;YEAR(Dashboard!L$537))+L571</f>
        <v>0</v>
      </c>
      <c r="M603" s="10">
        <f>SUMIFS('Custom Constraints'!$C:$C,'Custom Constraints'!$A:$A,"caiso-deliverability_"&amp;SUBSTITUTE(Dashboard!$D603,"_group",Dashboard!$D$503)&amp;"."&amp;YEAR(Dashboard!M$537))+M571</f>
        <v>0</v>
      </c>
      <c r="N603" s="10">
        <f>SUMIFS('Custom Constraints'!$C:$C,'Custom Constraints'!$A:$A,"caiso-deliverability_"&amp;SUBSTITUTE(Dashboard!$D603,"_group",Dashboard!$D$503)&amp;"."&amp;YEAR(Dashboard!N$537))+N571</f>
        <v>0</v>
      </c>
      <c r="O603" s="10">
        <f>SUMIFS('Custom Constraints'!$C:$C,'Custom Constraints'!$A:$A,"caiso-deliverability_"&amp;SUBSTITUTE(Dashboard!$D603,"_group",Dashboard!$D$503)&amp;"."&amp;YEAR(Dashboard!O$537))+O571</f>
        <v>0</v>
      </c>
      <c r="P603" s="10">
        <f>SUMIFS('Custom Constraints'!$C:$C,'Custom Constraints'!$A:$A,"caiso-deliverability_"&amp;SUBSTITUTE(Dashboard!$D603,"_group",Dashboard!$D$503)&amp;"."&amp;YEAR(Dashboard!P$537))+P571</f>
        <v>0</v>
      </c>
      <c r="Q603" s="10">
        <f>SUMIFS('Custom Constraints'!$C:$C,'Custom Constraints'!$A:$A,"caiso-deliverability_"&amp;SUBSTITUTE(Dashboard!$D603,"_group",Dashboard!$D$503)&amp;"."&amp;YEAR(Dashboard!Q$537))+Q571</f>
        <v>0</v>
      </c>
      <c r="R603" s="10">
        <f>SUMIFS('Custom Constraints'!$C:$C,'Custom Constraints'!$A:$A,"caiso-deliverability_"&amp;SUBSTITUTE(Dashboard!$D603,"_group",Dashboard!$D$503)&amp;"."&amp;YEAR(Dashboard!R$537))+R571</f>
        <v>0</v>
      </c>
      <c r="S603" s="10">
        <f>SUMIFS('Custom Constraints'!$C:$C,'Custom Constraints'!$A:$A,"caiso-deliverability_"&amp;SUBSTITUTE(Dashboard!$D603,"_group",Dashboard!$D$503)&amp;"."&amp;YEAR(Dashboard!S$537))+S571</f>
        <v>0</v>
      </c>
      <c r="T603" s="10">
        <f>SUMIFS('Custom Constraints'!$C:$C,'Custom Constraints'!$A:$A,"caiso-deliverability_"&amp;SUBSTITUTE(Dashboard!$D603,"_group",Dashboard!$D$503)&amp;"."&amp;YEAR(Dashboard!T$537))+T571</f>
        <v>0</v>
      </c>
      <c r="U603" s="10">
        <f>SUMIFS('Custom Constraints'!$C:$C,'Custom Constraints'!$A:$A,"caiso-deliverability_"&amp;SUBSTITUTE(Dashboard!$D603,"_group",Dashboard!$D$503)&amp;"."&amp;YEAR(Dashboard!U$537))+U571</f>
        <v>0</v>
      </c>
      <c r="V603" s="10">
        <f>SUMIFS('Custom Constraints'!$C:$C,'Custom Constraints'!$A:$A,"caiso-deliverability_"&amp;SUBSTITUTE(Dashboard!$D603,"_group",Dashboard!$D$503)&amp;"."&amp;YEAR(Dashboard!V$537))+V571</f>
        <v>0</v>
      </c>
      <c r="W603" s="10">
        <f>SUMIFS('Custom Constraints'!$C:$C,'Custom Constraints'!$A:$A,"caiso-deliverability_"&amp;SUBSTITUTE(Dashboard!$D603,"_group",Dashboard!$D$503)&amp;"."&amp;YEAR(Dashboard!W$537))+W571</f>
        <v>0</v>
      </c>
      <c r="X603" s="10">
        <f>SUMIFS('Custom Constraints'!$C:$C,'Custom Constraints'!$A:$A,"caiso-deliverability_"&amp;SUBSTITUTE(Dashboard!$D603,"_group",Dashboard!$D$503)&amp;"."&amp;YEAR(Dashboard!X$537))+X571</f>
        <v>0</v>
      </c>
      <c r="Y603" s="10">
        <f>SUMIFS('Custom Constraints'!$C:$C,'Custom Constraints'!$A:$A,"caiso-deliverability_"&amp;SUBSTITUTE(Dashboard!$D603,"_group",Dashboard!$D$503)&amp;"."&amp;YEAR(Dashboard!Y$537))+Y571</f>
        <v>0</v>
      </c>
      <c r="Z603" s="10">
        <f>SUMIFS('Custom Constraints'!$C:$C,'Custom Constraints'!$A:$A,"caiso-deliverability_"&amp;SUBSTITUTE(Dashboard!$D603,"_group",Dashboard!$D$503)&amp;"."&amp;YEAR(Dashboard!Z$537))+Z571</f>
        <v>0</v>
      </c>
      <c r="AA603" s="10">
        <f>SUMIFS('Custom Constraints'!$C:$C,'Custom Constraints'!$A:$A,"caiso-deliverability_"&amp;SUBSTITUTE(Dashboard!$D603,"_group",Dashboard!$D$503)&amp;"."&amp;YEAR(Dashboard!AA$537))+AA571</f>
        <v>0</v>
      </c>
      <c r="AB603" s="10">
        <f>SUMIFS('Custom Constraints'!$C:$C,'Custom Constraints'!$A:$A,"caiso-deliverability_"&amp;SUBSTITUTE(Dashboard!$D603,"_group",Dashboard!$D$503)&amp;"."&amp;YEAR(Dashboard!AB$537))+AB571</f>
        <v>0</v>
      </c>
      <c r="AC603" s="10">
        <f>SUMIFS('Custom Constraints'!$C:$C,'Custom Constraints'!$A:$A,"caiso-deliverability_"&amp;SUBSTITUTE(Dashboard!$D603,"_group",Dashboard!$D$503)&amp;"."&amp;YEAR(Dashboard!AC$537))+AC571</f>
        <v>0</v>
      </c>
      <c r="AD603" s="10">
        <f>SUMIFS('Custom Constraints'!$C:$C,'Custom Constraints'!$A:$A,"caiso-deliverability_"&amp;SUBSTITUTE(Dashboard!$D603,"_group",Dashboard!$D$503)&amp;"."&amp;YEAR(Dashboard!AD$537))+AD571</f>
        <v>372.4</v>
      </c>
      <c r="AH603" s="34" t="s">
        <v>422</v>
      </c>
    </row>
    <row r="604" spans="4:34" outlineLevel="2" x14ac:dyDescent="0.2">
      <c r="D604" s="8" t="s">
        <v>259</v>
      </c>
      <c r="E604" s="10">
        <f>SUMIFS('Custom Constraints'!$C:$C,'Custom Constraints'!$A:$A,"caiso-deliverability_"&amp;SUBSTITUTE(Dashboard!$D604,"_group",Dashboard!$D$503)&amp;"."&amp;YEAR(Dashboard!E$537))+E572</f>
        <v>0</v>
      </c>
      <c r="F604" s="10">
        <f>SUMIFS('Custom Constraints'!$C:$C,'Custom Constraints'!$A:$A,"caiso-deliverability_"&amp;SUBSTITUTE(Dashboard!$D604,"_group",Dashboard!$D$503)&amp;"."&amp;YEAR(Dashboard!F$537))+F572</f>
        <v>0</v>
      </c>
      <c r="G604" s="10">
        <f>SUMIFS('Custom Constraints'!$C:$C,'Custom Constraints'!$A:$A,"caiso-deliverability_"&amp;SUBSTITUTE(Dashboard!$D604,"_group",Dashboard!$D$503)&amp;"."&amp;YEAR(Dashboard!G$537))+G572</f>
        <v>0</v>
      </c>
      <c r="H604" s="10">
        <f>SUMIFS('Custom Constraints'!$C:$C,'Custom Constraints'!$A:$A,"caiso-deliverability_"&amp;SUBSTITUTE(Dashboard!$D604,"_group",Dashboard!$D$503)&amp;"."&amp;YEAR(Dashboard!H$537))+H572</f>
        <v>0</v>
      </c>
      <c r="I604" s="10">
        <f>SUMIFS('Custom Constraints'!$C:$C,'Custom Constraints'!$A:$A,"caiso-deliverability_"&amp;SUBSTITUTE(Dashboard!$D604,"_group",Dashboard!$D$503)&amp;"."&amp;YEAR(Dashboard!I$537))+I572</f>
        <v>0</v>
      </c>
      <c r="J604" s="10">
        <f>SUMIFS('Custom Constraints'!$C:$C,'Custom Constraints'!$A:$A,"caiso-deliverability_"&amp;SUBSTITUTE(Dashboard!$D604,"_group",Dashboard!$D$503)&amp;"."&amp;YEAR(Dashboard!J$537))+J572</f>
        <v>0</v>
      </c>
      <c r="K604" s="10">
        <f>SUMIFS('Custom Constraints'!$C:$C,'Custom Constraints'!$A:$A,"caiso-deliverability_"&amp;SUBSTITUTE(Dashboard!$D604,"_group",Dashboard!$D$503)&amp;"."&amp;YEAR(Dashboard!K$537))+K572</f>
        <v>0</v>
      </c>
      <c r="L604" s="10">
        <f>SUMIFS('Custom Constraints'!$C:$C,'Custom Constraints'!$A:$A,"caiso-deliverability_"&amp;SUBSTITUTE(Dashboard!$D604,"_group",Dashboard!$D$503)&amp;"."&amp;YEAR(Dashboard!L$537))+L572</f>
        <v>0</v>
      </c>
      <c r="M604" s="10">
        <f>SUMIFS('Custom Constraints'!$C:$C,'Custom Constraints'!$A:$A,"caiso-deliverability_"&amp;SUBSTITUTE(Dashboard!$D604,"_group",Dashboard!$D$503)&amp;"."&amp;YEAR(Dashboard!M$537))+M572</f>
        <v>0</v>
      </c>
      <c r="N604" s="10">
        <f>SUMIFS('Custom Constraints'!$C:$C,'Custom Constraints'!$A:$A,"caiso-deliverability_"&amp;SUBSTITUTE(Dashboard!$D604,"_group",Dashboard!$D$503)&amp;"."&amp;YEAR(Dashboard!N$537))+N572</f>
        <v>0</v>
      </c>
      <c r="O604" s="10">
        <f>SUMIFS('Custom Constraints'!$C:$C,'Custom Constraints'!$A:$A,"caiso-deliverability_"&amp;SUBSTITUTE(Dashboard!$D604,"_group",Dashboard!$D$503)&amp;"."&amp;YEAR(Dashboard!O$537))+O572</f>
        <v>0</v>
      </c>
      <c r="P604" s="10">
        <f>SUMIFS('Custom Constraints'!$C:$C,'Custom Constraints'!$A:$A,"caiso-deliverability_"&amp;SUBSTITUTE(Dashboard!$D604,"_group",Dashboard!$D$503)&amp;"."&amp;YEAR(Dashboard!P$537))+P572</f>
        <v>0</v>
      </c>
      <c r="Q604" s="10">
        <f>SUMIFS('Custom Constraints'!$C:$C,'Custom Constraints'!$A:$A,"caiso-deliverability_"&amp;SUBSTITUTE(Dashboard!$D604,"_group",Dashboard!$D$503)&amp;"."&amp;YEAR(Dashboard!Q$537))+Q572</f>
        <v>0</v>
      </c>
      <c r="R604" s="10">
        <f>SUMIFS('Custom Constraints'!$C:$C,'Custom Constraints'!$A:$A,"caiso-deliverability_"&amp;SUBSTITUTE(Dashboard!$D604,"_group",Dashboard!$D$503)&amp;"."&amp;YEAR(Dashboard!R$537))+R572</f>
        <v>0</v>
      </c>
      <c r="S604" s="10">
        <f>SUMIFS('Custom Constraints'!$C:$C,'Custom Constraints'!$A:$A,"caiso-deliverability_"&amp;SUBSTITUTE(Dashboard!$D604,"_group",Dashboard!$D$503)&amp;"."&amp;YEAR(Dashboard!S$537))+S572</f>
        <v>0</v>
      </c>
      <c r="T604" s="10">
        <f>SUMIFS('Custom Constraints'!$C:$C,'Custom Constraints'!$A:$A,"caiso-deliverability_"&amp;SUBSTITUTE(Dashboard!$D604,"_group",Dashboard!$D$503)&amp;"."&amp;YEAR(Dashboard!T$537))+T572</f>
        <v>0</v>
      </c>
      <c r="U604" s="10">
        <f>SUMIFS('Custom Constraints'!$C:$C,'Custom Constraints'!$A:$A,"caiso-deliverability_"&amp;SUBSTITUTE(Dashboard!$D604,"_group",Dashboard!$D$503)&amp;"."&amp;YEAR(Dashboard!U$537))+U572</f>
        <v>0</v>
      </c>
      <c r="V604" s="10">
        <f>SUMIFS('Custom Constraints'!$C:$C,'Custom Constraints'!$A:$A,"caiso-deliverability_"&amp;SUBSTITUTE(Dashboard!$D604,"_group",Dashboard!$D$503)&amp;"."&amp;YEAR(Dashboard!V$537))+V572</f>
        <v>0</v>
      </c>
      <c r="W604" s="10">
        <f>SUMIFS('Custom Constraints'!$C:$C,'Custom Constraints'!$A:$A,"caiso-deliverability_"&amp;SUBSTITUTE(Dashboard!$D604,"_group",Dashboard!$D$503)&amp;"."&amp;YEAR(Dashboard!W$537))+W572</f>
        <v>0</v>
      </c>
      <c r="X604" s="10">
        <f>SUMIFS('Custom Constraints'!$C:$C,'Custom Constraints'!$A:$A,"caiso-deliverability_"&amp;SUBSTITUTE(Dashboard!$D604,"_group",Dashboard!$D$503)&amp;"."&amp;YEAR(Dashboard!X$537))+X572</f>
        <v>0</v>
      </c>
      <c r="Y604" s="10">
        <f>SUMIFS('Custom Constraints'!$C:$C,'Custom Constraints'!$A:$A,"caiso-deliverability_"&amp;SUBSTITUTE(Dashboard!$D604,"_group",Dashboard!$D$503)&amp;"."&amp;YEAR(Dashboard!Y$537))+Y572</f>
        <v>0</v>
      </c>
      <c r="Z604" s="10">
        <f>SUMIFS('Custom Constraints'!$C:$C,'Custom Constraints'!$A:$A,"caiso-deliverability_"&amp;SUBSTITUTE(Dashboard!$D604,"_group",Dashboard!$D$503)&amp;"."&amp;YEAR(Dashboard!Z$537))+Z572</f>
        <v>0</v>
      </c>
      <c r="AA604" s="10">
        <f>SUMIFS('Custom Constraints'!$C:$C,'Custom Constraints'!$A:$A,"caiso-deliverability_"&amp;SUBSTITUTE(Dashboard!$D604,"_group",Dashboard!$D$503)&amp;"."&amp;YEAR(Dashboard!AA$537))+AA572</f>
        <v>0</v>
      </c>
      <c r="AB604" s="10">
        <f>SUMIFS('Custom Constraints'!$C:$C,'Custom Constraints'!$A:$A,"caiso-deliverability_"&amp;SUBSTITUTE(Dashboard!$D604,"_group",Dashboard!$D$503)&amp;"."&amp;YEAR(Dashboard!AB$537))+AB572</f>
        <v>0</v>
      </c>
      <c r="AC604" s="10">
        <f>SUMIFS('Custom Constraints'!$C:$C,'Custom Constraints'!$A:$A,"caiso-deliverability_"&amp;SUBSTITUTE(Dashboard!$D604,"_group",Dashboard!$D$503)&amp;"."&amp;YEAR(Dashboard!AC$537))+AC572</f>
        <v>0</v>
      </c>
      <c r="AD604" s="10">
        <f>SUMIFS('Custom Constraints'!$C:$C,'Custom Constraints'!$A:$A,"caiso-deliverability_"&amp;SUBSTITUTE(Dashboard!$D604,"_group",Dashboard!$D$503)&amp;"."&amp;YEAR(Dashboard!AD$537))+AD572</f>
        <v>454</v>
      </c>
      <c r="AH604" s="34" t="s">
        <v>422</v>
      </c>
    </row>
    <row r="605" spans="4:34" outlineLevel="2" x14ac:dyDescent="0.2">
      <c r="D605" s="8" t="s">
        <v>260</v>
      </c>
      <c r="E605" s="10">
        <f>SUMIFS('Custom Constraints'!$C:$C,'Custom Constraints'!$A:$A,"caiso-deliverability_"&amp;SUBSTITUTE(Dashboard!$D605,"_group",Dashboard!$D$503)&amp;"."&amp;YEAR(Dashboard!E$537))+E573</f>
        <v>0</v>
      </c>
      <c r="F605" s="10">
        <f>SUMIFS('Custom Constraints'!$C:$C,'Custom Constraints'!$A:$A,"caiso-deliverability_"&amp;SUBSTITUTE(Dashboard!$D605,"_group",Dashboard!$D$503)&amp;"."&amp;YEAR(Dashboard!F$537))+F573</f>
        <v>0</v>
      </c>
      <c r="G605" s="10">
        <f>SUMIFS('Custom Constraints'!$C:$C,'Custom Constraints'!$A:$A,"caiso-deliverability_"&amp;SUBSTITUTE(Dashboard!$D605,"_group",Dashboard!$D$503)&amp;"."&amp;YEAR(Dashboard!G$537))+G573</f>
        <v>0</v>
      </c>
      <c r="H605" s="10">
        <f>SUMIFS('Custom Constraints'!$C:$C,'Custom Constraints'!$A:$A,"caiso-deliverability_"&amp;SUBSTITUTE(Dashboard!$D605,"_group",Dashboard!$D$503)&amp;"."&amp;YEAR(Dashboard!H$537))+H573</f>
        <v>0</v>
      </c>
      <c r="I605" s="10">
        <f>SUMIFS('Custom Constraints'!$C:$C,'Custom Constraints'!$A:$A,"caiso-deliverability_"&amp;SUBSTITUTE(Dashboard!$D605,"_group",Dashboard!$D$503)&amp;"."&amp;YEAR(Dashboard!I$537))+I573</f>
        <v>0</v>
      </c>
      <c r="J605" s="10">
        <f>SUMIFS('Custom Constraints'!$C:$C,'Custom Constraints'!$A:$A,"caiso-deliverability_"&amp;SUBSTITUTE(Dashboard!$D605,"_group",Dashboard!$D$503)&amp;"."&amp;YEAR(Dashboard!J$537))+J573</f>
        <v>0</v>
      </c>
      <c r="K605" s="10">
        <f>SUMIFS('Custom Constraints'!$C:$C,'Custom Constraints'!$A:$A,"caiso-deliverability_"&amp;SUBSTITUTE(Dashboard!$D605,"_group",Dashboard!$D$503)&amp;"."&amp;YEAR(Dashboard!K$537))+K573</f>
        <v>0</v>
      </c>
      <c r="L605" s="10">
        <f>SUMIFS('Custom Constraints'!$C:$C,'Custom Constraints'!$A:$A,"caiso-deliverability_"&amp;SUBSTITUTE(Dashboard!$D605,"_group",Dashboard!$D$503)&amp;"."&amp;YEAR(Dashboard!L$537))+L573</f>
        <v>0</v>
      </c>
      <c r="M605" s="10">
        <f>SUMIFS('Custom Constraints'!$C:$C,'Custom Constraints'!$A:$A,"caiso-deliverability_"&amp;SUBSTITUTE(Dashboard!$D605,"_group",Dashboard!$D$503)&amp;"."&amp;YEAR(Dashboard!M$537))+M573</f>
        <v>0</v>
      </c>
      <c r="N605" s="10">
        <f>SUMIFS('Custom Constraints'!$C:$C,'Custom Constraints'!$A:$A,"caiso-deliverability_"&amp;SUBSTITUTE(Dashboard!$D605,"_group",Dashboard!$D$503)&amp;"."&amp;YEAR(Dashboard!N$537))+N573</f>
        <v>0</v>
      </c>
      <c r="O605" s="10">
        <f>SUMIFS('Custom Constraints'!$C:$C,'Custom Constraints'!$A:$A,"caiso-deliverability_"&amp;SUBSTITUTE(Dashboard!$D605,"_group",Dashboard!$D$503)&amp;"."&amp;YEAR(Dashboard!O$537))+O573</f>
        <v>0</v>
      </c>
      <c r="P605" s="10">
        <f>SUMIFS('Custom Constraints'!$C:$C,'Custom Constraints'!$A:$A,"caiso-deliverability_"&amp;SUBSTITUTE(Dashboard!$D605,"_group",Dashboard!$D$503)&amp;"."&amp;YEAR(Dashboard!P$537))+P573</f>
        <v>0</v>
      </c>
      <c r="Q605" s="10">
        <f>SUMIFS('Custom Constraints'!$C:$C,'Custom Constraints'!$A:$A,"caiso-deliverability_"&amp;SUBSTITUTE(Dashboard!$D605,"_group",Dashboard!$D$503)&amp;"."&amp;YEAR(Dashboard!Q$537))+Q573</f>
        <v>0</v>
      </c>
      <c r="R605" s="10">
        <f>SUMIFS('Custom Constraints'!$C:$C,'Custom Constraints'!$A:$A,"caiso-deliverability_"&amp;SUBSTITUTE(Dashboard!$D605,"_group",Dashboard!$D$503)&amp;"."&amp;YEAR(Dashboard!R$537))+R573</f>
        <v>0</v>
      </c>
      <c r="S605" s="10">
        <f>SUMIFS('Custom Constraints'!$C:$C,'Custom Constraints'!$A:$A,"caiso-deliverability_"&amp;SUBSTITUTE(Dashboard!$D605,"_group",Dashboard!$D$503)&amp;"."&amp;YEAR(Dashboard!S$537))+S573</f>
        <v>0</v>
      </c>
      <c r="T605" s="10">
        <f>SUMIFS('Custom Constraints'!$C:$C,'Custom Constraints'!$A:$A,"caiso-deliverability_"&amp;SUBSTITUTE(Dashboard!$D605,"_group",Dashboard!$D$503)&amp;"."&amp;YEAR(Dashboard!T$537))+T573</f>
        <v>0</v>
      </c>
      <c r="U605" s="10">
        <f>SUMIFS('Custom Constraints'!$C:$C,'Custom Constraints'!$A:$A,"caiso-deliverability_"&amp;SUBSTITUTE(Dashboard!$D605,"_group",Dashboard!$D$503)&amp;"."&amp;YEAR(Dashboard!U$537))+U573</f>
        <v>0</v>
      </c>
      <c r="V605" s="10">
        <f>SUMIFS('Custom Constraints'!$C:$C,'Custom Constraints'!$A:$A,"caiso-deliverability_"&amp;SUBSTITUTE(Dashboard!$D605,"_group",Dashboard!$D$503)&amp;"."&amp;YEAR(Dashboard!V$537))+V573</f>
        <v>0</v>
      </c>
      <c r="W605" s="10">
        <f>SUMIFS('Custom Constraints'!$C:$C,'Custom Constraints'!$A:$A,"caiso-deliverability_"&amp;SUBSTITUTE(Dashboard!$D605,"_group",Dashboard!$D$503)&amp;"."&amp;YEAR(Dashboard!W$537))+W573</f>
        <v>0</v>
      </c>
      <c r="X605" s="10">
        <f>SUMIFS('Custom Constraints'!$C:$C,'Custom Constraints'!$A:$A,"caiso-deliverability_"&amp;SUBSTITUTE(Dashboard!$D605,"_group",Dashboard!$D$503)&amp;"."&amp;YEAR(Dashboard!X$537))+X573</f>
        <v>0</v>
      </c>
      <c r="Y605" s="10">
        <f>SUMIFS('Custom Constraints'!$C:$C,'Custom Constraints'!$A:$A,"caiso-deliverability_"&amp;SUBSTITUTE(Dashboard!$D605,"_group",Dashboard!$D$503)&amp;"."&amp;YEAR(Dashboard!Y$537))+Y573</f>
        <v>0</v>
      </c>
      <c r="Z605" s="10">
        <f>SUMIFS('Custom Constraints'!$C:$C,'Custom Constraints'!$A:$A,"caiso-deliverability_"&amp;SUBSTITUTE(Dashboard!$D605,"_group",Dashboard!$D$503)&amp;"."&amp;YEAR(Dashboard!Z$537))+Z573</f>
        <v>0</v>
      </c>
      <c r="AA605" s="10">
        <f>SUMIFS('Custom Constraints'!$C:$C,'Custom Constraints'!$A:$A,"caiso-deliverability_"&amp;SUBSTITUTE(Dashboard!$D605,"_group",Dashboard!$D$503)&amp;"."&amp;YEAR(Dashboard!AA$537))+AA573</f>
        <v>0</v>
      </c>
      <c r="AB605" s="10">
        <f>SUMIFS('Custom Constraints'!$C:$C,'Custom Constraints'!$A:$A,"caiso-deliverability_"&amp;SUBSTITUTE(Dashboard!$D605,"_group",Dashboard!$D$503)&amp;"."&amp;YEAR(Dashboard!AB$537))+AB573</f>
        <v>0</v>
      </c>
      <c r="AC605" s="10">
        <f>SUMIFS('Custom Constraints'!$C:$C,'Custom Constraints'!$A:$A,"caiso-deliverability_"&amp;SUBSTITUTE(Dashboard!$D605,"_group",Dashboard!$D$503)&amp;"."&amp;YEAR(Dashboard!AC$537))+AC573</f>
        <v>0</v>
      </c>
      <c r="AD605" s="10">
        <f>SUMIFS('Custom Constraints'!$C:$C,'Custom Constraints'!$A:$A,"caiso-deliverability_"&amp;SUBSTITUTE(Dashboard!$D605,"_group",Dashboard!$D$503)&amp;"."&amp;YEAR(Dashboard!AD$537))+AD573</f>
        <v>426.49954137200052</v>
      </c>
      <c r="AH605" s="34" t="s">
        <v>422</v>
      </c>
    </row>
    <row r="606" spans="4:34" outlineLevel="2" x14ac:dyDescent="0.2">
      <c r="D606" s="8" t="s">
        <v>261</v>
      </c>
      <c r="E606" s="10">
        <f>SUMIFS('Custom Constraints'!$C:$C,'Custom Constraints'!$A:$A,"caiso-deliverability_"&amp;SUBSTITUTE(Dashboard!$D606,"_group",Dashboard!$D$503)&amp;"."&amp;YEAR(Dashboard!E$537))+E574</f>
        <v>0</v>
      </c>
      <c r="F606" s="10">
        <f>SUMIFS('Custom Constraints'!$C:$C,'Custom Constraints'!$A:$A,"caiso-deliverability_"&amp;SUBSTITUTE(Dashboard!$D606,"_group",Dashboard!$D$503)&amp;"."&amp;YEAR(Dashboard!F$537))+F574</f>
        <v>0</v>
      </c>
      <c r="G606" s="10">
        <f>SUMIFS('Custom Constraints'!$C:$C,'Custom Constraints'!$A:$A,"caiso-deliverability_"&amp;SUBSTITUTE(Dashboard!$D606,"_group",Dashboard!$D$503)&amp;"."&amp;YEAR(Dashboard!G$537))+G574</f>
        <v>0</v>
      </c>
      <c r="H606" s="10">
        <f>SUMIFS('Custom Constraints'!$C:$C,'Custom Constraints'!$A:$A,"caiso-deliverability_"&amp;SUBSTITUTE(Dashboard!$D606,"_group",Dashboard!$D$503)&amp;"."&amp;YEAR(Dashboard!H$537))+H574</f>
        <v>0</v>
      </c>
      <c r="I606" s="10">
        <f>SUMIFS('Custom Constraints'!$C:$C,'Custom Constraints'!$A:$A,"caiso-deliverability_"&amp;SUBSTITUTE(Dashboard!$D606,"_group",Dashboard!$D$503)&amp;"."&amp;YEAR(Dashboard!I$537))+I574</f>
        <v>0</v>
      </c>
      <c r="J606" s="10">
        <f>SUMIFS('Custom Constraints'!$C:$C,'Custom Constraints'!$A:$A,"caiso-deliverability_"&amp;SUBSTITUTE(Dashboard!$D606,"_group",Dashboard!$D$503)&amp;"."&amp;YEAR(Dashboard!J$537))+J574</f>
        <v>0</v>
      </c>
      <c r="K606" s="10">
        <f>SUMIFS('Custom Constraints'!$C:$C,'Custom Constraints'!$A:$A,"caiso-deliverability_"&amp;SUBSTITUTE(Dashboard!$D606,"_group",Dashboard!$D$503)&amp;"."&amp;YEAR(Dashboard!K$537))+K574</f>
        <v>0</v>
      </c>
      <c r="L606" s="10">
        <f>SUMIFS('Custom Constraints'!$C:$C,'Custom Constraints'!$A:$A,"caiso-deliverability_"&amp;SUBSTITUTE(Dashboard!$D606,"_group",Dashboard!$D$503)&amp;"."&amp;YEAR(Dashboard!L$537))+L574</f>
        <v>0</v>
      </c>
      <c r="M606" s="10">
        <f>SUMIFS('Custom Constraints'!$C:$C,'Custom Constraints'!$A:$A,"caiso-deliverability_"&amp;SUBSTITUTE(Dashboard!$D606,"_group",Dashboard!$D$503)&amp;"."&amp;YEAR(Dashboard!M$537))+M574</f>
        <v>0</v>
      </c>
      <c r="N606" s="10">
        <f>SUMIFS('Custom Constraints'!$C:$C,'Custom Constraints'!$A:$A,"caiso-deliverability_"&amp;SUBSTITUTE(Dashboard!$D606,"_group",Dashboard!$D$503)&amp;"."&amp;YEAR(Dashboard!N$537))+N574</f>
        <v>0</v>
      </c>
      <c r="O606" s="10">
        <f>SUMIFS('Custom Constraints'!$C:$C,'Custom Constraints'!$A:$A,"caiso-deliverability_"&amp;SUBSTITUTE(Dashboard!$D606,"_group",Dashboard!$D$503)&amp;"."&amp;YEAR(Dashboard!O$537))+O574</f>
        <v>0</v>
      </c>
      <c r="P606" s="10">
        <f>SUMIFS('Custom Constraints'!$C:$C,'Custom Constraints'!$A:$A,"caiso-deliverability_"&amp;SUBSTITUTE(Dashboard!$D606,"_group",Dashboard!$D$503)&amp;"."&amp;YEAR(Dashboard!P$537))+P574</f>
        <v>0</v>
      </c>
      <c r="Q606" s="10">
        <f>SUMIFS('Custom Constraints'!$C:$C,'Custom Constraints'!$A:$A,"caiso-deliverability_"&amp;SUBSTITUTE(Dashboard!$D606,"_group",Dashboard!$D$503)&amp;"."&amp;YEAR(Dashboard!Q$537))+Q574</f>
        <v>0</v>
      </c>
      <c r="R606" s="10">
        <f>SUMIFS('Custom Constraints'!$C:$C,'Custom Constraints'!$A:$A,"caiso-deliverability_"&amp;SUBSTITUTE(Dashboard!$D606,"_group",Dashboard!$D$503)&amp;"."&amp;YEAR(Dashboard!R$537))+R574</f>
        <v>0</v>
      </c>
      <c r="S606" s="10">
        <f>SUMIFS('Custom Constraints'!$C:$C,'Custom Constraints'!$A:$A,"caiso-deliverability_"&amp;SUBSTITUTE(Dashboard!$D606,"_group",Dashboard!$D$503)&amp;"."&amp;YEAR(Dashboard!S$537))+S574</f>
        <v>0</v>
      </c>
      <c r="T606" s="10">
        <f>SUMIFS('Custom Constraints'!$C:$C,'Custom Constraints'!$A:$A,"caiso-deliverability_"&amp;SUBSTITUTE(Dashboard!$D606,"_group",Dashboard!$D$503)&amp;"."&amp;YEAR(Dashboard!T$537))+T574</f>
        <v>0</v>
      </c>
      <c r="U606" s="10">
        <f>SUMIFS('Custom Constraints'!$C:$C,'Custom Constraints'!$A:$A,"caiso-deliverability_"&amp;SUBSTITUTE(Dashboard!$D606,"_group",Dashboard!$D$503)&amp;"."&amp;YEAR(Dashboard!U$537))+U574</f>
        <v>0</v>
      </c>
      <c r="V606" s="10">
        <f>SUMIFS('Custom Constraints'!$C:$C,'Custom Constraints'!$A:$A,"caiso-deliverability_"&amp;SUBSTITUTE(Dashboard!$D606,"_group",Dashboard!$D$503)&amp;"."&amp;YEAR(Dashboard!V$537))+V574</f>
        <v>0</v>
      </c>
      <c r="W606" s="10">
        <f>SUMIFS('Custom Constraints'!$C:$C,'Custom Constraints'!$A:$A,"caiso-deliverability_"&amp;SUBSTITUTE(Dashboard!$D606,"_group",Dashboard!$D$503)&amp;"."&amp;YEAR(Dashboard!W$537))+W574</f>
        <v>0</v>
      </c>
      <c r="X606" s="10">
        <f>SUMIFS('Custom Constraints'!$C:$C,'Custom Constraints'!$A:$A,"caiso-deliverability_"&amp;SUBSTITUTE(Dashboard!$D606,"_group",Dashboard!$D$503)&amp;"."&amp;YEAR(Dashboard!X$537))+X574</f>
        <v>0</v>
      </c>
      <c r="Y606" s="10">
        <f>SUMIFS('Custom Constraints'!$C:$C,'Custom Constraints'!$A:$A,"caiso-deliverability_"&amp;SUBSTITUTE(Dashboard!$D606,"_group",Dashboard!$D$503)&amp;"."&amp;YEAR(Dashboard!Y$537))+Y574</f>
        <v>0</v>
      </c>
      <c r="Z606" s="10">
        <f>SUMIFS('Custom Constraints'!$C:$C,'Custom Constraints'!$A:$A,"caiso-deliverability_"&amp;SUBSTITUTE(Dashboard!$D606,"_group",Dashboard!$D$503)&amp;"."&amp;YEAR(Dashboard!Z$537))+Z574</f>
        <v>0</v>
      </c>
      <c r="AA606" s="10">
        <f>SUMIFS('Custom Constraints'!$C:$C,'Custom Constraints'!$A:$A,"caiso-deliverability_"&amp;SUBSTITUTE(Dashboard!$D606,"_group",Dashboard!$D$503)&amp;"."&amp;YEAR(Dashboard!AA$537))+AA574</f>
        <v>0</v>
      </c>
      <c r="AB606" s="10">
        <f>SUMIFS('Custom Constraints'!$C:$C,'Custom Constraints'!$A:$A,"caiso-deliverability_"&amp;SUBSTITUTE(Dashboard!$D606,"_group",Dashboard!$D$503)&amp;"."&amp;YEAR(Dashboard!AB$537))+AB574</f>
        <v>0</v>
      </c>
      <c r="AC606" s="10">
        <f>SUMIFS('Custom Constraints'!$C:$C,'Custom Constraints'!$A:$A,"caiso-deliverability_"&amp;SUBSTITUTE(Dashboard!$D606,"_group",Dashboard!$D$503)&amp;"."&amp;YEAR(Dashboard!AC$537))+AC574</f>
        <v>0</v>
      </c>
      <c r="AD606" s="10">
        <f>SUMIFS('Custom Constraints'!$C:$C,'Custom Constraints'!$A:$A,"caiso-deliverability_"&amp;SUBSTITUTE(Dashboard!$D606,"_group",Dashboard!$D$503)&amp;"."&amp;YEAR(Dashboard!AD$537))+AD574</f>
        <v>731</v>
      </c>
      <c r="AH606" s="34" t="s">
        <v>422</v>
      </c>
    </row>
    <row r="607" spans="4:34" outlineLevel="2" x14ac:dyDescent="0.2">
      <c r="D607" s="8" t="s">
        <v>262</v>
      </c>
      <c r="E607" s="10">
        <f>SUMIFS('Custom Constraints'!$C:$C,'Custom Constraints'!$A:$A,"caiso-deliverability_"&amp;SUBSTITUTE(Dashboard!$D607,"_group",Dashboard!$D$503)&amp;"."&amp;YEAR(Dashboard!E$537))+E575</f>
        <v>0</v>
      </c>
      <c r="F607" s="10">
        <f>SUMIFS('Custom Constraints'!$C:$C,'Custom Constraints'!$A:$A,"caiso-deliverability_"&amp;SUBSTITUTE(Dashboard!$D607,"_group",Dashboard!$D$503)&amp;"."&amp;YEAR(Dashboard!F$537))+F575</f>
        <v>0</v>
      </c>
      <c r="G607" s="10">
        <f>SUMIFS('Custom Constraints'!$C:$C,'Custom Constraints'!$A:$A,"caiso-deliverability_"&amp;SUBSTITUTE(Dashboard!$D607,"_group",Dashboard!$D$503)&amp;"."&amp;YEAR(Dashboard!G$537))+G575</f>
        <v>0</v>
      </c>
      <c r="H607" s="10">
        <f>SUMIFS('Custom Constraints'!$C:$C,'Custom Constraints'!$A:$A,"caiso-deliverability_"&amp;SUBSTITUTE(Dashboard!$D607,"_group",Dashboard!$D$503)&amp;"."&amp;YEAR(Dashboard!H$537))+H575</f>
        <v>0</v>
      </c>
      <c r="I607" s="10">
        <f>SUMIFS('Custom Constraints'!$C:$C,'Custom Constraints'!$A:$A,"caiso-deliverability_"&amp;SUBSTITUTE(Dashboard!$D607,"_group",Dashboard!$D$503)&amp;"."&amp;YEAR(Dashboard!I$537))+I575</f>
        <v>0</v>
      </c>
      <c r="J607" s="10">
        <f>SUMIFS('Custom Constraints'!$C:$C,'Custom Constraints'!$A:$A,"caiso-deliverability_"&amp;SUBSTITUTE(Dashboard!$D607,"_group",Dashboard!$D$503)&amp;"."&amp;YEAR(Dashboard!J$537))+J575</f>
        <v>0</v>
      </c>
      <c r="K607" s="10">
        <f>SUMIFS('Custom Constraints'!$C:$C,'Custom Constraints'!$A:$A,"caiso-deliverability_"&amp;SUBSTITUTE(Dashboard!$D607,"_group",Dashboard!$D$503)&amp;"."&amp;YEAR(Dashboard!K$537))+K575</f>
        <v>0</v>
      </c>
      <c r="L607" s="10">
        <f>SUMIFS('Custom Constraints'!$C:$C,'Custom Constraints'!$A:$A,"caiso-deliverability_"&amp;SUBSTITUTE(Dashboard!$D607,"_group",Dashboard!$D$503)&amp;"."&amp;YEAR(Dashboard!L$537))+L575</f>
        <v>0</v>
      </c>
      <c r="M607" s="10">
        <f>SUMIFS('Custom Constraints'!$C:$C,'Custom Constraints'!$A:$A,"caiso-deliverability_"&amp;SUBSTITUTE(Dashboard!$D607,"_group",Dashboard!$D$503)&amp;"."&amp;YEAR(Dashboard!M$537))+M575</f>
        <v>0</v>
      </c>
      <c r="N607" s="10">
        <f>SUMIFS('Custom Constraints'!$C:$C,'Custom Constraints'!$A:$A,"caiso-deliverability_"&amp;SUBSTITUTE(Dashboard!$D607,"_group",Dashboard!$D$503)&amp;"."&amp;YEAR(Dashboard!N$537))+N575</f>
        <v>0</v>
      </c>
      <c r="O607" s="10">
        <f>SUMIFS('Custom Constraints'!$C:$C,'Custom Constraints'!$A:$A,"caiso-deliverability_"&amp;SUBSTITUTE(Dashboard!$D607,"_group",Dashboard!$D$503)&amp;"."&amp;YEAR(Dashboard!O$537))+O575</f>
        <v>0</v>
      </c>
      <c r="P607" s="10">
        <f>SUMIFS('Custom Constraints'!$C:$C,'Custom Constraints'!$A:$A,"caiso-deliverability_"&amp;SUBSTITUTE(Dashboard!$D607,"_group",Dashboard!$D$503)&amp;"."&amp;YEAR(Dashboard!P$537))+P575</f>
        <v>0</v>
      </c>
      <c r="Q607" s="10">
        <f>SUMIFS('Custom Constraints'!$C:$C,'Custom Constraints'!$A:$A,"caiso-deliverability_"&amp;SUBSTITUTE(Dashboard!$D607,"_group",Dashboard!$D$503)&amp;"."&amp;YEAR(Dashboard!Q$537))+Q575</f>
        <v>0</v>
      </c>
      <c r="R607" s="10">
        <f>SUMIFS('Custom Constraints'!$C:$C,'Custom Constraints'!$A:$A,"caiso-deliverability_"&amp;SUBSTITUTE(Dashboard!$D607,"_group",Dashboard!$D$503)&amp;"."&amp;YEAR(Dashboard!R$537))+R575</f>
        <v>0</v>
      </c>
      <c r="S607" s="10">
        <f>SUMIFS('Custom Constraints'!$C:$C,'Custom Constraints'!$A:$A,"caiso-deliverability_"&amp;SUBSTITUTE(Dashboard!$D607,"_group",Dashboard!$D$503)&amp;"."&amp;YEAR(Dashboard!S$537))+S575</f>
        <v>0</v>
      </c>
      <c r="T607" s="10">
        <f>SUMIFS('Custom Constraints'!$C:$C,'Custom Constraints'!$A:$A,"caiso-deliverability_"&amp;SUBSTITUTE(Dashboard!$D607,"_group",Dashboard!$D$503)&amp;"."&amp;YEAR(Dashboard!T$537))+T575</f>
        <v>0</v>
      </c>
      <c r="U607" s="10">
        <f>SUMIFS('Custom Constraints'!$C:$C,'Custom Constraints'!$A:$A,"caiso-deliverability_"&amp;SUBSTITUTE(Dashboard!$D607,"_group",Dashboard!$D$503)&amp;"."&amp;YEAR(Dashboard!U$537))+U575</f>
        <v>0</v>
      </c>
      <c r="V607" s="10">
        <f>SUMIFS('Custom Constraints'!$C:$C,'Custom Constraints'!$A:$A,"caiso-deliverability_"&amp;SUBSTITUTE(Dashboard!$D607,"_group",Dashboard!$D$503)&amp;"."&amp;YEAR(Dashboard!V$537))+V575</f>
        <v>0</v>
      </c>
      <c r="W607" s="10">
        <f>SUMIFS('Custom Constraints'!$C:$C,'Custom Constraints'!$A:$A,"caiso-deliverability_"&amp;SUBSTITUTE(Dashboard!$D607,"_group",Dashboard!$D$503)&amp;"."&amp;YEAR(Dashboard!W$537))+W575</f>
        <v>0</v>
      </c>
      <c r="X607" s="10">
        <f>SUMIFS('Custom Constraints'!$C:$C,'Custom Constraints'!$A:$A,"caiso-deliverability_"&amp;SUBSTITUTE(Dashboard!$D607,"_group",Dashboard!$D$503)&amp;"."&amp;YEAR(Dashboard!X$537))+X575</f>
        <v>0</v>
      </c>
      <c r="Y607" s="10">
        <f>SUMIFS('Custom Constraints'!$C:$C,'Custom Constraints'!$A:$A,"caiso-deliverability_"&amp;SUBSTITUTE(Dashboard!$D607,"_group",Dashboard!$D$503)&amp;"."&amp;YEAR(Dashboard!Y$537))+Y575</f>
        <v>0</v>
      </c>
      <c r="Z607" s="10">
        <f>SUMIFS('Custom Constraints'!$C:$C,'Custom Constraints'!$A:$A,"caiso-deliverability_"&amp;SUBSTITUTE(Dashboard!$D607,"_group",Dashboard!$D$503)&amp;"."&amp;YEAR(Dashboard!Z$537))+Z575</f>
        <v>0</v>
      </c>
      <c r="AA607" s="10">
        <f>SUMIFS('Custom Constraints'!$C:$C,'Custom Constraints'!$A:$A,"caiso-deliverability_"&amp;SUBSTITUTE(Dashboard!$D607,"_group",Dashboard!$D$503)&amp;"."&amp;YEAR(Dashboard!AA$537))+AA575</f>
        <v>0</v>
      </c>
      <c r="AB607" s="10">
        <f>SUMIFS('Custom Constraints'!$C:$C,'Custom Constraints'!$A:$A,"caiso-deliverability_"&amp;SUBSTITUTE(Dashboard!$D607,"_group",Dashboard!$D$503)&amp;"."&amp;YEAR(Dashboard!AB$537))+AB575</f>
        <v>0</v>
      </c>
      <c r="AC607" s="10">
        <f>SUMIFS('Custom Constraints'!$C:$C,'Custom Constraints'!$A:$A,"caiso-deliverability_"&amp;SUBSTITUTE(Dashboard!$D607,"_group",Dashboard!$D$503)&amp;"."&amp;YEAR(Dashboard!AC$537))+AC575</f>
        <v>0</v>
      </c>
      <c r="AD607" s="10">
        <f>SUMIFS('Custom Constraints'!$C:$C,'Custom Constraints'!$A:$A,"caiso-deliverability_"&amp;SUBSTITUTE(Dashboard!$D607,"_group",Dashboard!$D$503)&amp;"."&amp;YEAR(Dashboard!AD$537))+AD575</f>
        <v>3760</v>
      </c>
      <c r="AH607" s="34" t="s">
        <v>422</v>
      </c>
    </row>
    <row r="608" spans="4:34" outlineLevel="2" x14ac:dyDescent="0.2">
      <c r="D608" s="8" t="s">
        <v>263</v>
      </c>
      <c r="E608" s="10">
        <f>SUMIFS('Custom Constraints'!$C:$C,'Custom Constraints'!$A:$A,"caiso-deliverability_"&amp;SUBSTITUTE(Dashboard!$D608,"_group",Dashboard!$D$503)&amp;"."&amp;YEAR(Dashboard!E$537))+E576</f>
        <v>0</v>
      </c>
      <c r="F608" s="10">
        <f>SUMIFS('Custom Constraints'!$C:$C,'Custom Constraints'!$A:$A,"caiso-deliverability_"&amp;SUBSTITUTE(Dashboard!$D608,"_group",Dashboard!$D$503)&amp;"."&amp;YEAR(Dashboard!F$537))+F576</f>
        <v>0</v>
      </c>
      <c r="G608" s="10">
        <f>SUMIFS('Custom Constraints'!$C:$C,'Custom Constraints'!$A:$A,"caiso-deliverability_"&amp;SUBSTITUTE(Dashboard!$D608,"_group",Dashboard!$D$503)&amp;"."&amp;YEAR(Dashboard!G$537))+G576</f>
        <v>0</v>
      </c>
      <c r="H608" s="10">
        <f>SUMIFS('Custom Constraints'!$C:$C,'Custom Constraints'!$A:$A,"caiso-deliverability_"&amp;SUBSTITUTE(Dashboard!$D608,"_group",Dashboard!$D$503)&amp;"."&amp;YEAR(Dashboard!H$537))+H576</f>
        <v>0</v>
      </c>
      <c r="I608" s="10">
        <f>SUMIFS('Custom Constraints'!$C:$C,'Custom Constraints'!$A:$A,"caiso-deliverability_"&amp;SUBSTITUTE(Dashboard!$D608,"_group",Dashboard!$D$503)&amp;"."&amp;YEAR(Dashboard!I$537))+I576</f>
        <v>0</v>
      </c>
      <c r="J608" s="10">
        <f>SUMIFS('Custom Constraints'!$C:$C,'Custom Constraints'!$A:$A,"caiso-deliverability_"&amp;SUBSTITUTE(Dashboard!$D608,"_group",Dashboard!$D$503)&amp;"."&amp;YEAR(Dashboard!J$537))+J576</f>
        <v>0</v>
      </c>
      <c r="K608" s="10">
        <f>SUMIFS('Custom Constraints'!$C:$C,'Custom Constraints'!$A:$A,"caiso-deliverability_"&amp;SUBSTITUTE(Dashboard!$D608,"_group",Dashboard!$D$503)&amp;"."&amp;YEAR(Dashboard!K$537))+K576</f>
        <v>0</v>
      </c>
      <c r="L608" s="10">
        <f>SUMIFS('Custom Constraints'!$C:$C,'Custom Constraints'!$A:$A,"caiso-deliverability_"&amp;SUBSTITUTE(Dashboard!$D608,"_group",Dashboard!$D$503)&amp;"."&amp;YEAR(Dashboard!L$537))+L576</f>
        <v>0</v>
      </c>
      <c r="M608" s="10">
        <f>SUMIFS('Custom Constraints'!$C:$C,'Custom Constraints'!$A:$A,"caiso-deliverability_"&amp;SUBSTITUTE(Dashboard!$D608,"_group",Dashboard!$D$503)&amp;"."&amp;YEAR(Dashboard!M$537))+M576</f>
        <v>0</v>
      </c>
      <c r="N608" s="10">
        <f>SUMIFS('Custom Constraints'!$C:$C,'Custom Constraints'!$A:$A,"caiso-deliverability_"&amp;SUBSTITUTE(Dashboard!$D608,"_group",Dashboard!$D$503)&amp;"."&amp;YEAR(Dashboard!N$537))+N576</f>
        <v>0</v>
      </c>
      <c r="O608" s="10">
        <f>SUMIFS('Custom Constraints'!$C:$C,'Custom Constraints'!$A:$A,"caiso-deliverability_"&amp;SUBSTITUTE(Dashboard!$D608,"_group",Dashboard!$D$503)&amp;"."&amp;YEAR(Dashboard!O$537))+O576</f>
        <v>0</v>
      </c>
      <c r="P608" s="10">
        <f>SUMIFS('Custom Constraints'!$C:$C,'Custom Constraints'!$A:$A,"caiso-deliverability_"&amp;SUBSTITUTE(Dashboard!$D608,"_group",Dashboard!$D$503)&amp;"."&amp;YEAR(Dashboard!P$537))+P576</f>
        <v>0</v>
      </c>
      <c r="Q608" s="10">
        <f>SUMIFS('Custom Constraints'!$C:$C,'Custom Constraints'!$A:$A,"caiso-deliverability_"&amp;SUBSTITUTE(Dashboard!$D608,"_group",Dashboard!$D$503)&amp;"."&amp;YEAR(Dashboard!Q$537))+Q576</f>
        <v>0</v>
      </c>
      <c r="R608" s="10">
        <f>SUMIFS('Custom Constraints'!$C:$C,'Custom Constraints'!$A:$A,"caiso-deliverability_"&amp;SUBSTITUTE(Dashboard!$D608,"_group",Dashboard!$D$503)&amp;"."&amp;YEAR(Dashboard!R$537))+R576</f>
        <v>0</v>
      </c>
      <c r="S608" s="10">
        <f>SUMIFS('Custom Constraints'!$C:$C,'Custom Constraints'!$A:$A,"caiso-deliverability_"&amp;SUBSTITUTE(Dashboard!$D608,"_group",Dashboard!$D$503)&amp;"."&amp;YEAR(Dashboard!S$537))+S576</f>
        <v>0</v>
      </c>
      <c r="T608" s="10">
        <f>SUMIFS('Custom Constraints'!$C:$C,'Custom Constraints'!$A:$A,"caiso-deliverability_"&amp;SUBSTITUTE(Dashboard!$D608,"_group",Dashboard!$D$503)&amp;"."&amp;YEAR(Dashboard!T$537))+T576</f>
        <v>0</v>
      </c>
      <c r="U608" s="10">
        <f>SUMIFS('Custom Constraints'!$C:$C,'Custom Constraints'!$A:$A,"caiso-deliverability_"&amp;SUBSTITUTE(Dashboard!$D608,"_group",Dashboard!$D$503)&amp;"."&amp;YEAR(Dashboard!U$537))+U576</f>
        <v>0</v>
      </c>
      <c r="V608" s="10">
        <f>SUMIFS('Custom Constraints'!$C:$C,'Custom Constraints'!$A:$A,"caiso-deliverability_"&amp;SUBSTITUTE(Dashboard!$D608,"_group",Dashboard!$D$503)&amp;"."&amp;YEAR(Dashboard!V$537))+V576</f>
        <v>0</v>
      </c>
      <c r="W608" s="10">
        <f>SUMIFS('Custom Constraints'!$C:$C,'Custom Constraints'!$A:$A,"caiso-deliverability_"&amp;SUBSTITUTE(Dashboard!$D608,"_group",Dashboard!$D$503)&amp;"."&amp;YEAR(Dashboard!W$537))+W576</f>
        <v>0</v>
      </c>
      <c r="X608" s="10">
        <f>SUMIFS('Custom Constraints'!$C:$C,'Custom Constraints'!$A:$A,"caiso-deliverability_"&amp;SUBSTITUTE(Dashboard!$D608,"_group",Dashboard!$D$503)&amp;"."&amp;YEAR(Dashboard!X$537))+X576</f>
        <v>0</v>
      </c>
      <c r="Y608" s="10">
        <f>SUMIFS('Custom Constraints'!$C:$C,'Custom Constraints'!$A:$A,"caiso-deliverability_"&amp;SUBSTITUTE(Dashboard!$D608,"_group",Dashboard!$D$503)&amp;"."&amp;YEAR(Dashboard!Y$537))+Y576</f>
        <v>0</v>
      </c>
      <c r="Z608" s="10">
        <f>SUMIFS('Custom Constraints'!$C:$C,'Custom Constraints'!$A:$A,"caiso-deliverability_"&amp;SUBSTITUTE(Dashboard!$D608,"_group",Dashboard!$D$503)&amp;"."&amp;YEAR(Dashboard!Z$537))+Z576</f>
        <v>0</v>
      </c>
      <c r="AA608" s="10">
        <f>SUMIFS('Custom Constraints'!$C:$C,'Custom Constraints'!$A:$A,"caiso-deliverability_"&amp;SUBSTITUTE(Dashboard!$D608,"_group",Dashboard!$D$503)&amp;"."&amp;YEAR(Dashboard!AA$537))+AA576</f>
        <v>0</v>
      </c>
      <c r="AB608" s="10">
        <f>SUMIFS('Custom Constraints'!$C:$C,'Custom Constraints'!$A:$A,"caiso-deliverability_"&amp;SUBSTITUTE(Dashboard!$D608,"_group",Dashboard!$D$503)&amp;"."&amp;YEAR(Dashboard!AB$537))+AB576</f>
        <v>0</v>
      </c>
      <c r="AC608" s="10">
        <f>SUMIFS('Custom Constraints'!$C:$C,'Custom Constraints'!$A:$A,"caiso-deliverability_"&amp;SUBSTITUTE(Dashboard!$D608,"_group",Dashboard!$D$503)&amp;"."&amp;YEAR(Dashboard!AC$537))+AC576</f>
        <v>0</v>
      </c>
      <c r="AD608" s="10">
        <f>SUMIFS('Custom Constraints'!$C:$C,'Custom Constraints'!$A:$A,"caiso-deliverability_"&amp;SUBSTITUTE(Dashboard!$D608,"_group",Dashboard!$D$503)&amp;"."&amp;YEAR(Dashboard!AD$537))+AD576</f>
        <v>2901</v>
      </c>
      <c r="AH608" s="34" t="s">
        <v>422</v>
      </c>
    </row>
    <row r="609" spans="4:34" outlineLevel="2" x14ac:dyDescent="0.2">
      <c r="D609" s="8" t="s">
        <v>264</v>
      </c>
      <c r="E609" s="10">
        <f>SUMIFS('Custom Constraints'!$C:$C,'Custom Constraints'!$A:$A,"caiso-deliverability_"&amp;SUBSTITUTE(Dashboard!$D609,"_group",Dashboard!$D$503)&amp;"."&amp;YEAR(Dashboard!E$537))+E577</f>
        <v>0</v>
      </c>
      <c r="F609" s="10">
        <f>SUMIFS('Custom Constraints'!$C:$C,'Custom Constraints'!$A:$A,"caiso-deliverability_"&amp;SUBSTITUTE(Dashboard!$D609,"_group",Dashboard!$D$503)&amp;"."&amp;YEAR(Dashboard!F$537))+F577</f>
        <v>0</v>
      </c>
      <c r="G609" s="10">
        <f>SUMIFS('Custom Constraints'!$C:$C,'Custom Constraints'!$A:$A,"caiso-deliverability_"&amp;SUBSTITUTE(Dashboard!$D609,"_group",Dashboard!$D$503)&amp;"."&amp;YEAR(Dashboard!G$537))+G577</f>
        <v>0</v>
      </c>
      <c r="H609" s="10">
        <f>SUMIFS('Custom Constraints'!$C:$C,'Custom Constraints'!$A:$A,"caiso-deliverability_"&amp;SUBSTITUTE(Dashboard!$D609,"_group",Dashboard!$D$503)&amp;"."&amp;YEAR(Dashboard!H$537))+H577</f>
        <v>0</v>
      </c>
      <c r="I609" s="10">
        <f>SUMIFS('Custom Constraints'!$C:$C,'Custom Constraints'!$A:$A,"caiso-deliverability_"&amp;SUBSTITUTE(Dashboard!$D609,"_group",Dashboard!$D$503)&amp;"."&amp;YEAR(Dashboard!I$537))+I577</f>
        <v>0</v>
      </c>
      <c r="J609" s="10">
        <f>SUMIFS('Custom Constraints'!$C:$C,'Custom Constraints'!$A:$A,"caiso-deliverability_"&amp;SUBSTITUTE(Dashboard!$D609,"_group",Dashboard!$D$503)&amp;"."&amp;YEAR(Dashboard!J$537))+J577</f>
        <v>0</v>
      </c>
      <c r="K609" s="10">
        <f>SUMIFS('Custom Constraints'!$C:$C,'Custom Constraints'!$A:$A,"caiso-deliverability_"&amp;SUBSTITUTE(Dashboard!$D609,"_group",Dashboard!$D$503)&amp;"."&amp;YEAR(Dashboard!K$537))+K577</f>
        <v>0</v>
      </c>
      <c r="L609" s="10">
        <f>SUMIFS('Custom Constraints'!$C:$C,'Custom Constraints'!$A:$A,"caiso-deliverability_"&amp;SUBSTITUTE(Dashboard!$D609,"_group",Dashboard!$D$503)&amp;"."&amp;YEAR(Dashboard!L$537))+L577</f>
        <v>0</v>
      </c>
      <c r="M609" s="10">
        <f>SUMIFS('Custom Constraints'!$C:$C,'Custom Constraints'!$A:$A,"caiso-deliverability_"&amp;SUBSTITUTE(Dashboard!$D609,"_group",Dashboard!$D$503)&amp;"."&amp;YEAR(Dashboard!M$537))+M577</f>
        <v>0</v>
      </c>
      <c r="N609" s="10">
        <f>SUMIFS('Custom Constraints'!$C:$C,'Custom Constraints'!$A:$A,"caiso-deliverability_"&amp;SUBSTITUTE(Dashboard!$D609,"_group",Dashboard!$D$503)&amp;"."&amp;YEAR(Dashboard!N$537))+N577</f>
        <v>0</v>
      </c>
      <c r="O609" s="10">
        <f>SUMIFS('Custom Constraints'!$C:$C,'Custom Constraints'!$A:$A,"caiso-deliverability_"&amp;SUBSTITUTE(Dashboard!$D609,"_group",Dashboard!$D$503)&amp;"."&amp;YEAR(Dashboard!O$537))+O577</f>
        <v>0</v>
      </c>
      <c r="P609" s="10">
        <f>SUMIFS('Custom Constraints'!$C:$C,'Custom Constraints'!$A:$A,"caiso-deliverability_"&amp;SUBSTITUTE(Dashboard!$D609,"_group",Dashboard!$D$503)&amp;"."&amp;YEAR(Dashboard!P$537))+P577</f>
        <v>0</v>
      </c>
      <c r="Q609" s="10">
        <f>SUMIFS('Custom Constraints'!$C:$C,'Custom Constraints'!$A:$A,"caiso-deliverability_"&amp;SUBSTITUTE(Dashboard!$D609,"_group",Dashboard!$D$503)&amp;"."&amp;YEAR(Dashboard!Q$537))+Q577</f>
        <v>0</v>
      </c>
      <c r="R609" s="10">
        <f>SUMIFS('Custom Constraints'!$C:$C,'Custom Constraints'!$A:$A,"caiso-deliverability_"&amp;SUBSTITUTE(Dashboard!$D609,"_group",Dashboard!$D$503)&amp;"."&amp;YEAR(Dashboard!R$537))+R577</f>
        <v>0</v>
      </c>
      <c r="S609" s="10">
        <f>SUMIFS('Custom Constraints'!$C:$C,'Custom Constraints'!$A:$A,"caiso-deliverability_"&amp;SUBSTITUTE(Dashboard!$D609,"_group",Dashboard!$D$503)&amp;"."&amp;YEAR(Dashboard!S$537))+S577</f>
        <v>0</v>
      </c>
      <c r="T609" s="10">
        <f>SUMIFS('Custom Constraints'!$C:$C,'Custom Constraints'!$A:$A,"caiso-deliverability_"&amp;SUBSTITUTE(Dashboard!$D609,"_group",Dashboard!$D$503)&amp;"."&amp;YEAR(Dashboard!T$537))+T577</f>
        <v>0</v>
      </c>
      <c r="U609" s="10">
        <f>SUMIFS('Custom Constraints'!$C:$C,'Custom Constraints'!$A:$A,"caiso-deliverability_"&amp;SUBSTITUTE(Dashboard!$D609,"_group",Dashboard!$D$503)&amp;"."&amp;YEAR(Dashboard!U$537))+U577</f>
        <v>0</v>
      </c>
      <c r="V609" s="10">
        <f>SUMIFS('Custom Constraints'!$C:$C,'Custom Constraints'!$A:$A,"caiso-deliverability_"&amp;SUBSTITUTE(Dashboard!$D609,"_group",Dashboard!$D$503)&amp;"."&amp;YEAR(Dashboard!V$537))+V577</f>
        <v>0</v>
      </c>
      <c r="W609" s="10">
        <f>SUMIFS('Custom Constraints'!$C:$C,'Custom Constraints'!$A:$A,"caiso-deliverability_"&amp;SUBSTITUTE(Dashboard!$D609,"_group",Dashboard!$D$503)&amp;"."&amp;YEAR(Dashboard!W$537))+W577</f>
        <v>0</v>
      </c>
      <c r="X609" s="10">
        <f>SUMIFS('Custom Constraints'!$C:$C,'Custom Constraints'!$A:$A,"caiso-deliverability_"&amp;SUBSTITUTE(Dashboard!$D609,"_group",Dashboard!$D$503)&amp;"."&amp;YEAR(Dashboard!X$537))+X577</f>
        <v>0</v>
      </c>
      <c r="Y609" s="10">
        <f>SUMIFS('Custom Constraints'!$C:$C,'Custom Constraints'!$A:$A,"caiso-deliverability_"&amp;SUBSTITUTE(Dashboard!$D609,"_group",Dashboard!$D$503)&amp;"."&amp;YEAR(Dashboard!Y$537))+Y577</f>
        <v>0</v>
      </c>
      <c r="Z609" s="10">
        <f>SUMIFS('Custom Constraints'!$C:$C,'Custom Constraints'!$A:$A,"caiso-deliverability_"&amp;SUBSTITUTE(Dashboard!$D609,"_group",Dashboard!$D$503)&amp;"."&amp;YEAR(Dashboard!Z$537))+Z577</f>
        <v>0</v>
      </c>
      <c r="AA609" s="10">
        <f>SUMIFS('Custom Constraints'!$C:$C,'Custom Constraints'!$A:$A,"caiso-deliverability_"&amp;SUBSTITUTE(Dashboard!$D609,"_group",Dashboard!$D$503)&amp;"."&amp;YEAR(Dashboard!AA$537))+AA577</f>
        <v>0</v>
      </c>
      <c r="AB609" s="10">
        <f>SUMIFS('Custom Constraints'!$C:$C,'Custom Constraints'!$A:$A,"caiso-deliverability_"&amp;SUBSTITUTE(Dashboard!$D609,"_group",Dashboard!$D$503)&amp;"."&amp;YEAR(Dashboard!AB$537))+AB577</f>
        <v>0</v>
      </c>
      <c r="AC609" s="10">
        <f>SUMIFS('Custom Constraints'!$C:$C,'Custom Constraints'!$A:$A,"caiso-deliverability_"&amp;SUBSTITUTE(Dashboard!$D609,"_group",Dashboard!$D$503)&amp;"."&amp;YEAR(Dashboard!AC$537))+AC577</f>
        <v>0</v>
      </c>
      <c r="AD609" s="10">
        <f>SUMIFS('Custom Constraints'!$C:$C,'Custom Constraints'!$A:$A,"caiso-deliverability_"&amp;SUBSTITUTE(Dashboard!$D609,"_group",Dashboard!$D$503)&amp;"."&amp;YEAR(Dashboard!AD$537))+AD577</f>
        <v>420.80000000000007</v>
      </c>
      <c r="AH609" s="34" t="s">
        <v>422</v>
      </c>
    </row>
    <row r="610" spans="4:34" outlineLevel="2" x14ac:dyDescent="0.2">
      <c r="D610" s="8" t="s">
        <v>265</v>
      </c>
      <c r="E610" s="10">
        <f>SUMIFS('Custom Constraints'!$C:$C,'Custom Constraints'!$A:$A,"caiso-deliverability_"&amp;SUBSTITUTE(Dashboard!$D610,"_group",Dashboard!$D$503)&amp;"."&amp;YEAR(Dashboard!E$537))+E578</f>
        <v>0</v>
      </c>
      <c r="F610" s="10">
        <f>SUMIFS('Custom Constraints'!$C:$C,'Custom Constraints'!$A:$A,"caiso-deliverability_"&amp;SUBSTITUTE(Dashboard!$D610,"_group",Dashboard!$D$503)&amp;"."&amp;YEAR(Dashboard!F$537))+F578</f>
        <v>0</v>
      </c>
      <c r="G610" s="10">
        <f>SUMIFS('Custom Constraints'!$C:$C,'Custom Constraints'!$A:$A,"caiso-deliverability_"&amp;SUBSTITUTE(Dashboard!$D610,"_group",Dashboard!$D$503)&amp;"."&amp;YEAR(Dashboard!G$537))+G578</f>
        <v>0</v>
      </c>
      <c r="H610" s="10">
        <f>SUMIFS('Custom Constraints'!$C:$C,'Custom Constraints'!$A:$A,"caiso-deliverability_"&amp;SUBSTITUTE(Dashboard!$D610,"_group",Dashboard!$D$503)&amp;"."&amp;YEAR(Dashboard!H$537))+H578</f>
        <v>0</v>
      </c>
      <c r="I610" s="10">
        <f>SUMIFS('Custom Constraints'!$C:$C,'Custom Constraints'!$A:$A,"caiso-deliverability_"&amp;SUBSTITUTE(Dashboard!$D610,"_group",Dashboard!$D$503)&amp;"."&amp;YEAR(Dashboard!I$537))+I578</f>
        <v>0</v>
      </c>
      <c r="J610" s="10">
        <f>SUMIFS('Custom Constraints'!$C:$C,'Custom Constraints'!$A:$A,"caiso-deliverability_"&amp;SUBSTITUTE(Dashboard!$D610,"_group",Dashboard!$D$503)&amp;"."&amp;YEAR(Dashboard!J$537))+J578</f>
        <v>0</v>
      </c>
      <c r="K610" s="10">
        <f>SUMIFS('Custom Constraints'!$C:$C,'Custom Constraints'!$A:$A,"caiso-deliverability_"&amp;SUBSTITUTE(Dashboard!$D610,"_group",Dashboard!$D$503)&amp;"."&amp;YEAR(Dashboard!K$537))+K578</f>
        <v>0</v>
      </c>
      <c r="L610" s="10">
        <f>SUMIFS('Custom Constraints'!$C:$C,'Custom Constraints'!$A:$A,"caiso-deliverability_"&amp;SUBSTITUTE(Dashboard!$D610,"_group",Dashboard!$D$503)&amp;"."&amp;YEAR(Dashboard!L$537))+L578</f>
        <v>0</v>
      </c>
      <c r="M610" s="10">
        <f>SUMIFS('Custom Constraints'!$C:$C,'Custom Constraints'!$A:$A,"caiso-deliverability_"&amp;SUBSTITUTE(Dashboard!$D610,"_group",Dashboard!$D$503)&amp;"."&amp;YEAR(Dashboard!M$537))+M578</f>
        <v>0</v>
      </c>
      <c r="N610" s="10">
        <f>SUMIFS('Custom Constraints'!$C:$C,'Custom Constraints'!$A:$A,"caiso-deliverability_"&amp;SUBSTITUTE(Dashboard!$D610,"_group",Dashboard!$D$503)&amp;"."&amp;YEAR(Dashboard!N$537))+N578</f>
        <v>0</v>
      </c>
      <c r="O610" s="10">
        <f>SUMIFS('Custom Constraints'!$C:$C,'Custom Constraints'!$A:$A,"caiso-deliverability_"&amp;SUBSTITUTE(Dashboard!$D610,"_group",Dashboard!$D$503)&amp;"."&amp;YEAR(Dashboard!O$537))+O578</f>
        <v>0</v>
      </c>
      <c r="P610" s="10">
        <f>SUMIFS('Custom Constraints'!$C:$C,'Custom Constraints'!$A:$A,"caiso-deliverability_"&amp;SUBSTITUTE(Dashboard!$D610,"_group",Dashboard!$D$503)&amp;"."&amp;YEAR(Dashboard!P$537))+P578</f>
        <v>0</v>
      </c>
      <c r="Q610" s="10">
        <f>SUMIFS('Custom Constraints'!$C:$C,'Custom Constraints'!$A:$A,"caiso-deliverability_"&amp;SUBSTITUTE(Dashboard!$D610,"_group",Dashboard!$D$503)&amp;"."&amp;YEAR(Dashboard!Q$537))+Q578</f>
        <v>0</v>
      </c>
      <c r="R610" s="10">
        <f>SUMIFS('Custom Constraints'!$C:$C,'Custom Constraints'!$A:$A,"caiso-deliverability_"&amp;SUBSTITUTE(Dashboard!$D610,"_group",Dashboard!$D$503)&amp;"."&amp;YEAR(Dashboard!R$537))+R578</f>
        <v>0</v>
      </c>
      <c r="S610" s="10">
        <f>SUMIFS('Custom Constraints'!$C:$C,'Custom Constraints'!$A:$A,"caiso-deliverability_"&amp;SUBSTITUTE(Dashboard!$D610,"_group",Dashboard!$D$503)&amp;"."&amp;YEAR(Dashboard!S$537))+S578</f>
        <v>0</v>
      </c>
      <c r="T610" s="10">
        <f>SUMIFS('Custom Constraints'!$C:$C,'Custom Constraints'!$A:$A,"caiso-deliverability_"&amp;SUBSTITUTE(Dashboard!$D610,"_group",Dashboard!$D$503)&amp;"."&amp;YEAR(Dashboard!T$537))+T578</f>
        <v>0</v>
      </c>
      <c r="U610" s="10">
        <f>SUMIFS('Custom Constraints'!$C:$C,'Custom Constraints'!$A:$A,"caiso-deliverability_"&amp;SUBSTITUTE(Dashboard!$D610,"_group",Dashboard!$D$503)&amp;"."&amp;YEAR(Dashboard!U$537))+U578</f>
        <v>0</v>
      </c>
      <c r="V610" s="10">
        <f>SUMIFS('Custom Constraints'!$C:$C,'Custom Constraints'!$A:$A,"caiso-deliverability_"&amp;SUBSTITUTE(Dashboard!$D610,"_group",Dashboard!$D$503)&amp;"."&amp;YEAR(Dashboard!V$537))+V578</f>
        <v>0</v>
      </c>
      <c r="W610" s="10">
        <f>SUMIFS('Custom Constraints'!$C:$C,'Custom Constraints'!$A:$A,"caiso-deliverability_"&amp;SUBSTITUTE(Dashboard!$D610,"_group",Dashboard!$D$503)&amp;"."&amp;YEAR(Dashboard!W$537))+W578</f>
        <v>0</v>
      </c>
      <c r="X610" s="10">
        <f>SUMIFS('Custom Constraints'!$C:$C,'Custom Constraints'!$A:$A,"caiso-deliverability_"&amp;SUBSTITUTE(Dashboard!$D610,"_group",Dashboard!$D$503)&amp;"."&amp;YEAR(Dashboard!X$537))+X578</f>
        <v>0</v>
      </c>
      <c r="Y610" s="10">
        <f>SUMIFS('Custom Constraints'!$C:$C,'Custom Constraints'!$A:$A,"caiso-deliverability_"&amp;SUBSTITUTE(Dashboard!$D610,"_group",Dashboard!$D$503)&amp;"."&amp;YEAR(Dashboard!Y$537))+Y578</f>
        <v>0</v>
      </c>
      <c r="Z610" s="10">
        <f>SUMIFS('Custom Constraints'!$C:$C,'Custom Constraints'!$A:$A,"caiso-deliverability_"&amp;SUBSTITUTE(Dashboard!$D610,"_group",Dashboard!$D$503)&amp;"."&amp;YEAR(Dashboard!Z$537))+Z578</f>
        <v>0</v>
      </c>
      <c r="AA610" s="10">
        <f>SUMIFS('Custom Constraints'!$C:$C,'Custom Constraints'!$A:$A,"caiso-deliverability_"&amp;SUBSTITUTE(Dashboard!$D610,"_group",Dashboard!$D$503)&amp;"."&amp;YEAR(Dashboard!AA$537))+AA578</f>
        <v>0</v>
      </c>
      <c r="AB610" s="10">
        <f>SUMIFS('Custom Constraints'!$C:$C,'Custom Constraints'!$A:$A,"caiso-deliverability_"&amp;SUBSTITUTE(Dashboard!$D610,"_group",Dashboard!$D$503)&amp;"."&amp;YEAR(Dashboard!AB$537))+AB578</f>
        <v>0</v>
      </c>
      <c r="AC610" s="10">
        <f>SUMIFS('Custom Constraints'!$C:$C,'Custom Constraints'!$A:$A,"caiso-deliverability_"&amp;SUBSTITUTE(Dashboard!$D610,"_group",Dashboard!$D$503)&amp;"."&amp;YEAR(Dashboard!AC$537))+AC578</f>
        <v>0</v>
      </c>
      <c r="AD610" s="10">
        <f>SUMIFS('Custom Constraints'!$C:$C,'Custom Constraints'!$A:$A,"caiso-deliverability_"&amp;SUBSTITUTE(Dashboard!$D610,"_group",Dashboard!$D$503)&amp;"."&amp;YEAR(Dashboard!AD$537))+AD578</f>
        <v>305.755</v>
      </c>
      <c r="AH610" s="34" t="s">
        <v>422</v>
      </c>
    </row>
    <row r="611" spans="4:34" outlineLevel="2" x14ac:dyDescent="0.2">
      <c r="D611" s="8" t="s">
        <v>266</v>
      </c>
      <c r="E611" s="10">
        <f>SUMIFS('Custom Constraints'!$C:$C,'Custom Constraints'!$A:$A,"caiso-deliverability_"&amp;SUBSTITUTE(Dashboard!$D611,"_group",Dashboard!$D$503)&amp;"."&amp;YEAR(Dashboard!E$537))+E579</f>
        <v>0</v>
      </c>
      <c r="F611" s="10">
        <f>SUMIFS('Custom Constraints'!$C:$C,'Custom Constraints'!$A:$A,"caiso-deliverability_"&amp;SUBSTITUTE(Dashboard!$D611,"_group",Dashboard!$D$503)&amp;"."&amp;YEAR(Dashboard!F$537))+F579</f>
        <v>0</v>
      </c>
      <c r="G611" s="10">
        <f>SUMIFS('Custom Constraints'!$C:$C,'Custom Constraints'!$A:$A,"caiso-deliverability_"&amp;SUBSTITUTE(Dashboard!$D611,"_group",Dashboard!$D$503)&amp;"."&amp;YEAR(Dashboard!G$537))+G579</f>
        <v>0</v>
      </c>
      <c r="H611" s="10">
        <f>SUMIFS('Custom Constraints'!$C:$C,'Custom Constraints'!$A:$A,"caiso-deliverability_"&amp;SUBSTITUTE(Dashboard!$D611,"_group",Dashboard!$D$503)&amp;"."&amp;YEAR(Dashboard!H$537))+H579</f>
        <v>0</v>
      </c>
      <c r="I611" s="10">
        <f>SUMIFS('Custom Constraints'!$C:$C,'Custom Constraints'!$A:$A,"caiso-deliverability_"&amp;SUBSTITUTE(Dashboard!$D611,"_group",Dashboard!$D$503)&amp;"."&amp;YEAR(Dashboard!I$537))+I579</f>
        <v>0</v>
      </c>
      <c r="J611" s="10">
        <f>SUMIFS('Custom Constraints'!$C:$C,'Custom Constraints'!$A:$A,"caiso-deliverability_"&amp;SUBSTITUTE(Dashboard!$D611,"_group",Dashboard!$D$503)&amp;"."&amp;YEAR(Dashboard!J$537))+J579</f>
        <v>0</v>
      </c>
      <c r="K611" s="10">
        <f>SUMIFS('Custom Constraints'!$C:$C,'Custom Constraints'!$A:$A,"caiso-deliverability_"&amp;SUBSTITUTE(Dashboard!$D611,"_group",Dashboard!$D$503)&amp;"."&amp;YEAR(Dashboard!K$537))+K579</f>
        <v>0</v>
      </c>
      <c r="L611" s="10">
        <f>SUMIFS('Custom Constraints'!$C:$C,'Custom Constraints'!$A:$A,"caiso-deliverability_"&amp;SUBSTITUTE(Dashboard!$D611,"_group",Dashboard!$D$503)&amp;"."&amp;YEAR(Dashboard!L$537))+L579</f>
        <v>0</v>
      </c>
      <c r="M611" s="10">
        <f>SUMIFS('Custom Constraints'!$C:$C,'Custom Constraints'!$A:$A,"caiso-deliverability_"&amp;SUBSTITUTE(Dashboard!$D611,"_group",Dashboard!$D$503)&amp;"."&amp;YEAR(Dashboard!M$537))+M579</f>
        <v>0</v>
      </c>
      <c r="N611" s="10">
        <f>SUMIFS('Custom Constraints'!$C:$C,'Custom Constraints'!$A:$A,"caiso-deliverability_"&amp;SUBSTITUTE(Dashboard!$D611,"_group",Dashboard!$D$503)&amp;"."&amp;YEAR(Dashboard!N$537))+N579</f>
        <v>0</v>
      </c>
      <c r="O611" s="10">
        <f>SUMIFS('Custom Constraints'!$C:$C,'Custom Constraints'!$A:$A,"caiso-deliverability_"&amp;SUBSTITUTE(Dashboard!$D611,"_group",Dashboard!$D$503)&amp;"."&amp;YEAR(Dashboard!O$537))+O579</f>
        <v>0</v>
      </c>
      <c r="P611" s="10">
        <f>SUMIFS('Custom Constraints'!$C:$C,'Custom Constraints'!$A:$A,"caiso-deliverability_"&amp;SUBSTITUTE(Dashboard!$D611,"_group",Dashboard!$D$503)&amp;"."&amp;YEAR(Dashboard!P$537))+P579</f>
        <v>0</v>
      </c>
      <c r="Q611" s="10">
        <f>SUMIFS('Custom Constraints'!$C:$C,'Custom Constraints'!$A:$A,"caiso-deliverability_"&amp;SUBSTITUTE(Dashboard!$D611,"_group",Dashboard!$D$503)&amp;"."&amp;YEAR(Dashboard!Q$537))+Q579</f>
        <v>0</v>
      </c>
      <c r="R611" s="10">
        <f>SUMIFS('Custom Constraints'!$C:$C,'Custom Constraints'!$A:$A,"caiso-deliverability_"&amp;SUBSTITUTE(Dashboard!$D611,"_group",Dashboard!$D$503)&amp;"."&amp;YEAR(Dashboard!R$537))+R579</f>
        <v>0</v>
      </c>
      <c r="S611" s="10">
        <f>SUMIFS('Custom Constraints'!$C:$C,'Custom Constraints'!$A:$A,"caiso-deliverability_"&amp;SUBSTITUTE(Dashboard!$D611,"_group",Dashboard!$D$503)&amp;"."&amp;YEAR(Dashboard!S$537))+S579</f>
        <v>0</v>
      </c>
      <c r="T611" s="10">
        <f>SUMIFS('Custom Constraints'!$C:$C,'Custom Constraints'!$A:$A,"caiso-deliverability_"&amp;SUBSTITUTE(Dashboard!$D611,"_group",Dashboard!$D$503)&amp;"."&amp;YEAR(Dashboard!T$537))+T579</f>
        <v>0</v>
      </c>
      <c r="U611" s="10">
        <f>SUMIFS('Custom Constraints'!$C:$C,'Custom Constraints'!$A:$A,"caiso-deliverability_"&amp;SUBSTITUTE(Dashboard!$D611,"_group",Dashboard!$D$503)&amp;"."&amp;YEAR(Dashboard!U$537))+U579</f>
        <v>0</v>
      </c>
      <c r="V611" s="10">
        <f>SUMIFS('Custom Constraints'!$C:$C,'Custom Constraints'!$A:$A,"caiso-deliverability_"&amp;SUBSTITUTE(Dashboard!$D611,"_group",Dashboard!$D$503)&amp;"."&amp;YEAR(Dashboard!V$537))+V579</f>
        <v>0</v>
      </c>
      <c r="W611" s="10">
        <f>SUMIFS('Custom Constraints'!$C:$C,'Custom Constraints'!$A:$A,"caiso-deliverability_"&amp;SUBSTITUTE(Dashboard!$D611,"_group",Dashboard!$D$503)&amp;"."&amp;YEAR(Dashboard!W$537))+W579</f>
        <v>0</v>
      </c>
      <c r="X611" s="10">
        <f>SUMIFS('Custom Constraints'!$C:$C,'Custom Constraints'!$A:$A,"caiso-deliverability_"&amp;SUBSTITUTE(Dashboard!$D611,"_group",Dashboard!$D$503)&amp;"."&amp;YEAR(Dashboard!X$537))+X579</f>
        <v>0</v>
      </c>
      <c r="Y611" s="10">
        <f>SUMIFS('Custom Constraints'!$C:$C,'Custom Constraints'!$A:$A,"caiso-deliverability_"&amp;SUBSTITUTE(Dashboard!$D611,"_group",Dashboard!$D$503)&amp;"."&amp;YEAR(Dashboard!Y$537))+Y579</f>
        <v>0</v>
      </c>
      <c r="Z611" s="10">
        <f>SUMIFS('Custom Constraints'!$C:$C,'Custom Constraints'!$A:$A,"caiso-deliverability_"&amp;SUBSTITUTE(Dashboard!$D611,"_group",Dashboard!$D$503)&amp;"."&amp;YEAR(Dashboard!Z$537))+Z579</f>
        <v>0</v>
      </c>
      <c r="AA611" s="10">
        <f>SUMIFS('Custom Constraints'!$C:$C,'Custom Constraints'!$A:$A,"caiso-deliverability_"&amp;SUBSTITUTE(Dashboard!$D611,"_group",Dashboard!$D$503)&amp;"."&amp;YEAR(Dashboard!AA$537))+AA579</f>
        <v>0</v>
      </c>
      <c r="AB611" s="10">
        <f>SUMIFS('Custom Constraints'!$C:$C,'Custom Constraints'!$A:$A,"caiso-deliverability_"&amp;SUBSTITUTE(Dashboard!$D611,"_group",Dashboard!$D$503)&amp;"."&amp;YEAR(Dashboard!AB$537))+AB579</f>
        <v>0</v>
      </c>
      <c r="AC611" s="10">
        <f>SUMIFS('Custom Constraints'!$C:$C,'Custom Constraints'!$A:$A,"caiso-deliverability_"&amp;SUBSTITUTE(Dashboard!$D611,"_group",Dashboard!$D$503)&amp;"."&amp;YEAR(Dashboard!AC$537))+AC579</f>
        <v>0</v>
      </c>
      <c r="AD611" s="10">
        <f>SUMIFS('Custom Constraints'!$C:$C,'Custom Constraints'!$A:$A,"caiso-deliverability_"&amp;SUBSTITUTE(Dashboard!$D611,"_group",Dashboard!$D$503)&amp;"."&amp;YEAR(Dashboard!AD$537))+AD579</f>
        <v>10830</v>
      </c>
      <c r="AH611" s="34" t="s">
        <v>422</v>
      </c>
    </row>
    <row r="612" spans="4:34" outlineLevel="2" x14ac:dyDescent="0.2">
      <c r="D612" s="8" t="s">
        <v>267</v>
      </c>
      <c r="E612" s="10">
        <f>SUMIFS('Custom Constraints'!$C:$C,'Custom Constraints'!$A:$A,"caiso-deliverability_"&amp;SUBSTITUTE(Dashboard!$D612,"_group",Dashboard!$D$503)&amp;"."&amp;YEAR(Dashboard!E$537))+E580</f>
        <v>0</v>
      </c>
      <c r="F612" s="10">
        <f>SUMIFS('Custom Constraints'!$C:$C,'Custom Constraints'!$A:$A,"caiso-deliverability_"&amp;SUBSTITUTE(Dashboard!$D612,"_group",Dashboard!$D$503)&amp;"."&amp;YEAR(Dashboard!F$537))+F580</f>
        <v>0</v>
      </c>
      <c r="G612" s="10">
        <f>SUMIFS('Custom Constraints'!$C:$C,'Custom Constraints'!$A:$A,"caiso-deliverability_"&amp;SUBSTITUTE(Dashboard!$D612,"_group",Dashboard!$D$503)&amp;"."&amp;YEAR(Dashboard!G$537))+G580</f>
        <v>0</v>
      </c>
      <c r="H612" s="10">
        <f>SUMIFS('Custom Constraints'!$C:$C,'Custom Constraints'!$A:$A,"caiso-deliverability_"&amp;SUBSTITUTE(Dashboard!$D612,"_group",Dashboard!$D$503)&amp;"."&amp;YEAR(Dashboard!H$537))+H580</f>
        <v>0</v>
      </c>
      <c r="I612" s="10">
        <f>SUMIFS('Custom Constraints'!$C:$C,'Custom Constraints'!$A:$A,"caiso-deliverability_"&amp;SUBSTITUTE(Dashboard!$D612,"_group",Dashboard!$D$503)&amp;"."&amp;YEAR(Dashboard!I$537))+I580</f>
        <v>0</v>
      </c>
      <c r="J612" s="10">
        <f>SUMIFS('Custom Constraints'!$C:$C,'Custom Constraints'!$A:$A,"caiso-deliverability_"&amp;SUBSTITUTE(Dashboard!$D612,"_group",Dashboard!$D$503)&amp;"."&amp;YEAR(Dashboard!J$537))+J580</f>
        <v>0</v>
      </c>
      <c r="K612" s="10">
        <f>SUMIFS('Custom Constraints'!$C:$C,'Custom Constraints'!$A:$A,"caiso-deliverability_"&amp;SUBSTITUTE(Dashboard!$D612,"_group",Dashboard!$D$503)&amp;"."&amp;YEAR(Dashboard!K$537))+K580</f>
        <v>0</v>
      </c>
      <c r="L612" s="10">
        <f>SUMIFS('Custom Constraints'!$C:$C,'Custom Constraints'!$A:$A,"caiso-deliverability_"&amp;SUBSTITUTE(Dashboard!$D612,"_group",Dashboard!$D$503)&amp;"."&amp;YEAR(Dashboard!L$537))+L580</f>
        <v>0</v>
      </c>
      <c r="M612" s="10">
        <f>SUMIFS('Custom Constraints'!$C:$C,'Custom Constraints'!$A:$A,"caiso-deliverability_"&amp;SUBSTITUTE(Dashboard!$D612,"_group",Dashboard!$D$503)&amp;"."&amp;YEAR(Dashboard!M$537))+M580</f>
        <v>0</v>
      </c>
      <c r="N612" s="10">
        <f>SUMIFS('Custom Constraints'!$C:$C,'Custom Constraints'!$A:$A,"caiso-deliverability_"&amp;SUBSTITUTE(Dashboard!$D612,"_group",Dashboard!$D$503)&amp;"."&amp;YEAR(Dashboard!N$537))+N580</f>
        <v>0</v>
      </c>
      <c r="O612" s="10">
        <f>SUMIFS('Custom Constraints'!$C:$C,'Custom Constraints'!$A:$A,"caiso-deliverability_"&amp;SUBSTITUTE(Dashboard!$D612,"_group",Dashboard!$D$503)&amp;"."&amp;YEAR(Dashboard!O$537))+O580</f>
        <v>0</v>
      </c>
      <c r="P612" s="10">
        <f>SUMIFS('Custom Constraints'!$C:$C,'Custom Constraints'!$A:$A,"caiso-deliverability_"&amp;SUBSTITUTE(Dashboard!$D612,"_group",Dashboard!$D$503)&amp;"."&amp;YEAR(Dashboard!P$537))+P580</f>
        <v>0</v>
      </c>
      <c r="Q612" s="10">
        <f>SUMIFS('Custom Constraints'!$C:$C,'Custom Constraints'!$A:$A,"caiso-deliverability_"&amp;SUBSTITUTE(Dashboard!$D612,"_group",Dashboard!$D$503)&amp;"."&amp;YEAR(Dashboard!Q$537))+Q580</f>
        <v>0</v>
      </c>
      <c r="R612" s="10">
        <f>SUMIFS('Custom Constraints'!$C:$C,'Custom Constraints'!$A:$A,"caiso-deliverability_"&amp;SUBSTITUTE(Dashboard!$D612,"_group",Dashboard!$D$503)&amp;"."&amp;YEAR(Dashboard!R$537))+R580</f>
        <v>0</v>
      </c>
      <c r="S612" s="10">
        <f>SUMIFS('Custom Constraints'!$C:$C,'Custom Constraints'!$A:$A,"caiso-deliverability_"&amp;SUBSTITUTE(Dashboard!$D612,"_group",Dashboard!$D$503)&amp;"."&amp;YEAR(Dashboard!S$537))+S580</f>
        <v>0</v>
      </c>
      <c r="T612" s="10">
        <f>SUMIFS('Custom Constraints'!$C:$C,'Custom Constraints'!$A:$A,"caiso-deliverability_"&amp;SUBSTITUTE(Dashboard!$D612,"_group",Dashboard!$D$503)&amp;"."&amp;YEAR(Dashboard!T$537))+T580</f>
        <v>0</v>
      </c>
      <c r="U612" s="10">
        <f>SUMIFS('Custom Constraints'!$C:$C,'Custom Constraints'!$A:$A,"caiso-deliverability_"&amp;SUBSTITUTE(Dashboard!$D612,"_group",Dashboard!$D$503)&amp;"."&amp;YEAR(Dashboard!U$537))+U580</f>
        <v>0</v>
      </c>
      <c r="V612" s="10">
        <f>SUMIFS('Custom Constraints'!$C:$C,'Custom Constraints'!$A:$A,"caiso-deliverability_"&amp;SUBSTITUTE(Dashboard!$D612,"_group",Dashboard!$D$503)&amp;"."&amp;YEAR(Dashboard!V$537))+V580</f>
        <v>0</v>
      </c>
      <c r="W612" s="10">
        <f>SUMIFS('Custom Constraints'!$C:$C,'Custom Constraints'!$A:$A,"caiso-deliverability_"&amp;SUBSTITUTE(Dashboard!$D612,"_group",Dashboard!$D$503)&amp;"."&amp;YEAR(Dashboard!W$537))+W580</f>
        <v>0</v>
      </c>
      <c r="X612" s="10">
        <f>SUMIFS('Custom Constraints'!$C:$C,'Custom Constraints'!$A:$A,"caiso-deliverability_"&amp;SUBSTITUTE(Dashboard!$D612,"_group",Dashboard!$D$503)&amp;"."&amp;YEAR(Dashboard!X$537))+X580</f>
        <v>0</v>
      </c>
      <c r="Y612" s="10">
        <f>SUMIFS('Custom Constraints'!$C:$C,'Custom Constraints'!$A:$A,"caiso-deliverability_"&amp;SUBSTITUTE(Dashboard!$D612,"_group",Dashboard!$D$503)&amp;"."&amp;YEAR(Dashboard!Y$537))+Y580</f>
        <v>0</v>
      </c>
      <c r="Z612" s="10">
        <f>SUMIFS('Custom Constraints'!$C:$C,'Custom Constraints'!$A:$A,"caiso-deliverability_"&amp;SUBSTITUTE(Dashboard!$D612,"_group",Dashboard!$D$503)&amp;"."&amp;YEAR(Dashboard!Z$537))+Z580</f>
        <v>0</v>
      </c>
      <c r="AA612" s="10">
        <f>SUMIFS('Custom Constraints'!$C:$C,'Custom Constraints'!$A:$A,"caiso-deliverability_"&amp;SUBSTITUTE(Dashboard!$D612,"_group",Dashboard!$D$503)&amp;"."&amp;YEAR(Dashboard!AA$537))+AA580</f>
        <v>0</v>
      </c>
      <c r="AB612" s="10">
        <f>SUMIFS('Custom Constraints'!$C:$C,'Custom Constraints'!$A:$A,"caiso-deliverability_"&amp;SUBSTITUTE(Dashboard!$D612,"_group",Dashboard!$D$503)&amp;"."&amp;YEAR(Dashboard!AB$537))+AB580</f>
        <v>0</v>
      </c>
      <c r="AC612" s="10">
        <f>SUMIFS('Custom Constraints'!$C:$C,'Custom Constraints'!$A:$A,"caiso-deliverability_"&amp;SUBSTITUTE(Dashboard!$D612,"_group",Dashboard!$D$503)&amp;"."&amp;YEAR(Dashboard!AC$537))+AC580</f>
        <v>0</v>
      </c>
      <c r="AD612" s="10">
        <f>SUMIFS('Custom Constraints'!$C:$C,'Custom Constraints'!$A:$A,"caiso-deliverability_"&amp;SUBSTITUTE(Dashboard!$D612,"_group",Dashboard!$D$503)&amp;"."&amp;YEAR(Dashboard!AD$537))+AD580</f>
        <v>98.588999999999999</v>
      </c>
      <c r="AH612" s="34" t="s">
        <v>422</v>
      </c>
    </row>
    <row r="613" spans="4:34" outlineLevel="2" x14ac:dyDescent="0.2">
      <c r="D613" s="8" t="s">
        <v>268</v>
      </c>
      <c r="E613" s="10">
        <f>SUMIFS('Custom Constraints'!$C:$C,'Custom Constraints'!$A:$A,"caiso-deliverability_"&amp;SUBSTITUTE(Dashboard!$D613,"_group",Dashboard!$D$503)&amp;"."&amp;YEAR(Dashboard!E$537))+E581</f>
        <v>0</v>
      </c>
      <c r="F613" s="10">
        <f>SUMIFS('Custom Constraints'!$C:$C,'Custom Constraints'!$A:$A,"caiso-deliverability_"&amp;SUBSTITUTE(Dashboard!$D613,"_group",Dashboard!$D$503)&amp;"."&amp;YEAR(Dashboard!F$537))+F581</f>
        <v>0</v>
      </c>
      <c r="G613" s="10">
        <f>SUMIFS('Custom Constraints'!$C:$C,'Custom Constraints'!$A:$A,"caiso-deliverability_"&amp;SUBSTITUTE(Dashboard!$D613,"_group",Dashboard!$D$503)&amp;"."&amp;YEAR(Dashboard!G$537))+G581</f>
        <v>0</v>
      </c>
      <c r="H613" s="10">
        <f>SUMIFS('Custom Constraints'!$C:$C,'Custom Constraints'!$A:$A,"caiso-deliverability_"&amp;SUBSTITUTE(Dashboard!$D613,"_group",Dashboard!$D$503)&amp;"."&amp;YEAR(Dashboard!H$537))+H581</f>
        <v>0</v>
      </c>
      <c r="I613" s="10">
        <f>SUMIFS('Custom Constraints'!$C:$C,'Custom Constraints'!$A:$A,"caiso-deliverability_"&amp;SUBSTITUTE(Dashboard!$D613,"_group",Dashboard!$D$503)&amp;"."&amp;YEAR(Dashboard!I$537))+I581</f>
        <v>0</v>
      </c>
      <c r="J613" s="10">
        <f>SUMIFS('Custom Constraints'!$C:$C,'Custom Constraints'!$A:$A,"caiso-deliverability_"&amp;SUBSTITUTE(Dashboard!$D613,"_group",Dashboard!$D$503)&amp;"."&amp;YEAR(Dashboard!J$537))+J581</f>
        <v>0</v>
      </c>
      <c r="K613" s="10">
        <f>SUMIFS('Custom Constraints'!$C:$C,'Custom Constraints'!$A:$A,"caiso-deliverability_"&amp;SUBSTITUTE(Dashboard!$D613,"_group",Dashboard!$D$503)&amp;"."&amp;YEAR(Dashboard!K$537))+K581</f>
        <v>0</v>
      </c>
      <c r="L613" s="10">
        <f>SUMIFS('Custom Constraints'!$C:$C,'Custom Constraints'!$A:$A,"caiso-deliverability_"&amp;SUBSTITUTE(Dashboard!$D613,"_group",Dashboard!$D$503)&amp;"."&amp;YEAR(Dashboard!L$537))+L581</f>
        <v>0</v>
      </c>
      <c r="M613" s="10">
        <f>SUMIFS('Custom Constraints'!$C:$C,'Custom Constraints'!$A:$A,"caiso-deliverability_"&amp;SUBSTITUTE(Dashboard!$D613,"_group",Dashboard!$D$503)&amp;"."&amp;YEAR(Dashboard!M$537))+M581</f>
        <v>0</v>
      </c>
      <c r="N613" s="10">
        <f>SUMIFS('Custom Constraints'!$C:$C,'Custom Constraints'!$A:$A,"caiso-deliverability_"&amp;SUBSTITUTE(Dashboard!$D613,"_group",Dashboard!$D$503)&amp;"."&amp;YEAR(Dashboard!N$537))+N581</f>
        <v>0</v>
      </c>
      <c r="O613" s="10">
        <f>SUMIFS('Custom Constraints'!$C:$C,'Custom Constraints'!$A:$A,"caiso-deliverability_"&amp;SUBSTITUTE(Dashboard!$D613,"_group",Dashboard!$D$503)&amp;"."&amp;YEAR(Dashboard!O$537))+O581</f>
        <v>0</v>
      </c>
      <c r="P613" s="10">
        <f>SUMIFS('Custom Constraints'!$C:$C,'Custom Constraints'!$A:$A,"caiso-deliverability_"&amp;SUBSTITUTE(Dashboard!$D613,"_group",Dashboard!$D$503)&amp;"."&amp;YEAR(Dashboard!P$537))+P581</f>
        <v>0</v>
      </c>
      <c r="Q613" s="10">
        <f>SUMIFS('Custom Constraints'!$C:$C,'Custom Constraints'!$A:$A,"caiso-deliverability_"&amp;SUBSTITUTE(Dashboard!$D613,"_group",Dashboard!$D$503)&amp;"."&amp;YEAR(Dashboard!Q$537))+Q581</f>
        <v>0</v>
      </c>
      <c r="R613" s="10">
        <f>SUMIFS('Custom Constraints'!$C:$C,'Custom Constraints'!$A:$A,"caiso-deliverability_"&amp;SUBSTITUTE(Dashboard!$D613,"_group",Dashboard!$D$503)&amp;"."&amp;YEAR(Dashboard!R$537))+R581</f>
        <v>0</v>
      </c>
      <c r="S613" s="10">
        <f>SUMIFS('Custom Constraints'!$C:$C,'Custom Constraints'!$A:$A,"caiso-deliverability_"&amp;SUBSTITUTE(Dashboard!$D613,"_group",Dashboard!$D$503)&amp;"."&amp;YEAR(Dashboard!S$537))+S581</f>
        <v>0</v>
      </c>
      <c r="T613" s="10">
        <f>SUMIFS('Custom Constraints'!$C:$C,'Custom Constraints'!$A:$A,"caiso-deliverability_"&amp;SUBSTITUTE(Dashboard!$D613,"_group",Dashboard!$D$503)&amp;"."&amp;YEAR(Dashboard!T$537))+T581</f>
        <v>0</v>
      </c>
      <c r="U613" s="10">
        <f>SUMIFS('Custom Constraints'!$C:$C,'Custom Constraints'!$A:$A,"caiso-deliverability_"&amp;SUBSTITUTE(Dashboard!$D613,"_group",Dashboard!$D$503)&amp;"."&amp;YEAR(Dashboard!U$537))+U581</f>
        <v>0</v>
      </c>
      <c r="V613" s="10">
        <f>SUMIFS('Custom Constraints'!$C:$C,'Custom Constraints'!$A:$A,"caiso-deliverability_"&amp;SUBSTITUTE(Dashboard!$D613,"_group",Dashboard!$D$503)&amp;"."&amp;YEAR(Dashboard!V$537))+V581</f>
        <v>0</v>
      </c>
      <c r="W613" s="10">
        <f>SUMIFS('Custom Constraints'!$C:$C,'Custom Constraints'!$A:$A,"caiso-deliverability_"&amp;SUBSTITUTE(Dashboard!$D613,"_group",Dashboard!$D$503)&amp;"."&amp;YEAR(Dashboard!W$537))+W581</f>
        <v>0</v>
      </c>
      <c r="X613" s="10">
        <f>SUMIFS('Custom Constraints'!$C:$C,'Custom Constraints'!$A:$A,"caiso-deliverability_"&amp;SUBSTITUTE(Dashboard!$D613,"_group",Dashboard!$D$503)&amp;"."&amp;YEAR(Dashboard!X$537))+X581</f>
        <v>0</v>
      </c>
      <c r="Y613" s="10">
        <f>SUMIFS('Custom Constraints'!$C:$C,'Custom Constraints'!$A:$A,"caiso-deliverability_"&amp;SUBSTITUTE(Dashboard!$D613,"_group",Dashboard!$D$503)&amp;"."&amp;YEAR(Dashboard!Y$537))+Y581</f>
        <v>0</v>
      </c>
      <c r="Z613" s="10">
        <f>SUMIFS('Custom Constraints'!$C:$C,'Custom Constraints'!$A:$A,"caiso-deliverability_"&amp;SUBSTITUTE(Dashboard!$D613,"_group",Dashboard!$D$503)&amp;"."&amp;YEAR(Dashboard!Z$537))+Z581</f>
        <v>0</v>
      </c>
      <c r="AA613" s="10">
        <f>SUMIFS('Custom Constraints'!$C:$C,'Custom Constraints'!$A:$A,"caiso-deliverability_"&amp;SUBSTITUTE(Dashboard!$D613,"_group",Dashboard!$D$503)&amp;"."&amp;YEAR(Dashboard!AA$537))+AA581</f>
        <v>0</v>
      </c>
      <c r="AB613" s="10">
        <f>SUMIFS('Custom Constraints'!$C:$C,'Custom Constraints'!$A:$A,"caiso-deliverability_"&amp;SUBSTITUTE(Dashboard!$D613,"_group",Dashboard!$D$503)&amp;"."&amp;YEAR(Dashboard!AB$537))+AB581</f>
        <v>0</v>
      </c>
      <c r="AC613" s="10">
        <f>SUMIFS('Custom Constraints'!$C:$C,'Custom Constraints'!$A:$A,"caiso-deliverability_"&amp;SUBSTITUTE(Dashboard!$D613,"_group",Dashboard!$D$503)&amp;"."&amp;YEAR(Dashboard!AC$537))+AC581</f>
        <v>0</v>
      </c>
      <c r="AD613" s="10">
        <f>SUMIFS('Custom Constraints'!$C:$C,'Custom Constraints'!$A:$A,"caiso-deliverability_"&amp;SUBSTITUTE(Dashboard!$D613,"_group",Dashboard!$D$503)&amp;"."&amp;YEAR(Dashboard!AD$537))+AD581</f>
        <v>7241</v>
      </c>
      <c r="AH613" s="34" t="s">
        <v>422</v>
      </c>
    </row>
    <row r="614" spans="4:34" outlineLevel="2" x14ac:dyDescent="0.2">
      <c r="D614" s="8" t="s">
        <v>269</v>
      </c>
      <c r="E614" s="10">
        <f>SUMIFS('Custom Constraints'!$C:$C,'Custom Constraints'!$A:$A,"caiso-deliverability_"&amp;SUBSTITUTE(Dashboard!$D614,"_group",Dashboard!$D$503)&amp;"."&amp;YEAR(Dashboard!E$537))+E582</f>
        <v>0</v>
      </c>
      <c r="F614" s="10">
        <f>SUMIFS('Custom Constraints'!$C:$C,'Custom Constraints'!$A:$A,"caiso-deliverability_"&amp;SUBSTITUTE(Dashboard!$D614,"_group",Dashboard!$D$503)&amp;"."&amp;YEAR(Dashboard!F$537))+F582</f>
        <v>0</v>
      </c>
      <c r="G614" s="10">
        <f>SUMIFS('Custom Constraints'!$C:$C,'Custom Constraints'!$A:$A,"caiso-deliverability_"&amp;SUBSTITUTE(Dashboard!$D614,"_group",Dashboard!$D$503)&amp;"."&amp;YEAR(Dashboard!G$537))+G582</f>
        <v>0</v>
      </c>
      <c r="H614" s="10">
        <f>SUMIFS('Custom Constraints'!$C:$C,'Custom Constraints'!$A:$A,"caiso-deliverability_"&amp;SUBSTITUTE(Dashboard!$D614,"_group",Dashboard!$D$503)&amp;"."&amp;YEAR(Dashboard!H$537))+H582</f>
        <v>0</v>
      </c>
      <c r="I614" s="10">
        <f>SUMIFS('Custom Constraints'!$C:$C,'Custom Constraints'!$A:$A,"caiso-deliverability_"&amp;SUBSTITUTE(Dashboard!$D614,"_group",Dashboard!$D$503)&amp;"."&amp;YEAR(Dashboard!I$537))+I582</f>
        <v>0</v>
      </c>
      <c r="J614" s="10">
        <f>SUMIFS('Custom Constraints'!$C:$C,'Custom Constraints'!$A:$A,"caiso-deliverability_"&amp;SUBSTITUTE(Dashboard!$D614,"_group",Dashboard!$D$503)&amp;"."&amp;YEAR(Dashboard!J$537))+J582</f>
        <v>0</v>
      </c>
      <c r="K614" s="10">
        <f>SUMIFS('Custom Constraints'!$C:$C,'Custom Constraints'!$A:$A,"caiso-deliverability_"&amp;SUBSTITUTE(Dashboard!$D614,"_group",Dashboard!$D$503)&amp;"."&amp;YEAR(Dashboard!K$537))+K582</f>
        <v>0</v>
      </c>
      <c r="L614" s="10">
        <f>SUMIFS('Custom Constraints'!$C:$C,'Custom Constraints'!$A:$A,"caiso-deliverability_"&amp;SUBSTITUTE(Dashboard!$D614,"_group",Dashboard!$D$503)&amp;"."&amp;YEAR(Dashboard!L$537))+L582</f>
        <v>0</v>
      </c>
      <c r="M614" s="10">
        <f>SUMIFS('Custom Constraints'!$C:$C,'Custom Constraints'!$A:$A,"caiso-deliverability_"&amp;SUBSTITUTE(Dashboard!$D614,"_group",Dashboard!$D$503)&amp;"."&amp;YEAR(Dashboard!M$537))+M582</f>
        <v>0</v>
      </c>
      <c r="N614" s="10">
        <f>SUMIFS('Custom Constraints'!$C:$C,'Custom Constraints'!$A:$A,"caiso-deliverability_"&amp;SUBSTITUTE(Dashboard!$D614,"_group",Dashboard!$D$503)&amp;"."&amp;YEAR(Dashboard!N$537))+N582</f>
        <v>0</v>
      </c>
      <c r="O614" s="10">
        <f>SUMIFS('Custom Constraints'!$C:$C,'Custom Constraints'!$A:$A,"caiso-deliverability_"&amp;SUBSTITUTE(Dashboard!$D614,"_group",Dashboard!$D$503)&amp;"."&amp;YEAR(Dashboard!O$537))+O582</f>
        <v>0</v>
      </c>
      <c r="P614" s="10">
        <f>SUMIFS('Custom Constraints'!$C:$C,'Custom Constraints'!$A:$A,"caiso-deliverability_"&amp;SUBSTITUTE(Dashboard!$D614,"_group",Dashboard!$D$503)&amp;"."&amp;YEAR(Dashboard!P$537))+P582</f>
        <v>0</v>
      </c>
      <c r="Q614" s="10">
        <f>SUMIFS('Custom Constraints'!$C:$C,'Custom Constraints'!$A:$A,"caiso-deliverability_"&amp;SUBSTITUTE(Dashboard!$D614,"_group",Dashboard!$D$503)&amp;"."&amp;YEAR(Dashboard!Q$537))+Q582</f>
        <v>0</v>
      </c>
      <c r="R614" s="10">
        <f>SUMIFS('Custom Constraints'!$C:$C,'Custom Constraints'!$A:$A,"caiso-deliverability_"&amp;SUBSTITUTE(Dashboard!$D614,"_group",Dashboard!$D$503)&amp;"."&amp;YEAR(Dashboard!R$537))+R582</f>
        <v>0</v>
      </c>
      <c r="S614" s="10">
        <f>SUMIFS('Custom Constraints'!$C:$C,'Custom Constraints'!$A:$A,"caiso-deliverability_"&amp;SUBSTITUTE(Dashboard!$D614,"_group",Dashboard!$D$503)&amp;"."&amp;YEAR(Dashboard!S$537))+S582</f>
        <v>0</v>
      </c>
      <c r="T614" s="10">
        <f>SUMIFS('Custom Constraints'!$C:$C,'Custom Constraints'!$A:$A,"caiso-deliverability_"&amp;SUBSTITUTE(Dashboard!$D614,"_group",Dashboard!$D$503)&amp;"."&amp;YEAR(Dashboard!T$537))+T582</f>
        <v>0</v>
      </c>
      <c r="U614" s="10">
        <f>SUMIFS('Custom Constraints'!$C:$C,'Custom Constraints'!$A:$A,"caiso-deliverability_"&amp;SUBSTITUTE(Dashboard!$D614,"_group",Dashboard!$D$503)&amp;"."&amp;YEAR(Dashboard!U$537))+U582</f>
        <v>0</v>
      </c>
      <c r="V614" s="10">
        <f>SUMIFS('Custom Constraints'!$C:$C,'Custom Constraints'!$A:$A,"caiso-deliverability_"&amp;SUBSTITUTE(Dashboard!$D614,"_group",Dashboard!$D$503)&amp;"."&amp;YEAR(Dashboard!V$537))+V582</f>
        <v>0</v>
      </c>
      <c r="W614" s="10">
        <f>SUMIFS('Custom Constraints'!$C:$C,'Custom Constraints'!$A:$A,"caiso-deliverability_"&amp;SUBSTITUTE(Dashboard!$D614,"_group",Dashboard!$D$503)&amp;"."&amp;YEAR(Dashboard!W$537))+W582</f>
        <v>0</v>
      </c>
      <c r="X614" s="10">
        <f>SUMIFS('Custom Constraints'!$C:$C,'Custom Constraints'!$A:$A,"caiso-deliverability_"&amp;SUBSTITUTE(Dashboard!$D614,"_group",Dashboard!$D$503)&amp;"."&amp;YEAR(Dashboard!X$537))+X582</f>
        <v>0</v>
      </c>
      <c r="Y614" s="10">
        <f>SUMIFS('Custom Constraints'!$C:$C,'Custom Constraints'!$A:$A,"caiso-deliverability_"&amp;SUBSTITUTE(Dashboard!$D614,"_group",Dashboard!$D$503)&amp;"."&amp;YEAR(Dashboard!Y$537))+Y582</f>
        <v>0</v>
      </c>
      <c r="Z614" s="10">
        <f>SUMIFS('Custom Constraints'!$C:$C,'Custom Constraints'!$A:$A,"caiso-deliverability_"&amp;SUBSTITUTE(Dashboard!$D614,"_group",Dashboard!$D$503)&amp;"."&amp;YEAR(Dashboard!Z$537))+Z582</f>
        <v>0</v>
      </c>
      <c r="AA614" s="10">
        <f>SUMIFS('Custom Constraints'!$C:$C,'Custom Constraints'!$A:$A,"caiso-deliverability_"&amp;SUBSTITUTE(Dashboard!$D614,"_group",Dashboard!$D$503)&amp;"."&amp;YEAR(Dashboard!AA$537))+AA582</f>
        <v>0</v>
      </c>
      <c r="AB614" s="10">
        <f>SUMIFS('Custom Constraints'!$C:$C,'Custom Constraints'!$A:$A,"caiso-deliverability_"&amp;SUBSTITUTE(Dashboard!$D614,"_group",Dashboard!$D$503)&amp;"."&amp;YEAR(Dashboard!AB$537))+AB582</f>
        <v>0</v>
      </c>
      <c r="AC614" s="10">
        <f>SUMIFS('Custom Constraints'!$C:$C,'Custom Constraints'!$A:$A,"caiso-deliverability_"&amp;SUBSTITUTE(Dashboard!$D614,"_group",Dashboard!$D$503)&amp;"."&amp;YEAR(Dashboard!AC$537))+AC582</f>
        <v>0</v>
      </c>
      <c r="AD614" s="10">
        <f>SUMIFS('Custom Constraints'!$C:$C,'Custom Constraints'!$A:$A,"caiso-deliverability_"&amp;SUBSTITUTE(Dashboard!$D614,"_group",Dashboard!$D$503)&amp;"."&amp;YEAR(Dashboard!AD$537))+AD582</f>
        <v>20.52</v>
      </c>
      <c r="AH614" s="34" t="s">
        <v>422</v>
      </c>
    </row>
    <row r="615" spans="4:34" outlineLevel="2" x14ac:dyDescent="0.2">
      <c r="D615" s="8" t="s">
        <v>270</v>
      </c>
      <c r="E615" s="10">
        <f>SUMIFS('Custom Constraints'!$C:$C,'Custom Constraints'!$A:$A,"caiso-deliverability_"&amp;SUBSTITUTE(Dashboard!$D615,"_group",Dashboard!$D$503)&amp;"."&amp;YEAR(Dashboard!E$537))+E583</f>
        <v>0</v>
      </c>
      <c r="F615" s="10">
        <f>SUMIFS('Custom Constraints'!$C:$C,'Custom Constraints'!$A:$A,"caiso-deliverability_"&amp;SUBSTITUTE(Dashboard!$D615,"_group",Dashboard!$D$503)&amp;"."&amp;YEAR(Dashboard!F$537))+F583</f>
        <v>0</v>
      </c>
      <c r="G615" s="10">
        <f>SUMIFS('Custom Constraints'!$C:$C,'Custom Constraints'!$A:$A,"caiso-deliverability_"&amp;SUBSTITUTE(Dashboard!$D615,"_group",Dashboard!$D$503)&amp;"."&amp;YEAR(Dashboard!G$537))+G583</f>
        <v>0</v>
      </c>
      <c r="H615" s="10">
        <f>SUMIFS('Custom Constraints'!$C:$C,'Custom Constraints'!$A:$A,"caiso-deliverability_"&amp;SUBSTITUTE(Dashboard!$D615,"_group",Dashboard!$D$503)&amp;"."&amp;YEAR(Dashboard!H$537))+H583</f>
        <v>0</v>
      </c>
      <c r="I615" s="10">
        <f>SUMIFS('Custom Constraints'!$C:$C,'Custom Constraints'!$A:$A,"caiso-deliverability_"&amp;SUBSTITUTE(Dashboard!$D615,"_group",Dashboard!$D$503)&amp;"."&amp;YEAR(Dashboard!I$537))+I583</f>
        <v>0</v>
      </c>
      <c r="J615" s="10">
        <f>SUMIFS('Custom Constraints'!$C:$C,'Custom Constraints'!$A:$A,"caiso-deliverability_"&amp;SUBSTITUTE(Dashboard!$D615,"_group",Dashboard!$D$503)&amp;"."&amp;YEAR(Dashboard!J$537))+J583</f>
        <v>0</v>
      </c>
      <c r="K615" s="10">
        <f>SUMIFS('Custom Constraints'!$C:$C,'Custom Constraints'!$A:$A,"caiso-deliverability_"&amp;SUBSTITUTE(Dashboard!$D615,"_group",Dashboard!$D$503)&amp;"."&amp;YEAR(Dashboard!K$537))+K583</f>
        <v>0</v>
      </c>
      <c r="L615" s="10">
        <f>SUMIFS('Custom Constraints'!$C:$C,'Custom Constraints'!$A:$A,"caiso-deliverability_"&amp;SUBSTITUTE(Dashboard!$D615,"_group",Dashboard!$D$503)&amp;"."&amp;YEAR(Dashboard!L$537))+L583</f>
        <v>0</v>
      </c>
      <c r="M615" s="10">
        <f>SUMIFS('Custom Constraints'!$C:$C,'Custom Constraints'!$A:$A,"caiso-deliverability_"&amp;SUBSTITUTE(Dashboard!$D615,"_group",Dashboard!$D$503)&amp;"."&amp;YEAR(Dashboard!M$537))+M583</f>
        <v>0</v>
      </c>
      <c r="N615" s="10">
        <f>SUMIFS('Custom Constraints'!$C:$C,'Custom Constraints'!$A:$A,"caiso-deliverability_"&amp;SUBSTITUTE(Dashboard!$D615,"_group",Dashboard!$D$503)&amp;"."&amp;YEAR(Dashboard!N$537))+N583</f>
        <v>0</v>
      </c>
      <c r="O615" s="10">
        <f>SUMIFS('Custom Constraints'!$C:$C,'Custom Constraints'!$A:$A,"caiso-deliverability_"&amp;SUBSTITUTE(Dashboard!$D615,"_group",Dashboard!$D$503)&amp;"."&amp;YEAR(Dashboard!O$537))+O583</f>
        <v>0</v>
      </c>
      <c r="P615" s="10">
        <f>SUMIFS('Custom Constraints'!$C:$C,'Custom Constraints'!$A:$A,"caiso-deliverability_"&amp;SUBSTITUTE(Dashboard!$D615,"_group",Dashboard!$D$503)&amp;"."&amp;YEAR(Dashboard!P$537))+P583</f>
        <v>0</v>
      </c>
      <c r="Q615" s="10">
        <f>SUMIFS('Custom Constraints'!$C:$C,'Custom Constraints'!$A:$A,"caiso-deliverability_"&amp;SUBSTITUTE(Dashboard!$D615,"_group",Dashboard!$D$503)&amp;"."&amp;YEAR(Dashboard!Q$537))+Q583</f>
        <v>0</v>
      </c>
      <c r="R615" s="10">
        <f>SUMIFS('Custom Constraints'!$C:$C,'Custom Constraints'!$A:$A,"caiso-deliverability_"&amp;SUBSTITUTE(Dashboard!$D615,"_group",Dashboard!$D$503)&amp;"."&amp;YEAR(Dashboard!R$537))+R583</f>
        <v>0</v>
      </c>
      <c r="S615" s="10">
        <f>SUMIFS('Custom Constraints'!$C:$C,'Custom Constraints'!$A:$A,"caiso-deliverability_"&amp;SUBSTITUTE(Dashboard!$D615,"_group",Dashboard!$D$503)&amp;"."&amp;YEAR(Dashboard!S$537))+S583</f>
        <v>0</v>
      </c>
      <c r="T615" s="10">
        <f>SUMIFS('Custom Constraints'!$C:$C,'Custom Constraints'!$A:$A,"caiso-deliverability_"&amp;SUBSTITUTE(Dashboard!$D615,"_group",Dashboard!$D$503)&amp;"."&amp;YEAR(Dashboard!T$537))+T583</f>
        <v>0</v>
      </c>
      <c r="U615" s="10">
        <f>SUMIFS('Custom Constraints'!$C:$C,'Custom Constraints'!$A:$A,"caiso-deliverability_"&amp;SUBSTITUTE(Dashboard!$D615,"_group",Dashboard!$D$503)&amp;"."&amp;YEAR(Dashboard!U$537))+U583</f>
        <v>0</v>
      </c>
      <c r="V615" s="10">
        <f>SUMIFS('Custom Constraints'!$C:$C,'Custom Constraints'!$A:$A,"caiso-deliverability_"&amp;SUBSTITUTE(Dashboard!$D615,"_group",Dashboard!$D$503)&amp;"."&amp;YEAR(Dashboard!V$537))+V583</f>
        <v>0</v>
      </c>
      <c r="W615" s="10">
        <f>SUMIFS('Custom Constraints'!$C:$C,'Custom Constraints'!$A:$A,"caiso-deliverability_"&amp;SUBSTITUTE(Dashboard!$D615,"_group",Dashboard!$D$503)&amp;"."&amp;YEAR(Dashboard!W$537))+W583</f>
        <v>0</v>
      </c>
      <c r="X615" s="10">
        <f>SUMIFS('Custom Constraints'!$C:$C,'Custom Constraints'!$A:$A,"caiso-deliverability_"&amp;SUBSTITUTE(Dashboard!$D615,"_group",Dashboard!$D$503)&amp;"."&amp;YEAR(Dashboard!X$537))+X583</f>
        <v>0</v>
      </c>
      <c r="Y615" s="10">
        <f>SUMIFS('Custom Constraints'!$C:$C,'Custom Constraints'!$A:$A,"caiso-deliverability_"&amp;SUBSTITUTE(Dashboard!$D615,"_group",Dashboard!$D$503)&amp;"."&amp;YEAR(Dashboard!Y$537))+Y583</f>
        <v>0</v>
      </c>
      <c r="Z615" s="10">
        <f>SUMIFS('Custom Constraints'!$C:$C,'Custom Constraints'!$A:$A,"caiso-deliverability_"&amp;SUBSTITUTE(Dashboard!$D615,"_group",Dashboard!$D$503)&amp;"."&amp;YEAR(Dashboard!Z$537))+Z583</f>
        <v>0</v>
      </c>
      <c r="AA615" s="10">
        <f>SUMIFS('Custom Constraints'!$C:$C,'Custom Constraints'!$A:$A,"caiso-deliverability_"&amp;SUBSTITUTE(Dashboard!$D615,"_group",Dashboard!$D$503)&amp;"."&amp;YEAR(Dashboard!AA$537))+AA583</f>
        <v>0</v>
      </c>
      <c r="AB615" s="10">
        <f>SUMIFS('Custom Constraints'!$C:$C,'Custom Constraints'!$A:$A,"caiso-deliverability_"&amp;SUBSTITUTE(Dashboard!$D615,"_group",Dashboard!$D$503)&amp;"."&amp;YEAR(Dashboard!AB$537))+AB583</f>
        <v>0</v>
      </c>
      <c r="AC615" s="10">
        <f>SUMIFS('Custom Constraints'!$C:$C,'Custom Constraints'!$A:$A,"caiso-deliverability_"&amp;SUBSTITUTE(Dashboard!$D615,"_group",Dashboard!$D$503)&amp;"."&amp;YEAR(Dashboard!AC$537))+AC583</f>
        <v>0</v>
      </c>
      <c r="AD615" s="10">
        <f>SUMIFS('Custom Constraints'!$C:$C,'Custom Constraints'!$A:$A,"caiso-deliverability_"&amp;SUBSTITUTE(Dashboard!$D615,"_group",Dashboard!$D$503)&amp;"."&amp;YEAR(Dashboard!AD$537))+AD583</f>
        <v>102.30045862799945</v>
      </c>
      <c r="AH615" s="34" t="s">
        <v>422</v>
      </c>
    </row>
    <row r="616" spans="4:34" outlineLevel="2" x14ac:dyDescent="0.2">
      <c r="D616" s="8" t="s">
        <v>271</v>
      </c>
      <c r="E616" s="10">
        <f>SUMIFS('Custom Constraints'!$C:$C,'Custom Constraints'!$A:$A,"caiso-deliverability_"&amp;SUBSTITUTE(Dashboard!$D616,"_group",Dashboard!$D$503)&amp;"."&amp;YEAR(Dashboard!E$537))+E584</f>
        <v>0</v>
      </c>
      <c r="F616" s="10">
        <f>SUMIFS('Custom Constraints'!$C:$C,'Custom Constraints'!$A:$A,"caiso-deliverability_"&amp;SUBSTITUTE(Dashboard!$D616,"_group",Dashboard!$D$503)&amp;"."&amp;YEAR(Dashboard!F$537))+F584</f>
        <v>0</v>
      </c>
      <c r="G616" s="10">
        <f>SUMIFS('Custom Constraints'!$C:$C,'Custom Constraints'!$A:$A,"caiso-deliverability_"&amp;SUBSTITUTE(Dashboard!$D616,"_group",Dashboard!$D$503)&amp;"."&amp;YEAR(Dashboard!G$537))+G584</f>
        <v>0</v>
      </c>
      <c r="H616" s="10">
        <f>SUMIFS('Custom Constraints'!$C:$C,'Custom Constraints'!$A:$A,"caiso-deliverability_"&amp;SUBSTITUTE(Dashboard!$D616,"_group",Dashboard!$D$503)&amp;"."&amp;YEAR(Dashboard!H$537))+H584</f>
        <v>0</v>
      </c>
      <c r="I616" s="10">
        <f>SUMIFS('Custom Constraints'!$C:$C,'Custom Constraints'!$A:$A,"caiso-deliverability_"&amp;SUBSTITUTE(Dashboard!$D616,"_group",Dashboard!$D$503)&amp;"."&amp;YEAR(Dashboard!I$537))+I584</f>
        <v>0</v>
      </c>
      <c r="J616" s="10">
        <f>SUMIFS('Custom Constraints'!$C:$C,'Custom Constraints'!$A:$A,"caiso-deliverability_"&amp;SUBSTITUTE(Dashboard!$D616,"_group",Dashboard!$D$503)&amp;"."&amp;YEAR(Dashboard!J$537))+J584</f>
        <v>0</v>
      </c>
      <c r="K616" s="10">
        <f>SUMIFS('Custom Constraints'!$C:$C,'Custom Constraints'!$A:$A,"caiso-deliverability_"&amp;SUBSTITUTE(Dashboard!$D616,"_group",Dashboard!$D$503)&amp;"."&amp;YEAR(Dashboard!K$537))+K584</f>
        <v>0</v>
      </c>
      <c r="L616" s="10">
        <f>SUMIFS('Custom Constraints'!$C:$C,'Custom Constraints'!$A:$A,"caiso-deliverability_"&amp;SUBSTITUTE(Dashboard!$D616,"_group",Dashboard!$D$503)&amp;"."&amp;YEAR(Dashboard!L$537))+L584</f>
        <v>0</v>
      </c>
      <c r="M616" s="10">
        <f>SUMIFS('Custom Constraints'!$C:$C,'Custom Constraints'!$A:$A,"caiso-deliverability_"&amp;SUBSTITUTE(Dashboard!$D616,"_group",Dashboard!$D$503)&amp;"."&amp;YEAR(Dashboard!M$537))+M584</f>
        <v>0</v>
      </c>
      <c r="N616" s="10">
        <f>SUMIFS('Custom Constraints'!$C:$C,'Custom Constraints'!$A:$A,"caiso-deliverability_"&amp;SUBSTITUTE(Dashboard!$D616,"_group",Dashboard!$D$503)&amp;"."&amp;YEAR(Dashboard!N$537))+N584</f>
        <v>0</v>
      </c>
      <c r="O616" s="10">
        <f>SUMIFS('Custom Constraints'!$C:$C,'Custom Constraints'!$A:$A,"caiso-deliverability_"&amp;SUBSTITUTE(Dashboard!$D616,"_group",Dashboard!$D$503)&amp;"."&amp;YEAR(Dashboard!O$537))+O584</f>
        <v>0</v>
      </c>
      <c r="P616" s="10">
        <f>SUMIFS('Custom Constraints'!$C:$C,'Custom Constraints'!$A:$A,"caiso-deliverability_"&amp;SUBSTITUTE(Dashboard!$D616,"_group",Dashboard!$D$503)&amp;"."&amp;YEAR(Dashboard!P$537))+P584</f>
        <v>0</v>
      </c>
      <c r="Q616" s="10">
        <f>SUMIFS('Custom Constraints'!$C:$C,'Custom Constraints'!$A:$A,"caiso-deliverability_"&amp;SUBSTITUTE(Dashboard!$D616,"_group",Dashboard!$D$503)&amp;"."&amp;YEAR(Dashboard!Q$537))+Q584</f>
        <v>0</v>
      </c>
      <c r="R616" s="10">
        <f>SUMIFS('Custom Constraints'!$C:$C,'Custom Constraints'!$A:$A,"caiso-deliverability_"&amp;SUBSTITUTE(Dashboard!$D616,"_group",Dashboard!$D$503)&amp;"."&amp;YEAR(Dashboard!R$537))+R584</f>
        <v>0</v>
      </c>
      <c r="S616" s="10">
        <f>SUMIFS('Custom Constraints'!$C:$C,'Custom Constraints'!$A:$A,"caiso-deliverability_"&amp;SUBSTITUTE(Dashboard!$D616,"_group",Dashboard!$D$503)&amp;"."&amp;YEAR(Dashboard!S$537))+S584</f>
        <v>0</v>
      </c>
      <c r="T616" s="10">
        <f>SUMIFS('Custom Constraints'!$C:$C,'Custom Constraints'!$A:$A,"caiso-deliverability_"&amp;SUBSTITUTE(Dashboard!$D616,"_group",Dashboard!$D$503)&amp;"."&amp;YEAR(Dashboard!T$537))+T584</f>
        <v>0</v>
      </c>
      <c r="U616" s="10">
        <f>SUMIFS('Custom Constraints'!$C:$C,'Custom Constraints'!$A:$A,"caiso-deliverability_"&amp;SUBSTITUTE(Dashboard!$D616,"_group",Dashboard!$D$503)&amp;"."&amp;YEAR(Dashboard!U$537))+U584</f>
        <v>0</v>
      </c>
      <c r="V616" s="10">
        <f>SUMIFS('Custom Constraints'!$C:$C,'Custom Constraints'!$A:$A,"caiso-deliverability_"&amp;SUBSTITUTE(Dashboard!$D616,"_group",Dashboard!$D$503)&amp;"."&amp;YEAR(Dashboard!V$537))+V584</f>
        <v>0</v>
      </c>
      <c r="W616" s="10">
        <f>SUMIFS('Custom Constraints'!$C:$C,'Custom Constraints'!$A:$A,"caiso-deliverability_"&amp;SUBSTITUTE(Dashboard!$D616,"_group",Dashboard!$D$503)&amp;"."&amp;YEAR(Dashboard!W$537))+W584</f>
        <v>0</v>
      </c>
      <c r="X616" s="10">
        <f>SUMIFS('Custom Constraints'!$C:$C,'Custom Constraints'!$A:$A,"caiso-deliverability_"&amp;SUBSTITUTE(Dashboard!$D616,"_group",Dashboard!$D$503)&amp;"."&amp;YEAR(Dashboard!X$537))+X584</f>
        <v>0</v>
      </c>
      <c r="Y616" s="10">
        <f>SUMIFS('Custom Constraints'!$C:$C,'Custom Constraints'!$A:$A,"caiso-deliverability_"&amp;SUBSTITUTE(Dashboard!$D616,"_group",Dashboard!$D$503)&amp;"."&amp;YEAR(Dashboard!Y$537))+Y584</f>
        <v>0</v>
      </c>
      <c r="Z616" s="10">
        <f>SUMIFS('Custom Constraints'!$C:$C,'Custom Constraints'!$A:$A,"caiso-deliverability_"&amp;SUBSTITUTE(Dashboard!$D616,"_group",Dashboard!$D$503)&amp;"."&amp;YEAR(Dashboard!Z$537))+Z584</f>
        <v>0</v>
      </c>
      <c r="AA616" s="10">
        <f>SUMIFS('Custom Constraints'!$C:$C,'Custom Constraints'!$A:$A,"caiso-deliverability_"&amp;SUBSTITUTE(Dashboard!$D616,"_group",Dashboard!$D$503)&amp;"."&amp;YEAR(Dashboard!AA$537))+AA584</f>
        <v>0</v>
      </c>
      <c r="AB616" s="10">
        <f>SUMIFS('Custom Constraints'!$C:$C,'Custom Constraints'!$A:$A,"caiso-deliverability_"&amp;SUBSTITUTE(Dashboard!$D616,"_group",Dashboard!$D$503)&amp;"."&amp;YEAR(Dashboard!AB$537))+AB584</f>
        <v>0</v>
      </c>
      <c r="AC616" s="10">
        <f>SUMIFS('Custom Constraints'!$C:$C,'Custom Constraints'!$A:$A,"caiso-deliverability_"&amp;SUBSTITUTE(Dashboard!$D616,"_group",Dashboard!$D$503)&amp;"."&amp;YEAR(Dashboard!AC$537))+AC584</f>
        <v>0</v>
      </c>
      <c r="AD616" s="10">
        <f>SUMIFS('Custom Constraints'!$C:$C,'Custom Constraints'!$A:$A,"caiso-deliverability_"&amp;SUBSTITUTE(Dashboard!$D616,"_group",Dashboard!$D$503)&amp;"."&amp;YEAR(Dashboard!AD$537))+AD584</f>
        <v>2901</v>
      </c>
      <c r="AH616" s="34" t="s">
        <v>422</v>
      </c>
    </row>
    <row r="617" spans="4:34" outlineLevel="2" x14ac:dyDescent="0.2">
      <c r="D617" s="8" t="s">
        <v>272</v>
      </c>
      <c r="E617" s="10">
        <f>SUMIFS('Custom Constraints'!$C:$C,'Custom Constraints'!$A:$A,"caiso-deliverability_"&amp;SUBSTITUTE(Dashboard!$D617,"_group",Dashboard!$D$503)&amp;"."&amp;YEAR(Dashboard!E$537))+E585</f>
        <v>0</v>
      </c>
      <c r="F617" s="10">
        <f>SUMIFS('Custom Constraints'!$C:$C,'Custom Constraints'!$A:$A,"caiso-deliverability_"&amp;SUBSTITUTE(Dashboard!$D617,"_group",Dashboard!$D$503)&amp;"."&amp;YEAR(Dashboard!F$537))+F585</f>
        <v>0</v>
      </c>
      <c r="G617" s="10">
        <f>SUMIFS('Custom Constraints'!$C:$C,'Custom Constraints'!$A:$A,"caiso-deliverability_"&amp;SUBSTITUTE(Dashboard!$D617,"_group",Dashboard!$D$503)&amp;"."&amp;YEAR(Dashboard!G$537))+G585</f>
        <v>0</v>
      </c>
      <c r="H617" s="10">
        <f>SUMIFS('Custom Constraints'!$C:$C,'Custom Constraints'!$A:$A,"caiso-deliverability_"&amp;SUBSTITUTE(Dashboard!$D617,"_group",Dashboard!$D$503)&amp;"."&amp;YEAR(Dashboard!H$537))+H585</f>
        <v>0</v>
      </c>
      <c r="I617" s="10">
        <f>SUMIFS('Custom Constraints'!$C:$C,'Custom Constraints'!$A:$A,"caiso-deliverability_"&amp;SUBSTITUTE(Dashboard!$D617,"_group",Dashboard!$D$503)&amp;"."&amp;YEAR(Dashboard!I$537))+I585</f>
        <v>0</v>
      </c>
      <c r="J617" s="10">
        <f>SUMIFS('Custom Constraints'!$C:$C,'Custom Constraints'!$A:$A,"caiso-deliverability_"&amp;SUBSTITUTE(Dashboard!$D617,"_group",Dashboard!$D$503)&amp;"."&amp;YEAR(Dashboard!J$537))+J585</f>
        <v>0</v>
      </c>
      <c r="K617" s="10">
        <f>SUMIFS('Custom Constraints'!$C:$C,'Custom Constraints'!$A:$A,"caiso-deliverability_"&amp;SUBSTITUTE(Dashboard!$D617,"_group",Dashboard!$D$503)&amp;"."&amp;YEAR(Dashboard!K$537))+K585</f>
        <v>0</v>
      </c>
      <c r="L617" s="10">
        <f>SUMIFS('Custom Constraints'!$C:$C,'Custom Constraints'!$A:$A,"caiso-deliverability_"&amp;SUBSTITUTE(Dashboard!$D617,"_group",Dashboard!$D$503)&amp;"."&amp;YEAR(Dashboard!L$537))+L585</f>
        <v>0</v>
      </c>
      <c r="M617" s="10">
        <f>SUMIFS('Custom Constraints'!$C:$C,'Custom Constraints'!$A:$A,"caiso-deliverability_"&amp;SUBSTITUTE(Dashboard!$D617,"_group",Dashboard!$D$503)&amp;"."&amp;YEAR(Dashboard!M$537))+M585</f>
        <v>0</v>
      </c>
      <c r="N617" s="10">
        <f>SUMIFS('Custom Constraints'!$C:$C,'Custom Constraints'!$A:$A,"caiso-deliverability_"&amp;SUBSTITUTE(Dashboard!$D617,"_group",Dashboard!$D$503)&amp;"."&amp;YEAR(Dashboard!N$537))+N585</f>
        <v>0</v>
      </c>
      <c r="O617" s="10">
        <f>SUMIFS('Custom Constraints'!$C:$C,'Custom Constraints'!$A:$A,"caiso-deliverability_"&amp;SUBSTITUTE(Dashboard!$D617,"_group",Dashboard!$D$503)&amp;"."&amp;YEAR(Dashboard!O$537))+O585</f>
        <v>0</v>
      </c>
      <c r="P617" s="10">
        <f>SUMIFS('Custom Constraints'!$C:$C,'Custom Constraints'!$A:$A,"caiso-deliverability_"&amp;SUBSTITUTE(Dashboard!$D617,"_group",Dashboard!$D$503)&amp;"."&amp;YEAR(Dashboard!P$537))+P585</f>
        <v>0</v>
      </c>
      <c r="Q617" s="10">
        <f>SUMIFS('Custom Constraints'!$C:$C,'Custom Constraints'!$A:$A,"caiso-deliverability_"&amp;SUBSTITUTE(Dashboard!$D617,"_group",Dashboard!$D$503)&amp;"."&amp;YEAR(Dashboard!Q$537))+Q585</f>
        <v>0</v>
      </c>
      <c r="R617" s="10">
        <f>SUMIFS('Custom Constraints'!$C:$C,'Custom Constraints'!$A:$A,"caiso-deliverability_"&amp;SUBSTITUTE(Dashboard!$D617,"_group",Dashboard!$D$503)&amp;"."&amp;YEAR(Dashboard!R$537))+R585</f>
        <v>0</v>
      </c>
      <c r="S617" s="10">
        <f>SUMIFS('Custom Constraints'!$C:$C,'Custom Constraints'!$A:$A,"caiso-deliverability_"&amp;SUBSTITUTE(Dashboard!$D617,"_group",Dashboard!$D$503)&amp;"."&amp;YEAR(Dashboard!S$537))+S585</f>
        <v>0</v>
      </c>
      <c r="T617" s="10">
        <f>SUMIFS('Custom Constraints'!$C:$C,'Custom Constraints'!$A:$A,"caiso-deliverability_"&amp;SUBSTITUTE(Dashboard!$D617,"_group",Dashboard!$D$503)&amp;"."&amp;YEAR(Dashboard!T$537))+T585</f>
        <v>0</v>
      </c>
      <c r="U617" s="10">
        <f>SUMIFS('Custom Constraints'!$C:$C,'Custom Constraints'!$A:$A,"caiso-deliverability_"&amp;SUBSTITUTE(Dashboard!$D617,"_group",Dashboard!$D$503)&amp;"."&amp;YEAR(Dashboard!U$537))+U585</f>
        <v>0</v>
      </c>
      <c r="V617" s="10">
        <f>SUMIFS('Custom Constraints'!$C:$C,'Custom Constraints'!$A:$A,"caiso-deliverability_"&amp;SUBSTITUTE(Dashboard!$D617,"_group",Dashboard!$D$503)&amp;"."&amp;YEAR(Dashboard!V$537))+V585</f>
        <v>0</v>
      </c>
      <c r="W617" s="10">
        <f>SUMIFS('Custom Constraints'!$C:$C,'Custom Constraints'!$A:$A,"caiso-deliverability_"&amp;SUBSTITUTE(Dashboard!$D617,"_group",Dashboard!$D$503)&amp;"."&amp;YEAR(Dashboard!W$537))+W585</f>
        <v>0</v>
      </c>
      <c r="X617" s="10">
        <f>SUMIFS('Custom Constraints'!$C:$C,'Custom Constraints'!$A:$A,"caiso-deliverability_"&amp;SUBSTITUTE(Dashboard!$D617,"_group",Dashboard!$D$503)&amp;"."&amp;YEAR(Dashboard!X$537))+X585</f>
        <v>0</v>
      </c>
      <c r="Y617" s="10">
        <f>SUMIFS('Custom Constraints'!$C:$C,'Custom Constraints'!$A:$A,"caiso-deliverability_"&amp;SUBSTITUTE(Dashboard!$D617,"_group",Dashboard!$D$503)&amp;"."&amp;YEAR(Dashboard!Y$537))+Y585</f>
        <v>0</v>
      </c>
      <c r="Z617" s="10">
        <f>SUMIFS('Custom Constraints'!$C:$C,'Custom Constraints'!$A:$A,"caiso-deliverability_"&amp;SUBSTITUTE(Dashboard!$D617,"_group",Dashboard!$D$503)&amp;"."&amp;YEAR(Dashboard!Z$537))+Z585</f>
        <v>0</v>
      </c>
      <c r="AA617" s="10">
        <f>SUMIFS('Custom Constraints'!$C:$C,'Custom Constraints'!$A:$A,"caiso-deliverability_"&amp;SUBSTITUTE(Dashboard!$D617,"_group",Dashboard!$D$503)&amp;"."&amp;YEAR(Dashboard!AA$537))+AA585</f>
        <v>0</v>
      </c>
      <c r="AB617" s="10">
        <f>SUMIFS('Custom Constraints'!$C:$C,'Custom Constraints'!$A:$A,"caiso-deliverability_"&amp;SUBSTITUTE(Dashboard!$D617,"_group",Dashboard!$D$503)&amp;"."&amp;YEAR(Dashboard!AB$537))+AB585</f>
        <v>0</v>
      </c>
      <c r="AC617" s="10">
        <f>SUMIFS('Custom Constraints'!$C:$C,'Custom Constraints'!$A:$A,"caiso-deliverability_"&amp;SUBSTITUTE(Dashboard!$D617,"_group",Dashboard!$D$503)&amp;"."&amp;YEAR(Dashboard!AC$537))+AC585</f>
        <v>0</v>
      </c>
      <c r="AD617" s="10">
        <f>SUMIFS('Custom Constraints'!$C:$C,'Custom Constraints'!$A:$A,"caiso-deliverability_"&amp;SUBSTITUTE(Dashboard!$D617,"_group",Dashboard!$D$503)&amp;"."&amp;YEAR(Dashboard!AD$537))+AD585</f>
        <v>115.045</v>
      </c>
      <c r="AH617" s="34" t="s">
        <v>422</v>
      </c>
    </row>
    <row r="618" spans="4:34" outlineLevel="2" x14ac:dyDescent="0.2">
      <c r="D618" s="8" t="s">
        <v>273</v>
      </c>
      <c r="E618" s="10">
        <f>SUMIFS('Custom Constraints'!$C:$C,'Custom Constraints'!$A:$A,"caiso-deliverability_"&amp;SUBSTITUTE(Dashboard!$D618,"_group",Dashboard!$D$503)&amp;"."&amp;YEAR(Dashboard!E$537))+E586</f>
        <v>0</v>
      </c>
      <c r="F618" s="10">
        <f>SUMIFS('Custom Constraints'!$C:$C,'Custom Constraints'!$A:$A,"caiso-deliverability_"&amp;SUBSTITUTE(Dashboard!$D618,"_group",Dashboard!$D$503)&amp;"."&amp;YEAR(Dashboard!F$537))+F586</f>
        <v>0</v>
      </c>
      <c r="G618" s="10">
        <f>SUMIFS('Custom Constraints'!$C:$C,'Custom Constraints'!$A:$A,"caiso-deliverability_"&amp;SUBSTITUTE(Dashboard!$D618,"_group",Dashboard!$D$503)&amp;"."&amp;YEAR(Dashboard!G$537))+G586</f>
        <v>0</v>
      </c>
      <c r="H618" s="10">
        <f>SUMIFS('Custom Constraints'!$C:$C,'Custom Constraints'!$A:$A,"caiso-deliverability_"&amp;SUBSTITUTE(Dashboard!$D618,"_group",Dashboard!$D$503)&amp;"."&amp;YEAR(Dashboard!H$537))+H586</f>
        <v>0</v>
      </c>
      <c r="I618" s="10">
        <f>SUMIFS('Custom Constraints'!$C:$C,'Custom Constraints'!$A:$A,"caiso-deliverability_"&amp;SUBSTITUTE(Dashboard!$D618,"_group",Dashboard!$D$503)&amp;"."&amp;YEAR(Dashboard!I$537))+I586</f>
        <v>0</v>
      </c>
      <c r="J618" s="10">
        <f>SUMIFS('Custom Constraints'!$C:$C,'Custom Constraints'!$A:$A,"caiso-deliverability_"&amp;SUBSTITUTE(Dashboard!$D618,"_group",Dashboard!$D$503)&amp;"."&amp;YEAR(Dashboard!J$537))+J586</f>
        <v>0</v>
      </c>
      <c r="K618" s="10">
        <f>SUMIFS('Custom Constraints'!$C:$C,'Custom Constraints'!$A:$A,"caiso-deliverability_"&amp;SUBSTITUTE(Dashboard!$D618,"_group",Dashboard!$D$503)&amp;"."&amp;YEAR(Dashboard!K$537))+K586</f>
        <v>0</v>
      </c>
      <c r="L618" s="10">
        <f>SUMIFS('Custom Constraints'!$C:$C,'Custom Constraints'!$A:$A,"caiso-deliverability_"&amp;SUBSTITUTE(Dashboard!$D618,"_group",Dashboard!$D$503)&amp;"."&amp;YEAR(Dashboard!L$537))+L586</f>
        <v>0</v>
      </c>
      <c r="M618" s="10">
        <f>SUMIFS('Custom Constraints'!$C:$C,'Custom Constraints'!$A:$A,"caiso-deliverability_"&amp;SUBSTITUTE(Dashboard!$D618,"_group",Dashboard!$D$503)&amp;"."&amp;YEAR(Dashboard!M$537))+M586</f>
        <v>0</v>
      </c>
      <c r="N618" s="10">
        <f>SUMIFS('Custom Constraints'!$C:$C,'Custom Constraints'!$A:$A,"caiso-deliverability_"&amp;SUBSTITUTE(Dashboard!$D618,"_group",Dashboard!$D$503)&amp;"."&amp;YEAR(Dashboard!N$537))+N586</f>
        <v>0</v>
      </c>
      <c r="O618" s="10">
        <f>SUMIFS('Custom Constraints'!$C:$C,'Custom Constraints'!$A:$A,"caiso-deliverability_"&amp;SUBSTITUTE(Dashboard!$D618,"_group",Dashboard!$D$503)&amp;"."&amp;YEAR(Dashboard!O$537))+O586</f>
        <v>0</v>
      </c>
      <c r="P618" s="10">
        <f>SUMIFS('Custom Constraints'!$C:$C,'Custom Constraints'!$A:$A,"caiso-deliverability_"&amp;SUBSTITUTE(Dashboard!$D618,"_group",Dashboard!$D$503)&amp;"."&amp;YEAR(Dashboard!P$537))+P586</f>
        <v>0</v>
      </c>
      <c r="Q618" s="10">
        <f>SUMIFS('Custom Constraints'!$C:$C,'Custom Constraints'!$A:$A,"caiso-deliverability_"&amp;SUBSTITUTE(Dashboard!$D618,"_group",Dashboard!$D$503)&amp;"."&amp;YEAR(Dashboard!Q$537))+Q586</f>
        <v>0</v>
      </c>
      <c r="R618" s="10">
        <f>SUMIFS('Custom Constraints'!$C:$C,'Custom Constraints'!$A:$A,"caiso-deliverability_"&amp;SUBSTITUTE(Dashboard!$D618,"_group",Dashboard!$D$503)&amp;"."&amp;YEAR(Dashboard!R$537))+R586</f>
        <v>0</v>
      </c>
      <c r="S618" s="10">
        <f>SUMIFS('Custom Constraints'!$C:$C,'Custom Constraints'!$A:$A,"caiso-deliverability_"&amp;SUBSTITUTE(Dashboard!$D618,"_group",Dashboard!$D$503)&amp;"."&amp;YEAR(Dashboard!S$537))+S586</f>
        <v>0</v>
      </c>
      <c r="T618" s="10">
        <f>SUMIFS('Custom Constraints'!$C:$C,'Custom Constraints'!$A:$A,"caiso-deliverability_"&amp;SUBSTITUTE(Dashboard!$D618,"_group",Dashboard!$D$503)&amp;"."&amp;YEAR(Dashboard!T$537))+T586</f>
        <v>0</v>
      </c>
      <c r="U618" s="10">
        <f>SUMIFS('Custom Constraints'!$C:$C,'Custom Constraints'!$A:$A,"caiso-deliverability_"&amp;SUBSTITUTE(Dashboard!$D618,"_group",Dashboard!$D$503)&amp;"."&amp;YEAR(Dashboard!U$537))+U586</f>
        <v>0</v>
      </c>
      <c r="V618" s="10">
        <f>SUMIFS('Custom Constraints'!$C:$C,'Custom Constraints'!$A:$A,"caiso-deliverability_"&amp;SUBSTITUTE(Dashboard!$D618,"_group",Dashboard!$D$503)&amp;"."&amp;YEAR(Dashboard!V$537))+V586</f>
        <v>0</v>
      </c>
      <c r="W618" s="10">
        <f>SUMIFS('Custom Constraints'!$C:$C,'Custom Constraints'!$A:$A,"caiso-deliverability_"&amp;SUBSTITUTE(Dashboard!$D618,"_group",Dashboard!$D$503)&amp;"."&amp;YEAR(Dashboard!W$537))+W586</f>
        <v>0</v>
      </c>
      <c r="X618" s="10">
        <f>SUMIFS('Custom Constraints'!$C:$C,'Custom Constraints'!$A:$A,"caiso-deliverability_"&amp;SUBSTITUTE(Dashboard!$D618,"_group",Dashboard!$D$503)&amp;"."&amp;YEAR(Dashboard!X$537))+X586</f>
        <v>0</v>
      </c>
      <c r="Y618" s="10">
        <f>SUMIFS('Custom Constraints'!$C:$C,'Custom Constraints'!$A:$A,"caiso-deliverability_"&amp;SUBSTITUTE(Dashboard!$D618,"_group",Dashboard!$D$503)&amp;"."&amp;YEAR(Dashboard!Y$537))+Y586</f>
        <v>0</v>
      </c>
      <c r="Z618" s="10">
        <f>SUMIFS('Custom Constraints'!$C:$C,'Custom Constraints'!$A:$A,"caiso-deliverability_"&amp;SUBSTITUTE(Dashboard!$D618,"_group",Dashboard!$D$503)&amp;"."&amp;YEAR(Dashboard!Z$537))+Z586</f>
        <v>0</v>
      </c>
      <c r="AA618" s="10">
        <f>SUMIFS('Custom Constraints'!$C:$C,'Custom Constraints'!$A:$A,"caiso-deliverability_"&amp;SUBSTITUTE(Dashboard!$D618,"_group",Dashboard!$D$503)&amp;"."&amp;YEAR(Dashboard!AA$537))+AA586</f>
        <v>0</v>
      </c>
      <c r="AB618" s="10">
        <f>SUMIFS('Custom Constraints'!$C:$C,'Custom Constraints'!$A:$A,"caiso-deliverability_"&amp;SUBSTITUTE(Dashboard!$D618,"_group",Dashboard!$D$503)&amp;"."&amp;YEAR(Dashboard!AB$537))+AB586</f>
        <v>0</v>
      </c>
      <c r="AC618" s="10">
        <f>SUMIFS('Custom Constraints'!$C:$C,'Custom Constraints'!$A:$A,"caiso-deliverability_"&amp;SUBSTITUTE(Dashboard!$D618,"_group",Dashboard!$D$503)&amp;"."&amp;YEAR(Dashboard!AC$537))+AC586</f>
        <v>0</v>
      </c>
      <c r="AD618" s="10">
        <f>SUMIFS('Custom Constraints'!$C:$C,'Custom Constraints'!$A:$A,"caiso-deliverability_"&amp;SUBSTITUTE(Dashboard!$D618,"_group",Dashboard!$D$503)&amp;"."&amp;YEAR(Dashboard!AD$537))+AD586</f>
        <v>230.755</v>
      </c>
      <c r="AH618" s="34" t="s">
        <v>422</v>
      </c>
    </row>
    <row r="619" spans="4:34" outlineLevel="2" x14ac:dyDescent="0.2">
      <c r="D619" s="8" t="s">
        <v>274</v>
      </c>
      <c r="E619" s="10">
        <f>SUMIFS('Custom Constraints'!$C:$C,'Custom Constraints'!$A:$A,"caiso-deliverability_"&amp;SUBSTITUTE(Dashboard!$D619,"_group",Dashboard!$D$503)&amp;"."&amp;YEAR(Dashboard!E$537))+E587</f>
        <v>0</v>
      </c>
      <c r="F619" s="10">
        <f>SUMIFS('Custom Constraints'!$C:$C,'Custom Constraints'!$A:$A,"caiso-deliverability_"&amp;SUBSTITUTE(Dashboard!$D619,"_group",Dashboard!$D$503)&amp;"."&amp;YEAR(Dashboard!F$537))+F587</f>
        <v>0</v>
      </c>
      <c r="G619" s="10">
        <f>SUMIFS('Custom Constraints'!$C:$C,'Custom Constraints'!$A:$A,"caiso-deliverability_"&amp;SUBSTITUTE(Dashboard!$D619,"_group",Dashboard!$D$503)&amp;"."&amp;YEAR(Dashboard!G$537))+G587</f>
        <v>0</v>
      </c>
      <c r="H619" s="10">
        <f>SUMIFS('Custom Constraints'!$C:$C,'Custom Constraints'!$A:$A,"caiso-deliverability_"&amp;SUBSTITUTE(Dashboard!$D619,"_group",Dashboard!$D$503)&amp;"."&amp;YEAR(Dashboard!H$537))+H587</f>
        <v>0</v>
      </c>
      <c r="I619" s="10">
        <f>SUMIFS('Custom Constraints'!$C:$C,'Custom Constraints'!$A:$A,"caiso-deliverability_"&amp;SUBSTITUTE(Dashboard!$D619,"_group",Dashboard!$D$503)&amp;"."&amp;YEAR(Dashboard!I$537))+I587</f>
        <v>0</v>
      </c>
      <c r="J619" s="10">
        <f>SUMIFS('Custom Constraints'!$C:$C,'Custom Constraints'!$A:$A,"caiso-deliverability_"&amp;SUBSTITUTE(Dashboard!$D619,"_group",Dashboard!$D$503)&amp;"."&amp;YEAR(Dashboard!J$537))+J587</f>
        <v>0</v>
      </c>
      <c r="K619" s="10">
        <f>SUMIFS('Custom Constraints'!$C:$C,'Custom Constraints'!$A:$A,"caiso-deliverability_"&amp;SUBSTITUTE(Dashboard!$D619,"_group",Dashboard!$D$503)&amp;"."&amp;YEAR(Dashboard!K$537))+K587</f>
        <v>0</v>
      </c>
      <c r="L619" s="10">
        <f>SUMIFS('Custom Constraints'!$C:$C,'Custom Constraints'!$A:$A,"caiso-deliverability_"&amp;SUBSTITUTE(Dashboard!$D619,"_group",Dashboard!$D$503)&amp;"."&amp;YEAR(Dashboard!L$537))+L587</f>
        <v>0</v>
      </c>
      <c r="M619" s="10">
        <f>SUMIFS('Custom Constraints'!$C:$C,'Custom Constraints'!$A:$A,"caiso-deliverability_"&amp;SUBSTITUTE(Dashboard!$D619,"_group",Dashboard!$D$503)&amp;"."&amp;YEAR(Dashboard!M$537))+M587</f>
        <v>0</v>
      </c>
      <c r="N619" s="10">
        <f>SUMIFS('Custom Constraints'!$C:$C,'Custom Constraints'!$A:$A,"caiso-deliverability_"&amp;SUBSTITUTE(Dashboard!$D619,"_group",Dashboard!$D$503)&amp;"."&amp;YEAR(Dashboard!N$537))+N587</f>
        <v>0</v>
      </c>
      <c r="O619" s="10">
        <f>SUMIFS('Custom Constraints'!$C:$C,'Custom Constraints'!$A:$A,"caiso-deliverability_"&amp;SUBSTITUTE(Dashboard!$D619,"_group",Dashboard!$D$503)&amp;"."&amp;YEAR(Dashboard!O$537))+O587</f>
        <v>0</v>
      </c>
      <c r="P619" s="10">
        <f>SUMIFS('Custom Constraints'!$C:$C,'Custom Constraints'!$A:$A,"caiso-deliverability_"&amp;SUBSTITUTE(Dashboard!$D619,"_group",Dashboard!$D$503)&amp;"."&amp;YEAR(Dashboard!P$537))+P587</f>
        <v>0</v>
      </c>
      <c r="Q619" s="10">
        <f>SUMIFS('Custom Constraints'!$C:$C,'Custom Constraints'!$A:$A,"caiso-deliverability_"&amp;SUBSTITUTE(Dashboard!$D619,"_group",Dashboard!$D$503)&amp;"."&amp;YEAR(Dashboard!Q$537))+Q587</f>
        <v>0</v>
      </c>
      <c r="R619" s="10">
        <f>SUMIFS('Custom Constraints'!$C:$C,'Custom Constraints'!$A:$A,"caiso-deliverability_"&amp;SUBSTITUTE(Dashboard!$D619,"_group",Dashboard!$D$503)&amp;"."&amp;YEAR(Dashboard!R$537))+R587</f>
        <v>0</v>
      </c>
      <c r="S619" s="10">
        <f>SUMIFS('Custom Constraints'!$C:$C,'Custom Constraints'!$A:$A,"caiso-deliverability_"&amp;SUBSTITUTE(Dashboard!$D619,"_group",Dashboard!$D$503)&amp;"."&amp;YEAR(Dashboard!S$537))+S587</f>
        <v>0</v>
      </c>
      <c r="T619" s="10">
        <f>SUMIFS('Custom Constraints'!$C:$C,'Custom Constraints'!$A:$A,"caiso-deliverability_"&amp;SUBSTITUTE(Dashboard!$D619,"_group",Dashboard!$D$503)&amp;"."&amp;YEAR(Dashboard!T$537))+T587</f>
        <v>0</v>
      </c>
      <c r="U619" s="10">
        <f>SUMIFS('Custom Constraints'!$C:$C,'Custom Constraints'!$A:$A,"caiso-deliverability_"&amp;SUBSTITUTE(Dashboard!$D619,"_group",Dashboard!$D$503)&amp;"."&amp;YEAR(Dashboard!U$537))+U587</f>
        <v>0</v>
      </c>
      <c r="V619" s="10">
        <f>SUMIFS('Custom Constraints'!$C:$C,'Custom Constraints'!$A:$A,"caiso-deliverability_"&amp;SUBSTITUTE(Dashboard!$D619,"_group",Dashboard!$D$503)&amp;"."&amp;YEAR(Dashboard!V$537))+V587</f>
        <v>0</v>
      </c>
      <c r="W619" s="10">
        <f>SUMIFS('Custom Constraints'!$C:$C,'Custom Constraints'!$A:$A,"caiso-deliverability_"&amp;SUBSTITUTE(Dashboard!$D619,"_group",Dashboard!$D$503)&amp;"."&amp;YEAR(Dashboard!W$537))+W587</f>
        <v>0</v>
      </c>
      <c r="X619" s="10">
        <f>SUMIFS('Custom Constraints'!$C:$C,'Custom Constraints'!$A:$A,"caiso-deliverability_"&amp;SUBSTITUTE(Dashboard!$D619,"_group",Dashboard!$D$503)&amp;"."&amp;YEAR(Dashboard!X$537))+X587</f>
        <v>0</v>
      </c>
      <c r="Y619" s="10">
        <f>SUMIFS('Custom Constraints'!$C:$C,'Custom Constraints'!$A:$A,"caiso-deliverability_"&amp;SUBSTITUTE(Dashboard!$D619,"_group",Dashboard!$D$503)&amp;"."&amp;YEAR(Dashboard!Y$537))+Y587</f>
        <v>0</v>
      </c>
      <c r="Z619" s="10">
        <f>SUMIFS('Custom Constraints'!$C:$C,'Custom Constraints'!$A:$A,"caiso-deliverability_"&amp;SUBSTITUTE(Dashboard!$D619,"_group",Dashboard!$D$503)&amp;"."&amp;YEAR(Dashboard!Z$537))+Z587</f>
        <v>0</v>
      </c>
      <c r="AA619" s="10">
        <f>SUMIFS('Custom Constraints'!$C:$C,'Custom Constraints'!$A:$A,"caiso-deliverability_"&amp;SUBSTITUTE(Dashboard!$D619,"_group",Dashboard!$D$503)&amp;"."&amp;YEAR(Dashboard!AA$537))+AA587</f>
        <v>0</v>
      </c>
      <c r="AB619" s="10">
        <f>SUMIFS('Custom Constraints'!$C:$C,'Custom Constraints'!$A:$A,"caiso-deliverability_"&amp;SUBSTITUTE(Dashboard!$D619,"_group",Dashboard!$D$503)&amp;"."&amp;YEAR(Dashboard!AB$537))+AB587</f>
        <v>0</v>
      </c>
      <c r="AC619" s="10">
        <f>SUMIFS('Custom Constraints'!$C:$C,'Custom Constraints'!$A:$A,"caiso-deliverability_"&amp;SUBSTITUTE(Dashboard!$D619,"_group",Dashboard!$D$503)&amp;"."&amp;YEAR(Dashboard!AC$537))+AC587</f>
        <v>0</v>
      </c>
      <c r="AD619" s="10">
        <f>SUMIFS('Custom Constraints'!$C:$C,'Custom Constraints'!$A:$A,"caiso-deliverability_"&amp;SUBSTITUTE(Dashboard!$D619,"_group",Dashboard!$D$503)&amp;"."&amp;YEAR(Dashboard!AD$537))+AD587</f>
        <v>2556</v>
      </c>
      <c r="AH619" s="34" t="s">
        <v>422</v>
      </c>
    </row>
    <row r="620" spans="4:34" outlineLevel="2" x14ac:dyDescent="0.2">
      <c r="D620" s="8" t="s">
        <v>275</v>
      </c>
      <c r="E620" s="10">
        <f>SUMIFS('Custom Constraints'!$C:$C,'Custom Constraints'!$A:$A,"caiso-deliverability_"&amp;SUBSTITUTE(Dashboard!$D620,"_group",Dashboard!$D$503)&amp;"."&amp;YEAR(Dashboard!E$537))+E588</f>
        <v>0</v>
      </c>
      <c r="F620" s="10">
        <f>SUMIFS('Custom Constraints'!$C:$C,'Custom Constraints'!$A:$A,"caiso-deliverability_"&amp;SUBSTITUTE(Dashboard!$D620,"_group",Dashboard!$D$503)&amp;"."&amp;YEAR(Dashboard!F$537))+F588</f>
        <v>0</v>
      </c>
      <c r="G620" s="10">
        <f>SUMIFS('Custom Constraints'!$C:$C,'Custom Constraints'!$A:$A,"caiso-deliverability_"&amp;SUBSTITUTE(Dashboard!$D620,"_group",Dashboard!$D$503)&amp;"."&amp;YEAR(Dashboard!G$537))+G588</f>
        <v>0</v>
      </c>
      <c r="H620" s="10">
        <f>SUMIFS('Custom Constraints'!$C:$C,'Custom Constraints'!$A:$A,"caiso-deliverability_"&amp;SUBSTITUTE(Dashboard!$D620,"_group",Dashboard!$D$503)&amp;"."&amp;YEAR(Dashboard!H$537))+H588</f>
        <v>0</v>
      </c>
      <c r="I620" s="10">
        <f>SUMIFS('Custom Constraints'!$C:$C,'Custom Constraints'!$A:$A,"caiso-deliverability_"&amp;SUBSTITUTE(Dashboard!$D620,"_group",Dashboard!$D$503)&amp;"."&amp;YEAR(Dashboard!I$537))+I588</f>
        <v>0</v>
      </c>
      <c r="J620" s="10">
        <f>SUMIFS('Custom Constraints'!$C:$C,'Custom Constraints'!$A:$A,"caiso-deliverability_"&amp;SUBSTITUTE(Dashboard!$D620,"_group",Dashboard!$D$503)&amp;"."&amp;YEAR(Dashboard!J$537))+J588</f>
        <v>0</v>
      </c>
      <c r="K620" s="10">
        <f>SUMIFS('Custom Constraints'!$C:$C,'Custom Constraints'!$A:$A,"caiso-deliverability_"&amp;SUBSTITUTE(Dashboard!$D620,"_group",Dashboard!$D$503)&amp;"."&amp;YEAR(Dashboard!K$537))+K588</f>
        <v>0</v>
      </c>
      <c r="L620" s="10">
        <f>SUMIFS('Custom Constraints'!$C:$C,'Custom Constraints'!$A:$A,"caiso-deliverability_"&amp;SUBSTITUTE(Dashboard!$D620,"_group",Dashboard!$D$503)&amp;"."&amp;YEAR(Dashboard!L$537))+L588</f>
        <v>0</v>
      </c>
      <c r="M620" s="10">
        <f>SUMIFS('Custom Constraints'!$C:$C,'Custom Constraints'!$A:$A,"caiso-deliverability_"&amp;SUBSTITUTE(Dashboard!$D620,"_group",Dashboard!$D$503)&amp;"."&amp;YEAR(Dashboard!M$537))+M588</f>
        <v>0</v>
      </c>
      <c r="N620" s="10">
        <f>SUMIFS('Custom Constraints'!$C:$C,'Custom Constraints'!$A:$A,"caiso-deliverability_"&amp;SUBSTITUTE(Dashboard!$D620,"_group",Dashboard!$D$503)&amp;"."&amp;YEAR(Dashboard!N$537))+N588</f>
        <v>0</v>
      </c>
      <c r="O620" s="10">
        <f>SUMIFS('Custom Constraints'!$C:$C,'Custom Constraints'!$A:$A,"caiso-deliverability_"&amp;SUBSTITUTE(Dashboard!$D620,"_group",Dashboard!$D$503)&amp;"."&amp;YEAR(Dashboard!O$537))+O588</f>
        <v>0</v>
      </c>
      <c r="P620" s="10">
        <f>SUMIFS('Custom Constraints'!$C:$C,'Custom Constraints'!$A:$A,"caiso-deliverability_"&amp;SUBSTITUTE(Dashboard!$D620,"_group",Dashboard!$D$503)&amp;"."&amp;YEAR(Dashboard!P$537))+P588</f>
        <v>0</v>
      </c>
      <c r="Q620" s="10">
        <f>SUMIFS('Custom Constraints'!$C:$C,'Custom Constraints'!$A:$A,"caiso-deliverability_"&amp;SUBSTITUTE(Dashboard!$D620,"_group",Dashboard!$D$503)&amp;"."&amp;YEAR(Dashboard!Q$537))+Q588</f>
        <v>0</v>
      </c>
      <c r="R620" s="10">
        <f>SUMIFS('Custom Constraints'!$C:$C,'Custom Constraints'!$A:$A,"caiso-deliverability_"&amp;SUBSTITUTE(Dashboard!$D620,"_group",Dashboard!$D$503)&amp;"."&amp;YEAR(Dashboard!R$537))+R588</f>
        <v>0</v>
      </c>
      <c r="S620" s="10">
        <f>SUMIFS('Custom Constraints'!$C:$C,'Custom Constraints'!$A:$A,"caiso-deliverability_"&amp;SUBSTITUTE(Dashboard!$D620,"_group",Dashboard!$D$503)&amp;"."&amp;YEAR(Dashboard!S$537))+S588</f>
        <v>0</v>
      </c>
      <c r="T620" s="10">
        <f>SUMIFS('Custom Constraints'!$C:$C,'Custom Constraints'!$A:$A,"caiso-deliverability_"&amp;SUBSTITUTE(Dashboard!$D620,"_group",Dashboard!$D$503)&amp;"."&amp;YEAR(Dashboard!T$537))+T588</f>
        <v>0</v>
      </c>
      <c r="U620" s="10">
        <f>SUMIFS('Custom Constraints'!$C:$C,'Custom Constraints'!$A:$A,"caiso-deliverability_"&amp;SUBSTITUTE(Dashboard!$D620,"_group",Dashboard!$D$503)&amp;"."&amp;YEAR(Dashboard!U$537))+U588</f>
        <v>0</v>
      </c>
      <c r="V620" s="10">
        <f>SUMIFS('Custom Constraints'!$C:$C,'Custom Constraints'!$A:$A,"caiso-deliverability_"&amp;SUBSTITUTE(Dashboard!$D620,"_group",Dashboard!$D$503)&amp;"."&amp;YEAR(Dashboard!V$537))+V588</f>
        <v>0</v>
      </c>
      <c r="W620" s="10">
        <f>SUMIFS('Custom Constraints'!$C:$C,'Custom Constraints'!$A:$A,"caiso-deliverability_"&amp;SUBSTITUTE(Dashboard!$D620,"_group",Dashboard!$D$503)&amp;"."&amp;YEAR(Dashboard!W$537))+W588</f>
        <v>0</v>
      </c>
      <c r="X620" s="10">
        <f>SUMIFS('Custom Constraints'!$C:$C,'Custom Constraints'!$A:$A,"caiso-deliverability_"&amp;SUBSTITUTE(Dashboard!$D620,"_group",Dashboard!$D$503)&amp;"."&amp;YEAR(Dashboard!X$537))+X588</f>
        <v>0</v>
      </c>
      <c r="Y620" s="10">
        <f>SUMIFS('Custom Constraints'!$C:$C,'Custom Constraints'!$A:$A,"caiso-deliverability_"&amp;SUBSTITUTE(Dashboard!$D620,"_group",Dashboard!$D$503)&amp;"."&amp;YEAR(Dashboard!Y$537))+Y588</f>
        <v>0</v>
      </c>
      <c r="Z620" s="10">
        <f>SUMIFS('Custom Constraints'!$C:$C,'Custom Constraints'!$A:$A,"caiso-deliverability_"&amp;SUBSTITUTE(Dashboard!$D620,"_group",Dashboard!$D$503)&amp;"."&amp;YEAR(Dashboard!Z$537))+Z588</f>
        <v>0</v>
      </c>
      <c r="AA620" s="10">
        <f>SUMIFS('Custom Constraints'!$C:$C,'Custom Constraints'!$A:$A,"caiso-deliverability_"&amp;SUBSTITUTE(Dashboard!$D620,"_group",Dashboard!$D$503)&amp;"."&amp;YEAR(Dashboard!AA$537))+AA588</f>
        <v>0</v>
      </c>
      <c r="AB620" s="10">
        <f>SUMIFS('Custom Constraints'!$C:$C,'Custom Constraints'!$A:$A,"caiso-deliverability_"&amp;SUBSTITUTE(Dashboard!$D620,"_group",Dashboard!$D$503)&amp;"."&amp;YEAR(Dashboard!AB$537))+AB588</f>
        <v>0</v>
      </c>
      <c r="AC620" s="10">
        <f>SUMIFS('Custom Constraints'!$C:$C,'Custom Constraints'!$A:$A,"caiso-deliverability_"&amp;SUBSTITUTE(Dashboard!$D620,"_group",Dashboard!$D$503)&amp;"."&amp;YEAR(Dashboard!AC$537))+AC588</f>
        <v>0</v>
      </c>
      <c r="AD620" s="10">
        <f>SUMIFS('Custom Constraints'!$C:$C,'Custom Constraints'!$A:$A,"caiso-deliverability_"&amp;SUBSTITUTE(Dashboard!$D620,"_group",Dashboard!$D$503)&amp;"."&amp;YEAR(Dashboard!AD$537))+AD588</f>
        <v>1560</v>
      </c>
      <c r="AH620" s="34" t="s">
        <v>422</v>
      </c>
    </row>
    <row r="621" spans="4:34" outlineLevel="2" x14ac:dyDescent="0.2">
      <c r="D621" s="8" t="s">
        <v>276</v>
      </c>
      <c r="E621" s="10">
        <f>SUMIFS('Custom Constraints'!$C:$C,'Custom Constraints'!$A:$A,"caiso-deliverability_"&amp;SUBSTITUTE(Dashboard!$D621,"_group",Dashboard!$D$503)&amp;"."&amp;YEAR(Dashboard!E$537))+E589</f>
        <v>0</v>
      </c>
      <c r="F621" s="10">
        <f>SUMIFS('Custom Constraints'!$C:$C,'Custom Constraints'!$A:$A,"caiso-deliverability_"&amp;SUBSTITUTE(Dashboard!$D621,"_group",Dashboard!$D$503)&amp;"."&amp;YEAR(Dashboard!F$537))+F589</f>
        <v>0</v>
      </c>
      <c r="G621" s="10">
        <f>SUMIFS('Custom Constraints'!$C:$C,'Custom Constraints'!$A:$A,"caiso-deliverability_"&amp;SUBSTITUTE(Dashboard!$D621,"_group",Dashboard!$D$503)&amp;"."&amp;YEAR(Dashboard!G$537))+G589</f>
        <v>0</v>
      </c>
      <c r="H621" s="10">
        <f>SUMIFS('Custom Constraints'!$C:$C,'Custom Constraints'!$A:$A,"caiso-deliverability_"&amp;SUBSTITUTE(Dashboard!$D621,"_group",Dashboard!$D$503)&amp;"."&amp;YEAR(Dashboard!H$537))+H589</f>
        <v>0</v>
      </c>
      <c r="I621" s="10">
        <f>SUMIFS('Custom Constraints'!$C:$C,'Custom Constraints'!$A:$A,"caiso-deliverability_"&amp;SUBSTITUTE(Dashboard!$D621,"_group",Dashboard!$D$503)&amp;"."&amp;YEAR(Dashboard!I$537))+I589</f>
        <v>0</v>
      </c>
      <c r="J621" s="10">
        <f>SUMIFS('Custom Constraints'!$C:$C,'Custom Constraints'!$A:$A,"caiso-deliverability_"&amp;SUBSTITUTE(Dashboard!$D621,"_group",Dashboard!$D$503)&amp;"."&amp;YEAR(Dashboard!J$537))+J589</f>
        <v>0</v>
      </c>
      <c r="K621" s="10">
        <f>SUMIFS('Custom Constraints'!$C:$C,'Custom Constraints'!$A:$A,"caiso-deliverability_"&amp;SUBSTITUTE(Dashboard!$D621,"_group",Dashboard!$D$503)&amp;"."&amp;YEAR(Dashboard!K$537))+K589</f>
        <v>0</v>
      </c>
      <c r="L621" s="10">
        <f>SUMIFS('Custom Constraints'!$C:$C,'Custom Constraints'!$A:$A,"caiso-deliverability_"&amp;SUBSTITUTE(Dashboard!$D621,"_group",Dashboard!$D$503)&amp;"."&amp;YEAR(Dashboard!L$537))+L589</f>
        <v>0</v>
      </c>
      <c r="M621" s="10">
        <f>SUMIFS('Custom Constraints'!$C:$C,'Custom Constraints'!$A:$A,"caiso-deliverability_"&amp;SUBSTITUTE(Dashboard!$D621,"_group",Dashboard!$D$503)&amp;"."&amp;YEAR(Dashboard!M$537))+M589</f>
        <v>0</v>
      </c>
      <c r="N621" s="10">
        <f>SUMIFS('Custom Constraints'!$C:$C,'Custom Constraints'!$A:$A,"caiso-deliverability_"&amp;SUBSTITUTE(Dashboard!$D621,"_group",Dashboard!$D$503)&amp;"."&amp;YEAR(Dashboard!N$537))+N589</f>
        <v>0</v>
      </c>
      <c r="O621" s="10">
        <f>SUMIFS('Custom Constraints'!$C:$C,'Custom Constraints'!$A:$A,"caiso-deliverability_"&amp;SUBSTITUTE(Dashboard!$D621,"_group",Dashboard!$D$503)&amp;"."&amp;YEAR(Dashboard!O$537))+O589</f>
        <v>0</v>
      </c>
      <c r="P621" s="10">
        <f>SUMIFS('Custom Constraints'!$C:$C,'Custom Constraints'!$A:$A,"caiso-deliverability_"&amp;SUBSTITUTE(Dashboard!$D621,"_group",Dashboard!$D$503)&amp;"."&amp;YEAR(Dashboard!P$537))+P589</f>
        <v>0</v>
      </c>
      <c r="Q621" s="10">
        <f>SUMIFS('Custom Constraints'!$C:$C,'Custom Constraints'!$A:$A,"caiso-deliverability_"&amp;SUBSTITUTE(Dashboard!$D621,"_group",Dashboard!$D$503)&amp;"."&amp;YEAR(Dashboard!Q$537))+Q589</f>
        <v>0</v>
      </c>
      <c r="R621" s="10">
        <f>SUMIFS('Custom Constraints'!$C:$C,'Custom Constraints'!$A:$A,"caiso-deliverability_"&amp;SUBSTITUTE(Dashboard!$D621,"_group",Dashboard!$D$503)&amp;"."&amp;YEAR(Dashboard!R$537))+R589</f>
        <v>0</v>
      </c>
      <c r="S621" s="10">
        <f>SUMIFS('Custom Constraints'!$C:$C,'Custom Constraints'!$A:$A,"caiso-deliverability_"&amp;SUBSTITUTE(Dashboard!$D621,"_group",Dashboard!$D$503)&amp;"."&amp;YEAR(Dashboard!S$537))+S589</f>
        <v>0</v>
      </c>
      <c r="T621" s="10">
        <f>SUMIFS('Custom Constraints'!$C:$C,'Custom Constraints'!$A:$A,"caiso-deliverability_"&amp;SUBSTITUTE(Dashboard!$D621,"_group",Dashboard!$D$503)&amp;"."&amp;YEAR(Dashboard!T$537))+T589</f>
        <v>0</v>
      </c>
      <c r="U621" s="10">
        <f>SUMIFS('Custom Constraints'!$C:$C,'Custom Constraints'!$A:$A,"caiso-deliverability_"&amp;SUBSTITUTE(Dashboard!$D621,"_group",Dashboard!$D$503)&amp;"."&amp;YEAR(Dashboard!U$537))+U589</f>
        <v>0</v>
      </c>
      <c r="V621" s="10">
        <f>SUMIFS('Custom Constraints'!$C:$C,'Custom Constraints'!$A:$A,"caiso-deliverability_"&amp;SUBSTITUTE(Dashboard!$D621,"_group",Dashboard!$D$503)&amp;"."&amp;YEAR(Dashboard!V$537))+V589</f>
        <v>0</v>
      </c>
      <c r="W621" s="10">
        <f>SUMIFS('Custom Constraints'!$C:$C,'Custom Constraints'!$A:$A,"caiso-deliverability_"&amp;SUBSTITUTE(Dashboard!$D621,"_group",Dashboard!$D$503)&amp;"."&amp;YEAR(Dashboard!W$537))+W589</f>
        <v>0</v>
      </c>
      <c r="X621" s="10">
        <f>SUMIFS('Custom Constraints'!$C:$C,'Custom Constraints'!$A:$A,"caiso-deliverability_"&amp;SUBSTITUTE(Dashboard!$D621,"_group",Dashboard!$D$503)&amp;"."&amp;YEAR(Dashboard!X$537))+X589</f>
        <v>0</v>
      </c>
      <c r="Y621" s="10">
        <f>SUMIFS('Custom Constraints'!$C:$C,'Custom Constraints'!$A:$A,"caiso-deliverability_"&amp;SUBSTITUTE(Dashboard!$D621,"_group",Dashboard!$D$503)&amp;"."&amp;YEAR(Dashboard!Y$537))+Y589</f>
        <v>0</v>
      </c>
      <c r="Z621" s="10">
        <f>SUMIFS('Custom Constraints'!$C:$C,'Custom Constraints'!$A:$A,"caiso-deliverability_"&amp;SUBSTITUTE(Dashboard!$D621,"_group",Dashboard!$D$503)&amp;"."&amp;YEAR(Dashboard!Z$537))+Z589</f>
        <v>0</v>
      </c>
      <c r="AA621" s="10">
        <f>SUMIFS('Custom Constraints'!$C:$C,'Custom Constraints'!$A:$A,"caiso-deliverability_"&amp;SUBSTITUTE(Dashboard!$D621,"_group",Dashboard!$D$503)&amp;"."&amp;YEAR(Dashboard!AA$537))+AA589</f>
        <v>0</v>
      </c>
      <c r="AB621" s="10">
        <f>SUMIFS('Custom Constraints'!$C:$C,'Custom Constraints'!$A:$A,"caiso-deliverability_"&amp;SUBSTITUTE(Dashboard!$D621,"_group",Dashboard!$D$503)&amp;"."&amp;YEAR(Dashboard!AB$537))+AB589</f>
        <v>0</v>
      </c>
      <c r="AC621" s="10">
        <f>SUMIFS('Custom Constraints'!$C:$C,'Custom Constraints'!$A:$A,"caiso-deliverability_"&amp;SUBSTITUTE(Dashboard!$D621,"_group",Dashboard!$D$503)&amp;"."&amp;YEAR(Dashboard!AC$537))+AC589</f>
        <v>0</v>
      </c>
      <c r="AD621" s="10">
        <f>SUMIFS('Custom Constraints'!$C:$C,'Custom Constraints'!$A:$A,"caiso-deliverability_"&amp;SUBSTITUTE(Dashboard!$D621,"_group",Dashboard!$D$503)&amp;"."&amp;YEAR(Dashboard!AD$537))+AD589</f>
        <v>420.80000000000007</v>
      </c>
      <c r="AH621" s="34" t="s">
        <v>422</v>
      </c>
    </row>
    <row r="622" spans="4:34" outlineLevel="2" x14ac:dyDescent="0.2">
      <c r="D622" s="8" t="s">
        <v>277</v>
      </c>
      <c r="E622" s="10">
        <f>SUMIFS('Custom Constraints'!$C:$C,'Custom Constraints'!$A:$A,"caiso-deliverability_"&amp;SUBSTITUTE(Dashboard!$D622,"_group",Dashboard!$D$503)&amp;"."&amp;YEAR(Dashboard!E$537))+E590</f>
        <v>0</v>
      </c>
      <c r="F622" s="10">
        <f>SUMIFS('Custom Constraints'!$C:$C,'Custom Constraints'!$A:$A,"caiso-deliverability_"&amp;SUBSTITUTE(Dashboard!$D622,"_group",Dashboard!$D$503)&amp;"."&amp;YEAR(Dashboard!F$537))+F590</f>
        <v>0</v>
      </c>
      <c r="G622" s="10">
        <f>SUMIFS('Custom Constraints'!$C:$C,'Custom Constraints'!$A:$A,"caiso-deliverability_"&amp;SUBSTITUTE(Dashboard!$D622,"_group",Dashboard!$D$503)&amp;"."&amp;YEAR(Dashboard!G$537))+G590</f>
        <v>0</v>
      </c>
      <c r="H622" s="10">
        <f>SUMIFS('Custom Constraints'!$C:$C,'Custom Constraints'!$A:$A,"caiso-deliverability_"&amp;SUBSTITUTE(Dashboard!$D622,"_group",Dashboard!$D$503)&amp;"."&amp;YEAR(Dashboard!H$537))+H590</f>
        <v>0</v>
      </c>
      <c r="I622" s="10">
        <f>SUMIFS('Custom Constraints'!$C:$C,'Custom Constraints'!$A:$A,"caiso-deliverability_"&amp;SUBSTITUTE(Dashboard!$D622,"_group",Dashboard!$D$503)&amp;"."&amp;YEAR(Dashboard!I$537))+I590</f>
        <v>0</v>
      </c>
      <c r="J622" s="10">
        <f>SUMIFS('Custom Constraints'!$C:$C,'Custom Constraints'!$A:$A,"caiso-deliverability_"&amp;SUBSTITUTE(Dashboard!$D622,"_group",Dashboard!$D$503)&amp;"."&amp;YEAR(Dashboard!J$537))+J590</f>
        <v>0</v>
      </c>
      <c r="K622" s="10">
        <f>SUMIFS('Custom Constraints'!$C:$C,'Custom Constraints'!$A:$A,"caiso-deliverability_"&amp;SUBSTITUTE(Dashboard!$D622,"_group",Dashboard!$D$503)&amp;"."&amp;YEAR(Dashboard!K$537))+K590</f>
        <v>0</v>
      </c>
      <c r="L622" s="10">
        <f>SUMIFS('Custom Constraints'!$C:$C,'Custom Constraints'!$A:$A,"caiso-deliverability_"&amp;SUBSTITUTE(Dashboard!$D622,"_group",Dashboard!$D$503)&amp;"."&amp;YEAR(Dashboard!L$537))+L590</f>
        <v>0</v>
      </c>
      <c r="M622" s="10">
        <f>SUMIFS('Custom Constraints'!$C:$C,'Custom Constraints'!$A:$A,"caiso-deliverability_"&amp;SUBSTITUTE(Dashboard!$D622,"_group",Dashboard!$D$503)&amp;"."&amp;YEAR(Dashboard!M$537))+M590</f>
        <v>0</v>
      </c>
      <c r="N622" s="10">
        <f>SUMIFS('Custom Constraints'!$C:$C,'Custom Constraints'!$A:$A,"caiso-deliverability_"&amp;SUBSTITUTE(Dashboard!$D622,"_group",Dashboard!$D$503)&amp;"."&amp;YEAR(Dashboard!N$537))+N590</f>
        <v>0</v>
      </c>
      <c r="O622" s="10">
        <f>SUMIFS('Custom Constraints'!$C:$C,'Custom Constraints'!$A:$A,"caiso-deliverability_"&amp;SUBSTITUTE(Dashboard!$D622,"_group",Dashboard!$D$503)&amp;"."&amp;YEAR(Dashboard!O$537))+O590</f>
        <v>0</v>
      </c>
      <c r="P622" s="10">
        <f>SUMIFS('Custom Constraints'!$C:$C,'Custom Constraints'!$A:$A,"caiso-deliverability_"&amp;SUBSTITUTE(Dashboard!$D622,"_group",Dashboard!$D$503)&amp;"."&amp;YEAR(Dashboard!P$537))+P590</f>
        <v>0</v>
      </c>
      <c r="Q622" s="10">
        <f>SUMIFS('Custom Constraints'!$C:$C,'Custom Constraints'!$A:$A,"caiso-deliverability_"&amp;SUBSTITUTE(Dashboard!$D622,"_group",Dashboard!$D$503)&amp;"."&amp;YEAR(Dashboard!Q$537))+Q590</f>
        <v>0</v>
      </c>
      <c r="R622" s="10">
        <f>SUMIFS('Custom Constraints'!$C:$C,'Custom Constraints'!$A:$A,"caiso-deliverability_"&amp;SUBSTITUTE(Dashboard!$D622,"_group",Dashboard!$D$503)&amp;"."&amp;YEAR(Dashboard!R$537))+R590</f>
        <v>0</v>
      </c>
      <c r="S622" s="10">
        <f>SUMIFS('Custom Constraints'!$C:$C,'Custom Constraints'!$A:$A,"caiso-deliverability_"&amp;SUBSTITUTE(Dashboard!$D622,"_group",Dashboard!$D$503)&amp;"."&amp;YEAR(Dashboard!S$537))+S590</f>
        <v>0</v>
      </c>
      <c r="T622" s="10">
        <f>SUMIFS('Custom Constraints'!$C:$C,'Custom Constraints'!$A:$A,"caiso-deliverability_"&amp;SUBSTITUTE(Dashboard!$D622,"_group",Dashboard!$D$503)&amp;"."&amp;YEAR(Dashboard!T$537))+T590</f>
        <v>0</v>
      </c>
      <c r="U622" s="10">
        <f>SUMIFS('Custom Constraints'!$C:$C,'Custom Constraints'!$A:$A,"caiso-deliverability_"&amp;SUBSTITUTE(Dashboard!$D622,"_group",Dashboard!$D$503)&amp;"."&amp;YEAR(Dashboard!U$537))+U590</f>
        <v>0</v>
      </c>
      <c r="V622" s="10">
        <f>SUMIFS('Custom Constraints'!$C:$C,'Custom Constraints'!$A:$A,"caiso-deliverability_"&amp;SUBSTITUTE(Dashboard!$D622,"_group",Dashboard!$D$503)&amp;"."&amp;YEAR(Dashboard!V$537))+V590</f>
        <v>0</v>
      </c>
      <c r="W622" s="10">
        <f>SUMIFS('Custom Constraints'!$C:$C,'Custom Constraints'!$A:$A,"caiso-deliverability_"&amp;SUBSTITUTE(Dashboard!$D622,"_group",Dashboard!$D$503)&amp;"."&amp;YEAR(Dashboard!W$537))+W590</f>
        <v>0</v>
      </c>
      <c r="X622" s="10">
        <f>SUMIFS('Custom Constraints'!$C:$C,'Custom Constraints'!$A:$A,"caiso-deliverability_"&amp;SUBSTITUTE(Dashboard!$D622,"_group",Dashboard!$D$503)&amp;"."&amp;YEAR(Dashboard!X$537))+X590</f>
        <v>0</v>
      </c>
      <c r="Y622" s="10">
        <f>SUMIFS('Custom Constraints'!$C:$C,'Custom Constraints'!$A:$A,"caiso-deliverability_"&amp;SUBSTITUTE(Dashboard!$D622,"_group",Dashboard!$D$503)&amp;"."&amp;YEAR(Dashboard!Y$537))+Y590</f>
        <v>0</v>
      </c>
      <c r="Z622" s="10">
        <f>SUMIFS('Custom Constraints'!$C:$C,'Custom Constraints'!$A:$A,"caiso-deliverability_"&amp;SUBSTITUTE(Dashboard!$D622,"_group",Dashboard!$D$503)&amp;"."&amp;YEAR(Dashboard!Z$537))+Z590</f>
        <v>0</v>
      </c>
      <c r="AA622" s="10">
        <f>SUMIFS('Custom Constraints'!$C:$C,'Custom Constraints'!$A:$A,"caiso-deliverability_"&amp;SUBSTITUTE(Dashboard!$D622,"_group",Dashboard!$D$503)&amp;"."&amp;YEAR(Dashboard!AA$537))+AA590</f>
        <v>0</v>
      </c>
      <c r="AB622" s="10">
        <f>SUMIFS('Custom Constraints'!$C:$C,'Custom Constraints'!$A:$A,"caiso-deliverability_"&amp;SUBSTITUTE(Dashboard!$D622,"_group",Dashboard!$D$503)&amp;"."&amp;YEAR(Dashboard!AB$537))+AB590</f>
        <v>0</v>
      </c>
      <c r="AC622" s="10">
        <f>SUMIFS('Custom Constraints'!$C:$C,'Custom Constraints'!$A:$A,"caiso-deliverability_"&amp;SUBSTITUTE(Dashboard!$D622,"_group",Dashboard!$D$503)&amp;"."&amp;YEAR(Dashboard!AC$537))+AC590</f>
        <v>0</v>
      </c>
      <c r="AD622" s="10">
        <f>SUMIFS('Custom Constraints'!$C:$C,'Custom Constraints'!$A:$A,"caiso-deliverability_"&amp;SUBSTITUTE(Dashboard!$D622,"_group",Dashboard!$D$503)&amp;"."&amp;YEAR(Dashboard!AD$537))+AD590</f>
        <v>345.80000000000007</v>
      </c>
      <c r="AH622" s="34" t="s">
        <v>422</v>
      </c>
    </row>
    <row r="623" spans="4:34" outlineLevel="2" x14ac:dyDescent="0.2">
      <c r="D623" s="8" t="s">
        <v>278</v>
      </c>
      <c r="E623" s="10">
        <f>SUMIFS('Custom Constraints'!$C:$C,'Custom Constraints'!$A:$A,"caiso-deliverability_"&amp;SUBSTITUTE(Dashboard!$D623,"_group",Dashboard!$D$503)&amp;"."&amp;YEAR(Dashboard!E$537))+E591</f>
        <v>0</v>
      </c>
      <c r="F623" s="10">
        <f>SUMIFS('Custom Constraints'!$C:$C,'Custom Constraints'!$A:$A,"caiso-deliverability_"&amp;SUBSTITUTE(Dashboard!$D623,"_group",Dashboard!$D$503)&amp;"."&amp;YEAR(Dashboard!F$537))+F591</f>
        <v>0</v>
      </c>
      <c r="G623" s="10">
        <f>SUMIFS('Custom Constraints'!$C:$C,'Custom Constraints'!$A:$A,"caiso-deliverability_"&amp;SUBSTITUTE(Dashboard!$D623,"_group",Dashboard!$D$503)&amp;"."&amp;YEAR(Dashboard!G$537))+G591</f>
        <v>0</v>
      </c>
      <c r="H623" s="10">
        <f>SUMIFS('Custom Constraints'!$C:$C,'Custom Constraints'!$A:$A,"caiso-deliverability_"&amp;SUBSTITUTE(Dashboard!$D623,"_group",Dashboard!$D$503)&amp;"."&amp;YEAR(Dashboard!H$537))+H591</f>
        <v>0</v>
      </c>
      <c r="I623" s="10">
        <f>SUMIFS('Custom Constraints'!$C:$C,'Custom Constraints'!$A:$A,"caiso-deliverability_"&amp;SUBSTITUTE(Dashboard!$D623,"_group",Dashboard!$D$503)&amp;"."&amp;YEAR(Dashboard!I$537))+I591</f>
        <v>0</v>
      </c>
      <c r="J623" s="10">
        <f>SUMIFS('Custom Constraints'!$C:$C,'Custom Constraints'!$A:$A,"caiso-deliverability_"&amp;SUBSTITUTE(Dashboard!$D623,"_group",Dashboard!$D$503)&amp;"."&amp;YEAR(Dashboard!J$537))+J591</f>
        <v>0</v>
      </c>
      <c r="K623" s="10">
        <f>SUMIFS('Custom Constraints'!$C:$C,'Custom Constraints'!$A:$A,"caiso-deliverability_"&amp;SUBSTITUTE(Dashboard!$D623,"_group",Dashboard!$D$503)&amp;"."&amp;YEAR(Dashboard!K$537))+K591</f>
        <v>0</v>
      </c>
      <c r="L623" s="10">
        <f>SUMIFS('Custom Constraints'!$C:$C,'Custom Constraints'!$A:$A,"caiso-deliverability_"&amp;SUBSTITUTE(Dashboard!$D623,"_group",Dashboard!$D$503)&amp;"."&amp;YEAR(Dashboard!L$537))+L591</f>
        <v>0</v>
      </c>
      <c r="M623" s="10">
        <f>SUMIFS('Custom Constraints'!$C:$C,'Custom Constraints'!$A:$A,"caiso-deliverability_"&amp;SUBSTITUTE(Dashboard!$D623,"_group",Dashboard!$D$503)&amp;"."&amp;YEAR(Dashboard!M$537))+M591</f>
        <v>0</v>
      </c>
      <c r="N623" s="10">
        <f>SUMIFS('Custom Constraints'!$C:$C,'Custom Constraints'!$A:$A,"caiso-deliverability_"&amp;SUBSTITUTE(Dashboard!$D623,"_group",Dashboard!$D$503)&amp;"."&amp;YEAR(Dashboard!N$537))+N591</f>
        <v>0</v>
      </c>
      <c r="O623" s="10">
        <f>SUMIFS('Custom Constraints'!$C:$C,'Custom Constraints'!$A:$A,"caiso-deliverability_"&amp;SUBSTITUTE(Dashboard!$D623,"_group",Dashboard!$D$503)&amp;"."&amp;YEAR(Dashboard!O$537))+O591</f>
        <v>0</v>
      </c>
      <c r="P623" s="10">
        <f>SUMIFS('Custom Constraints'!$C:$C,'Custom Constraints'!$A:$A,"caiso-deliverability_"&amp;SUBSTITUTE(Dashboard!$D623,"_group",Dashboard!$D$503)&amp;"."&amp;YEAR(Dashboard!P$537))+P591</f>
        <v>0</v>
      </c>
      <c r="Q623" s="10">
        <f>SUMIFS('Custom Constraints'!$C:$C,'Custom Constraints'!$A:$A,"caiso-deliverability_"&amp;SUBSTITUTE(Dashboard!$D623,"_group",Dashboard!$D$503)&amp;"."&amp;YEAR(Dashboard!Q$537))+Q591</f>
        <v>0</v>
      </c>
      <c r="R623" s="10">
        <f>SUMIFS('Custom Constraints'!$C:$C,'Custom Constraints'!$A:$A,"caiso-deliverability_"&amp;SUBSTITUTE(Dashboard!$D623,"_group",Dashboard!$D$503)&amp;"."&amp;YEAR(Dashboard!R$537))+R591</f>
        <v>0</v>
      </c>
      <c r="S623" s="10">
        <f>SUMIFS('Custom Constraints'!$C:$C,'Custom Constraints'!$A:$A,"caiso-deliverability_"&amp;SUBSTITUTE(Dashboard!$D623,"_group",Dashboard!$D$503)&amp;"."&amp;YEAR(Dashboard!S$537))+S591</f>
        <v>0</v>
      </c>
      <c r="T623" s="10">
        <f>SUMIFS('Custom Constraints'!$C:$C,'Custom Constraints'!$A:$A,"caiso-deliverability_"&amp;SUBSTITUTE(Dashboard!$D623,"_group",Dashboard!$D$503)&amp;"."&amp;YEAR(Dashboard!T$537))+T591</f>
        <v>0</v>
      </c>
      <c r="U623" s="10">
        <f>SUMIFS('Custom Constraints'!$C:$C,'Custom Constraints'!$A:$A,"caiso-deliverability_"&amp;SUBSTITUTE(Dashboard!$D623,"_group",Dashboard!$D$503)&amp;"."&amp;YEAR(Dashboard!U$537))+U591</f>
        <v>0</v>
      </c>
      <c r="V623" s="10">
        <f>SUMIFS('Custom Constraints'!$C:$C,'Custom Constraints'!$A:$A,"caiso-deliverability_"&amp;SUBSTITUTE(Dashboard!$D623,"_group",Dashboard!$D$503)&amp;"."&amp;YEAR(Dashboard!V$537))+V591</f>
        <v>0</v>
      </c>
      <c r="W623" s="10">
        <f>SUMIFS('Custom Constraints'!$C:$C,'Custom Constraints'!$A:$A,"caiso-deliverability_"&amp;SUBSTITUTE(Dashboard!$D623,"_group",Dashboard!$D$503)&amp;"."&amp;YEAR(Dashboard!W$537))+W591</f>
        <v>0</v>
      </c>
      <c r="X623" s="10">
        <f>SUMIFS('Custom Constraints'!$C:$C,'Custom Constraints'!$A:$A,"caiso-deliverability_"&amp;SUBSTITUTE(Dashboard!$D623,"_group",Dashboard!$D$503)&amp;"."&amp;YEAR(Dashboard!X$537))+X591</f>
        <v>0</v>
      </c>
      <c r="Y623" s="10">
        <f>SUMIFS('Custom Constraints'!$C:$C,'Custom Constraints'!$A:$A,"caiso-deliverability_"&amp;SUBSTITUTE(Dashboard!$D623,"_group",Dashboard!$D$503)&amp;"."&amp;YEAR(Dashboard!Y$537))+Y591</f>
        <v>0</v>
      </c>
      <c r="Z623" s="10">
        <f>SUMIFS('Custom Constraints'!$C:$C,'Custom Constraints'!$A:$A,"caiso-deliverability_"&amp;SUBSTITUTE(Dashboard!$D623,"_group",Dashboard!$D$503)&amp;"."&amp;YEAR(Dashboard!Z$537))+Z591</f>
        <v>0</v>
      </c>
      <c r="AA623" s="10">
        <f>SUMIFS('Custom Constraints'!$C:$C,'Custom Constraints'!$A:$A,"caiso-deliverability_"&amp;SUBSTITUTE(Dashboard!$D623,"_group",Dashboard!$D$503)&amp;"."&amp;YEAR(Dashboard!AA$537))+AA591</f>
        <v>0</v>
      </c>
      <c r="AB623" s="10">
        <f>SUMIFS('Custom Constraints'!$C:$C,'Custom Constraints'!$A:$A,"caiso-deliverability_"&amp;SUBSTITUTE(Dashboard!$D623,"_group",Dashboard!$D$503)&amp;"."&amp;YEAR(Dashboard!AB$537))+AB591</f>
        <v>0</v>
      </c>
      <c r="AC623" s="10">
        <f>SUMIFS('Custom Constraints'!$C:$C,'Custom Constraints'!$A:$A,"caiso-deliverability_"&amp;SUBSTITUTE(Dashboard!$D623,"_group",Dashboard!$D$503)&amp;"."&amp;YEAR(Dashboard!AC$537))+AC591</f>
        <v>0</v>
      </c>
      <c r="AD623" s="10">
        <f>SUMIFS('Custom Constraints'!$C:$C,'Custom Constraints'!$A:$A,"caiso-deliverability_"&amp;SUBSTITUTE(Dashboard!$D623,"_group",Dashboard!$D$503)&amp;"."&amp;YEAR(Dashboard!AD$537))+AD591</f>
        <v>2901.0000000000005</v>
      </c>
      <c r="AH623" s="34" t="s">
        <v>422</v>
      </c>
    </row>
    <row r="624" spans="4:34" outlineLevel="2" x14ac:dyDescent="0.2">
      <c r="D624" s="8" t="s">
        <v>279</v>
      </c>
      <c r="E624" s="10">
        <f>SUMIFS('Custom Constraints'!$C:$C,'Custom Constraints'!$A:$A,"caiso-deliverability_"&amp;SUBSTITUTE(Dashboard!$D624,"_group",Dashboard!$D$503)&amp;"."&amp;YEAR(Dashboard!E$537))+E592</f>
        <v>0</v>
      </c>
      <c r="F624" s="10">
        <f>SUMIFS('Custom Constraints'!$C:$C,'Custom Constraints'!$A:$A,"caiso-deliverability_"&amp;SUBSTITUTE(Dashboard!$D624,"_group",Dashboard!$D$503)&amp;"."&amp;YEAR(Dashboard!F$537))+F592</f>
        <v>0</v>
      </c>
      <c r="G624" s="10">
        <f>SUMIFS('Custom Constraints'!$C:$C,'Custom Constraints'!$A:$A,"caiso-deliverability_"&amp;SUBSTITUTE(Dashboard!$D624,"_group",Dashboard!$D$503)&amp;"."&amp;YEAR(Dashboard!G$537))+G592</f>
        <v>0</v>
      </c>
      <c r="H624" s="10">
        <f>SUMIFS('Custom Constraints'!$C:$C,'Custom Constraints'!$A:$A,"caiso-deliverability_"&amp;SUBSTITUTE(Dashboard!$D624,"_group",Dashboard!$D$503)&amp;"."&amp;YEAR(Dashboard!H$537))+H592</f>
        <v>0</v>
      </c>
      <c r="I624" s="10">
        <f>SUMIFS('Custom Constraints'!$C:$C,'Custom Constraints'!$A:$A,"caiso-deliverability_"&amp;SUBSTITUTE(Dashboard!$D624,"_group",Dashboard!$D$503)&amp;"."&amp;YEAR(Dashboard!I$537))+I592</f>
        <v>0</v>
      </c>
      <c r="J624" s="10">
        <f>SUMIFS('Custom Constraints'!$C:$C,'Custom Constraints'!$A:$A,"caiso-deliverability_"&amp;SUBSTITUTE(Dashboard!$D624,"_group",Dashboard!$D$503)&amp;"."&amp;YEAR(Dashboard!J$537))+J592</f>
        <v>0</v>
      </c>
      <c r="K624" s="10">
        <f>SUMIFS('Custom Constraints'!$C:$C,'Custom Constraints'!$A:$A,"caiso-deliverability_"&amp;SUBSTITUTE(Dashboard!$D624,"_group",Dashboard!$D$503)&amp;"."&amp;YEAR(Dashboard!K$537))+K592</f>
        <v>0</v>
      </c>
      <c r="L624" s="10">
        <f>SUMIFS('Custom Constraints'!$C:$C,'Custom Constraints'!$A:$A,"caiso-deliverability_"&amp;SUBSTITUTE(Dashboard!$D624,"_group",Dashboard!$D$503)&amp;"."&amp;YEAR(Dashboard!L$537))+L592</f>
        <v>0</v>
      </c>
      <c r="M624" s="10">
        <f>SUMIFS('Custom Constraints'!$C:$C,'Custom Constraints'!$A:$A,"caiso-deliverability_"&amp;SUBSTITUTE(Dashboard!$D624,"_group",Dashboard!$D$503)&amp;"."&amp;YEAR(Dashboard!M$537))+M592</f>
        <v>0</v>
      </c>
      <c r="N624" s="10">
        <f>SUMIFS('Custom Constraints'!$C:$C,'Custom Constraints'!$A:$A,"caiso-deliverability_"&amp;SUBSTITUTE(Dashboard!$D624,"_group",Dashboard!$D$503)&amp;"."&amp;YEAR(Dashboard!N$537))+N592</f>
        <v>0</v>
      </c>
      <c r="O624" s="10">
        <f>SUMIFS('Custom Constraints'!$C:$C,'Custom Constraints'!$A:$A,"caiso-deliverability_"&amp;SUBSTITUTE(Dashboard!$D624,"_group",Dashboard!$D$503)&amp;"."&amp;YEAR(Dashboard!O$537))+O592</f>
        <v>0</v>
      </c>
      <c r="P624" s="10">
        <f>SUMIFS('Custom Constraints'!$C:$C,'Custom Constraints'!$A:$A,"caiso-deliverability_"&amp;SUBSTITUTE(Dashboard!$D624,"_group",Dashboard!$D$503)&amp;"."&amp;YEAR(Dashboard!P$537))+P592</f>
        <v>0</v>
      </c>
      <c r="Q624" s="10">
        <f>SUMIFS('Custom Constraints'!$C:$C,'Custom Constraints'!$A:$A,"caiso-deliverability_"&amp;SUBSTITUTE(Dashboard!$D624,"_group",Dashboard!$D$503)&amp;"."&amp;YEAR(Dashboard!Q$537))+Q592</f>
        <v>0</v>
      </c>
      <c r="R624" s="10">
        <f>SUMIFS('Custom Constraints'!$C:$C,'Custom Constraints'!$A:$A,"caiso-deliverability_"&amp;SUBSTITUTE(Dashboard!$D624,"_group",Dashboard!$D$503)&amp;"."&amp;YEAR(Dashboard!R$537))+R592</f>
        <v>0</v>
      </c>
      <c r="S624" s="10">
        <f>SUMIFS('Custom Constraints'!$C:$C,'Custom Constraints'!$A:$A,"caiso-deliverability_"&amp;SUBSTITUTE(Dashboard!$D624,"_group",Dashboard!$D$503)&amp;"."&amp;YEAR(Dashboard!S$537))+S592</f>
        <v>0</v>
      </c>
      <c r="T624" s="10">
        <f>SUMIFS('Custom Constraints'!$C:$C,'Custom Constraints'!$A:$A,"caiso-deliverability_"&amp;SUBSTITUTE(Dashboard!$D624,"_group",Dashboard!$D$503)&amp;"."&amp;YEAR(Dashboard!T$537))+T592</f>
        <v>0</v>
      </c>
      <c r="U624" s="10">
        <f>SUMIFS('Custom Constraints'!$C:$C,'Custom Constraints'!$A:$A,"caiso-deliverability_"&amp;SUBSTITUTE(Dashboard!$D624,"_group",Dashboard!$D$503)&amp;"."&amp;YEAR(Dashboard!U$537))+U592</f>
        <v>0</v>
      </c>
      <c r="V624" s="10">
        <f>SUMIFS('Custom Constraints'!$C:$C,'Custom Constraints'!$A:$A,"caiso-deliverability_"&amp;SUBSTITUTE(Dashboard!$D624,"_group",Dashboard!$D$503)&amp;"."&amp;YEAR(Dashboard!V$537))+V592</f>
        <v>0</v>
      </c>
      <c r="W624" s="10">
        <f>SUMIFS('Custom Constraints'!$C:$C,'Custom Constraints'!$A:$A,"caiso-deliverability_"&amp;SUBSTITUTE(Dashboard!$D624,"_group",Dashboard!$D$503)&amp;"."&amp;YEAR(Dashboard!W$537))+W592</f>
        <v>0</v>
      </c>
      <c r="X624" s="10">
        <f>SUMIFS('Custom Constraints'!$C:$C,'Custom Constraints'!$A:$A,"caiso-deliverability_"&amp;SUBSTITUTE(Dashboard!$D624,"_group",Dashboard!$D$503)&amp;"."&amp;YEAR(Dashboard!X$537))+X592</f>
        <v>0</v>
      </c>
      <c r="Y624" s="10">
        <f>SUMIFS('Custom Constraints'!$C:$C,'Custom Constraints'!$A:$A,"caiso-deliverability_"&amp;SUBSTITUTE(Dashboard!$D624,"_group",Dashboard!$D$503)&amp;"."&amp;YEAR(Dashboard!Y$537))+Y592</f>
        <v>0</v>
      </c>
      <c r="Z624" s="10">
        <f>SUMIFS('Custom Constraints'!$C:$C,'Custom Constraints'!$A:$A,"caiso-deliverability_"&amp;SUBSTITUTE(Dashboard!$D624,"_group",Dashboard!$D$503)&amp;"."&amp;YEAR(Dashboard!Z$537))+Z592</f>
        <v>0</v>
      </c>
      <c r="AA624" s="10">
        <f>SUMIFS('Custom Constraints'!$C:$C,'Custom Constraints'!$A:$A,"caiso-deliverability_"&amp;SUBSTITUTE(Dashboard!$D624,"_group",Dashboard!$D$503)&amp;"."&amp;YEAR(Dashboard!AA$537))+AA592</f>
        <v>0</v>
      </c>
      <c r="AB624" s="10">
        <f>SUMIFS('Custom Constraints'!$C:$C,'Custom Constraints'!$A:$A,"caiso-deliverability_"&amp;SUBSTITUTE(Dashboard!$D624,"_group",Dashboard!$D$503)&amp;"."&amp;YEAR(Dashboard!AB$537))+AB592</f>
        <v>0</v>
      </c>
      <c r="AC624" s="10">
        <f>SUMIFS('Custom Constraints'!$C:$C,'Custom Constraints'!$A:$A,"caiso-deliverability_"&amp;SUBSTITUTE(Dashboard!$D624,"_group",Dashboard!$D$503)&amp;"."&amp;YEAR(Dashboard!AC$537))+AC592</f>
        <v>0</v>
      </c>
      <c r="AD624" s="10">
        <f>SUMIFS('Custom Constraints'!$C:$C,'Custom Constraints'!$A:$A,"caiso-deliverability_"&amp;SUBSTITUTE(Dashboard!$D624,"_group",Dashboard!$D$503)&amp;"."&amp;YEAR(Dashboard!AD$537))+AD592</f>
        <v>5700</v>
      </c>
      <c r="AH624" s="34" t="s">
        <v>422</v>
      </c>
    </row>
    <row r="625" spans="3:34" outlineLevel="2" x14ac:dyDescent="0.2">
      <c r="D625" s="8" t="s">
        <v>280</v>
      </c>
      <c r="E625" s="10">
        <f>SUMIFS('Custom Constraints'!$C:$C,'Custom Constraints'!$A:$A,"caiso-deliverability_"&amp;SUBSTITUTE(Dashboard!$D625,"_group",Dashboard!$D$503)&amp;"."&amp;YEAR(Dashboard!E$537))+E593</f>
        <v>0</v>
      </c>
      <c r="F625" s="10">
        <f>SUMIFS('Custom Constraints'!$C:$C,'Custom Constraints'!$A:$A,"caiso-deliverability_"&amp;SUBSTITUTE(Dashboard!$D625,"_group",Dashboard!$D$503)&amp;"."&amp;YEAR(Dashboard!F$537))+F593</f>
        <v>0</v>
      </c>
      <c r="G625" s="10">
        <f>SUMIFS('Custom Constraints'!$C:$C,'Custom Constraints'!$A:$A,"caiso-deliverability_"&amp;SUBSTITUTE(Dashboard!$D625,"_group",Dashboard!$D$503)&amp;"."&amp;YEAR(Dashboard!G$537))+G593</f>
        <v>0</v>
      </c>
      <c r="H625" s="10">
        <f>SUMIFS('Custom Constraints'!$C:$C,'Custom Constraints'!$A:$A,"caiso-deliverability_"&amp;SUBSTITUTE(Dashboard!$D625,"_group",Dashboard!$D$503)&amp;"."&amp;YEAR(Dashboard!H$537))+H593</f>
        <v>0</v>
      </c>
      <c r="I625" s="10">
        <f>SUMIFS('Custom Constraints'!$C:$C,'Custom Constraints'!$A:$A,"caiso-deliverability_"&amp;SUBSTITUTE(Dashboard!$D625,"_group",Dashboard!$D$503)&amp;"."&amp;YEAR(Dashboard!I$537))+I593</f>
        <v>0</v>
      </c>
      <c r="J625" s="10">
        <f>SUMIFS('Custom Constraints'!$C:$C,'Custom Constraints'!$A:$A,"caiso-deliverability_"&amp;SUBSTITUTE(Dashboard!$D625,"_group",Dashboard!$D$503)&amp;"."&amp;YEAR(Dashboard!J$537))+J593</f>
        <v>0</v>
      </c>
      <c r="K625" s="10">
        <f>SUMIFS('Custom Constraints'!$C:$C,'Custom Constraints'!$A:$A,"caiso-deliverability_"&amp;SUBSTITUTE(Dashboard!$D625,"_group",Dashboard!$D$503)&amp;"."&amp;YEAR(Dashboard!K$537))+K593</f>
        <v>0</v>
      </c>
      <c r="L625" s="10">
        <f>SUMIFS('Custom Constraints'!$C:$C,'Custom Constraints'!$A:$A,"caiso-deliverability_"&amp;SUBSTITUTE(Dashboard!$D625,"_group",Dashboard!$D$503)&amp;"."&amp;YEAR(Dashboard!L$537))+L593</f>
        <v>0</v>
      </c>
      <c r="M625" s="10">
        <f>SUMIFS('Custom Constraints'!$C:$C,'Custom Constraints'!$A:$A,"caiso-deliverability_"&amp;SUBSTITUTE(Dashboard!$D625,"_group",Dashboard!$D$503)&amp;"."&amp;YEAR(Dashboard!M$537))+M593</f>
        <v>0</v>
      </c>
      <c r="N625" s="10">
        <f>SUMIFS('Custom Constraints'!$C:$C,'Custom Constraints'!$A:$A,"caiso-deliverability_"&amp;SUBSTITUTE(Dashboard!$D625,"_group",Dashboard!$D$503)&amp;"."&amp;YEAR(Dashboard!N$537))+N593</f>
        <v>0</v>
      </c>
      <c r="O625" s="10">
        <f>SUMIFS('Custom Constraints'!$C:$C,'Custom Constraints'!$A:$A,"caiso-deliverability_"&amp;SUBSTITUTE(Dashboard!$D625,"_group",Dashboard!$D$503)&amp;"."&amp;YEAR(Dashboard!O$537))+O593</f>
        <v>0</v>
      </c>
      <c r="P625" s="10">
        <f>SUMIFS('Custom Constraints'!$C:$C,'Custom Constraints'!$A:$A,"caiso-deliverability_"&amp;SUBSTITUTE(Dashboard!$D625,"_group",Dashboard!$D$503)&amp;"."&amp;YEAR(Dashboard!P$537))+P593</f>
        <v>0</v>
      </c>
      <c r="Q625" s="10">
        <f>SUMIFS('Custom Constraints'!$C:$C,'Custom Constraints'!$A:$A,"caiso-deliverability_"&amp;SUBSTITUTE(Dashboard!$D625,"_group",Dashboard!$D$503)&amp;"."&amp;YEAR(Dashboard!Q$537))+Q593</f>
        <v>0</v>
      </c>
      <c r="R625" s="10">
        <f>SUMIFS('Custom Constraints'!$C:$C,'Custom Constraints'!$A:$A,"caiso-deliverability_"&amp;SUBSTITUTE(Dashboard!$D625,"_group",Dashboard!$D$503)&amp;"."&amp;YEAR(Dashboard!R$537))+R593</f>
        <v>0</v>
      </c>
      <c r="S625" s="10">
        <f>SUMIFS('Custom Constraints'!$C:$C,'Custom Constraints'!$A:$A,"caiso-deliverability_"&amp;SUBSTITUTE(Dashboard!$D625,"_group",Dashboard!$D$503)&amp;"."&amp;YEAR(Dashboard!S$537))+S593</f>
        <v>0</v>
      </c>
      <c r="T625" s="10">
        <f>SUMIFS('Custom Constraints'!$C:$C,'Custom Constraints'!$A:$A,"caiso-deliverability_"&amp;SUBSTITUTE(Dashboard!$D625,"_group",Dashboard!$D$503)&amp;"."&amp;YEAR(Dashboard!T$537))+T593</f>
        <v>0</v>
      </c>
      <c r="U625" s="10">
        <f>SUMIFS('Custom Constraints'!$C:$C,'Custom Constraints'!$A:$A,"caiso-deliverability_"&amp;SUBSTITUTE(Dashboard!$D625,"_group",Dashboard!$D$503)&amp;"."&amp;YEAR(Dashboard!U$537))+U593</f>
        <v>0</v>
      </c>
      <c r="V625" s="10">
        <f>SUMIFS('Custom Constraints'!$C:$C,'Custom Constraints'!$A:$A,"caiso-deliverability_"&amp;SUBSTITUTE(Dashboard!$D625,"_group",Dashboard!$D$503)&amp;"."&amp;YEAR(Dashboard!V$537))+V593</f>
        <v>0</v>
      </c>
      <c r="W625" s="10">
        <f>SUMIFS('Custom Constraints'!$C:$C,'Custom Constraints'!$A:$A,"caiso-deliverability_"&amp;SUBSTITUTE(Dashboard!$D625,"_group",Dashboard!$D$503)&amp;"."&amp;YEAR(Dashboard!W$537))+W593</f>
        <v>0</v>
      </c>
      <c r="X625" s="10">
        <f>SUMIFS('Custom Constraints'!$C:$C,'Custom Constraints'!$A:$A,"caiso-deliverability_"&amp;SUBSTITUTE(Dashboard!$D625,"_group",Dashboard!$D$503)&amp;"."&amp;YEAR(Dashboard!X$537))+X593</f>
        <v>0</v>
      </c>
      <c r="Y625" s="10">
        <f>SUMIFS('Custom Constraints'!$C:$C,'Custom Constraints'!$A:$A,"caiso-deliverability_"&amp;SUBSTITUTE(Dashboard!$D625,"_group",Dashboard!$D$503)&amp;"."&amp;YEAR(Dashboard!Y$537))+Y593</f>
        <v>0</v>
      </c>
      <c r="Z625" s="10">
        <f>SUMIFS('Custom Constraints'!$C:$C,'Custom Constraints'!$A:$A,"caiso-deliverability_"&amp;SUBSTITUTE(Dashboard!$D625,"_group",Dashboard!$D$503)&amp;"."&amp;YEAR(Dashboard!Z$537))+Z593</f>
        <v>0</v>
      </c>
      <c r="AA625" s="10">
        <f>SUMIFS('Custom Constraints'!$C:$C,'Custom Constraints'!$A:$A,"caiso-deliverability_"&amp;SUBSTITUTE(Dashboard!$D625,"_group",Dashboard!$D$503)&amp;"."&amp;YEAR(Dashboard!AA$537))+AA593</f>
        <v>0</v>
      </c>
      <c r="AB625" s="10">
        <f>SUMIFS('Custom Constraints'!$C:$C,'Custom Constraints'!$A:$A,"caiso-deliverability_"&amp;SUBSTITUTE(Dashboard!$D625,"_group",Dashboard!$D$503)&amp;"."&amp;YEAR(Dashboard!AB$537))+AB593</f>
        <v>0</v>
      </c>
      <c r="AC625" s="10">
        <f>SUMIFS('Custom Constraints'!$C:$C,'Custom Constraints'!$A:$A,"caiso-deliverability_"&amp;SUBSTITUTE(Dashboard!$D625,"_group",Dashboard!$D$503)&amp;"."&amp;YEAR(Dashboard!AC$537))+AC593</f>
        <v>0</v>
      </c>
      <c r="AD625" s="10">
        <f>SUMIFS('Custom Constraints'!$C:$C,'Custom Constraints'!$A:$A,"caiso-deliverability_"&amp;SUBSTITUTE(Dashboard!$D625,"_group",Dashboard!$D$503)&amp;"."&amp;YEAR(Dashboard!AD$537))+AD593</f>
        <v>2901.0000000000005</v>
      </c>
      <c r="AH625" s="34" t="s">
        <v>422</v>
      </c>
    </row>
    <row r="626" spans="3:34" outlineLevel="2" x14ac:dyDescent="0.2">
      <c r="D626" s="8" t="s">
        <v>281</v>
      </c>
      <c r="E626" s="10">
        <f>SUMIFS('Custom Constraints'!$C:$C,'Custom Constraints'!$A:$A,"caiso-deliverability_"&amp;SUBSTITUTE(Dashboard!$D626,"_group",Dashboard!$D$503)&amp;"."&amp;YEAR(Dashboard!E$537))+E594</f>
        <v>0</v>
      </c>
      <c r="F626" s="10">
        <f>SUMIFS('Custom Constraints'!$C:$C,'Custom Constraints'!$A:$A,"caiso-deliverability_"&amp;SUBSTITUTE(Dashboard!$D626,"_group",Dashboard!$D$503)&amp;"."&amp;YEAR(Dashboard!F$537))+F594</f>
        <v>0</v>
      </c>
      <c r="G626" s="10">
        <f>SUMIFS('Custom Constraints'!$C:$C,'Custom Constraints'!$A:$A,"caiso-deliverability_"&amp;SUBSTITUTE(Dashboard!$D626,"_group",Dashboard!$D$503)&amp;"."&amp;YEAR(Dashboard!G$537))+G594</f>
        <v>0</v>
      </c>
      <c r="H626" s="10">
        <f>SUMIFS('Custom Constraints'!$C:$C,'Custom Constraints'!$A:$A,"caiso-deliverability_"&amp;SUBSTITUTE(Dashboard!$D626,"_group",Dashboard!$D$503)&amp;"."&amp;YEAR(Dashboard!H$537))+H594</f>
        <v>0</v>
      </c>
      <c r="I626" s="10">
        <f>SUMIFS('Custom Constraints'!$C:$C,'Custom Constraints'!$A:$A,"caiso-deliverability_"&amp;SUBSTITUTE(Dashboard!$D626,"_group",Dashboard!$D$503)&amp;"."&amp;YEAR(Dashboard!I$537))+I594</f>
        <v>0</v>
      </c>
      <c r="J626" s="10">
        <f>SUMIFS('Custom Constraints'!$C:$C,'Custom Constraints'!$A:$A,"caiso-deliverability_"&amp;SUBSTITUTE(Dashboard!$D626,"_group",Dashboard!$D$503)&amp;"."&amp;YEAR(Dashboard!J$537))+J594</f>
        <v>0</v>
      </c>
      <c r="K626" s="10">
        <f>SUMIFS('Custom Constraints'!$C:$C,'Custom Constraints'!$A:$A,"caiso-deliverability_"&amp;SUBSTITUTE(Dashboard!$D626,"_group",Dashboard!$D$503)&amp;"."&amp;YEAR(Dashboard!K$537))+K594</f>
        <v>0</v>
      </c>
      <c r="L626" s="10">
        <f>SUMIFS('Custom Constraints'!$C:$C,'Custom Constraints'!$A:$A,"caiso-deliverability_"&amp;SUBSTITUTE(Dashboard!$D626,"_group",Dashboard!$D$503)&amp;"."&amp;YEAR(Dashboard!L$537))+L594</f>
        <v>0</v>
      </c>
      <c r="M626" s="10">
        <f>SUMIFS('Custom Constraints'!$C:$C,'Custom Constraints'!$A:$A,"caiso-deliverability_"&amp;SUBSTITUTE(Dashboard!$D626,"_group",Dashboard!$D$503)&amp;"."&amp;YEAR(Dashboard!M$537))+M594</f>
        <v>0</v>
      </c>
      <c r="N626" s="10">
        <f>SUMIFS('Custom Constraints'!$C:$C,'Custom Constraints'!$A:$A,"caiso-deliverability_"&amp;SUBSTITUTE(Dashboard!$D626,"_group",Dashboard!$D$503)&amp;"."&amp;YEAR(Dashboard!N$537))+N594</f>
        <v>0</v>
      </c>
      <c r="O626" s="10">
        <f>SUMIFS('Custom Constraints'!$C:$C,'Custom Constraints'!$A:$A,"caiso-deliverability_"&amp;SUBSTITUTE(Dashboard!$D626,"_group",Dashboard!$D$503)&amp;"."&amp;YEAR(Dashboard!O$537))+O594</f>
        <v>0</v>
      </c>
      <c r="P626" s="10">
        <f>SUMIFS('Custom Constraints'!$C:$C,'Custom Constraints'!$A:$A,"caiso-deliverability_"&amp;SUBSTITUTE(Dashboard!$D626,"_group",Dashboard!$D$503)&amp;"."&amp;YEAR(Dashboard!P$537))+P594</f>
        <v>0</v>
      </c>
      <c r="Q626" s="10">
        <f>SUMIFS('Custom Constraints'!$C:$C,'Custom Constraints'!$A:$A,"caiso-deliverability_"&amp;SUBSTITUTE(Dashboard!$D626,"_group",Dashboard!$D$503)&amp;"."&amp;YEAR(Dashboard!Q$537))+Q594</f>
        <v>0</v>
      </c>
      <c r="R626" s="10">
        <f>SUMIFS('Custom Constraints'!$C:$C,'Custom Constraints'!$A:$A,"caiso-deliverability_"&amp;SUBSTITUTE(Dashboard!$D626,"_group",Dashboard!$D$503)&amp;"."&amp;YEAR(Dashboard!R$537))+R594</f>
        <v>0</v>
      </c>
      <c r="S626" s="10">
        <f>SUMIFS('Custom Constraints'!$C:$C,'Custom Constraints'!$A:$A,"caiso-deliverability_"&amp;SUBSTITUTE(Dashboard!$D626,"_group",Dashboard!$D$503)&amp;"."&amp;YEAR(Dashboard!S$537))+S594</f>
        <v>0</v>
      </c>
      <c r="T626" s="10">
        <f>SUMIFS('Custom Constraints'!$C:$C,'Custom Constraints'!$A:$A,"caiso-deliverability_"&amp;SUBSTITUTE(Dashboard!$D626,"_group",Dashboard!$D$503)&amp;"."&amp;YEAR(Dashboard!T$537))+T594</f>
        <v>0</v>
      </c>
      <c r="U626" s="10">
        <f>SUMIFS('Custom Constraints'!$C:$C,'Custom Constraints'!$A:$A,"caiso-deliverability_"&amp;SUBSTITUTE(Dashboard!$D626,"_group",Dashboard!$D$503)&amp;"."&amp;YEAR(Dashboard!U$537))+U594</f>
        <v>0</v>
      </c>
      <c r="V626" s="10">
        <f>SUMIFS('Custom Constraints'!$C:$C,'Custom Constraints'!$A:$A,"caiso-deliverability_"&amp;SUBSTITUTE(Dashboard!$D626,"_group",Dashboard!$D$503)&amp;"."&amp;YEAR(Dashboard!V$537))+V594</f>
        <v>0</v>
      </c>
      <c r="W626" s="10">
        <f>SUMIFS('Custom Constraints'!$C:$C,'Custom Constraints'!$A:$A,"caiso-deliverability_"&amp;SUBSTITUTE(Dashboard!$D626,"_group",Dashboard!$D$503)&amp;"."&amp;YEAR(Dashboard!W$537))+W594</f>
        <v>0</v>
      </c>
      <c r="X626" s="10">
        <f>SUMIFS('Custom Constraints'!$C:$C,'Custom Constraints'!$A:$A,"caiso-deliverability_"&amp;SUBSTITUTE(Dashboard!$D626,"_group",Dashboard!$D$503)&amp;"."&amp;YEAR(Dashboard!X$537))+X594</f>
        <v>0</v>
      </c>
      <c r="Y626" s="10">
        <f>SUMIFS('Custom Constraints'!$C:$C,'Custom Constraints'!$A:$A,"caiso-deliverability_"&amp;SUBSTITUTE(Dashboard!$D626,"_group",Dashboard!$D$503)&amp;"."&amp;YEAR(Dashboard!Y$537))+Y594</f>
        <v>0</v>
      </c>
      <c r="Z626" s="10">
        <f>SUMIFS('Custom Constraints'!$C:$C,'Custom Constraints'!$A:$A,"caiso-deliverability_"&amp;SUBSTITUTE(Dashboard!$D626,"_group",Dashboard!$D$503)&amp;"."&amp;YEAR(Dashboard!Z$537))+Z594</f>
        <v>0</v>
      </c>
      <c r="AA626" s="10">
        <f>SUMIFS('Custom Constraints'!$C:$C,'Custom Constraints'!$A:$A,"caiso-deliverability_"&amp;SUBSTITUTE(Dashboard!$D626,"_group",Dashboard!$D$503)&amp;"."&amp;YEAR(Dashboard!AA$537))+AA594</f>
        <v>0</v>
      </c>
      <c r="AB626" s="10">
        <f>SUMIFS('Custom Constraints'!$C:$C,'Custom Constraints'!$A:$A,"caiso-deliverability_"&amp;SUBSTITUTE(Dashboard!$D626,"_group",Dashboard!$D$503)&amp;"."&amp;YEAR(Dashboard!AB$537))+AB594</f>
        <v>0</v>
      </c>
      <c r="AC626" s="10">
        <f>SUMIFS('Custom Constraints'!$C:$C,'Custom Constraints'!$A:$A,"caiso-deliverability_"&amp;SUBSTITUTE(Dashboard!$D626,"_group",Dashboard!$D$503)&amp;"."&amp;YEAR(Dashboard!AC$537))+AC594</f>
        <v>0</v>
      </c>
      <c r="AD626" s="10">
        <f>SUMIFS('Custom Constraints'!$C:$C,'Custom Constraints'!$A:$A,"caiso-deliverability_"&amp;SUBSTITUTE(Dashboard!$D626,"_group",Dashboard!$D$503)&amp;"."&amp;YEAR(Dashboard!AD$537))+AD594</f>
        <v>0</v>
      </c>
      <c r="AH626" s="34" t="s">
        <v>422</v>
      </c>
    </row>
    <row r="627" spans="3:34" outlineLevel="2" x14ac:dyDescent="0.2">
      <c r="D627" s="8" t="s">
        <v>282</v>
      </c>
      <c r="E627" s="10">
        <f>SUMIFS('Custom Constraints'!$C:$C,'Custom Constraints'!$A:$A,"caiso-deliverability_"&amp;SUBSTITUTE(Dashboard!$D627,"_group",Dashboard!$D$503)&amp;"."&amp;YEAR(Dashboard!E$537))+E595</f>
        <v>0</v>
      </c>
      <c r="F627" s="10">
        <f>SUMIFS('Custom Constraints'!$C:$C,'Custom Constraints'!$A:$A,"caiso-deliverability_"&amp;SUBSTITUTE(Dashboard!$D627,"_group",Dashboard!$D$503)&amp;"."&amp;YEAR(Dashboard!F$537))+F595</f>
        <v>0</v>
      </c>
      <c r="G627" s="10">
        <f>SUMIFS('Custom Constraints'!$C:$C,'Custom Constraints'!$A:$A,"caiso-deliverability_"&amp;SUBSTITUTE(Dashboard!$D627,"_group",Dashboard!$D$503)&amp;"."&amp;YEAR(Dashboard!G$537))+G595</f>
        <v>0</v>
      </c>
      <c r="H627" s="10">
        <f>SUMIFS('Custom Constraints'!$C:$C,'Custom Constraints'!$A:$A,"caiso-deliverability_"&amp;SUBSTITUTE(Dashboard!$D627,"_group",Dashboard!$D$503)&amp;"."&amp;YEAR(Dashboard!H$537))+H595</f>
        <v>0</v>
      </c>
      <c r="I627" s="10">
        <f>SUMIFS('Custom Constraints'!$C:$C,'Custom Constraints'!$A:$A,"caiso-deliverability_"&amp;SUBSTITUTE(Dashboard!$D627,"_group",Dashboard!$D$503)&amp;"."&amp;YEAR(Dashboard!I$537))+I595</f>
        <v>0</v>
      </c>
      <c r="J627" s="10">
        <f>SUMIFS('Custom Constraints'!$C:$C,'Custom Constraints'!$A:$A,"caiso-deliverability_"&amp;SUBSTITUTE(Dashboard!$D627,"_group",Dashboard!$D$503)&amp;"."&amp;YEAR(Dashboard!J$537))+J595</f>
        <v>0</v>
      </c>
      <c r="K627" s="10">
        <f>SUMIFS('Custom Constraints'!$C:$C,'Custom Constraints'!$A:$A,"caiso-deliverability_"&amp;SUBSTITUTE(Dashboard!$D627,"_group",Dashboard!$D$503)&amp;"."&amp;YEAR(Dashboard!K$537))+K595</f>
        <v>0</v>
      </c>
      <c r="L627" s="10">
        <f>SUMIFS('Custom Constraints'!$C:$C,'Custom Constraints'!$A:$A,"caiso-deliverability_"&amp;SUBSTITUTE(Dashboard!$D627,"_group",Dashboard!$D$503)&amp;"."&amp;YEAR(Dashboard!L$537))+L595</f>
        <v>0</v>
      </c>
      <c r="M627" s="10">
        <f>SUMIFS('Custom Constraints'!$C:$C,'Custom Constraints'!$A:$A,"caiso-deliverability_"&amp;SUBSTITUTE(Dashboard!$D627,"_group",Dashboard!$D$503)&amp;"."&amp;YEAR(Dashboard!M$537))+M595</f>
        <v>0</v>
      </c>
      <c r="N627" s="10">
        <f>SUMIFS('Custom Constraints'!$C:$C,'Custom Constraints'!$A:$A,"caiso-deliverability_"&amp;SUBSTITUTE(Dashboard!$D627,"_group",Dashboard!$D$503)&amp;"."&amp;YEAR(Dashboard!N$537))+N595</f>
        <v>0</v>
      </c>
      <c r="O627" s="10">
        <f>SUMIFS('Custom Constraints'!$C:$C,'Custom Constraints'!$A:$A,"caiso-deliverability_"&amp;SUBSTITUTE(Dashboard!$D627,"_group",Dashboard!$D$503)&amp;"."&amp;YEAR(Dashboard!O$537))+O595</f>
        <v>0</v>
      </c>
      <c r="P627" s="10">
        <f>SUMIFS('Custom Constraints'!$C:$C,'Custom Constraints'!$A:$A,"caiso-deliverability_"&amp;SUBSTITUTE(Dashboard!$D627,"_group",Dashboard!$D$503)&amp;"."&amp;YEAR(Dashboard!P$537))+P595</f>
        <v>0</v>
      </c>
      <c r="Q627" s="10">
        <f>SUMIFS('Custom Constraints'!$C:$C,'Custom Constraints'!$A:$A,"caiso-deliverability_"&amp;SUBSTITUTE(Dashboard!$D627,"_group",Dashboard!$D$503)&amp;"."&amp;YEAR(Dashboard!Q$537))+Q595</f>
        <v>0</v>
      </c>
      <c r="R627" s="10">
        <f>SUMIFS('Custom Constraints'!$C:$C,'Custom Constraints'!$A:$A,"caiso-deliverability_"&amp;SUBSTITUTE(Dashboard!$D627,"_group",Dashboard!$D$503)&amp;"."&amp;YEAR(Dashboard!R$537))+R595</f>
        <v>0</v>
      </c>
      <c r="S627" s="10">
        <f>SUMIFS('Custom Constraints'!$C:$C,'Custom Constraints'!$A:$A,"caiso-deliverability_"&amp;SUBSTITUTE(Dashboard!$D627,"_group",Dashboard!$D$503)&amp;"."&amp;YEAR(Dashboard!S$537))+S595</f>
        <v>0</v>
      </c>
      <c r="T627" s="10">
        <f>SUMIFS('Custom Constraints'!$C:$C,'Custom Constraints'!$A:$A,"caiso-deliverability_"&amp;SUBSTITUTE(Dashboard!$D627,"_group",Dashboard!$D$503)&amp;"."&amp;YEAR(Dashboard!T$537))+T595</f>
        <v>0</v>
      </c>
      <c r="U627" s="10">
        <f>SUMIFS('Custom Constraints'!$C:$C,'Custom Constraints'!$A:$A,"caiso-deliverability_"&amp;SUBSTITUTE(Dashboard!$D627,"_group",Dashboard!$D$503)&amp;"."&amp;YEAR(Dashboard!U$537))+U595</f>
        <v>0</v>
      </c>
      <c r="V627" s="10">
        <f>SUMIFS('Custom Constraints'!$C:$C,'Custom Constraints'!$A:$A,"caiso-deliverability_"&amp;SUBSTITUTE(Dashboard!$D627,"_group",Dashboard!$D$503)&amp;"."&amp;YEAR(Dashboard!V$537))+V595</f>
        <v>0</v>
      </c>
      <c r="W627" s="10">
        <f>SUMIFS('Custom Constraints'!$C:$C,'Custom Constraints'!$A:$A,"caiso-deliverability_"&amp;SUBSTITUTE(Dashboard!$D627,"_group",Dashboard!$D$503)&amp;"."&amp;YEAR(Dashboard!W$537))+W595</f>
        <v>0</v>
      </c>
      <c r="X627" s="10">
        <f>SUMIFS('Custom Constraints'!$C:$C,'Custom Constraints'!$A:$A,"caiso-deliverability_"&amp;SUBSTITUTE(Dashboard!$D627,"_group",Dashboard!$D$503)&amp;"."&amp;YEAR(Dashboard!X$537))+X595</f>
        <v>0</v>
      </c>
      <c r="Y627" s="10">
        <f>SUMIFS('Custom Constraints'!$C:$C,'Custom Constraints'!$A:$A,"caiso-deliverability_"&amp;SUBSTITUTE(Dashboard!$D627,"_group",Dashboard!$D$503)&amp;"."&amp;YEAR(Dashboard!Y$537))+Y595</f>
        <v>0</v>
      </c>
      <c r="Z627" s="10">
        <f>SUMIFS('Custom Constraints'!$C:$C,'Custom Constraints'!$A:$A,"caiso-deliverability_"&amp;SUBSTITUTE(Dashboard!$D627,"_group",Dashboard!$D$503)&amp;"."&amp;YEAR(Dashboard!Z$537))+Z595</f>
        <v>0</v>
      </c>
      <c r="AA627" s="10">
        <f>SUMIFS('Custom Constraints'!$C:$C,'Custom Constraints'!$A:$A,"caiso-deliverability_"&amp;SUBSTITUTE(Dashboard!$D627,"_group",Dashboard!$D$503)&amp;"."&amp;YEAR(Dashboard!AA$537))+AA595</f>
        <v>0</v>
      </c>
      <c r="AB627" s="10">
        <f>SUMIFS('Custom Constraints'!$C:$C,'Custom Constraints'!$A:$A,"caiso-deliverability_"&amp;SUBSTITUTE(Dashboard!$D627,"_group",Dashboard!$D$503)&amp;"."&amp;YEAR(Dashboard!AB$537))+AB595</f>
        <v>0</v>
      </c>
      <c r="AC627" s="10">
        <f>SUMIFS('Custom Constraints'!$C:$C,'Custom Constraints'!$A:$A,"caiso-deliverability_"&amp;SUBSTITUTE(Dashboard!$D627,"_group",Dashboard!$D$503)&amp;"."&amp;YEAR(Dashboard!AC$537))+AC595</f>
        <v>0</v>
      </c>
      <c r="AD627" s="10">
        <f>SUMIFS('Custom Constraints'!$C:$C,'Custom Constraints'!$A:$A,"caiso-deliverability_"&amp;SUBSTITUTE(Dashboard!$D627,"_group",Dashboard!$D$503)&amp;"."&amp;YEAR(Dashboard!AD$537))+AD595</f>
        <v>0</v>
      </c>
      <c r="AH627" s="34" t="s">
        <v>422</v>
      </c>
    </row>
    <row r="628" spans="3:34" outlineLevel="2" x14ac:dyDescent="0.2">
      <c r="D628" s="8" t="s">
        <v>283</v>
      </c>
      <c r="E628" s="10">
        <f>SUMIFS('Custom Constraints'!$C:$C,'Custom Constraints'!$A:$A,"caiso-deliverability_"&amp;SUBSTITUTE(Dashboard!$D628,"_group",Dashboard!$D$503)&amp;"."&amp;YEAR(Dashboard!E$537))+E596</f>
        <v>0</v>
      </c>
      <c r="F628" s="10">
        <f>SUMIFS('Custom Constraints'!$C:$C,'Custom Constraints'!$A:$A,"caiso-deliverability_"&amp;SUBSTITUTE(Dashboard!$D628,"_group",Dashboard!$D$503)&amp;"."&amp;YEAR(Dashboard!F$537))+F596</f>
        <v>0</v>
      </c>
      <c r="G628" s="10">
        <f>SUMIFS('Custom Constraints'!$C:$C,'Custom Constraints'!$A:$A,"caiso-deliverability_"&amp;SUBSTITUTE(Dashboard!$D628,"_group",Dashboard!$D$503)&amp;"."&amp;YEAR(Dashboard!G$537))+G596</f>
        <v>0</v>
      </c>
      <c r="H628" s="10">
        <f>SUMIFS('Custom Constraints'!$C:$C,'Custom Constraints'!$A:$A,"caiso-deliverability_"&amp;SUBSTITUTE(Dashboard!$D628,"_group",Dashboard!$D$503)&amp;"."&amp;YEAR(Dashboard!H$537))+H596</f>
        <v>0</v>
      </c>
      <c r="I628" s="10">
        <f>SUMIFS('Custom Constraints'!$C:$C,'Custom Constraints'!$A:$A,"caiso-deliverability_"&amp;SUBSTITUTE(Dashboard!$D628,"_group",Dashboard!$D$503)&amp;"."&amp;YEAR(Dashboard!I$537))+I596</f>
        <v>0</v>
      </c>
      <c r="J628" s="10">
        <f>SUMIFS('Custom Constraints'!$C:$C,'Custom Constraints'!$A:$A,"caiso-deliverability_"&amp;SUBSTITUTE(Dashboard!$D628,"_group",Dashboard!$D$503)&amp;"."&amp;YEAR(Dashboard!J$537))+J596</f>
        <v>0</v>
      </c>
      <c r="K628" s="10">
        <f>SUMIFS('Custom Constraints'!$C:$C,'Custom Constraints'!$A:$A,"caiso-deliverability_"&amp;SUBSTITUTE(Dashboard!$D628,"_group",Dashboard!$D$503)&amp;"."&amp;YEAR(Dashboard!K$537))+K596</f>
        <v>0</v>
      </c>
      <c r="L628" s="10">
        <f>SUMIFS('Custom Constraints'!$C:$C,'Custom Constraints'!$A:$A,"caiso-deliverability_"&amp;SUBSTITUTE(Dashboard!$D628,"_group",Dashboard!$D$503)&amp;"."&amp;YEAR(Dashboard!L$537))+L596</f>
        <v>0</v>
      </c>
      <c r="M628" s="10">
        <f>SUMIFS('Custom Constraints'!$C:$C,'Custom Constraints'!$A:$A,"caiso-deliverability_"&amp;SUBSTITUTE(Dashboard!$D628,"_group",Dashboard!$D$503)&amp;"."&amp;YEAR(Dashboard!M$537))+M596</f>
        <v>0</v>
      </c>
      <c r="N628" s="10">
        <f>SUMIFS('Custom Constraints'!$C:$C,'Custom Constraints'!$A:$A,"caiso-deliverability_"&amp;SUBSTITUTE(Dashboard!$D628,"_group",Dashboard!$D$503)&amp;"."&amp;YEAR(Dashboard!N$537))+N596</f>
        <v>0</v>
      </c>
      <c r="O628" s="10">
        <f>SUMIFS('Custom Constraints'!$C:$C,'Custom Constraints'!$A:$A,"caiso-deliverability_"&amp;SUBSTITUTE(Dashboard!$D628,"_group",Dashboard!$D$503)&amp;"."&amp;YEAR(Dashboard!O$537))+O596</f>
        <v>0</v>
      </c>
      <c r="P628" s="10">
        <f>SUMIFS('Custom Constraints'!$C:$C,'Custom Constraints'!$A:$A,"caiso-deliverability_"&amp;SUBSTITUTE(Dashboard!$D628,"_group",Dashboard!$D$503)&amp;"."&amp;YEAR(Dashboard!P$537))+P596</f>
        <v>0</v>
      </c>
      <c r="Q628" s="10">
        <f>SUMIFS('Custom Constraints'!$C:$C,'Custom Constraints'!$A:$A,"caiso-deliverability_"&amp;SUBSTITUTE(Dashboard!$D628,"_group",Dashboard!$D$503)&amp;"."&amp;YEAR(Dashboard!Q$537))+Q596</f>
        <v>0</v>
      </c>
      <c r="R628" s="10">
        <f>SUMIFS('Custom Constraints'!$C:$C,'Custom Constraints'!$A:$A,"caiso-deliverability_"&amp;SUBSTITUTE(Dashboard!$D628,"_group",Dashboard!$D$503)&amp;"."&amp;YEAR(Dashboard!R$537))+R596</f>
        <v>0</v>
      </c>
      <c r="S628" s="10">
        <f>SUMIFS('Custom Constraints'!$C:$C,'Custom Constraints'!$A:$A,"caiso-deliverability_"&amp;SUBSTITUTE(Dashboard!$D628,"_group",Dashboard!$D$503)&amp;"."&amp;YEAR(Dashboard!S$537))+S596</f>
        <v>0</v>
      </c>
      <c r="T628" s="10">
        <f>SUMIFS('Custom Constraints'!$C:$C,'Custom Constraints'!$A:$A,"caiso-deliverability_"&amp;SUBSTITUTE(Dashboard!$D628,"_group",Dashboard!$D$503)&amp;"."&amp;YEAR(Dashboard!T$537))+T596</f>
        <v>0</v>
      </c>
      <c r="U628" s="10">
        <f>SUMIFS('Custom Constraints'!$C:$C,'Custom Constraints'!$A:$A,"caiso-deliverability_"&amp;SUBSTITUTE(Dashboard!$D628,"_group",Dashboard!$D$503)&amp;"."&amp;YEAR(Dashboard!U$537))+U596</f>
        <v>0</v>
      </c>
      <c r="V628" s="10">
        <f>SUMIFS('Custom Constraints'!$C:$C,'Custom Constraints'!$A:$A,"caiso-deliverability_"&amp;SUBSTITUTE(Dashboard!$D628,"_group",Dashboard!$D$503)&amp;"."&amp;YEAR(Dashboard!V$537))+V596</f>
        <v>0</v>
      </c>
      <c r="W628" s="10">
        <f>SUMIFS('Custom Constraints'!$C:$C,'Custom Constraints'!$A:$A,"caiso-deliverability_"&amp;SUBSTITUTE(Dashboard!$D628,"_group",Dashboard!$D$503)&amp;"."&amp;YEAR(Dashboard!W$537))+W596</f>
        <v>0</v>
      </c>
      <c r="X628" s="10">
        <f>SUMIFS('Custom Constraints'!$C:$C,'Custom Constraints'!$A:$A,"caiso-deliverability_"&amp;SUBSTITUTE(Dashboard!$D628,"_group",Dashboard!$D$503)&amp;"."&amp;YEAR(Dashboard!X$537))+X596</f>
        <v>0</v>
      </c>
      <c r="Y628" s="10">
        <f>SUMIFS('Custom Constraints'!$C:$C,'Custom Constraints'!$A:$A,"caiso-deliverability_"&amp;SUBSTITUTE(Dashboard!$D628,"_group",Dashboard!$D$503)&amp;"."&amp;YEAR(Dashboard!Y$537))+Y596</f>
        <v>0</v>
      </c>
      <c r="Z628" s="10">
        <f>SUMIFS('Custom Constraints'!$C:$C,'Custom Constraints'!$A:$A,"caiso-deliverability_"&amp;SUBSTITUTE(Dashboard!$D628,"_group",Dashboard!$D$503)&amp;"."&amp;YEAR(Dashboard!Z$537))+Z596</f>
        <v>0</v>
      </c>
      <c r="AA628" s="10">
        <f>SUMIFS('Custom Constraints'!$C:$C,'Custom Constraints'!$A:$A,"caiso-deliverability_"&amp;SUBSTITUTE(Dashboard!$D628,"_group",Dashboard!$D$503)&amp;"."&amp;YEAR(Dashboard!AA$537))+AA596</f>
        <v>0</v>
      </c>
      <c r="AB628" s="10">
        <f>SUMIFS('Custom Constraints'!$C:$C,'Custom Constraints'!$A:$A,"caiso-deliverability_"&amp;SUBSTITUTE(Dashboard!$D628,"_group",Dashboard!$D$503)&amp;"."&amp;YEAR(Dashboard!AB$537))+AB596</f>
        <v>0</v>
      </c>
      <c r="AC628" s="10">
        <f>SUMIFS('Custom Constraints'!$C:$C,'Custom Constraints'!$A:$A,"caiso-deliverability_"&amp;SUBSTITUTE(Dashboard!$D628,"_group",Dashboard!$D$503)&amp;"."&amp;YEAR(Dashboard!AC$537))+AC596</f>
        <v>0</v>
      </c>
      <c r="AD628" s="10">
        <f>SUMIFS('Custom Constraints'!$C:$C,'Custom Constraints'!$A:$A,"caiso-deliverability_"&amp;SUBSTITUTE(Dashboard!$D628,"_group",Dashboard!$D$503)&amp;"."&amp;YEAR(Dashboard!AD$537))+AD596</f>
        <v>6740.0000000000009</v>
      </c>
      <c r="AH628" s="34" t="s">
        <v>422</v>
      </c>
    </row>
    <row r="629" spans="3:34" outlineLevel="2" x14ac:dyDescent="0.2">
      <c r="D629" s="8" t="s">
        <v>284</v>
      </c>
      <c r="E629" s="10">
        <f>SUMIFS('Custom Constraints'!$C:$C,'Custom Constraints'!$A:$A,"caiso-deliverability_"&amp;SUBSTITUTE(Dashboard!$D629,"_group",Dashboard!$D$503)&amp;"."&amp;YEAR(Dashboard!E$537))+E597</f>
        <v>0</v>
      </c>
      <c r="F629" s="10">
        <f>SUMIFS('Custom Constraints'!$C:$C,'Custom Constraints'!$A:$A,"caiso-deliverability_"&amp;SUBSTITUTE(Dashboard!$D629,"_group",Dashboard!$D$503)&amp;"."&amp;YEAR(Dashboard!F$537))+F597</f>
        <v>0</v>
      </c>
      <c r="G629" s="10">
        <f>SUMIFS('Custom Constraints'!$C:$C,'Custom Constraints'!$A:$A,"caiso-deliverability_"&amp;SUBSTITUTE(Dashboard!$D629,"_group",Dashboard!$D$503)&amp;"."&amp;YEAR(Dashboard!G$537))+G597</f>
        <v>0</v>
      </c>
      <c r="H629" s="10">
        <f>SUMIFS('Custom Constraints'!$C:$C,'Custom Constraints'!$A:$A,"caiso-deliverability_"&amp;SUBSTITUTE(Dashboard!$D629,"_group",Dashboard!$D$503)&amp;"."&amp;YEAR(Dashboard!H$537))+H597</f>
        <v>0</v>
      </c>
      <c r="I629" s="10">
        <f>SUMIFS('Custom Constraints'!$C:$C,'Custom Constraints'!$A:$A,"caiso-deliverability_"&amp;SUBSTITUTE(Dashboard!$D629,"_group",Dashboard!$D$503)&amp;"."&amp;YEAR(Dashboard!I$537))+I597</f>
        <v>0</v>
      </c>
      <c r="J629" s="10">
        <f>SUMIFS('Custom Constraints'!$C:$C,'Custom Constraints'!$A:$A,"caiso-deliverability_"&amp;SUBSTITUTE(Dashboard!$D629,"_group",Dashboard!$D$503)&amp;"."&amp;YEAR(Dashboard!J$537))+J597</f>
        <v>0</v>
      </c>
      <c r="K629" s="10">
        <f>SUMIFS('Custom Constraints'!$C:$C,'Custom Constraints'!$A:$A,"caiso-deliverability_"&amp;SUBSTITUTE(Dashboard!$D629,"_group",Dashboard!$D$503)&amp;"."&amp;YEAR(Dashboard!K$537))+K597</f>
        <v>0</v>
      </c>
      <c r="L629" s="10">
        <f>SUMIFS('Custom Constraints'!$C:$C,'Custom Constraints'!$A:$A,"caiso-deliverability_"&amp;SUBSTITUTE(Dashboard!$D629,"_group",Dashboard!$D$503)&amp;"."&amp;YEAR(Dashboard!L$537))+L597</f>
        <v>0</v>
      </c>
      <c r="M629" s="10">
        <f>SUMIFS('Custom Constraints'!$C:$C,'Custom Constraints'!$A:$A,"caiso-deliverability_"&amp;SUBSTITUTE(Dashboard!$D629,"_group",Dashboard!$D$503)&amp;"."&amp;YEAR(Dashboard!M$537))+M597</f>
        <v>0</v>
      </c>
      <c r="N629" s="10">
        <f>SUMIFS('Custom Constraints'!$C:$C,'Custom Constraints'!$A:$A,"caiso-deliverability_"&amp;SUBSTITUTE(Dashboard!$D629,"_group",Dashboard!$D$503)&amp;"."&amp;YEAR(Dashboard!N$537))+N597</f>
        <v>0</v>
      </c>
      <c r="O629" s="10">
        <f>SUMIFS('Custom Constraints'!$C:$C,'Custom Constraints'!$A:$A,"caiso-deliverability_"&amp;SUBSTITUTE(Dashboard!$D629,"_group",Dashboard!$D$503)&amp;"."&amp;YEAR(Dashboard!O$537))+O597</f>
        <v>0</v>
      </c>
      <c r="P629" s="10">
        <f>SUMIFS('Custom Constraints'!$C:$C,'Custom Constraints'!$A:$A,"caiso-deliverability_"&amp;SUBSTITUTE(Dashboard!$D629,"_group",Dashboard!$D$503)&amp;"."&amp;YEAR(Dashboard!P$537))+P597</f>
        <v>0</v>
      </c>
      <c r="Q629" s="10">
        <f>SUMIFS('Custom Constraints'!$C:$C,'Custom Constraints'!$A:$A,"caiso-deliverability_"&amp;SUBSTITUTE(Dashboard!$D629,"_group",Dashboard!$D$503)&amp;"."&amp;YEAR(Dashboard!Q$537))+Q597</f>
        <v>0</v>
      </c>
      <c r="R629" s="10">
        <f>SUMIFS('Custom Constraints'!$C:$C,'Custom Constraints'!$A:$A,"caiso-deliverability_"&amp;SUBSTITUTE(Dashboard!$D629,"_group",Dashboard!$D$503)&amp;"."&amp;YEAR(Dashboard!R$537))+R597</f>
        <v>0</v>
      </c>
      <c r="S629" s="10">
        <f>SUMIFS('Custom Constraints'!$C:$C,'Custom Constraints'!$A:$A,"caiso-deliverability_"&amp;SUBSTITUTE(Dashboard!$D629,"_group",Dashboard!$D$503)&amp;"."&amp;YEAR(Dashboard!S$537))+S597</f>
        <v>0</v>
      </c>
      <c r="T629" s="10">
        <f>SUMIFS('Custom Constraints'!$C:$C,'Custom Constraints'!$A:$A,"caiso-deliverability_"&amp;SUBSTITUTE(Dashboard!$D629,"_group",Dashboard!$D$503)&amp;"."&amp;YEAR(Dashboard!T$537))+T597</f>
        <v>0</v>
      </c>
      <c r="U629" s="10">
        <f>SUMIFS('Custom Constraints'!$C:$C,'Custom Constraints'!$A:$A,"caiso-deliverability_"&amp;SUBSTITUTE(Dashboard!$D629,"_group",Dashboard!$D$503)&amp;"."&amp;YEAR(Dashboard!U$537))+U597</f>
        <v>0</v>
      </c>
      <c r="V629" s="10">
        <f>SUMIFS('Custom Constraints'!$C:$C,'Custom Constraints'!$A:$A,"caiso-deliverability_"&amp;SUBSTITUTE(Dashboard!$D629,"_group",Dashboard!$D$503)&amp;"."&amp;YEAR(Dashboard!V$537))+V597</f>
        <v>0</v>
      </c>
      <c r="W629" s="10">
        <f>SUMIFS('Custom Constraints'!$C:$C,'Custom Constraints'!$A:$A,"caiso-deliverability_"&amp;SUBSTITUTE(Dashboard!$D629,"_group",Dashboard!$D$503)&amp;"."&amp;YEAR(Dashboard!W$537))+W597</f>
        <v>0</v>
      </c>
      <c r="X629" s="10">
        <f>SUMIFS('Custom Constraints'!$C:$C,'Custom Constraints'!$A:$A,"caiso-deliverability_"&amp;SUBSTITUTE(Dashboard!$D629,"_group",Dashboard!$D$503)&amp;"."&amp;YEAR(Dashboard!X$537))+X597</f>
        <v>0</v>
      </c>
      <c r="Y629" s="10">
        <f>SUMIFS('Custom Constraints'!$C:$C,'Custom Constraints'!$A:$A,"caiso-deliverability_"&amp;SUBSTITUTE(Dashboard!$D629,"_group",Dashboard!$D$503)&amp;"."&amp;YEAR(Dashboard!Y$537))+Y597</f>
        <v>0</v>
      </c>
      <c r="Z629" s="10">
        <f>SUMIFS('Custom Constraints'!$C:$C,'Custom Constraints'!$A:$A,"caiso-deliverability_"&amp;SUBSTITUTE(Dashboard!$D629,"_group",Dashboard!$D$503)&amp;"."&amp;YEAR(Dashboard!Z$537))+Z597</f>
        <v>0</v>
      </c>
      <c r="AA629" s="10">
        <f>SUMIFS('Custom Constraints'!$C:$C,'Custom Constraints'!$A:$A,"caiso-deliverability_"&amp;SUBSTITUTE(Dashboard!$D629,"_group",Dashboard!$D$503)&amp;"."&amp;YEAR(Dashboard!AA$537))+AA597</f>
        <v>0</v>
      </c>
      <c r="AB629" s="10">
        <f>SUMIFS('Custom Constraints'!$C:$C,'Custom Constraints'!$A:$A,"caiso-deliverability_"&amp;SUBSTITUTE(Dashboard!$D629,"_group",Dashboard!$D$503)&amp;"."&amp;YEAR(Dashboard!AB$537))+AB597</f>
        <v>0</v>
      </c>
      <c r="AC629" s="10">
        <f>SUMIFS('Custom Constraints'!$C:$C,'Custom Constraints'!$A:$A,"caiso-deliverability_"&amp;SUBSTITUTE(Dashboard!$D629,"_group",Dashboard!$D$503)&amp;"."&amp;YEAR(Dashboard!AC$537))+AC597</f>
        <v>0</v>
      </c>
      <c r="AD629" s="10">
        <f>SUMIFS('Custom Constraints'!$C:$C,'Custom Constraints'!$A:$A,"caiso-deliverability_"&amp;SUBSTITUTE(Dashboard!$D629,"_group",Dashboard!$D$503)&amp;"."&amp;YEAR(Dashboard!AD$537))+AD597</f>
        <v>115.045</v>
      </c>
      <c r="AH629" s="34" t="s">
        <v>422</v>
      </c>
    </row>
    <row r="630" spans="3:34" ht="12.6" outlineLevel="2" thickBot="1" x14ac:dyDescent="0.25">
      <c r="D630" s="9" t="s">
        <v>139</v>
      </c>
      <c r="E630" s="17">
        <f t="shared" ref="E630" si="747">SUM(E602:E629)</f>
        <v>0</v>
      </c>
      <c r="F630" s="17">
        <f t="shared" ref="F630:AD630" si="748">SUM(F602:F629)</f>
        <v>0</v>
      </c>
      <c r="G630" s="17">
        <f t="shared" si="748"/>
        <v>0</v>
      </c>
      <c r="H630" s="17">
        <f t="shared" si="748"/>
        <v>0</v>
      </c>
      <c r="I630" s="17">
        <f t="shared" si="748"/>
        <v>0</v>
      </c>
      <c r="J630" s="17">
        <f t="shared" si="748"/>
        <v>0</v>
      </c>
      <c r="K630" s="17">
        <f t="shared" si="748"/>
        <v>0</v>
      </c>
      <c r="L630" s="17">
        <f t="shared" si="748"/>
        <v>0</v>
      </c>
      <c r="M630" s="17">
        <f t="shared" si="748"/>
        <v>0</v>
      </c>
      <c r="N630" s="17">
        <f t="shared" si="748"/>
        <v>0</v>
      </c>
      <c r="O630" s="17">
        <f t="shared" si="748"/>
        <v>0</v>
      </c>
      <c r="P630" s="17">
        <f t="shared" si="748"/>
        <v>0</v>
      </c>
      <c r="Q630" s="17">
        <f t="shared" si="748"/>
        <v>0</v>
      </c>
      <c r="R630" s="17">
        <f t="shared" si="748"/>
        <v>0</v>
      </c>
      <c r="S630" s="17">
        <f t="shared" si="748"/>
        <v>0</v>
      </c>
      <c r="T630" s="17">
        <f t="shared" si="748"/>
        <v>0</v>
      </c>
      <c r="U630" s="17">
        <f t="shared" si="748"/>
        <v>0</v>
      </c>
      <c r="V630" s="17">
        <f t="shared" si="748"/>
        <v>0</v>
      </c>
      <c r="W630" s="17">
        <f t="shared" si="748"/>
        <v>0</v>
      </c>
      <c r="X630" s="17">
        <f t="shared" si="748"/>
        <v>0</v>
      </c>
      <c r="Y630" s="17">
        <f t="shared" si="748"/>
        <v>0</v>
      </c>
      <c r="Z630" s="17">
        <f t="shared" si="748"/>
        <v>0</v>
      </c>
      <c r="AA630" s="17">
        <f t="shared" si="748"/>
        <v>0</v>
      </c>
      <c r="AB630" s="17">
        <f t="shared" si="748"/>
        <v>0</v>
      </c>
      <c r="AC630" s="17">
        <f t="shared" si="748"/>
        <v>0</v>
      </c>
      <c r="AD630" s="17">
        <f t="shared" si="748"/>
        <v>54150.309000000001</v>
      </c>
      <c r="AH630" s="34" t="s">
        <v>422</v>
      </c>
    </row>
    <row r="631" spans="3:34" ht="12" outlineLevel="1" thickTop="1" x14ac:dyDescent="0.2">
      <c r="AH631" s="34" t="s">
        <v>422</v>
      </c>
    </row>
    <row r="632" spans="3:34" ht="17.399999999999999" outlineLevel="1" thickBot="1" x14ac:dyDescent="0.25">
      <c r="C632" s="12" t="s">
        <v>407</v>
      </c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  <c r="AA632" s="12"/>
      <c r="AB632" s="12"/>
      <c r="AC632" s="12"/>
      <c r="AD632" s="12"/>
      <c r="AE632" s="12"/>
      <c r="AF632" s="12"/>
      <c r="AH632" s="34" t="s">
        <v>422</v>
      </c>
    </row>
    <row r="633" spans="3:34" outlineLevel="2" x14ac:dyDescent="0.2">
      <c r="D633" s="15" t="s">
        <v>408</v>
      </c>
      <c r="AH633" s="34" t="s">
        <v>422</v>
      </c>
    </row>
    <row r="634" spans="3:34" ht="13.2" outlineLevel="2" x14ac:dyDescent="0.2">
      <c r="E634" s="2" t="s">
        <v>312</v>
      </c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H634" s="34" t="s">
        <v>422</v>
      </c>
    </row>
    <row r="635" spans="3:34" outlineLevel="2" x14ac:dyDescent="0.2">
      <c r="E635" s="7">
        <v>43831</v>
      </c>
      <c r="F635" s="7">
        <f t="shared" ref="F635" si="749">EDATE(E635,12)</f>
        <v>44197</v>
      </c>
      <c r="G635" s="7">
        <f t="shared" ref="G635" si="750">EDATE(F635,12)</f>
        <v>44562</v>
      </c>
      <c r="H635" s="7">
        <f t="shared" ref="H635" si="751">EDATE(G635,12)</f>
        <v>44927</v>
      </c>
      <c r="I635" s="7">
        <f t="shared" ref="I635" si="752">EDATE(H635,12)</f>
        <v>45292</v>
      </c>
      <c r="J635" s="7">
        <f t="shared" ref="J635" si="753">EDATE(I635,12)</f>
        <v>45658</v>
      </c>
      <c r="K635" s="7">
        <f t="shared" ref="K635" si="754">EDATE(J635,12)</f>
        <v>46023</v>
      </c>
      <c r="L635" s="7">
        <f t="shared" ref="L635" si="755">EDATE(K635,12)</f>
        <v>46388</v>
      </c>
      <c r="M635" s="7">
        <f t="shared" ref="M635" si="756">EDATE(L635,12)</f>
        <v>46753</v>
      </c>
      <c r="N635" s="7">
        <f t="shared" ref="N635" si="757">EDATE(M635,12)</f>
        <v>47119</v>
      </c>
      <c r="O635" s="7">
        <f t="shared" ref="O635" si="758">EDATE(N635,12)</f>
        <v>47484</v>
      </c>
      <c r="P635" s="7">
        <f t="shared" ref="P635" si="759">EDATE(O635,12)</f>
        <v>47849</v>
      </c>
      <c r="Q635" s="7">
        <f t="shared" ref="Q635" si="760">EDATE(P635,12)</f>
        <v>48214</v>
      </c>
      <c r="R635" s="7">
        <f t="shared" ref="R635" si="761">EDATE(Q635,12)</f>
        <v>48580</v>
      </c>
      <c r="S635" s="7">
        <f t="shared" ref="S635" si="762">EDATE(R635,12)</f>
        <v>48945</v>
      </c>
      <c r="T635" s="7">
        <f t="shared" ref="T635" si="763">EDATE(S635,12)</f>
        <v>49310</v>
      </c>
      <c r="U635" s="7">
        <f t="shared" ref="U635" si="764">EDATE(T635,12)</f>
        <v>49675</v>
      </c>
      <c r="V635" s="7">
        <f t="shared" ref="V635" si="765">EDATE(U635,12)</f>
        <v>50041</v>
      </c>
      <c r="W635" s="7">
        <f t="shared" ref="W635" si="766">EDATE(V635,12)</f>
        <v>50406</v>
      </c>
      <c r="X635" s="7">
        <f t="shared" ref="X635" si="767">EDATE(W635,12)</f>
        <v>50771</v>
      </c>
      <c r="Y635" s="7">
        <f t="shared" ref="Y635" si="768">EDATE(X635,12)</f>
        <v>51136</v>
      </c>
      <c r="Z635" s="7">
        <f t="shared" ref="Z635" si="769">EDATE(Y635,12)</f>
        <v>51502</v>
      </c>
      <c r="AA635" s="7">
        <f t="shared" ref="AA635" si="770">EDATE(Z635,12)</f>
        <v>51867</v>
      </c>
      <c r="AB635" s="7">
        <f t="shared" ref="AB635" si="771">EDATE(AA635,12)</f>
        <v>52232</v>
      </c>
      <c r="AC635" s="7">
        <f t="shared" ref="AC635" si="772">EDATE(AB635,12)</f>
        <v>52597</v>
      </c>
      <c r="AD635" s="7">
        <f>EDATE(AC635,12)</f>
        <v>52963</v>
      </c>
      <c r="AH635" s="34" t="s">
        <v>422</v>
      </c>
    </row>
    <row r="636" spans="3:34" outlineLevel="2" x14ac:dyDescent="0.2">
      <c r="D636" s="8" t="s">
        <v>257</v>
      </c>
      <c r="E636" s="10">
        <f t="shared" ref="E636:AD636" si="773">E668+E700</f>
        <v>0</v>
      </c>
      <c r="F636" s="10">
        <f t="shared" si="773"/>
        <v>0</v>
      </c>
      <c r="G636" s="10">
        <f t="shared" si="773"/>
        <v>0</v>
      </c>
      <c r="H636" s="10">
        <f t="shared" si="773"/>
        <v>0</v>
      </c>
      <c r="I636" s="10">
        <f t="shared" si="773"/>
        <v>0</v>
      </c>
      <c r="J636" s="10">
        <f t="shared" si="773"/>
        <v>0</v>
      </c>
      <c r="K636" s="10">
        <f t="shared" si="773"/>
        <v>0</v>
      </c>
      <c r="L636" s="10">
        <f t="shared" si="773"/>
        <v>0</v>
      </c>
      <c r="M636" s="10">
        <f t="shared" si="773"/>
        <v>0</v>
      </c>
      <c r="N636" s="10">
        <f t="shared" si="773"/>
        <v>0</v>
      </c>
      <c r="O636" s="10">
        <f t="shared" si="773"/>
        <v>0</v>
      </c>
      <c r="P636" s="10">
        <f t="shared" si="773"/>
        <v>0</v>
      </c>
      <c r="Q636" s="10">
        <f t="shared" si="773"/>
        <v>0</v>
      </c>
      <c r="R636" s="10">
        <f t="shared" si="773"/>
        <v>0</v>
      </c>
      <c r="S636" s="10">
        <f t="shared" si="773"/>
        <v>0</v>
      </c>
      <c r="T636" s="10">
        <f t="shared" si="773"/>
        <v>0</v>
      </c>
      <c r="U636" s="10">
        <f t="shared" si="773"/>
        <v>0</v>
      </c>
      <c r="V636" s="10">
        <f t="shared" si="773"/>
        <v>0</v>
      </c>
      <c r="W636" s="10">
        <f t="shared" si="773"/>
        <v>0</v>
      </c>
      <c r="X636" s="10">
        <f t="shared" si="773"/>
        <v>0</v>
      </c>
      <c r="Y636" s="10">
        <f t="shared" si="773"/>
        <v>0</v>
      </c>
      <c r="Z636" s="10">
        <f t="shared" si="773"/>
        <v>0</v>
      </c>
      <c r="AA636" s="10">
        <f t="shared" si="773"/>
        <v>0</v>
      </c>
      <c r="AB636" s="10">
        <f t="shared" si="773"/>
        <v>0</v>
      </c>
      <c r="AC636" s="10">
        <f t="shared" si="773"/>
        <v>0</v>
      </c>
      <c r="AD636" s="10">
        <f t="shared" si="773"/>
        <v>1490</v>
      </c>
      <c r="AH636" s="34" t="s">
        <v>422</v>
      </c>
    </row>
    <row r="637" spans="3:34" outlineLevel="2" x14ac:dyDescent="0.2">
      <c r="D637" s="8" t="s">
        <v>258</v>
      </c>
      <c r="E637" s="10">
        <f t="shared" ref="E637:AD637" si="774">E669+E701</f>
        <v>0</v>
      </c>
      <c r="F637" s="10">
        <f t="shared" si="774"/>
        <v>0</v>
      </c>
      <c r="G637" s="10">
        <f t="shared" si="774"/>
        <v>0</v>
      </c>
      <c r="H637" s="10">
        <f t="shared" si="774"/>
        <v>0</v>
      </c>
      <c r="I637" s="10">
        <f t="shared" si="774"/>
        <v>0</v>
      </c>
      <c r="J637" s="10">
        <f t="shared" si="774"/>
        <v>0</v>
      </c>
      <c r="K637" s="10">
        <f t="shared" si="774"/>
        <v>0</v>
      </c>
      <c r="L637" s="10">
        <f t="shared" si="774"/>
        <v>0</v>
      </c>
      <c r="M637" s="10">
        <f t="shared" si="774"/>
        <v>0</v>
      </c>
      <c r="N637" s="10">
        <f t="shared" si="774"/>
        <v>0</v>
      </c>
      <c r="O637" s="10">
        <f t="shared" si="774"/>
        <v>0</v>
      </c>
      <c r="P637" s="10">
        <f t="shared" si="774"/>
        <v>0</v>
      </c>
      <c r="Q637" s="10">
        <f t="shared" si="774"/>
        <v>0</v>
      </c>
      <c r="R637" s="10">
        <f t="shared" si="774"/>
        <v>0</v>
      </c>
      <c r="S637" s="10">
        <f t="shared" si="774"/>
        <v>0</v>
      </c>
      <c r="T637" s="10">
        <f t="shared" si="774"/>
        <v>0</v>
      </c>
      <c r="U637" s="10">
        <f t="shared" si="774"/>
        <v>0</v>
      </c>
      <c r="V637" s="10">
        <f t="shared" si="774"/>
        <v>0</v>
      </c>
      <c r="W637" s="10">
        <f t="shared" si="774"/>
        <v>0</v>
      </c>
      <c r="X637" s="10">
        <f t="shared" si="774"/>
        <v>0</v>
      </c>
      <c r="Y637" s="10">
        <f t="shared" si="774"/>
        <v>0</v>
      </c>
      <c r="Z637" s="10">
        <f t="shared" si="774"/>
        <v>0</v>
      </c>
      <c r="AA637" s="10">
        <f t="shared" si="774"/>
        <v>0</v>
      </c>
      <c r="AB637" s="10">
        <f t="shared" si="774"/>
        <v>0</v>
      </c>
      <c r="AC637" s="10">
        <f t="shared" si="774"/>
        <v>0</v>
      </c>
      <c r="AD637" s="10">
        <f t="shared" si="774"/>
        <v>1523</v>
      </c>
      <c r="AH637" s="34" t="s">
        <v>422</v>
      </c>
    </row>
    <row r="638" spans="3:34" outlineLevel="2" x14ac:dyDescent="0.2">
      <c r="D638" s="8" t="s">
        <v>259</v>
      </c>
      <c r="E638" s="10">
        <f t="shared" ref="E638:AD638" si="775">E670+E702</f>
        <v>0</v>
      </c>
      <c r="F638" s="10">
        <f t="shared" si="775"/>
        <v>0</v>
      </c>
      <c r="G638" s="10">
        <f t="shared" si="775"/>
        <v>0</v>
      </c>
      <c r="H638" s="10">
        <f t="shared" si="775"/>
        <v>0</v>
      </c>
      <c r="I638" s="10">
        <f t="shared" si="775"/>
        <v>0</v>
      </c>
      <c r="J638" s="10">
        <f t="shared" si="775"/>
        <v>0</v>
      </c>
      <c r="K638" s="10">
        <f t="shared" si="775"/>
        <v>0</v>
      </c>
      <c r="L638" s="10">
        <f t="shared" si="775"/>
        <v>0</v>
      </c>
      <c r="M638" s="10">
        <f t="shared" si="775"/>
        <v>0</v>
      </c>
      <c r="N638" s="10">
        <f t="shared" si="775"/>
        <v>0</v>
      </c>
      <c r="O638" s="10">
        <f t="shared" si="775"/>
        <v>0</v>
      </c>
      <c r="P638" s="10">
        <f t="shared" si="775"/>
        <v>0</v>
      </c>
      <c r="Q638" s="10">
        <f t="shared" si="775"/>
        <v>0</v>
      </c>
      <c r="R638" s="10">
        <f t="shared" si="775"/>
        <v>0</v>
      </c>
      <c r="S638" s="10">
        <f t="shared" si="775"/>
        <v>0</v>
      </c>
      <c r="T638" s="10">
        <f t="shared" si="775"/>
        <v>0</v>
      </c>
      <c r="U638" s="10">
        <f t="shared" si="775"/>
        <v>0</v>
      </c>
      <c r="V638" s="10">
        <f t="shared" si="775"/>
        <v>0</v>
      </c>
      <c r="W638" s="10">
        <f t="shared" si="775"/>
        <v>0</v>
      </c>
      <c r="X638" s="10">
        <f t="shared" si="775"/>
        <v>0</v>
      </c>
      <c r="Y638" s="10">
        <f t="shared" si="775"/>
        <v>0</v>
      </c>
      <c r="Z638" s="10">
        <f t="shared" si="775"/>
        <v>0</v>
      </c>
      <c r="AA638" s="10">
        <f t="shared" si="775"/>
        <v>0</v>
      </c>
      <c r="AB638" s="10">
        <f t="shared" si="775"/>
        <v>0</v>
      </c>
      <c r="AC638" s="10">
        <f t="shared" si="775"/>
        <v>0</v>
      </c>
      <c r="AD638" s="10">
        <f t="shared" si="775"/>
        <v>454</v>
      </c>
      <c r="AH638" s="34" t="s">
        <v>422</v>
      </c>
    </row>
    <row r="639" spans="3:34" outlineLevel="2" x14ac:dyDescent="0.2">
      <c r="D639" s="8" t="s">
        <v>260</v>
      </c>
      <c r="E639" s="10">
        <f t="shared" ref="E639:AD639" si="776">E671+E703</f>
        <v>0</v>
      </c>
      <c r="F639" s="10">
        <f t="shared" si="776"/>
        <v>0</v>
      </c>
      <c r="G639" s="10">
        <f t="shared" si="776"/>
        <v>0</v>
      </c>
      <c r="H639" s="10">
        <f t="shared" si="776"/>
        <v>0</v>
      </c>
      <c r="I639" s="10">
        <f t="shared" si="776"/>
        <v>0</v>
      </c>
      <c r="J639" s="10">
        <f t="shared" si="776"/>
        <v>0</v>
      </c>
      <c r="K639" s="10">
        <f t="shared" si="776"/>
        <v>0</v>
      </c>
      <c r="L639" s="10">
        <f t="shared" si="776"/>
        <v>0</v>
      </c>
      <c r="M639" s="10">
        <f t="shared" si="776"/>
        <v>0</v>
      </c>
      <c r="N639" s="10">
        <f t="shared" si="776"/>
        <v>0</v>
      </c>
      <c r="O639" s="10">
        <f t="shared" si="776"/>
        <v>0</v>
      </c>
      <c r="P639" s="10">
        <f t="shared" si="776"/>
        <v>0</v>
      </c>
      <c r="Q639" s="10">
        <f t="shared" si="776"/>
        <v>0</v>
      </c>
      <c r="R639" s="10">
        <f t="shared" si="776"/>
        <v>0</v>
      </c>
      <c r="S639" s="10">
        <f t="shared" si="776"/>
        <v>0</v>
      </c>
      <c r="T639" s="10">
        <f t="shared" si="776"/>
        <v>0</v>
      </c>
      <c r="U639" s="10">
        <f t="shared" si="776"/>
        <v>0</v>
      </c>
      <c r="V639" s="10">
        <f t="shared" si="776"/>
        <v>0</v>
      </c>
      <c r="W639" s="10">
        <f t="shared" si="776"/>
        <v>0</v>
      </c>
      <c r="X639" s="10">
        <f t="shared" si="776"/>
        <v>0</v>
      </c>
      <c r="Y639" s="10">
        <f t="shared" si="776"/>
        <v>0</v>
      </c>
      <c r="Z639" s="10">
        <f t="shared" si="776"/>
        <v>0</v>
      </c>
      <c r="AA639" s="10">
        <f t="shared" si="776"/>
        <v>0</v>
      </c>
      <c r="AB639" s="10">
        <f t="shared" si="776"/>
        <v>0</v>
      </c>
      <c r="AC639" s="10">
        <f t="shared" si="776"/>
        <v>0</v>
      </c>
      <c r="AD639" s="10">
        <f t="shared" si="776"/>
        <v>5400</v>
      </c>
      <c r="AH639" s="34" t="s">
        <v>422</v>
      </c>
    </row>
    <row r="640" spans="3:34" outlineLevel="2" x14ac:dyDescent="0.2">
      <c r="D640" s="8" t="s">
        <v>261</v>
      </c>
      <c r="E640" s="10">
        <f t="shared" ref="E640:AD640" si="777">E672+E704</f>
        <v>0</v>
      </c>
      <c r="F640" s="10">
        <f t="shared" si="777"/>
        <v>0</v>
      </c>
      <c r="G640" s="10">
        <f t="shared" si="777"/>
        <v>0</v>
      </c>
      <c r="H640" s="10">
        <f t="shared" si="777"/>
        <v>0</v>
      </c>
      <c r="I640" s="10">
        <f t="shared" si="777"/>
        <v>0</v>
      </c>
      <c r="J640" s="10">
        <f t="shared" si="777"/>
        <v>0</v>
      </c>
      <c r="K640" s="10">
        <f t="shared" si="777"/>
        <v>0</v>
      </c>
      <c r="L640" s="10">
        <f t="shared" si="777"/>
        <v>0</v>
      </c>
      <c r="M640" s="10">
        <f t="shared" si="777"/>
        <v>0</v>
      </c>
      <c r="N640" s="10">
        <f t="shared" si="777"/>
        <v>0</v>
      </c>
      <c r="O640" s="10">
        <f t="shared" si="777"/>
        <v>0</v>
      </c>
      <c r="P640" s="10">
        <f t="shared" si="777"/>
        <v>0</v>
      </c>
      <c r="Q640" s="10">
        <f t="shared" si="777"/>
        <v>0</v>
      </c>
      <c r="R640" s="10">
        <f t="shared" si="777"/>
        <v>0</v>
      </c>
      <c r="S640" s="10">
        <f t="shared" si="777"/>
        <v>0</v>
      </c>
      <c r="T640" s="10">
        <f t="shared" si="777"/>
        <v>0</v>
      </c>
      <c r="U640" s="10">
        <f t="shared" si="777"/>
        <v>0</v>
      </c>
      <c r="V640" s="10">
        <f t="shared" si="777"/>
        <v>0</v>
      </c>
      <c r="W640" s="10">
        <f t="shared" si="777"/>
        <v>0</v>
      </c>
      <c r="X640" s="10">
        <f t="shared" si="777"/>
        <v>0</v>
      </c>
      <c r="Y640" s="10">
        <f t="shared" si="777"/>
        <v>0</v>
      </c>
      <c r="Z640" s="10">
        <f t="shared" si="777"/>
        <v>0</v>
      </c>
      <c r="AA640" s="10">
        <f t="shared" si="777"/>
        <v>0</v>
      </c>
      <c r="AB640" s="10">
        <f t="shared" si="777"/>
        <v>0</v>
      </c>
      <c r="AC640" s="10">
        <f t="shared" si="777"/>
        <v>0</v>
      </c>
      <c r="AD640" s="10">
        <f t="shared" si="777"/>
        <v>731</v>
      </c>
      <c r="AH640" s="34" t="s">
        <v>422</v>
      </c>
    </row>
    <row r="641" spans="4:34" outlineLevel="2" x14ac:dyDescent="0.2">
      <c r="D641" s="8" t="s">
        <v>262</v>
      </c>
      <c r="E641" s="10">
        <f t="shared" ref="E641:AD641" si="778">E673+E705</f>
        <v>0</v>
      </c>
      <c r="F641" s="10">
        <f t="shared" si="778"/>
        <v>0</v>
      </c>
      <c r="G641" s="10">
        <f t="shared" si="778"/>
        <v>0</v>
      </c>
      <c r="H641" s="10">
        <f t="shared" si="778"/>
        <v>0</v>
      </c>
      <c r="I641" s="10">
        <f t="shared" si="778"/>
        <v>0</v>
      </c>
      <c r="J641" s="10">
        <f t="shared" si="778"/>
        <v>0</v>
      </c>
      <c r="K641" s="10">
        <f t="shared" si="778"/>
        <v>0</v>
      </c>
      <c r="L641" s="10">
        <f t="shared" si="778"/>
        <v>0</v>
      </c>
      <c r="M641" s="10">
        <f t="shared" si="778"/>
        <v>0</v>
      </c>
      <c r="N641" s="10">
        <f t="shared" si="778"/>
        <v>0</v>
      </c>
      <c r="O641" s="10">
        <f t="shared" si="778"/>
        <v>0</v>
      </c>
      <c r="P641" s="10">
        <f t="shared" si="778"/>
        <v>0</v>
      </c>
      <c r="Q641" s="10">
        <f t="shared" si="778"/>
        <v>0</v>
      </c>
      <c r="R641" s="10">
        <f t="shared" si="778"/>
        <v>0</v>
      </c>
      <c r="S641" s="10">
        <f t="shared" si="778"/>
        <v>0</v>
      </c>
      <c r="T641" s="10">
        <f t="shared" si="778"/>
        <v>0</v>
      </c>
      <c r="U641" s="10">
        <f t="shared" si="778"/>
        <v>0</v>
      </c>
      <c r="V641" s="10">
        <f t="shared" si="778"/>
        <v>0</v>
      </c>
      <c r="W641" s="10">
        <f t="shared" si="778"/>
        <v>0</v>
      </c>
      <c r="X641" s="10">
        <f t="shared" si="778"/>
        <v>0</v>
      </c>
      <c r="Y641" s="10">
        <f t="shared" si="778"/>
        <v>0</v>
      </c>
      <c r="Z641" s="10">
        <f t="shared" si="778"/>
        <v>0</v>
      </c>
      <c r="AA641" s="10">
        <f t="shared" si="778"/>
        <v>0</v>
      </c>
      <c r="AB641" s="10">
        <f t="shared" si="778"/>
        <v>0</v>
      </c>
      <c r="AC641" s="10">
        <f t="shared" si="778"/>
        <v>0</v>
      </c>
      <c r="AD641" s="10">
        <f t="shared" si="778"/>
        <v>3760</v>
      </c>
      <c r="AH641" s="34" t="s">
        <v>422</v>
      </c>
    </row>
    <row r="642" spans="4:34" outlineLevel="2" x14ac:dyDescent="0.2">
      <c r="D642" s="8" t="s">
        <v>263</v>
      </c>
      <c r="E642" s="10">
        <f t="shared" ref="E642:AD642" si="779">E674+E706</f>
        <v>0</v>
      </c>
      <c r="F642" s="10">
        <f t="shared" si="779"/>
        <v>0</v>
      </c>
      <c r="G642" s="10">
        <f t="shared" si="779"/>
        <v>0</v>
      </c>
      <c r="H642" s="10">
        <f t="shared" si="779"/>
        <v>0</v>
      </c>
      <c r="I642" s="10">
        <f t="shared" si="779"/>
        <v>0</v>
      </c>
      <c r="J642" s="10">
        <f t="shared" si="779"/>
        <v>0</v>
      </c>
      <c r="K642" s="10">
        <f t="shared" si="779"/>
        <v>0</v>
      </c>
      <c r="L642" s="10">
        <f t="shared" si="779"/>
        <v>0</v>
      </c>
      <c r="M642" s="10">
        <f t="shared" si="779"/>
        <v>0</v>
      </c>
      <c r="N642" s="10">
        <f t="shared" si="779"/>
        <v>0</v>
      </c>
      <c r="O642" s="10">
        <f t="shared" si="779"/>
        <v>0</v>
      </c>
      <c r="P642" s="10">
        <f t="shared" si="779"/>
        <v>0</v>
      </c>
      <c r="Q642" s="10">
        <f t="shared" si="779"/>
        <v>0</v>
      </c>
      <c r="R642" s="10">
        <f t="shared" si="779"/>
        <v>0</v>
      </c>
      <c r="S642" s="10">
        <f t="shared" si="779"/>
        <v>0</v>
      </c>
      <c r="T642" s="10">
        <f t="shared" si="779"/>
        <v>0</v>
      </c>
      <c r="U642" s="10">
        <f t="shared" si="779"/>
        <v>0</v>
      </c>
      <c r="V642" s="10">
        <f t="shared" si="779"/>
        <v>0</v>
      </c>
      <c r="W642" s="10">
        <f t="shared" si="779"/>
        <v>0</v>
      </c>
      <c r="X642" s="10">
        <f t="shared" si="779"/>
        <v>0</v>
      </c>
      <c r="Y642" s="10">
        <f t="shared" si="779"/>
        <v>0</v>
      </c>
      <c r="Z642" s="10">
        <f t="shared" si="779"/>
        <v>0</v>
      </c>
      <c r="AA642" s="10">
        <f t="shared" si="779"/>
        <v>0</v>
      </c>
      <c r="AB642" s="10">
        <f t="shared" si="779"/>
        <v>0</v>
      </c>
      <c r="AC642" s="10">
        <f t="shared" si="779"/>
        <v>0</v>
      </c>
      <c r="AD642" s="10">
        <f t="shared" si="779"/>
        <v>2901</v>
      </c>
      <c r="AH642" s="34" t="s">
        <v>422</v>
      </c>
    </row>
    <row r="643" spans="4:34" outlineLevel="2" x14ac:dyDescent="0.2">
      <c r="D643" s="8" t="s">
        <v>264</v>
      </c>
      <c r="E643" s="10">
        <f t="shared" ref="E643:AD643" si="780">E675+E707</f>
        <v>0</v>
      </c>
      <c r="F643" s="10">
        <f t="shared" si="780"/>
        <v>0</v>
      </c>
      <c r="G643" s="10">
        <f t="shared" si="780"/>
        <v>0</v>
      </c>
      <c r="H643" s="10">
        <f t="shared" si="780"/>
        <v>0</v>
      </c>
      <c r="I643" s="10">
        <f t="shared" si="780"/>
        <v>0</v>
      </c>
      <c r="J643" s="10">
        <f t="shared" si="780"/>
        <v>0</v>
      </c>
      <c r="K643" s="10">
        <f t="shared" si="780"/>
        <v>0</v>
      </c>
      <c r="L643" s="10">
        <f t="shared" si="780"/>
        <v>0</v>
      </c>
      <c r="M643" s="10">
        <f t="shared" si="780"/>
        <v>0</v>
      </c>
      <c r="N643" s="10">
        <f t="shared" si="780"/>
        <v>0</v>
      </c>
      <c r="O643" s="10">
        <f t="shared" si="780"/>
        <v>0</v>
      </c>
      <c r="P643" s="10">
        <f t="shared" si="780"/>
        <v>0</v>
      </c>
      <c r="Q643" s="10">
        <f t="shared" si="780"/>
        <v>0</v>
      </c>
      <c r="R643" s="10">
        <f t="shared" si="780"/>
        <v>0</v>
      </c>
      <c r="S643" s="10">
        <f t="shared" si="780"/>
        <v>0</v>
      </c>
      <c r="T643" s="10">
        <f t="shared" si="780"/>
        <v>0</v>
      </c>
      <c r="U643" s="10">
        <f t="shared" si="780"/>
        <v>0</v>
      </c>
      <c r="V643" s="10">
        <f t="shared" si="780"/>
        <v>0</v>
      </c>
      <c r="W643" s="10">
        <f t="shared" si="780"/>
        <v>0</v>
      </c>
      <c r="X643" s="10">
        <f t="shared" si="780"/>
        <v>0</v>
      </c>
      <c r="Y643" s="10">
        <f t="shared" si="780"/>
        <v>0</v>
      </c>
      <c r="Z643" s="10">
        <f t="shared" si="780"/>
        <v>0</v>
      </c>
      <c r="AA643" s="10">
        <f t="shared" si="780"/>
        <v>0</v>
      </c>
      <c r="AB643" s="10">
        <f t="shared" si="780"/>
        <v>0</v>
      </c>
      <c r="AC643" s="10">
        <f t="shared" si="780"/>
        <v>0</v>
      </c>
      <c r="AD643" s="10">
        <f t="shared" si="780"/>
        <v>3151</v>
      </c>
      <c r="AH643" s="34" t="s">
        <v>422</v>
      </c>
    </row>
    <row r="644" spans="4:34" outlineLevel="2" x14ac:dyDescent="0.2">
      <c r="D644" s="8" t="s">
        <v>265</v>
      </c>
      <c r="E644" s="10">
        <f t="shared" ref="E644:AD644" si="781">E676+E708</f>
        <v>0</v>
      </c>
      <c r="F644" s="10">
        <f t="shared" si="781"/>
        <v>0</v>
      </c>
      <c r="G644" s="10">
        <f t="shared" si="781"/>
        <v>0</v>
      </c>
      <c r="H644" s="10">
        <f t="shared" si="781"/>
        <v>0</v>
      </c>
      <c r="I644" s="10">
        <f t="shared" si="781"/>
        <v>0</v>
      </c>
      <c r="J644" s="10">
        <f t="shared" si="781"/>
        <v>0</v>
      </c>
      <c r="K644" s="10">
        <f t="shared" si="781"/>
        <v>0</v>
      </c>
      <c r="L644" s="10">
        <f t="shared" si="781"/>
        <v>0</v>
      </c>
      <c r="M644" s="10">
        <f t="shared" si="781"/>
        <v>0</v>
      </c>
      <c r="N644" s="10">
        <f t="shared" si="781"/>
        <v>0</v>
      </c>
      <c r="O644" s="10">
        <f t="shared" si="781"/>
        <v>0</v>
      </c>
      <c r="P644" s="10">
        <f t="shared" si="781"/>
        <v>0</v>
      </c>
      <c r="Q644" s="10">
        <f t="shared" si="781"/>
        <v>0</v>
      </c>
      <c r="R644" s="10">
        <f t="shared" si="781"/>
        <v>0</v>
      </c>
      <c r="S644" s="10">
        <f t="shared" si="781"/>
        <v>0</v>
      </c>
      <c r="T644" s="10">
        <f t="shared" si="781"/>
        <v>0</v>
      </c>
      <c r="U644" s="10">
        <f t="shared" si="781"/>
        <v>0</v>
      </c>
      <c r="V644" s="10">
        <f t="shared" si="781"/>
        <v>0</v>
      </c>
      <c r="W644" s="10">
        <f t="shared" si="781"/>
        <v>0</v>
      </c>
      <c r="X644" s="10">
        <f t="shared" si="781"/>
        <v>0</v>
      </c>
      <c r="Y644" s="10">
        <f t="shared" si="781"/>
        <v>0</v>
      </c>
      <c r="Z644" s="10">
        <f t="shared" si="781"/>
        <v>0</v>
      </c>
      <c r="AA644" s="10">
        <f t="shared" si="781"/>
        <v>0</v>
      </c>
      <c r="AB644" s="10">
        <f t="shared" si="781"/>
        <v>0</v>
      </c>
      <c r="AC644" s="10">
        <f t="shared" si="781"/>
        <v>0</v>
      </c>
      <c r="AD644" s="10">
        <f t="shared" si="781"/>
        <v>1431</v>
      </c>
      <c r="AH644" s="34" t="s">
        <v>422</v>
      </c>
    </row>
    <row r="645" spans="4:34" outlineLevel="2" x14ac:dyDescent="0.2">
      <c r="D645" s="8" t="s">
        <v>266</v>
      </c>
      <c r="E645" s="10">
        <f t="shared" ref="E645:AD645" si="782">E677+E709</f>
        <v>0</v>
      </c>
      <c r="F645" s="10">
        <f t="shared" si="782"/>
        <v>0</v>
      </c>
      <c r="G645" s="10">
        <f t="shared" si="782"/>
        <v>0</v>
      </c>
      <c r="H645" s="10">
        <f t="shared" si="782"/>
        <v>0</v>
      </c>
      <c r="I645" s="10">
        <f t="shared" si="782"/>
        <v>0</v>
      </c>
      <c r="J645" s="10">
        <f t="shared" si="782"/>
        <v>0</v>
      </c>
      <c r="K645" s="10">
        <f t="shared" si="782"/>
        <v>0</v>
      </c>
      <c r="L645" s="10">
        <f t="shared" si="782"/>
        <v>0</v>
      </c>
      <c r="M645" s="10">
        <f t="shared" si="782"/>
        <v>0</v>
      </c>
      <c r="N645" s="10">
        <f t="shared" si="782"/>
        <v>0</v>
      </c>
      <c r="O645" s="10">
        <f t="shared" si="782"/>
        <v>0</v>
      </c>
      <c r="P645" s="10">
        <f t="shared" si="782"/>
        <v>0</v>
      </c>
      <c r="Q645" s="10">
        <f t="shared" si="782"/>
        <v>0</v>
      </c>
      <c r="R645" s="10">
        <f t="shared" si="782"/>
        <v>0</v>
      </c>
      <c r="S645" s="10">
        <f t="shared" si="782"/>
        <v>0</v>
      </c>
      <c r="T645" s="10">
        <f t="shared" si="782"/>
        <v>0</v>
      </c>
      <c r="U645" s="10">
        <f t="shared" si="782"/>
        <v>0</v>
      </c>
      <c r="V645" s="10">
        <f t="shared" si="782"/>
        <v>0</v>
      </c>
      <c r="W645" s="10">
        <f t="shared" si="782"/>
        <v>0</v>
      </c>
      <c r="X645" s="10">
        <f t="shared" si="782"/>
        <v>0</v>
      </c>
      <c r="Y645" s="10">
        <f t="shared" si="782"/>
        <v>0</v>
      </c>
      <c r="Z645" s="10">
        <f t="shared" si="782"/>
        <v>0</v>
      </c>
      <c r="AA645" s="10">
        <f t="shared" si="782"/>
        <v>0</v>
      </c>
      <c r="AB645" s="10">
        <f t="shared" si="782"/>
        <v>0</v>
      </c>
      <c r="AC645" s="10">
        <f t="shared" si="782"/>
        <v>0</v>
      </c>
      <c r="AD645" s="10">
        <f t="shared" si="782"/>
        <v>10830</v>
      </c>
      <c r="AH645" s="34" t="s">
        <v>422</v>
      </c>
    </row>
    <row r="646" spans="4:34" outlineLevel="2" x14ac:dyDescent="0.2">
      <c r="D646" s="8" t="s">
        <v>267</v>
      </c>
      <c r="E646" s="10">
        <f t="shared" ref="E646:AD646" si="783">E678+E710</f>
        <v>0</v>
      </c>
      <c r="F646" s="10">
        <f t="shared" si="783"/>
        <v>0</v>
      </c>
      <c r="G646" s="10">
        <f t="shared" si="783"/>
        <v>0</v>
      </c>
      <c r="H646" s="10">
        <f t="shared" si="783"/>
        <v>0</v>
      </c>
      <c r="I646" s="10">
        <f t="shared" si="783"/>
        <v>0</v>
      </c>
      <c r="J646" s="10">
        <f t="shared" si="783"/>
        <v>0</v>
      </c>
      <c r="K646" s="10">
        <f t="shared" si="783"/>
        <v>0</v>
      </c>
      <c r="L646" s="10">
        <f t="shared" si="783"/>
        <v>0</v>
      </c>
      <c r="M646" s="10">
        <f t="shared" si="783"/>
        <v>0</v>
      </c>
      <c r="N646" s="10">
        <f t="shared" si="783"/>
        <v>0</v>
      </c>
      <c r="O646" s="10">
        <f t="shared" si="783"/>
        <v>0</v>
      </c>
      <c r="P646" s="10">
        <f t="shared" si="783"/>
        <v>0</v>
      </c>
      <c r="Q646" s="10">
        <f t="shared" si="783"/>
        <v>0</v>
      </c>
      <c r="R646" s="10">
        <f t="shared" si="783"/>
        <v>0</v>
      </c>
      <c r="S646" s="10">
        <f t="shared" si="783"/>
        <v>0</v>
      </c>
      <c r="T646" s="10">
        <f t="shared" si="783"/>
        <v>0</v>
      </c>
      <c r="U646" s="10">
        <f t="shared" si="783"/>
        <v>0</v>
      </c>
      <c r="V646" s="10">
        <f t="shared" si="783"/>
        <v>0</v>
      </c>
      <c r="W646" s="10">
        <f t="shared" si="783"/>
        <v>0</v>
      </c>
      <c r="X646" s="10">
        <f t="shared" si="783"/>
        <v>0</v>
      </c>
      <c r="Y646" s="10">
        <f t="shared" si="783"/>
        <v>0</v>
      </c>
      <c r="Z646" s="10">
        <f t="shared" si="783"/>
        <v>0</v>
      </c>
      <c r="AA646" s="10">
        <f t="shared" si="783"/>
        <v>0</v>
      </c>
      <c r="AB646" s="10">
        <f t="shared" si="783"/>
        <v>0</v>
      </c>
      <c r="AC646" s="10">
        <f t="shared" si="783"/>
        <v>0</v>
      </c>
      <c r="AD646" s="10">
        <f t="shared" si="783"/>
        <v>300</v>
      </c>
      <c r="AH646" s="34" t="s">
        <v>422</v>
      </c>
    </row>
    <row r="647" spans="4:34" outlineLevel="2" x14ac:dyDescent="0.2">
      <c r="D647" s="8" t="s">
        <v>268</v>
      </c>
      <c r="E647" s="10">
        <f t="shared" ref="E647:AD647" si="784">E679+E711</f>
        <v>0</v>
      </c>
      <c r="F647" s="10">
        <f t="shared" si="784"/>
        <v>0</v>
      </c>
      <c r="G647" s="10">
        <f t="shared" si="784"/>
        <v>0</v>
      </c>
      <c r="H647" s="10">
        <f t="shared" si="784"/>
        <v>0</v>
      </c>
      <c r="I647" s="10">
        <f t="shared" si="784"/>
        <v>0</v>
      </c>
      <c r="J647" s="10">
        <f t="shared" si="784"/>
        <v>0</v>
      </c>
      <c r="K647" s="10">
        <f t="shared" si="784"/>
        <v>0</v>
      </c>
      <c r="L647" s="10">
        <f t="shared" si="784"/>
        <v>0</v>
      </c>
      <c r="M647" s="10">
        <f t="shared" si="784"/>
        <v>0</v>
      </c>
      <c r="N647" s="10">
        <f t="shared" si="784"/>
        <v>0</v>
      </c>
      <c r="O647" s="10">
        <f t="shared" si="784"/>
        <v>0</v>
      </c>
      <c r="P647" s="10">
        <f t="shared" si="784"/>
        <v>0</v>
      </c>
      <c r="Q647" s="10">
        <f t="shared" si="784"/>
        <v>0</v>
      </c>
      <c r="R647" s="10">
        <f t="shared" si="784"/>
        <v>0</v>
      </c>
      <c r="S647" s="10">
        <f t="shared" si="784"/>
        <v>0</v>
      </c>
      <c r="T647" s="10">
        <f t="shared" si="784"/>
        <v>0</v>
      </c>
      <c r="U647" s="10">
        <f t="shared" si="784"/>
        <v>0</v>
      </c>
      <c r="V647" s="10">
        <f t="shared" si="784"/>
        <v>0</v>
      </c>
      <c r="W647" s="10">
        <f t="shared" si="784"/>
        <v>0</v>
      </c>
      <c r="X647" s="10">
        <f t="shared" si="784"/>
        <v>0</v>
      </c>
      <c r="Y647" s="10">
        <f t="shared" si="784"/>
        <v>0</v>
      </c>
      <c r="Z647" s="10">
        <f t="shared" si="784"/>
        <v>0</v>
      </c>
      <c r="AA647" s="10">
        <f t="shared" si="784"/>
        <v>0</v>
      </c>
      <c r="AB647" s="10">
        <f t="shared" si="784"/>
        <v>0</v>
      </c>
      <c r="AC647" s="10">
        <f t="shared" si="784"/>
        <v>0</v>
      </c>
      <c r="AD647" s="10">
        <f t="shared" si="784"/>
        <v>7241</v>
      </c>
      <c r="AH647" s="34" t="s">
        <v>422</v>
      </c>
    </row>
    <row r="648" spans="4:34" outlineLevel="2" x14ac:dyDescent="0.2">
      <c r="D648" s="8" t="s">
        <v>269</v>
      </c>
      <c r="E648" s="10">
        <f t="shared" ref="E648:AD648" si="785">E680+E712</f>
        <v>0</v>
      </c>
      <c r="F648" s="10">
        <f t="shared" si="785"/>
        <v>0</v>
      </c>
      <c r="G648" s="10">
        <f t="shared" si="785"/>
        <v>0</v>
      </c>
      <c r="H648" s="10">
        <f t="shared" si="785"/>
        <v>0</v>
      </c>
      <c r="I648" s="10">
        <f t="shared" si="785"/>
        <v>0</v>
      </c>
      <c r="J648" s="10">
        <f t="shared" si="785"/>
        <v>0</v>
      </c>
      <c r="K648" s="10">
        <f t="shared" si="785"/>
        <v>0</v>
      </c>
      <c r="L648" s="10">
        <f t="shared" si="785"/>
        <v>0</v>
      </c>
      <c r="M648" s="10">
        <f t="shared" si="785"/>
        <v>0</v>
      </c>
      <c r="N648" s="10">
        <f t="shared" si="785"/>
        <v>0</v>
      </c>
      <c r="O648" s="10">
        <f t="shared" si="785"/>
        <v>0</v>
      </c>
      <c r="P648" s="10">
        <f t="shared" si="785"/>
        <v>0</v>
      </c>
      <c r="Q648" s="10">
        <f t="shared" si="785"/>
        <v>0</v>
      </c>
      <c r="R648" s="10">
        <f t="shared" si="785"/>
        <v>0</v>
      </c>
      <c r="S648" s="10">
        <f t="shared" si="785"/>
        <v>0</v>
      </c>
      <c r="T648" s="10">
        <f t="shared" si="785"/>
        <v>0</v>
      </c>
      <c r="U648" s="10">
        <f t="shared" si="785"/>
        <v>0</v>
      </c>
      <c r="V648" s="10">
        <f t="shared" si="785"/>
        <v>0</v>
      </c>
      <c r="W648" s="10">
        <f t="shared" si="785"/>
        <v>0</v>
      </c>
      <c r="X648" s="10">
        <f t="shared" si="785"/>
        <v>0</v>
      </c>
      <c r="Y648" s="10">
        <f t="shared" si="785"/>
        <v>0</v>
      </c>
      <c r="Z648" s="10">
        <f t="shared" si="785"/>
        <v>0</v>
      </c>
      <c r="AA648" s="10">
        <f t="shared" si="785"/>
        <v>0</v>
      </c>
      <c r="AB648" s="10">
        <f t="shared" si="785"/>
        <v>0</v>
      </c>
      <c r="AC648" s="10">
        <f t="shared" si="785"/>
        <v>0</v>
      </c>
      <c r="AD648" s="10">
        <f t="shared" si="785"/>
        <v>20.52</v>
      </c>
      <c r="AH648" s="34" t="s">
        <v>422</v>
      </c>
    </row>
    <row r="649" spans="4:34" outlineLevel="2" x14ac:dyDescent="0.2">
      <c r="D649" s="8" t="s">
        <v>270</v>
      </c>
      <c r="E649" s="10">
        <f t="shared" ref="E649:AD649" si="786">E681+E713</f>
        <v>0</v>
      </c>
      <c r="F649" s="10">
        <f t="shared" si="786"/>
        <v>0</v>
      </c>
      <c r="G649" s="10">
        <f t="shared" si="786"/>
        <v>0</v>
      </c>
      <c r="H649" s="10">
        <f t="shared" si="786"/>
        <v>0</v>
      </c>
      <c r="I649" s="10">
        <f t="shared" si="786"/>
        <v>0</v>
      </c>
      <c r="J649" s="10">
        <f t="shared" si="786"/>
        <v>0</v>
      </c>
      <c r="K649" s="10">
        <f t="shared" si="786"/>
        <v>0</v>
      </c>
      <c r="L649" s="10">
        <f t="shared" si="786"/>
        <v>0</v>
      </c>
      <c r="M649" s="10">
        <f t="shared" si="786"/>
        <v>0</v>
      </c>
      <c r="N649" s="10">
        <f t="shared" si="786"/>
        <v>0</v>
      </c>
      <c r="O649" s="10">
        <f t="shared" si="786"/>
        <v>0</v>
      </c>
      <c r="P649" s="10">
        <f t="shared" si="786"/>
        <v>0</v>
      </c>
      <c r="Q649" s="10">
        <f t="shared" si="786"/>
        <v>0</v>
      </c>
      <c r="R649" s="10">
        <f t="shared" si="786"/>
        <v>0</v>
      </c>
      <c r="S649" s="10">
        <f t="shared" si="786"/>
        <v>0</v>
      </c>
      <c r="T649" s="10">
        <f t="shared" si="786"/>
        <v>0</v>
      </c>
      <c r="U649" s="10">
        <f t="shared" si="786"/>
        <v>0</v>
      </c>
      <c r="V649" s="10">
        <f t="shared" si="786"/>
        <v>0</v>
      </c>
      <c r="W649" s="10">
        <f t="shared" si="786"/>
        <v>0</v>
      </c>
      <c r="X649" s="10">
        <f t="shared" si="786"/>
        <v>0</v>
      </c>
      <c r="Y649" s="10">
        <f t="shared" si="786"/>
        <v>0</v>
      </c>
      <c r="Z649" s="10">
        <f t="shared" si="786"/>
        <v>0</v>
      </c>
      <c r="AA649" s="10">
        <f t="shared" si="786"/>
        <v>0</v>
      </c>
      <c r="AB649" s="10">
        <f t="shared" si="786"/>
        <v>0</v>
      </c>
      <c r="AC649" s="10">
        <f t="shared" si="786"/>
        <v>0</v>
      </c>
      <c r="AD649" s="10">
        <f t="shared" si="786"/>
        <v>1959</v>
      </c>
      <c r="AH649" s="34" t="s">
        <v>422</v>
      </c>
    </row>
    <row r="650" spans="4:34" outlineLevel="2" x14ac:dyDescent="0.2">
      <c r="D650" s="8" t="s">
        <v>271</v>
      </c>
      <c r="E650" s="10">
        <f t="shared" ref="E650:AD650" si="787">E682+E714</f>
        <v>0</v>
      </c>
      <c r="F650" s="10">
        <f t="shared" si="787"/>
        <v>0</v>
      </c>
      <c r="G650" s="10">
        <f t="shared" si="787"/>
        <v>0</v>
      </c>
      <c r="H650" s="10">
        <f t="shared" si="787"/>
        <v>0</v>
      </c>
      <c r="I650" s="10">
        <f t="shared" si="787"/>
        <v>0</v>
      </c>
      <c r="J650" s="10">
        <f t="shared" si="787"/>
        <v>0</v>
      </c>
      <c r="K650" s="10">
        <f t="shared" si="787"/>
        <v>0</v>
      </c>
      <c r="L650" s="10">
        <f t="shared" si="787"/>
        <v>0</v>
      </c>
      <c r="M650" s="10">
        <f t="shared" si="787"/>
        <v>0</v>
      </c>
      <c r="N650" s="10">
        <f t="shared" si="787"/>
        <v>0</v>
      </c>
      <c r="O650" s="10">
        <f t="shared" si="787"/>
        <v>0</v>
      </c>
      <c r="P650" s="10">
        <f t="shared" si="787"/>
        <v>0</v>
      </c>
      <c r="Q650" s="10">
        <f t="shared" si="787"/>
        <v>0</v>
      </c>
      <c r="R650" s="10">
        <f t="shared" si="787"/>
        <v>0</v>
      </c>
      <c r="S650" s="10">
        <f t="shared" si="787"/>
        <v>0</v>
      </c>
      <c r="T650" s="10">
        <f t="shared" si="787"/>
        <v>0</v>
      </c>
      <c r="U650" s="10">
        <f t="shared" si="787"/>
        <v>0</v>
      </c>
      <c r="V650" s="10">
        <f t="shared" si="787"/>
        <v>0</v>
      </c>
      <c r="W650" s="10">
        <f t="shared" si="787"/>
        <v>0</v>
      </c>
      <c r="X650" s="10">
        <f t="shared" si="787"/>
        <v>0</v>
      </c>
      <c r="Y650" s="10">
        <f t="shared" si="787"/>
        <v>0</v>
      </c>
      <c r="Z650" s="10">
        <f t="shared" si="787"/>
        <v>0</v>
      </c>
      <c r="AA650" s="10">
        <f t="shared" si="787"/>
        <v>0</v>
      </c>
      <c r="AB650" s="10">
        <f t="shared" si="787"/>
        <v>0</v>
      </c>
      <c r="AC650" s="10">
        <f t="shared" si="787"/>
        <v>0</v>
      </c>
      <c r="AD650" s="10">
        <f t="shared" si="787"/>
        <v>2901</v>
      </c>
      <c r="AH650" s="34" t="s">
        <v>422</v>
      </c>
    </row>
    <row r="651" spans="4:34" outlineLevel="2" x14ac:dyDescent="0.2">
      <c r="D651" s="8" t="s">
        <v>272</v>
      </c>
      <c r="E651" s="10">
        <f t="shared" ref="E651:AD651" si="788">E683+E715</f>
        <v>0</v>
      </c>
      <c r="F651" s="10">
        <f t="shared" si="788"/>
        <v>0</v>
      </c>
      <c r="G651" s="10">
        <f t="shared" si="788"/>
        <v>0</v>
      </c>
      <c r="H651" s="10">
        <f t="shared" si="788"/>
        <v>0</v>
      </c>
      <c r="I651" s="10">
        <f t="shared" si="788"/>
        <v>0</v>
      </c>
      <c r="J651" s="10">
        <f t="shared" si="788"/>
        <v>0</v>
      </c>
      <c r="K651" s="10">
        <f t="shared" si="788"/>
        <v>0</v>
      </c>
      <c r="L651" s="10">
        <f t="shared" si="788"/>
        <v>0</v>
      </c>
      <c r="M651" s="10">
        <f t="shared" si="788"/>
        <v>0</v>
      </c>
      <c r="N651" s="10">
        <f t="shared" si="788"/>
        <v>0</v>
      </c>
      <c r="O651" s="10">
        <f t="shared" si="788"/>
        <v>0</v>
      </c>
      <c r="P651" s="10">
        <f t="shared" si="788"/>
        <v>0</v>
      </c>
      <c r="Q651" s="10">
        <f t="shared" si="788"/>
        <v>0</v>
      </c>
      <c r="R651" s="10">
        <f t="shared" si="788"/>
        <v>0</v>
      </c>
      <c r="S651" s="10">
        <f t="shared" si="788"/>
        <v>0</v>
      </c>
      <c r="T651" s="10">
        <f t="shared" si="788"/>
        <v>0</v>
      </c>
      <c r="U651" s="10">
        <f t="shared" si="788"/>
        <v>0</v>
      </c>
      <c r="V651" s="10">
        <f t="shared" si="788"/>
        <v>0</v>
      </c>
      <c r="W651" s="10">
        <f t="shared" si="788"/>
        <v>0</v>
      </c>
      <c r="X651" s="10">
        <f t="shared" si="788"/>
        <v>0</v>
      </c>
      <c r="Y651" s="10">
        <f t="shared" si="788"/>
        <v>0</v>
      </c>
      <c r="Z651" s="10">
        <f t="shared" si="788"/>
        <v>0</v>
      </c>
      <c r="AA651" s="10">
        <f t="shared" si="788"/>
        <v>0</v>
      </c>
      <c r="AB651" s="10">
        <f t="shared" si="788"/>
        <v>0</v>
      </c>
      <c r="AC651" s="10">
        <f t="shared" si="788"/>
        <v>0</v>
      </c>
      <c r="AD651" s="10">
        <f t="shared" si="788"/>
        <v>1127</v>
      </c>
      <c r="AH651" s="34" t="s">
        <v>422</v>
      </c>
    </row>
    <row r="652" spans="4:34" outlineLevel="2" x14ac:dyDescent="0.2">
      <c r="D652" s="8" t="s">
        <v>273</v>
      </c>
      <c r="E652" s="10">
        <f t="shared" ref="E652:AD652" si="789">E684+E716</f>
        <v>0</v>
      </c>
      <c r="F652" s="10">
        <f t="shared" si="789"/>
        <v>0</v>
      </c>
      <c r="G652" s="10">
        <f t="shared" si="789"/>
        <v>0</v>
      </c>
      <c r="H652" s="10">
        <f t="shared" si="789"/>
        <v>0</v>
      </c>
      <c r="I652" s="10">
        <f t="shared" si="789"/>
        <v>0</v>
      </c>
      <c r="J652" s="10">
        <f t="shared" si="789"/>
        <v>0</v>
      </c>
      <c r="K652" s="10">
        <f t="shared" si="789"/>
        <v>0</v>
      </c>
      <c r="L652" s="10">
        <f t="shared" si="789"/>
        <v>0</v>
      </c>
      <c r="M652" s="10">
        <f t="shared" si="789"/>
        <v>0</v>
      </c>
      <c r="N652" s="10">
        <f t="shared" si="789"/>
        <v>0</v>
      </c>
      <c r="O652" s="10">
        <f t="shared" si="789"/>
        <v>0</v>
      </c>
      <c r="P652" s="10">
        <f t="shared" si="789"/>
        <v>0</v>
      </c>
      <c r="Q652" s="10">
        <f t="shared" si="789"/>
        <v>0</v>
      </c>
      <c r="R652" s="10">
        <f t="shared" si="789"/>
        <v>0</v>
      </c>
      <c r="S652" s="10">
        <f t="shared" si="789"/>
        <v>0</v>
      </c>
      <c r="T652" s="10">
        <f t="shared" si="789"/>
        <v>0</v>
      </c>
      <c r="U652" s="10">
        <f t="shared" si="789"/>
        <v>0</v>
      </c>
      <c r="V652" s="10">
        <f t="shared" si="789"/>
        <v>0</v>
      </c>
      <c r="W652" s="10">
        <f t="shared" si="789"/>
        <v>0</v>
      </c>
      <c r="X652" s="10">
        <f t="shared" si="789"/>
        <v>0</v>
      </c>
      <c r="Y652" s="10">
        <f t="shared" si="789"/>
        <v>0</v>
      </c>
      <c r="Z652" s="10">
        <f t="shared" si="789"/>
        <v>0</v>
      </c>
      <c r="AA652" s="10">
        <f t="shared" si="789"/>
        <v>0</v>
      </c>
      <c r="AB652" s="10">
        <f t="shared" si="789"/>
        <v>0</v>
      </c>
      <c r="AC652" s="10">
        <f t="shared" si="789"/>
        <v>0</v>
      </c>
      <c r="AD652" s="10">
        <f t="shared" si="789"/>
        <v>1273</v>
      </c>
      <c r="AH652" s="34" t="s">
        <v>422</v>
      </c>
    </row>
    <row r="653" spans="4:34" outlineLevel="2" x14ac:dyDescent="0.2">
      <c r="D653" s="8" t="s">
        <v>274</v>
      </c>
      <c r="E653" s="10">
        <f t="shared" ref="E653:AD653" si="790">E685+E717</f>
        <v>0</v>
      </c>
      <c r="F653" s="10">
        <f t="shared" si="790"/>
        <v>0</v>
      </c>
      <c r="G653" s="10">
        <f t="shared" si="790"/>
        <v>0</v>
      </c>
      <c r="H653" s="10">
        <f t="shared" si="790"/>
        <v>0</v>
      </c>
      <c r="I653" s="10">
        <f t="shared" si="790"/>
        <v>0</v>
      </c>
      <c r="J653" s="10">
        <f t="shared" si="790"/>
        <v>0</v>
      </c>
      <c r="K653" s="10">
        <f t="shared" si="790"/>
        <v>0</v>
      </c>
      <c r="L653" s="10">
        <f t="shared" si="790"/>
        <v>0</v>
      </c>
      <c r="M653" s="10">
        <f t="shared" si="790"/>
        <v>0</v>
      </c>
      <c r="N653" s="10">
        <f t="shared" si="790"/>
        <v>0</v>
      </c>
      <c r="O653" s="10">
        <f t="shared" si="790"/>
        <v>0</v>
      </c>
      <c r="P653" s="10">
        <f t="shared" si="790"/>
        <v>0</v>
      </c>
      <c r="Q653" s="10">
        <f t="shared" si="790"/>
        <v>0</v>
      </c>
      <c r="R653" s="10">
        <f t="shared" si="790"/>
        <v>0</v>
      </c>
      <c r="S653" s="10">
        <f t="shared" si="790"/>
        <v>0</v>
      </c>
      <c r="T653" s="10">
        <f t="shared" si="790"/>
        <v>0</v>
      </c>
      <c r="U653" s="10">
        <f t="shared" si="790"/>
        <v>0</v>
      </c>
      <c r="V653" s="10">
        <f t="shared" si="790"/>
        <v>0</v>
      </c>
      <c r="W653" s="10">
        <f t="shared" si="790"/>
        <v>0</v>
      </c>
      <c r="X653" s="10">
        <f t="shared" si="790"/>
        <v>0</v>
      </c>
      <c r="Y653" s="10">
        <f t="shared" si="790"/>
        <v>0</v>
      </c>
      <c r="Z653" s="10">
        <f t="shared" si="790"/>
        <v>0</v>
      </c>
      <c r="AA653" s="10">
        <f t="shared" si="790"/>
        <v>0</v>
      </c>
      <c r="AB653" s="10">
        <f t="shared" si="790"/>
        <v>0</v>
      </c>
      <c r="AC653" s="10">
        <f t="shared" si="790"/>
        <v>0</v>
      </c>
      <c r="AD653" s="10">
        <f t="shared" si="790"/>
        <v>2556</v>
      </c>
      <c r="AH653" s="34" t="s">
        <v>422</v>
      </c>
    </row>
    <row r="654" spans="4:34" outlineLevel="2" x14ac:dyDescent="0.2">
      <c r="D654" s="8" t="s">
        <v>275</v>
      </c>
      <c r="E654" s="10">
        <f t="shared" ref="E654:AD654" si="791">E686+E718</f>
        <v>0</v>
      </c>
      <c r="F654" s="10">
        <f t="shared" si="791"/>
        <v>0</v>
      </c>
      <c r="G654" s="10">
        <f t="shared" si="791"/>
        <v>0</v>
      </c>
      <c r="H654" s="10">
        <f t="shared" si="791"/>
        <v>0</v>
      </c>
      <c r="I654" s="10">
        <f t="shared" si="791"/>
        <v>0</v>
      </c>
      <c r="J654" s="10">
        <f t="shared" si="791"/>
        <v>0</v>
      </c>
      <c r="K654" s="10">
        <f t="shared" si="791"/>
        <v>0</v>
      </c>
      <c r="L654" s="10">
        <f t="shared" si="791"/>
        <v>0</v>
      </c>
      <c r="M654" s="10">
        <f t="shared" si="791"/>
        <v>0</v>
      </c>
      <c r="N654" s="10">
        <f t="shared" si="791"/>
        <v>0</v>
      </c>
      <c r="O654" s="10">
        <f t="shared" si="791"/>
        <v>0</v>
      </c>
      <c r="P654" s="10">
        <f t="shared" si="791"/>
        <v>0</v>
      </c>
      <c r="Q654" s="10">
        <f t="shared" si="791"/>
        <v>0</v>
      </c>
      <c r="R654" s="10">
        <f t="shared" si="791"/>
        <v>0</v>
      </c>
      <c r="S654" s="10">
        <f t="shared" si="791"/>
        <v>0</v>
      </c>
      <c r="T654" s="10">
        <f t="shared" si="791"/>
        <v>0</v>
      </c>
      <c r="U654" s="10">
        <f t="shared" si="791"/>
        <v>0</v>
      </c>
      <c r="V654" s="10">
        <f t="shared" si="791"/>
        <v>0</v>
      </c>
      <c r="W654" s="10">
        <f t="shared" si="791"/>
        <v>0</v>
      </c>
      <c r="X654" s="10">
        <f t="shared" si="791"/>
        <v>0</v>
      </c>
      <c r="Y654" s="10">
        <f t="shared" si="791"/>
        <v>0</v>
      </c>
      <c r="Z654" s="10">
        <f t="shared" si="791"/>
        <v>0</v>
      </c>
      <c r="AA654" s="10">
        <f t="shared" si="791"/>
        <v>0</v>
      </c>
      <c r="AB654" s="10">
        <f t="shared" si="791"/>
        <v>0</v>
      </c>
      <c r="AC654" s="10">
        <f t="shared" si="791"/>
        <v>0</v>
      </c>
      <c r="AD654" s="10">
        <f t="shared" si="791"/>
        <v>1560</v>
      </c>
      <c r="AH654" s="34" t="s">
        <v>422</v>
      </c>
    </row>
    <row r="655" spans="4:34" outlineLevel="2" x14ac:dyDescent="0.2">
      <c r="D655" s="8" t="s">
        <v>276</v>
      </c>
      <c r="E655" s="10">
        <f t="shared" ref="E655:AD655" si="792">E687+E719</f>
        <v>0</v>
      </c>
      <c r="F655" s="10">
        <f t="shared" si="792"/>
        <v>0</v>
      </c>
      <c r="G655" s="10">
        <f t="shared" si="792"/>
        <v>0</v>
      </c>
      <c r="H655" s="10">
        <f t="shared" si="792"/>
        <v>0</v>
      </c>
      <c r="I655" s="10">
        <f t="shared" si="792"/>
        <v>0</v>
      </c>
      <c r="J655" s="10">
        <f t="shared" si="792"/>
        <v>0</v>
      </c>
      <c r="K655" s="10">
        <f t="shared" si="792"/>
        <v>0</v>
      </c>
      <c r="L655" s="10">
        <f t="shared" si="792"/>
        <v>0</v>
      </c>
      <c r="M655" s="10">
        <f t="shared" si="792"/>
        <v>0</v>
      </c>
      <c r="N655" s="10">
        <f t="shared" si="792"/>
        <v>0</v>
      </c>
      <c r="O655" s="10">
        <f t="shared" si="792"/>
        <v>0</v>
      </c>
      <c r="P655" s="10">
        <f t="shared" si="792"/>
        <v>0</v>
      </c>
      <c r="Q655" s="10">
        <f t="shared" si="792"/>
        <v>0</v>
      </c>
      <c r="R655" s="10">
        <f t="shared" si="792"/>
        <v>0</v>
      </c>
      <c r="S655" s="10">
        <f t="shared" si="792"/>
        <v>0</v>
      </c>
      <c r="T655" s="10">
        <f t="shared" si="792"/>
        <v>0</v>
      </c>
      <c r="U655" s="10">
        <f t="shared" si="792"/>
        <v>0</v>
      </c>
      <c r="V655" s="10">
        <f t="shared" si="792"/>
        <v>0</v>
      </c>
      <c r="W655" s="10">
        <f t="shared" si="792"/>
        <v>0</v>
      </c>
      <c r="X655" s="10">
        <f t="shared" si="792"/>
        <v>0</v>
      </c>
      <c r="Y655" s="10">
        <f t="shared" si="792"/>
        <v>0</v>
      </c>
      <c r="Z655" s="10">
        <f t="shared" si="792"/>
        <v>0</v>
      </c>
      <c r="AA655" s="10">
        <f t="shared" si="792"/>
        <v>0</v>
      </c>
      <c r="AB655" s="10">
        <f t="shared" si="792"/>
        <v>0</v>
      </c>
      <c r="AC655" s="10">
        <f t="shared" si="792"/>
        <v>0</v>
      </c>
      <c r="AD655" s="10">
        <f t="shared" si="792"/>
        <v>1707.56</v>
      </c>
      <c r="AH655" s="34" t="s">
        <v>422</v>
      </c>
    </row>
    <row r="656" spans="4:34" outlineLevel="2" x14ac:dyDescent="0.2">
      <c r="D656" s="8" t="s">
        <v>277</v>
      </c>
      <c r="E656" s="10">
        <f t="shared" ref="E656:AD656" si="793">E688+E720</f>
        <v>0</v>
      </c>
      <c r="F656" s="10">
        <f t="shared" si="793"/>
        <v>0</v>
      </c>
      <c r="G656" s="10">
        <f t="shared" si="793"/>
        <v>0</v>
      </c>
      <c r="H656" s="10">
        <f t="shared" si="793"/>
        <v>0</v>
      </c>
      <c r="I656" s="10">
        <f t="shared" si="793"/>
        <v>0</v>
      </c>
      <c r="J656" s="10">
        <f t="shared" si="793"/>
        <v>0</v>
      </c>
      <c r="K656" s="10">
        <f t="shared" si="793"/>
        <v>0</v>
      </c>
      <c r="L656" s="10">
        <f t="shared" si="793"/>
        <v>0</v>
      </c>
      <c r="M656" s="10">
        <f t="shared" si="793"/>
        <v>0</v>
      </c>
      <c r="N656" s="10">
        <f t="shared" si="793"/>
        <v>0</v>
      </c>
      <c r="O656" s="10">
        <f t="shared" si="793"/>
        <v>0</v>
      </c>
      <c r="P656" s="10">
        <f t="shared" si="793"/>
        <v>0</v>
      </c>
      <c r="Q656" s="10">
        <f t="shared" si="793"/>
        <v>0</v>
      </c>
      <c r="R656" s="10">
        <f t="shared" si="793"/>
        <v>0</v>
      </c>
      <c r="S656" s="10">
        <f t="shared" si="793"/>
        <v>0</v>
      </c>
      <c r="T656" s="10">
        <f t="shared" si="793"/>
        <v>0</v>
      </c>
      <c r="U656" s="10">
        <f t="shared" si="793"/>
        <v>0</v>
      </c>
      <c r="V656" s="10">
        <f t="shared" si="793"/>
        <v>0</v>
      </c>
      <c r="W656" s="10">
        <f t="shared" si="793"/>
        <v>0</v>
      </c>
      <c r="X656" s="10">
        <f t="shared" si="793"/>
        <v>0</v>
      </c>
      <c r="Y656" s="10">
        <f t="shared" si="793"/>
        <v>0</v>
      </c>
      <c r="Z656" s="10">
        <f t="shared" si="793"/>
        <v>0</v>
      </c>
      <c r="AA656" s="10">
        <f t="shared" si="793"/>
        <v>0</v>
      </c>
      <c r="AB656" s="10">
        <f t="shared" si="793"/>
        <v>0</v>
      </c>
      <c r="AC656" s="10">
        <f t="shared" si="793"/>
        <v>0</v>
      </c>
      <c r="AD656" s="10">
        <f t="shared" si="793"/>
        <v>1611</v>
      </c>
      <c r="AH656" s="34" t="s">
        <v>422</v>
      </c>
    </row>
    <row r="657" spans="4:34" outlineLevel="2" x14ac:dyDescent="0.2">
      <c r="D657" s="8" t="s">
        <v>278</v>
      </c>
      <c r="E657" s="10">
        <f t="shared" ref="E657:AD657" si="794">E689+E721</f>
        <v>0</v>
      </c>
      <c r="F657" s="10">
        <f t="shared" si="794"/>
        <v>0</v>
      </c>
      <c r="G657" s="10">
        <f t="shared" si="794"/>
        <v>0</v>
      </c>
      <c r="H657" s="10">
        <f t="shared" si="794"/>
        <v>0</v>
      </c>
      <c r="I657" s="10">
        <f t="shared" si="794"/>
        <v>0</v>
      </c>
      <c r="J657" s="10">
        <f t="shared" si="794"/>
        <v>0</v>
      </c>
      <c r="K657" s="10">
        <f t="shared" si="794"/>
        <v>0</v>
      </c>
      <c r="L657" s="10">
        <f t="shared" si="794"/>
        <v>0</v>
      </c>
      <c r="M657" s="10">
        <f t="shared" si="794"/>
        <v>0</v>
      </c>
      <c r="N657" s="10">
        <f t="shared" si="794"/>
        <v>0</v>
      </c>
      <c r="O657" s="10">
        <f t="shared" si="794"/>
        <v>0</v>
      </c>
      <c r="P657" s="10">
        <f t="shared" si="794"/>
        <v>0</v>
      </c>
      <c r="Q657" s="10">
        <f t="shared" si="794"/>
        <v>0</v>
      </c>
      <c r="R657" s="10">
        <f t="shared" si="794"/>
        <v>0</v>
      </c>
      <c r="S657" s="10">
        <f t="shared" si="794"/>
        <v>0</v>
      </c>
      <c r="T657" s="10">
        <f t="shared" si="794"/>
        <v>0</v>
      </c>
      <c r="U657" s="10">
        <f t="shared" si="794"/>
        <v>0</v>
      </c>
      <c r="V657" s="10">
        <f t="shared" si="794"/>
        <v>0</v>
      </c>
      <c r="W657" s="10">
        <f t="shared" si="794"/>
        <v>0</v>
      </c>
      <c r="X657" s="10">
        <f t="shared" si="794"/>
        <v>0</v>
      </c>
      <c r="Y657" s="10">
        <f t="shared" si="794"/>
        <v>0</v>
      </c>
      <c r="Z657" s="10">
        <f t="shared" si="794"/>
        <v>0</v>
      </c>
      <c r="AA657" s="10">
        <f t="shared" si="794"/>
        <v>0</v>
      </c>
      <c r="AB657" s="10">
        <f t="shared" si="794"/>
        <v>0</v>
      </c>
      <c r="AC657" s="10">
        <f t="shared" si="794"/>
        <v>0</v>
      </c>
      <c r="AD657" s="10">
        <f t="shared" si="794"/>
        <v>2901</v>
      </c>
      <c r="AH657" s="34" t="s">
        <v>422</v>
      </c>
    </row>
    <row r="658" spans="4:34" outlineLevel="2" x14ac:dyDescent="0.2">
      <c r="D658" s="8" t="s">
        <v>279</v>
      </c>
      <c r="E658" s="10">
        <f t="shared" ref="E658:AD658" si="795">E690+E722</f>
        <v>0</v>
      </c>
      <c r="F658" s="10">
        <f t="shared" si="795"/>
        <v>0</v>
      </c>
      <c r="G658" s="10">
        <f t="shared" si="795"/>
        <v>0</v>
      </c>
      <c r="H658" s="10">
        <f t="shared" si="795"/>
        <v>0</v>
      </c>
      <c r="I658" s="10">
        <f t="shared" si="795"/>
        <v>0</v>
      </c>
      <c r="J658" s="10">
        <f t="shared" si="795"/>
        <v>0</v>
      </c>
      <c r="K658" s="10">
        <f t="shared" si="795"/>
        <v>0</v>
      </c>
      <c r="L658" s="10">
        <f t="shared" si="795"/>
        <v>0</v>
      </c>
      <c r="M658" s="10">
        <f t="shared" si="795"/>
        <v>0</v>
      </c>
      <c r="N658" s="10">
        <f t="shared" si="795"/>
        <v>0</v>
      </c>
      <c r="O658" s="10">
        <f t="shared" si="795"/>
        <v>0</v>
      </c>
      <c r="P658" s="10">
        <f t="shared" si="795"/>
        <v>0</v>
      </c>
      <c r="Q658" s="10">
        <f t="shared" si="795"/>
        <v>0</v>
      </c>
      <c r="R658" s="10">
        <f t="shared" si="795"/>
        <v>0</v>
      </c>
      <c r="S658" s="10">
        <f t="shared" si="795"/>
        <v>0</v>
      </c>
      <c r="T658" s="10">
        <f t="shared" si="795"/>
        <v>0</v>
      </c>
      <c r="U658" s="10">
        <f t="shared" si="795"/>
        <v>0</v>
      </c>
      <c r="V658" s="10">
        <f t="shared" si="795"/>
        <v>0</v>
      </c>
      <c r="W658" s="10">
        <f t="shared" si="795"/>
        <v>0</v>
      </c>
      <c r="X658" s="10">
        <f t="shared" si="795"/>
        <v>0</v>
      </c>
      <c r="Y658" s="10">
        <f t="shared" si="795"/>
        <v>0</v>
      </c>
      <c r="Z658" s="10">
        <f t="shared" si="795"/>
        <v>0</v>
      </c>
      <c r="AA658" s="10">
        <f t="shared" si="795"/>
        <v>0</v>
      </c>
      <c r="AB658" s="10">
        <f t="shared" si="795"/>
        <v>0</v>
      </c>
      <c r="AC658" s="10">
        <f t="shared" si="795"/>
        <v>0</v>
      </c>
      <c r="AD658" s="10">
        <f t="shared" si="795"/>
        <v>5700</v>
      </c>
      <c r="AH658" s="34" t="s">
        <v>422</v>
      </c>
    </row>
    <row r="659" spans="4:34" outlineLevel="2" x14ac:dyDescent="0.2">
      <c r="D659" s="8" t="s">
        <v>280</v>
      </c>
      <c r="E659" s="10">
        <f t="shared" ref="E659:AD659" si="796">E691+E723</f>
        <v>0</v>
      </c>
      <c r="F659" s="10">
        <f t="shared" si="796"/>
        <v>0</v>
      </c>
      <c r="G659" s="10">
        <f t="shared" si="796"/>
        <v>0</v>
      </c>
      <c r="H659" s="10">
        <f t="shared" si="796"/>
        <v>0</v>
      </c>
      <c r="I659" s="10">
        <f t="shared" si="796"/>
        <v>0</v>
      </c>
      <c r="J659" s="10">
        <f t="shared" si="796"/>
        <v>0</v>
      </c>
      <c r="K659" s="10">
        <f t="shared" si="796"/>
        <v>0</v>
      </c>
      <c r="L659" s="10">
        <f t="shared" si="796"/>
        <v>0</v>
      </c>
      <c r="M659" s="10">
        <f t="shared" si="796"/>
        <v>0</v>
      </c>
      <c r="N659" s="10">
        <f t="shared" si="796"/>
        <v>0</v>
      </c>
      <c r="O659" s="10">
        <f t="shared" si="796"/>
        <v>0</v>
      </c>
      <c r="P659" s="10">
        <f t="shared" si="796"/>
        <v>0</v>
      </c>
      <c r="Q659" s="10">
        <f t="shared" si="796"/>
        <v>0</v>
      </c>
      <c r="R659" s="10">
        <f t="shared" si="796"/>
        <v>0</v>
      </c>
      <c r="S659" s="10">
        <f t="shared" si="796"/>
        <v>0</v>
      </c>
      <c r="T659" s="10">
        <f t="shared" si="796"/>
        <v>0</v>
      </c>
      <c r="U659" s="10">
        <f t="shared" si="796"/>
        <v>0</v>
      </c>
      <c r="V659" s="10">
        <f t="shared" si="796"/>
        <v>0</v>
      </c>
      <c r="W659" s="10">
        <f t="shared" si="796"/>
        <v>0</v>
      </c>
      <c r="X659" s="10">
        <f t="shared" si="796"/>
        <v>0</v>
      </c>
      <c r="Y659" s="10">
        <f t="shared" si="796"/>
        <v>0</v>
      </c>
      <c r="Z659" s="10">
        <f t="shared" si="796"/>
        <v>0</v>
      </c>
      <c r="AA659" s="10">
        <f t="shared" si="796"/>
        <v>0</v>
      </c>
      <c r="AB659" s="10">
        <f t="shared" si="796"/>
        <v>0</v>
      </c>
      <c r="AC659" s="10">
        <f t="shared" si="796"/>
        <v>0</v>
      </c>
      <c r="AD659" s="10">
        <f t="shared" si="796"/>
        <v>2901</v>
      </c>
      <c r="AH659" s="34" t="s">
        <v>422</v>
      </c>
    </row>
    <row r="660" spans="4:34" outlineLevel="2" x14ac:dyDescent="0.2">
      <c r="D660" s="8" t="s">
        <v>281</v>
      </c>
      <c r="E660" s="10">
        <f t="shared" ref="E660:AD660" si="797">E692+E724</f>
        <v>0</v>
      </c>
      <c r="F660" s="10">
        <f t="shared" si="797"/>
        <v>0</v>
      </c>
      <c r="G660" s="10">
        <f t="shared" si="797"/>
        <v>0</v>
      </c>
      <c r="H660" s="10">
        <f t="shared" si="797"/>
        <v>0</v>
      </c>
      <c r="I660" s="10">
        <f t="shared" si="797"/>
        <v>0</v>
      </c>
      <c r="J660" s="10">
        <f t="shared" si="797"/>
        <v>0</v>
      </c>
      <c r="K660" s="10">
        <f t="shared" si="797"/>
        <v>0</v>
      </c>
      <c r="L660" s="10">
        <f t="shared" si="797"/>
        <v>0</v>
      </c>
      <c r="M660" s="10">
        <f t="shared" si="797"/>
        <v>0</v>
      </c>
      <c r="N660" s="10">
        <f t="shared" si="797"/>
        <v>0</v>
      </c>
      <c r="O660" s="10">
        <f t="shared" si="797"/>
        <v>0</v>
      </c>
      <c r="P660" s="10">
        <f t="shared" si="797"/>
        <v>0</v>
      </c>
      <c r="Q660" s="10">
        <f t="shared" si="797"/>
        <v>0</v>
      </c>
      <c r="R660" s="10">
        <f t="shared" si="797"/>
        <v>0</v>
      </c>
      <c r="S660" s="10">
        <f t="shared" si="797"/>
        <v>0</v>
      </c>
      <c r="T660" s="10">
        <f t="shared" si="797"/>
        <v>0</v>
      </c>
      <c r="U660" s="10">
        <f t="shared" si="797"/>
        <v>0</v>
      </c>
      <c r="V660" s="10">
        <f t="shared" si="797"/>
        <v>0</v>
      </c>
      <c r="W660" s="10">
        <f t="shared" si="797"/>
        <v>0</v>
      </c>
      <c r="X660" s="10">
        <f t="shared" si="797"/>
        <v>0</v>
      </c>
      <c r="Y660" s="10">
        <f t="shared" si="797"/>
        <v>0</v>
      </c>
      <c r="Z660" s="10">
        <f t="shared" si="797"/>
        <v>0</v>
      </c>
      <c r="AA660" s="10">
        <f t="shared" si="797"/>
        <v>0</v>
      </c>
      <c r="AB660" s="10">
        <f t="shared" si="797"/>
        <v>0</v>
      </c>
      <c r="AC660" s="10">
        <f t="shared" si="797"/>
        <v>0</v>
      </c>
      <c r="AD660" s="10">
        <f t="shared" si="797"/>
        <v>826</v>
      </c>
      <c r="AH660" s="34" t="s">
        <v>422</v>
      </c>
    </row>
    <row r="661" spans="4:34" outlineLevel="2" x14ac:dyDescent="0.2">
      <c r="D661" s="8" t="s">
        <v>282</v>
      </c>
      <c r="E661" s="10">
        <f t="shared" ref="E661:AD661" si="798">E693+E725</f>
        <v>0</v>
      </c>
      <c r="F661" s="10">
        <f t="shared" si="798"/>
        <v>0</v>
      </c>
      <c r="G661" s="10">
        <f t="shared" si="798"/>
        <v>0</v>
      </c>
      <c r="H661" s="10">
        <f t="shared" si="798"/>
        <v>0</v>
      </c>
      <c r="I661" s="10">
        <f t="shared" si="798"/>
        <v>0</v>
      </c>
      <c r="J661" s="10">
        <f t="shared" si="798"/>
        <v>0</v>
      </c>
      <c r="K661" s="10">
        <f t="shared" si="798"/>
        <v>0</v>
      </c>
      <c r="L661" s="10">
        <f t="shared" si="798"/>
        <v>0</v>
      </c>
      <c r="M661" s="10">
        <f t="shared" si="798"/>
        <v>0</v>
      </c>
      <c r="N661" s="10">
        <f t="shared" si="798"/>
        <v>0</v>
      </c>
      <c r="O661" s="10">
        <f t="shared" si="798"/>
        <v>0</v>
      </c>
      <c r="P661" s="10">
        <f t="shared" si="798"/>
        <v>0</v>
      </c>
      <c r="Q661" s="10">
        <f t="shared" si="798"/>
        <v>0</v>
      </c>
      <c r="R661" s="10">
        <f t="shared" si="798"/>
        <v>0</v>
      </c>
      <c r="S661" s="10">
        <f t="shared" si="798"/>
        <v>0</v>
      </c>
      <c r="T661" s="10">
        <f t="shared" si="798"/>
        <v>0</v>
      </c>
      <c r="U661" s="10">
        <f t="shared" si="798"/>
        <v>0</v>
      </c>
      <c r="V661" s="10">
        <f t="shared" si="798"/>
        <v>0</v>
      </c>
      <c r="W661" s="10">
        <f t="shared" si="798"/>
        <v>0</v>
      </c>
      <c r="X661" s="10">
        <f t="shared" si="798"/>
        <v>0</v>
      </c>
      <c r="Y661" s="10">
        <f t="shared" si="798"/>
        <v>0</v>
      </c>
      <c r="Z661" s="10">
        <f t="shared" si="798"/>
        <v>0</v>
      </c>
      <c r="AA661" s="10">
        <f t="shared" si="798"/>
        <v>0</v>
      </c>
      <c r="AB661" s="10">
        <f t="shared" si="798"/>
        <v>0</v>
      </c>
      <c r="AC661" s="10">
        <f t="shared" si="798"/>
        <v>0</v>
      </c>
      <c r="AD661" s="10">
        <f t="shared" si="798"/>
        <v>1156</v>
      </c>
      <c r="AH661" s="34" t="s">
        <v>422</v>
      </c>
    </row>
    <row r="662" spans="4:34" outlineLevel="2" x14ac:dyDescent="0.2">
      <c r="D662" s="8" t="s">
        <v>283</v>
      </c>
      <c r="E662" s="10">
        <f t="shared" ref="E662:AD662" si="799">E694+E726</f>
        <v>0</v>
      </c>
      <c r="F662" s="10">
        <f t="shared" si="799"/>
        <v>0</v>
      </c>
      <c r="G662" s="10">
        <f t="shared" si="799"/>
        <v>0</v>
      </c>
      <c r="H662" s="10">
        <f t="shared" si="799"/>
        <v>0</v>
      </c>
      <c r="I662" s="10">
        <f t="shared" si="799"/>
        <v>0</v>
      </c>
      <c r="J662" s="10">
        <f t="shared" si="799"/>
        <v>0</v>
      </c>
      <c r="K662" s="10">
        <f t="shared" si="799"/>
        <v>0</v>
      </c>
      <c r="L662" s="10">
        <f t="shared" si="799"/>
        <v>0</v>
      </c>
      <c r="M662" s="10">
        <f t="shared" si="799"/>
        <v>0</v>
      </c>
      <c r="N662" s="10">
        <f t="shared" si="799"/>
        <v>0</v>
      </c>
      <c r="O662" s="10">
        <f t="shared" si="799"/>
        <v>0</v>
      </c>
      <c r="P662" s="10">
        <f t="shared" si="799"/>
        <v>0</v>
      </c>
      <c r="Q662" s="10">
        <f t="shared" si="799"/>
        <v>0</v>
      </c>
      <c r="R662" s="10">
        <f t="shared" si="799"/>
        <v>0</v>
      </c>
      <c r="S662" s="10">
        <f t="shared" si="799"/>
        <v>0</v>
      </c>
      <c r="T662" s="10">
        <f t="shared" si="799"/>
        <v>0</v>
      </c>
      <c r="U662" s="10">
        <f t="shared" si="799"/>
        <v>0</v>
      </c>
      <c r="V662" s="10">
        <f t="shared" si="799"/>
        <v>0</v>
      </c>
      <c r="W662" s="10">
        <f t="shared" si="799"/>
        <v>0</v>
      </c>
      <c r="X662" s="10">
        <f t="shared" si="799"/>
        <v>0</v>
      </c>
      <c r="Y662" s="10">
        <f t="shared" si="799"/>
        <v>0</v>
      </c>
      <c r="Z662" s="10">
        <f t="shared" si="799"/>
        <v>0</v>
      </c>
      <c r="AA662" s="10">
        <f t="shared" si="799"/>
        <v>0</v>
      </c>
      <c r="AB662" s="10">
        <f t="shared" si="799"/>
        <v>0</v>
      </c>
      <c r="AC662" s="10">
        <f t="shared" si="799"/>
        <v>0</v>
      </c>
      <c r="AD662" s="10">
        <f t="shared" si="799"/>
        <v>6740</v>
      </c>
      <c r="AH662" s="34" t="s">
        <v>422</v>
      </c>
    </row>
    <row r="663" spans="4:34" outlineLevel="2" x14ac:dyDescent="0.2">
      <c r="D663" s="8" t="s">
        <v>284</v>
      </c>
      <c r="E663" s="10">
        <f t="shared" ref="E663:AD663" si="800">E695+E727</f>
        <v>0</v>
      </c>
      <c r="F663" s="10">
        <f t="shared" si="800"/>
        <v>0</v>
      </c>
      <c r="G663" s="10">
        <f t="shared" si="800"/>
        <v>0</v>
      </c>
      <c r="H663" s="10">
        <f t="shared" si="800"/>
        <v>0</v>
      </c>
      <c r="I663" s="10">
        <f t="shared" si="800"/>
        <v>0</v>
      </c>
      <c r="J663" s="10">
        <f t="shared" si="800"/>
        <v>0</v>
      </c>
      <c r="K663" s="10">
        <f t="shared" si="800"/>
        <v>0</v>
      </c>
      <c r="L663" s="10">
        <f t="shared" si="800"/>
        <v>0</v>
      </c>
      <c r="M663" s="10">
        <f t="shared" si="800"/>
        <v>0</v>
      </c>
      <c r="N663" s="10">
        <f t="shared" si="800"/>
        <v>0</v>
      </c>
      <c r="O663" s="10">
        <f t="shared" si="800"/>
        <v>0</v>
      </c>
      <c r="P663" s="10">
        <f t="shared" si="800"/>
        <v>0</v>
      </c>
      <c r="Q663" s="10">
        <f t="shared" si="800"/>
        <v>0</v>
      </c>
      <c r="R663" s="10">
        <f t="shared" si="800"/>
        <v>0</v>
      </c>
      <c r="S663" s="10">
        <f t="shared" si="800"/>
        <v>0</v>
      </c>
      <c r="T663" s="10">
        <f t="shared" si="800"/>
        <v>0</v>
      </c>
      <c r="U663" s="10">
        <f t="shared" si="800"/>
        <v>0</v>
      </c>
      <c r="V663" s="10">
        <f t="shared" si="800"/>
        <v>0</v>
      </c>
      <c r="W663" s="10">
        <f t="shared" si="800"/>
        <v>0</v>
      </c>
      <c r="X663" s="10">
        <f t="shared" si="800"/>
        <v>0</v>
      </c>
      <c r="Y663" s="10">
        <f t="shared" si="800"/>
        <v>0</v>
      </c>
      <c r="Z663" s="10">
        <f t="shared" si="800"/>
        <v>0</v>
      </c>
      <c r="AA663" s="10">
        <f t="shared" si="800"/>
        <v>0</v>
      </c>
      <c r="AB663" s="10">
        <f t="shared" si="800"/>
        <v>0</v>
      </c>
      <c r="AC663" s="10">
        <f t="shared" si="800"/>
        <v>0</v>
      </c>
      <c r="AD663" s="10">
        <f t="shared" si="800"/>
        <v>1098</v>
      </c>
      <c r="AH663" s="34" t="s">
        <v>422</v>
      </c>
    </row>
    <row r="664" spans="4:34" ht="12.6" outlineLevel="2" thickBot="1" x14ac:dyDescent="0.25">
      <c r="D664" s="9" t="s">
        <v>139</v>
      </c>
      <c r="E664" s="17">
        <f t="shared" ref="E664" si="801">SUM(E636:E663)</f>
        <v>0</v>
      </c>
      <c r="F664" s="17">
        <f t="shared" ref="F664:AD664" si="802">SUM(F636:F663)</f>
        <v>0</v>
      </c>
      <c r="G664" s="17">
        <f t="shared" si="802"/>
        <v>0</v>
      </c>
      <c r="H664" s="17">
        <f t="shared" si="802"/>
        <v>0</v>
      </c>
      <c r="I664" s="17">
        <f t="shared" si="802"/>
        <v>0</v>
      </c>
      <c r="J664" s="17">
        <f t="shared" si="802"/>
        <v>0</v>
      </c>
      <c r="K664" s="17">
        <f t="shared" si="802"/>
        <v>0</v>
      </c>
      <c r="L664" s="17">
        <f t="shared" si="802"/>
        <v>0</v>
      </c>
      <c r="M664" s="17">
        <f t="shared" si="802"/>
        <v>0</v>
      </c>
      <c r="N664" s="17">
        <f t="shared" si="802"/>
        <v>0</v>
      </c>
      <c r="O664" s="17">
        <f t="shared" si="802"/>
        <v>0</v>
      </c>
      <c r="P664" s="17">
        <f t="shared" si="802"/>
        <v>0</v>
      </c>
      <c r="Q664" s="17">
        <f t="shared" si="802"/>
        <v>0</v>
      </c>
      <c r="R664" s="17">
        <f t="shared" si="802"/>
        <v>0</v>
      </c>
      <c r="S664" s="17">
        <f t="shared" si="802"/>
        <v>0</v>
      </c>
      <c r="T664" s="17">
        <f t="shared" si="802"/>
        <v>0</v>
      </c>
      <c r="U664" s="17">
        <f t="shared" si="802"/>
        <v>0</v>
      </c>
      <c r="V664" s="17">
        <f t="shared" si="802"/>
        <v>0</v>
      </c>
      <c r="W664" s="17">
        <f t="shared" si="802"/>
        <v>0</v>
      </c>
      <c r="X664" s="17">
        <f t="shared" si="802"/>
        <v>0</v>
      </c>
      <c r="Y664" s="17">
        <f t="shared" si="802"/>
        <v>0</v>
      </c>
      <c r="Z664" s="17">
        <f t="shared" si="802"/>
        <v>0</v>
      </c>
      <c r="AA664" s="17">
        <f t="shared" si="802"/>
        <v>0</v>
      </c>
      <c r="AB664" s="17">
        <f t="shared" si="802"/>
        <v>0</v>
      </c>
      <c r="AC664" s="17">
        <f t="shared" si="802"/>
        <v>0</v>
      </c>
      <c r="AD664" s="17">
        <f t="shared" si="802"/>
        <v>75249.079999999987</v>
      </c>
      <c r="AH664" s="34" t="s">
        <v>422</v>
      </c>
    </row>
    <row r="665" spans="4:34" ht="12" outlineLevel="2" thickTop="1" x14ac:dyDescent="0.2">
      <c r="AH665" s="34" t="s">
        <v>422</v>
      </c>
    </row>
    <row r="666" spans="4:34" ht="13.2" outlineLevel="2" x14ac:dyDescent="0.2">
      <c r="E666" s="2" t="s">
        <v>313</v>
      </c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H666" s="34" t="s">
        <v>422</v>
      </c>
    </row>
    <row r="667" spans="4:34" outlineLevel="2" x14ac:dyDescent="0.2">
      <c r="E667" s="7">
        <v>43831</v>
      </c>
      <c r="F667" s="7">
        <f t="shared" ref="F667" si="803">EDATE(E667,12)</f>
        <v>44197</v>
      </c>
      <c r="G667" s="7">
        <f t="shared" ref="G667" si="804">EDATE(F667,12)</f>
        <v>44562</v>
      </c>
      <c r="H667" s="7">
        <f t="shared" ref="H667" si="805">EDATE(G667,12)</f>
        <v>44927</v>
      </c>
      <c r="I667" s="7">
        <f t="shared" ref="I667" si="806">EDATE(H667,12)</f>
        <v>45292</v>
      </c>
      <c r="J667" s="7">
        <f t="shared" ref="J667" si="807">EDATE(I667,12)</f>
        <v>45658</v>
      </c>
      <c r="K667" s="7">
        <f t="shared" ref="K667" si="808">EDATE(J667,12)</f>
        <v>46023</v>
      </c>
      <c r="L667" s="7">
        <f t="shared" ref="L667" si="809">EDATE(K667,12)</f>
        <v>46388</v>
      </c>
      <c r="M667" s="7">
        <f t="shared" ref="M667" si="810">EDATE(L667,12)</f>
        <v>46753</v>
      </c>
      <c r="N667" s="7">
        <f t="shared" ref="N667" si="811">EDATE(M667,12)</f>
        <v>47119</v>
      </c>
      <c r="O667" s="7">
        <f t="shared" ref="O667" si="812">EDATE(N667,12)</f>
        <v>47484</v>
      </c>
      <c r="P667" s="7">
        <f t="shared" ref="P667" si="813">EDATE(O667,12)</f>
        <v>47849</v>
      </c>
      <c r="Q667" s="7">
        <f t="shared" ref="Q667" si="814">EDATE(P667,12)</f>
        <v>48214</v>
      </c>
      <c r="R667" s="7">
        <f t="shared" ref="R667" si="815">EDATE(Q667,12)</f>
        <v>48580</v>
      </c>
      <c r="S667" s="7">
        <f t="shared" ref="S667" si="816">EDATE(R667,12)</f>
        <v>48945</v>
      </c>
      <c r="T667" s="7">
        <f t="shared" ref="T667" si="817">EDATE(S667,12)</f>
        <v>49310</v>
      </c>
      <c r="U667" s="7">
        <f t="shared" ref="U667" si="818">EDATE(T667,12)</f>
        <v>49675</v>
      </c>
      <c r="V667" s="7">
        <f t="shared" ref="V667" si="819">EDATE(U667,12)</f>
        <v>50041</v>
      </c>
      <c r="W667" s="7">
        <f t="shared" ref="W667" si="820">EDATE(V667,12)</f>
        <v>50406</v>
      </c>
      <c r="X667" s="7">
        <f t="shared" ref="X667" si="821">EDATE(W667,12)</f>
        <v>50771</v>
      </c>
      <c r="Y667" s="7">
        <f t="shared" ref="Y667" si="822">EDATE(X667,12)</f>
        <v>51136</v>
      </c>
      <c r="Z667" s="7">
        <f t="shared" ref="Z667" si="823">EDATE(Y667,12)</f>
        <v>51502</v>
      </c>
      <c r="AA667" s="7">
        <f t="shared" ref="AA667" si="824">EDATE(Z667,12)</f>
        <v>51867</v>
      </c>
      <c r="AB667" s="7">
        <f t="shared" ref="AB667" si="825">EDATE(AA667,12)</f>
        <v>52232</v>
      </c>
      <c r="AC667" s="7">
        <f t="shared" ref="AC667" si="826">EDATE(AB667,12)</f>
        <v>52597</v>
      </c>
      <c r="AD667" s="7">
        <f>EDATE(AC667,12)</f>
        <v>52963</v>
      </c>
      <c r="AH667" s="34" t="s">
        <v>422</v>
      </c>
    </row>
    <row r="668" spans="4:34" outlineLevel="2" x14ac:dyDescent="0.2">
      <c r="D668" s="8" t="s">
        <v>257</v>
      </c>
      <c r="E668" s="10">
        <f>SUMIFS('Custom Constraints'!$D:$D,'Custom Constraints'!$A:$A,"caiso-deliverability_"&amp;SUBSTITUTE(Dashboard!$D668,"_group",Dashboard!$D$633)&amp;"."&amp;YEAR(Dashboard!E$537))</f>
        <v>0</v>
      </c>
      <c r="F668" s="10">
        <f>SUMIFS('Custom Constraints'!$D:$D,'Custom Constraints'!$A:$A,"caiso-deliverability_"&amp;SUBSTITUTE(Dashboard!$D668,"_group",Dashboard!$D$633)&amp;"."&amp;YEAR(Dashboard!F$537))</f>
        <v>0</v>
      </c>
      <c r="G668" s="10">
        <f>SUMIFS('Custom Constraints'!$D:$D,'Custom Constraints'!$A:$A,"caiso-deliverability_"&amp;SUBSTITUTE(Dashboard!$D668,"_group",Dashboard!$D$633)&amp;"."&amp;YEAR(Dashboard!G$537))</f>
        <v>0</v>
      </c>
      <c r="H668" s="10">
        <f>SUMIFS('Custom Constraints'!$D:$D,'Custom Constraints'!$A:$A,"caiso-deliverability_"&amp;SUBSTITUTE(Dashboard!$D668,"_group",Dashboard!$D$633)&amp;"."&amp;YEAR(Dashboard!H$537))</f>
        <v>0</v>
      </c>
      <c r="I668" s="10">
        <f>SUMIFS('Custom Constraints'!$D:$D,'Custom Constraints'!$A:$A,"caiso-deliverability_"&amp;SUBSTITUTE(Dashboard!$D668,"_group",Dashboard!$D$633)&amp;"."&amp;YEAR(Dashboard!I$537))</f>
        <v>0</v>
      </c>
      <c r="J668" s="10">
        <f>SUMIFS('Custom Constraints'!$D:$D,'Custom Constraints'!$A:$A,"caiso-deliverability_"&amp;SUBSTITUTE(Dashboard!$D668,"_group",Dashboard!$D$633)&amp;"."&amp;YEAR(Dashboard!J$537))</f>
        <v>0</v>
      </c>
      <c r="K668" s="10">
        <f>SUMIFS('Custom Constraints'!$D:$D,'Custom Constraints'!$A:$A,"caiso-deliverability_"&amp;SUBSTITUTE(Dashboard!$D668,"_group",Dashboard!$D$633)&amp;"."&amp;YEAR(Dashboard!K$537))</f>
        <v>0</v>
      </c>
      <c r="L668" s="10">
        <f>SUMIFS('Custom Constraints'!$D:$D,'Custom Constraints'!$A:$A,"caiso-deliverability_"&amp;SUBSTITUTE(Dashboard!$D668,"_group",Dashboard!$D$633)&amp;"."&amp;YEAR(Dashboard!L$537))</f>
        <v>0</v>
      </c>
      <c r="M668" s="10">
        <f>SUMIFS('Custom Constraints'!$D:$D,'Custom Constraints'!$A:$A,"caiso-deliverability_"&amp;SUBSTITUTE(Dashboard!$D668,"_group",Dashboard!$D$633)&amp;"."&amp;YEAR(Dashboard!M$537))</f>
        <v>0</v>
      </c>
      <c r="N668" s="10">
        <f>SUMIFS('Custom Constraints'!$D:$D,'Custom Constraints'!$A:$A,"caiso-deliverability_"&amp;SUBSTITUTE(Dashboard!$D668,"_group",Dashboard!$D$633)&amp;"."&amp;YEAR(Dashboard!N$537))</f>
        <v>0</v>
      </c>
      <c r="O668" s="10">
        <f>SUMIFS('Custom Constraints'!$D:$D,'Custom Constraints'!$A:$A,"caiso-deliverability_"&amp;SUBSTITUTE(Dashboard!$D668,"_group",Dashboard!$D$633)&amp;"."&amp;YEAR(Dashboard!O$537))</f>
        <v>0</v>
      </c>
      <c r="P668" s="10">
        <f>SUMIFS('Custom Constraints'!$D:$D,'Custom Constraints'!$A:$A,"caiso-deliverability_"&amp;SUBSTITUTE(Dashboard!$D668,"_group",Dashboard!$D$633)&amp;"."&amp;YEAR(Dashboard!P$537))</f>
        <v>0</v>
      </c>
      <c r="Q668" s="10">
        <f>SUMIFS('Custom Constraints'!$D:$D,'Custom Constraints'!$A:$A,"caiso-deliverability_"&amp;SUBSTITUTE(Dashboard!$D668,"_group",Dashboard!$D$633)&amp;"."&amp;YEAR(Dashboard!Q$537))</f>
        <v>0</v>
      </c>
      <c r="R668" s="10">
        <f>SUMIFS('Custom Constraints'!$D:$D,'Custom Constraints'!$A:$A,"caiso-deliverability_"&amp;SUBSTITUTE(Dashboard!$D668,"_group",Dashboard!$D$633)&amp;"."&amp;YEAR(Dashboard!R$537))</f>
        <v>0</v>
      </c>
      <c r="S668" s="10">
        <f>SUMIFS('Custom Constraints'!$D:$D,'Custom Constraints'!$A:$A,"caiso-deliverability_"&amp;SUBSTITUTE(Dashboard!$D668,"_group",Dashboard!$D$633)&amp;"."&amp;YEAR(Dashboard!S$537))</f>
        <v>0</v>
      </c>
      <c r="T668" s="10">
        <f>SUMIFS('Custom Constraints'!$D:$D,'Custom Constraints'!$A:$A,"caiso-deliverability_"&amp;SUBSTITUTE(Dashboard!$D668,"_group",Dashboard!$D$633)&amp;"."&amp;YEAR(Dashboard!T$537))</f>
        <v>0</v>
      </c>
      <c r="U668" s="10">
        <f>SUMIFS('Custom Constraints'!$D:$D,'Custom Constraints'!$A:$A,"caiso-deliverability_"&amp;SUBSTITUTE(Dashboard!$D668,"_group",Dashboard!$D$633)&amp;"."&amp;YEAR(Dashboard!U$537))</f>
        <v>0</v>
      </c>
      <c r="V668" s="10">
        <f>SUMIFS('Custom Constraints'!$D:$D,'Custom Constraints'!$A:$A,"caiso-deliverability_"&amp;SUBSTITUTE(Dashboard!$D668,"_group",Dashboard!$D$633)&amp;"."&amp;YEAR(Dashboard!V$537))</f>
        <v>0</v>
      </c>
      <c r="W668" s="10">
        <f>SUMIFS('Custom Constraints'!$D:$D,'Custom Constraints'!$A:$A,"caiso-deliverability_"&amp;SUBSTITUTE(Dashboard!$D668,"_group",Dashboard!$D$633)&amp;"."&amp;YEAR(Dashboard!W$537))</f>
        <v>0</v>
      </c>
      <c r="X668" s="10">
        <f>SUMIFS('Custom Constraints'!$D:$D,'Custom Constraints'!$A:$A,"caiso-deliverability_"&amp;SUBSTITUTE(Dashboard!$D668,"_group",Dashboard!$D$633)&amp;"."&amp;YEAR(Dashboard!X$537))</f>
        <v>0</v>
      </c>
      <c r="Y668" s="10">
        <f>SUMIFS('Custom Constraints'!$D:$D,'Custom Constraints'!$A:$A,"caiso-deliverability_"&amp;SUBSTITUTE(Dashboard!$D668,"_group",Dashboard!$D$633)&amp;"."&amp;YEAR(Dashboard!Y$537))</f>
        <v>0</v>
      </c>
      <c r="Z668" s="10">
        <f>SUMIFS('Custom Constraints'!$D:$D,'Custom Constraints'!$A:$A,"caiso-deliverability_"&amp;SUBSTITUTE(Dashboard!$D668,"_group",Dashboard!$D$633)&amp;"."&amp;YEAR(Dashboard!Z$537))</f>
        <v>0</v>
      </c>
      <c r="AA668" s="10">
        <f>SUMIFS('Custom Constraints'!$D:$D,'Custom Constraints'!$A:$A,"caiso-deliverability_"&amp;SUBSTITUTE(Dashboard!$D668,"_group",Dashboard!$D$633)&amp;"."&amp;YEAR(Dashboard!AA$537))</f>
        <v>0</v>
      </c>
      <c r="AB668" s="10">
        <f>SUMIFS('Custom Constraints'!$D:$D,'Custom Constraints'!$A:$A,"caiso-deliverability_"&amp;SUBSTITUTE(Dashboard!$D668,"_group",Dashboard!$D$633)&amp;"."&amp;YEAR(Dashboard!AB$537))</f>
        <v>0</v>
      </c>
      <c r="AC668" s="10">
        <f>SUMIFS('Custom Constraints'!$D:$D,'Custom Constraints'!$A:$A,"caiso-deliverability_"&amp;SUBSTITUTE(Dashboard!$D668,"_group",Dashboard!$D$633)&amp;"."&amp;YEAR(Dashboard!AC$537))</f>
        <v>0</v>
      </c>
      <c r="AD668" s="10">
        <f>SUMIFS('Custom Constraints'!$D:$D,'Custom Constraints'!$A:$A,"caiso-deliverability_"&amp;SUBSTITUTE(Dashboard!$D668,"_group",Dashboard!$D$633)&amp;"."&amp;YEAR(Dashboard!AD$537))</f>
        <v>1490</v>
      </c>
      <c r="AH668" s="34" t="s">
        <v>422</v>
      </c>
    </row>
    <row r="669" spans="4:34" outlineLevel="2" x14ac:dyDescent="0.2">
      <c r="D669" s="8" t="s">
        <v>258</v>
      </c>
      <c r="E669" s="10">
        <f>SUMIFS('Custom Constraints'!$D:$D,'Custom Constraints'!$A:$A,"caiso-deliverability_"&amp;SUBSTITUTE(Dashboard!$D669,"_group",Dashboard!$D$633)&amp;"."&amp;YEAR(Dashboard!E$537))</f>
        <v>0</v>
      </c>
      <c r="F669" s="10">
        <f>SUMIFS('Custom Constraints'!$D:$D,'Custom Constraints'!$A:$A,"caiso-deliverability_"&amp;SUBSTITUTE(Dashboard!$D669,"_group",Dashboard!$D$633)&amp;"."&amp;YEAR(Dashboard!F$537))</f>
        <v>0</v>
      </c>
      <c r="G669" s="10">
        <f>SUMIFS('Custom Constraints'!$D:$D,'Custom Constraints'!$A:$A,"caiso-deliverability_"&amp;SUBSTITUTE(Dashboard!$D669,"_group",Dashboard!$D$633)&amp;"."&amp;YEAR(Dashboard!G$537))</f>
        <v>0</v>
      </c>
      <c r="H669" s="10">
        <f>SUMIFS('Custom Constraints'!$D:$D,'Custom Constraints'!$A:$A,"caiso-deliverability_"&amp;SUBSTITUTE(Dashboard!$D669,"_group",Dashboard!$D$633)&amp;"."&amp;YEAR(Dashboard!H$537))</f>
        <v>0</v>
      </c>
      <c r="I669" s="10">
        <f>SUMIFS('Custom Constraints'!$D:$D,'Custom Constraints'!$A:$A,"caiso-deliverability_"&amp;SUBSTITUTE(Dashboard!$D669,"_group",Dashboard!$D$633)&amp;"."&amp;YEAR(Dashboard!I$537))</f>
        <v>0</v>
      </c>
      <c r="J669" s="10">
        <f>SUMIFS('Custom Constraints'!$D:$D,'Custom Constraints'!$A:$A,"caiso-deliverability_"&amp;SUBSTITUTE(Dashboard!$D669,"_group",Dashboard!$D$633)&amp;"."&amp;YEAR(Dashboard!J$537))</f>
        <v>0</v>
      </c>
      <c r="K669" s="10">
        <f>SUMIFS('Custom Constraints'!$D:$D,'Custom Constraints'!$A:$A,"caiso-deliverability_"&amp;SUBSTITUTE(Dashboard!$D669,"_group",Dashboard!$D$633)&amp;"."&amp;YEAR(Dashboard!K$537))</f>
        <v>0</v>
      </c>
      <c r="L669" s="10">
        <f>SUMIFS('Custom Constraints'!$D:$D,'Custom Constraints'!$A:$A,"caiso-deliverability_"&amp;SUBSTITUTE(Dashboard!$D669,"_group",Dashboard!$D$633)&amp;"."&amp;YEAR(Dashboard!L$537))</f>
        <v>0</v>
      </c>
      <c r="M669" s="10">
        <f>SUMIFS('Custom Constraints'!$D:$D,'Custom Constraints'!$A:$A,"caiso-deliverability_"&amp;SUBSTITUTE(Dashboard!$D669,"_group",Dashboard!$D$633)&amp;"."&amp;YEAR(Dashboard!M$537))</f>
        <v>0</v>
      </c>
      <c r="N669" s="10">
        <f>SUMIFS('Custom Constraints'!$D:$D,'Custom Constraints'!$A:$A,"caiso-deliverability_"&amp;SUBSTITUTE(Dashboard!$D669,"_group",Dashboard!$D$633)&amp;"."&amp;YEAR(Dashboard!N$537))</f>
        <v>0</v>
      </c>
      <c r="O669" s="10">
        <f>SUMIFS('Custom Constraints'!$D:$D,'Custom Constraints'!$A:$A,"caiso-deliverability_"&amp;SUBSTITUTE(Dashboard!$D669,"_group",Dashboard!$D$633)&amp;"."&amp;YEAR(Dashboard!O$537))</f>
        <v>0</v>
      </c>
      <c r="P669" s="10">
        <f>SUMIFS('Custom Constraints'!$D:$D,'Custom Constraints'!$A:$A,"caiso-deliverability_"&amp;SUBSTITUTE(Dashboard!$D669,"_group",Dashboard!$D$633)&amp;"."&amp;YEAR(Dashboard!P$537))</f>
        <v>0</v>
      </c>
      <c r="Q669" s="10">
        <f>SUMIFS('Custom Constraints'!$D:$D,'Custom Constraints'!$A:$A,"caiso-deliverability_"&amp;SUBSTITUTE(Dashboard!$D669,"_group",Dashboard!$D$633)&amp;"."&amp;YEAR(Dashboard!Q$537))</f>
        <v>0</v>
      </c>
      <c r="R669" s="10">
        <f>SUMIFS('Custom Constraints'!$D:$D,'Custom Constraints'!$A:$A,"caiso-deliverability_"&amp;SUBSTITUTE(Dashboard!$D669,"_group",Dashboard!$D$633)&amp;"."&amp;YEAR(Dashboard!R$537))</f>
        <v>0</v>
      </c>
      <c r="S669" s="10">
        <f>SUMIFS('Custom Constraints'!$D:$D,'Custom Constraints'!$A:$A,"caiso-deliverability_"&amp;SUBSTITUTE(Dashboard!$D669,"_group",Dashboard!$D$633)&amp;"."&amp;YEAR(Dashboard!S$537))</f>
        <v>0</v>
      </c>
      <c r="T669" s="10">
        <f>SUMIFS('Custom Constraints'!$D:$D,'Custom Constraints'!$A:$A,"caiso-deliverability_"&amp;SUBSTITUTE(Dashboard!$D669,"_group",Dashboard!$D$633)&amp;"."&amp;YEAR(Dashboard!T$537))</f>
        <v>0</v>
      </c>
      <c r="U669" s="10">
        <f>SUMIFS('Custom Constraints'!$D:$D,'Custom Constraints'!$A:$A,"caiso-deliverability_"&amp;SUBSTITUTE(Dashboard!$D669,"_group",Dashboard!$D$633)&amp;"."&amp;YEAR(Dashboard!U$537))</f>
        <v>0</v>
      </c>
      <c r="V669" s="10">
        <f>SUMIFS('Custom Constraints'!$D:$D,'Custom Constraints'!$A:$A,"caiso-deliverability_"&amp;SUBSTITUTE(Dashboard!$D669,"_group",Dashboard!$D$633)&amp;"."&amp;YEAR(Dashboard!V$537))</f>
        <v>0</v>
      </c>
      <c r="W669" s="10">
        <f>SUMIFS('Custom Constraints'!$D:$D,'Custom Constraints'!$A:$A,"caiso-deliverability_"&amp;SUBSTITUTE(Dashboard!$D669,"_group",Dashboard!$D$633)&amp;"."&amp;YEAR(Dashboard!W$537))</f>
        <v>0</v>
      </c>
      <c r="X669" s="10">
        <f>SUMIFS('Custom Constraints'!$D:$D,'Custom Constraints'!$A:$A,"caiso-deliverability_"&amp;SUBSTITUTE(Dashboard!$D669,"_group",Dashboard!$D$633)&amp;"."&amp;YEAR(Dashboard!X$537))</f>
        <v>0</v>
      </c>
      <c r="Y669" s="10">
        <f>SUMIFS('Custom Constraints'!$D:$D,'Custom Constraints'!$A:$A,"caiso-deliverability_"&amp;SUBSTITUTE(Dashboard!$D669,"_group",Dashboard!$D$633)&amp;"."&amp;YEAR(Dashboard!Y$537))</f>
        <v>0</v>
      </c>
      <c r="Z669" s="10">
        <f>SUMIFS('Custom Constraints'!$D:$D,'Custom Constraints'!$A:$A,"caiso-deliverability_"&amp;SUBSTITUTE(Dashboard!$D669,"_group",Dashboard!$D$633)&amp;"."&amp;YEAR(Dashboard!Z$537))</f>
        <v>0</v>
      </c>
      <c r="AA669" s="10">
        <f>SUMIFS('Custom Constraints'!$D:$D,'Custom Constraints'!$A:$A,"caiso-deliverability_"&amp;SUBSTITUTE(Dashboard!$D669,"_group",Dashboard!$D$633)&amp;"."&amp;YEAR(Dashboard!AA$537))</f>
        <v>0</v>
      </c>
      <c r="AB669" s="10">
        <f>SUMIFS('Custom Constraints'!$D:$D,'Custom Constraints'!$A:$A,"caiso-deliverability_"&amp;SUBSTITUTE(Dashboard!$D669,"_group",Dashboard!$D$633)&amp;"."&amp;YEAR(Dashboard!AB$537))</f>
        <v>0</v>
      </c>
      <c r="AC669" s="10">
        <f>SUMIFS('Custom Constraints'!$D:$D,'Custom Constraints'!$A:$A,"caiso-deliverability_"&amp;SUBSTITUTE(Dashboard!$D669,"_group",Dashboard!$D$633)&amp;"."&amp;YEAR(Dashboard!AC$537))</f>
        <v>0</v>
      </c>
      <c r="AD669" s="10">
        <f>SUMIFS('Custom Constraints'!$D:$D,'Custom Constraints'!$A:$A,"caiso-deliverability_"&amp;SUBSTITUTE(Dashboard!$D669,"_group",Dashboard!$D$633)&amp;"."&amp;YEAR(Dashboard!AD$537))</f>
        <v>1523</v>
      </c>
      <c r="AH669" s="34" t="s">
        <v>422</v>
      </c>
    </row>
    <row r="670" spans="4:34" outlineLevel="2" x14ac:dyDescent="0.2">
      <c r="D670" s="8" t="s">
        <v>259</v>
      </c>
      <c r="E670" s="10">
        <f>SUMIFS('Custom Constraints'!$D:$D,'Custom Constraints'!$A:$A,"caiso-deliverability_"&amp;SUBSTITUTE(Dashboard!$D670,"_group",Dashboard!$D$633)&amp;"."&amp;YEAR(Dashboard!E$537))</f>
        <v>0</v>
      </c>
      <c r="F670" s="10">
        <f>SUMIFS('Custom Constraints'!$D:$D,'Custom Constraints'!$A:$A,"caiso-deliverability_"&amp;SUBSTITUTE(Dashboard!$D670,"_group",Dashboard!$D$633)&amp;"."&amp;YEAR(Dashboard!F$537))</f>
        <v>0</v>
      </c>
      <c r="G670" s="10">
        <f>SUMIFS('Custom Constraints'!$D:$D,'Custom Constraints'!$A:$A,"caiso-deliverability_"&amp;SUBSTITUTE(Dashboard!$D670,"_group",Dashboard!$D$633)&amp;"."&amp;YEAR(Dashboard!G$537))</f>
        <v>0</v>
      </c>
      <c r="H670" s="10">
        <f>SUMIFS('Custom Constraints'!$D:$D,'Custom Constraints'!$A:$A,"caiso-deliverability_"&amp;SUBSTITUTE(Dashboard!$D670,"_group",Dashboard!$D$633)&amp;"."&amp;YEAR(Dashboard!H$537))</f>
        <v>0</v>
      </c>
      <c r="I670" s="10">
        <f>SUMIFS('Custom Constraints'!$D:$D,'Custom Constraints'!$A:$A,"caiso-deliverability_"&amp;SUBSTITUTE(Dashboard!$D670,"_group",Dashboard!$D$633)&amp;"."&amp;YEAR(Dashboard!I$537))</f>
        <v>0</v>
      </c>
      <c r="J670" s="10">
        <f>SUMIFS('Custom Constraints'!$D:$D,'Custom Constraints'!$A:$A,"caiso-deliverability_"&amp;SUBSTITUTE(Dashboard!$D670,"_group",Dashboard!$D$633)&amp;"."&amp;YEAR(Dashboard!J$537))</f>
        <v>0</v>
      </c>
      <c r="K670" s="10">
        <f>SUMIFS('Custom Constraints'!$D:$D,'Custom Constraints'!$A:$A,"caiso-deliverability_"&amp;SUBSTITUTE(Dashboard!$D670,"_group",Dashboard!$D$633)&amp;"."&amp;YEAR(Dashboard!K$537))</f>
        <v>0</v>
      </c>
      <c r="L670" s="10">
        <f>SUMIFS('Custom Constraints'!$D:$D,'Custom Constraints'!$A:$A,"caiso-deliverability_"&amp;SUBSTITUTE(Dashboard!$D670,"_group",Dashboard!$D$633)&amp;"."&amp;YEAR(Dashboard!L$537))</f>
        <v>0</v>
      </c>
      <c r="M670" s="10">
        <f>SUMIFS('Custom Constraints'!$D:$D,'Custom Constraints'!$A:$A,"caiso-deliverability_"&amp;SUBSTITUTE(Dashboard!$D670,"_group",Dashboard!$D$633)&amp;"."&amp;YEAR(Dashboard!M$537))</f>
        <v>0</v>
      </c>
      <c r="N670" s="10">
        <f>SUMIFS('Custom Constraints'!$D:$D,'Custom Constraints'!$A:$A,"caiso-deliverability_"&amp;SUBSTITUTE(Dashboard!$D670,"_group",Dashboard!$D$633)&amp;"."&amp;YEAR(Dashboard!N$537))</f>
        <v>0</v>
      </c>
      <c r="O670" s="10">
        <f>SUMIFS('Custom Constraints'!$D:$D,'Custom Constraints'!$A:$A,"caiso-deliverability_"&amp;SUBSTITUTE(Dashboard!$D670,"_group",Dashboard!$D$633)&amp;"."&amp;YEAR(Dashboard!O$537))</f>
        <v>0</v>
      </c>
      <c r="P670" s="10">
        <f>SUMIFS('Custom Constraints'!$D:$D,'Custom Constraints'!$A:$A,"caiso-deliverability_"&amp;SUBSTITUTE(Dashboard!$D670,"_group",Dashboard!$D$633)&amp;"."&amp;YEAR(Dashboard!P$537))</f>
        <v>0</v>
      </c>
      <c r="Q670" s="10">
        <f>SUMIFS('Custom Constraints'!$D:$D,'Custom Constraints'!$A:$A,"caiso-deliverability_"&amp;SUBSTITUTE(Dashboard!$D670,"_group",Dashboard!$D$633)&amp;"."&amp;YEAR(Dashboard!Q$537))</f>
        <v>0</v>
      </c>
      <c r="R670" s="10">
        <f>SUMIFS('Custom Constraints'!$D:$D,'Custom Constraints'!$A:$A,"caiso-deliverability_"&amp;SUBSTITUTE(Dashboard!$D670,"_group",Dashboard!$D$633)&amp;"."&amp;YEAR(Dashboard!R$537))</f>
        <v>0</v>
      </c>
      <c r="S670" s="10">
        <f>SUMIFS('Custom Constraints'!$D:$D,'Custom Constraints'!$A:$A,"caiso-deliverability_"&amp;SUBSTITUTE(Dashboard!$D670,"_group",Dashboard!$D$633)&amp;"."&amp;YEAR(Dashboard!S$537))</f>
        <v>0</v>
      </c>
      <c r="T670" s="10">
        <f>SUMIFS('Custom Constraints'!$D:$D,'Custom Constraints'!$A:$A,"caiso-deliverability_"&amp;SUBSTITUTE(Dashboard!$D670,"_group",Dashboard!$D$633)&amp;"."&amp;YEAR(Dashboard!T$537))</f>
        <v>0</v>
      </c>
      <c r="U670" s="10">
        <f>SUMIFS('Custom Constraints'!$D:$D,'Custom Constraints'!$A:$A,"caiso-deliverability_"&amp;SUBSTITUTE(Dashboard!$D670,"_group",Dashboard!$D$633)&amp;"."&amp;YEAR(Dashboard!U$537))</f>
        <v>0</v>
      </c>
      <c r="V670" s="10">
        <f>SUMIFS('Custom Constraints'!$D:$D,'Custom Constraints'!$A:$A,"caiso-deliverability_"&amp;SUBSTITUTE(Dashboard!$D670,"_group",Dashboard!$D$633)&amp;"."&amp;YEAR(Dashboard!V$537))</f>
        <v>0</v>
      </c>
      <c r="W670" s="10">
        <f>SUMIFS('Custom Constraints'!$D:$D,'Custom Constraints'!$A:$A,"caiso-deliverability_"&amp;SUBSTITUTE(Dashboard!$D670,"_group",Dashboard!$D$633)&amp;"."&amp;YEAR(Dashboard!W$537))</f>
        <v>0</v>
      </c>
      <c r="X670" s="10">
        <f>SUMIFS('Custom Constraints'!$D:$D,'Custom Constraints'!$A:$A,"caiso-deliverability_"&amp;SUBSTITUTE(Dashboard!$D670,"_group",Dashboard!$D$633)&amp;"."&amp;YEAR(Dashboard!X$537))</f>
        <v>0</v>
      </c>
      <c r="Y670" s="10">
        <f>SUMIFS('Custom Constraints'!$D:$D,'Custom Constraints'!$A:$A,"caiso-deliverability_"&amp;SUBSTITUTE(Dashboard!$D670,"_group",Dashboard!$D$633)&amp;"."&amp;YEAR(Dashboard!Y$537))</f>
        <v>0</v>
      </c>
      <c r="Z670" s="10">
        <f>SUMIFS('Custom Constraints'!$D:$D,'Custom Constraints'!$A:$A,"caiso-deliverability_"&amp;SUBSTITUTE(Dashboard!$D670,"_group",Dashboard!$D$633)&amp;"."&amp;YEAR(Dashboard!Z$537))</f>
        <v>0</v>
      </c>
      <c r="AA670" s="10">
        <f>SUMIFS('Custom Constraints'!$D:$D,'Custom Constraints'!$A:$A,"caiso-deliverability_"&amp;SUBSTITUTE(Dashboard!$D670,"_group",Dashboard!$D$633)&amp;"."&amp;YEAR(Dashboard!AA$537))</f>
        <v>0</v>
      </c>
      <c r="AB670" s="10">
        <f>SUMIFS('Custom Constraints'!$D:$D,'Custom Constraints'!$A:$A,"caiso-deliverability_"&amp;SUBSTITUTE(Dashboard!$D670,"_group",Dashboard!$D$633)&amp;"."&amp;YEAR(Dashboard!AB$537))</f>
        <v>0</v>
      </c>
      <c r="AC670" s="10">
        <f>SUMIFS('Custom Constraints'!$D:$D,'Custom Constraints'!$A:$A,"caiso-deliverability_"&amp;SUBSTITUTE(Dashboard!$D670,"_group",Dashboard!$D$633)&amp;"."&amp;YEAR(Dashboard!AC$537))</f>
        <v>0</v>
      </c>
      <c r="AD670" s="10">
        <f>SUMIFS('Custom Constraints'!$D:$D,'Custom Constraints'!$A:$A,"caiso-deliverability_"&amp;SUBSTITUTE(Dashboard!$D670,"_group",Dashboard!$D$633)&amp;"."&amp;YEAR(Dashboard!AD$537))</f>
        <v>454</v>
      </c>
      <c r="AH670" s="34" t="s">
        <v>422</v>
      </c>
    </row>
    <row r="671" spans="4:34" outlineLevel="2" x14ac:dyDescent="0.2">
      <c r="D671" s="8" t="s">
        <v>260</v>
      </c>
      <c r="E671" s="10">
        <f>SUMIFS('Custom Constraints'!$D:$D,'Custom Constraints'!$A:$A,"caiso-deliverability_"&amp;SUBSTITUTE(Dashboard!$D671,"_group",Dashboard!$D$633)&amp;"."&amp;YEAR(Dashboard!E$537))</f>
        <v>0</v>
      </c>
      <c r="F671" s="10">
        <f>SUMIFS('Custom Constraints'!$D:$D,'Custom Constraints'!$A:$A,"caiso-deliverability_"&amp;SUBSTITUTE(Dashboard!$D671,"_group",Dashboard!$D$633)&amp;"."&amp;YEAR(Dashboard!F$537))</f>
        <v>0</v>
      </c>
      <c r="G671" s="10">
        <f>SUMIFS('Custom Constraints'!$D:$D,'Custom Constraints'!$A:$A,"caiso-deliverability_"&amp;SUBSTITUTE(Dashboard!$D671,"_group",Dashboard!$D$633)&amp;"."&amp;YEAR(Dashboard!G$537))</f>
        <v>0</v>
      </c>
      <c r="H671" s="10">
        <f>SUMIFS('Custom Constraints'!$D:$D,'Custom Constraints'!$A:$A,"caiso-deliverability_"&amp;SUBSTITUTE(Dashboard!$D671,"_group",Dashboard!$D$633)&amp;"."&amp;YEAR(Dashboard!H$537))</f>
        <v>0</v>
      </c>
      <c r="I671" s="10">
        <f>SUMIFS('Custom Constraints'!$D:$D,'Custom Constraints'!$A:$A,"caiso-deliverability_"&amp;SUBSTITUTE(Dashboard!$D671,"_group",Dashboard!$D$633)&amp;"."&amp;YEAR(Dashboard!I$537))</f>
        <v>0</v>
      </c>
      <c r="J671" s="10">
        <f>SUMIFS('Custom Constraints'!$D:$D,'Custom Constraints'!$A:$A,"caiso-deliverability_"&amp;SUBSTITUTE(Dashboard!$D671,"_group",Dashboard!$D$633)&amp;"."&amp;YEAR(Dashboard!J$537))</f>
        <v>0</v>
      </c>
      <c r="K671" s="10">
        <f>SUMIFS('Custom Constraints'!$D:$D,'Custom Constraints'!$A:$A,"caiso-deliverability_"&amp;SUBSTITUTE(Dashboard!$D671,"_group",Dashboard!$D$633)&amp;"."&amp;YEAR(Dashboard!K$537))</f>
        <v>0</v>
      </c>
      <c r="L671" s="10">
        <f>SUMIFS('Custom Constraints'!$D:$D,'Custom Constraints'!$A:$A,"caiso-deliverability_"&amp;SUBSTITUTE(Dashboard!$D671,"_group",Dashboard!$D$633)&amp;"."&amp;YEAR(Dashboard!L$537))</f>
        <v>0</v>
      </c>
      <c r="M671" s="10">
        <f>SUMIFS('Custom Constraints'!$D:$D,'Custom Constraints'!$A:$A,"caiso-deliverability_"&amp;SUBSTITUTE(Dashboard!$D671,"_group",Dashboard!$D$633)&amp;"."&amp;YEAR(Dashboard!M$537))</f>
        <v>0</v>
      </c>
      <c r="N671" s="10">
        <f>SUMIFS('Custom Constraints'!$D:$D,'Custom Constraints'!$A:$A,"caiso-deliverability_"&amp;SUBSTITUTE(Dashboard!$D671,"_group",Dashboard!$D$633)&amp;"."&amp;YEAR(Dashboard!N$537))</f>
        <v>0</v>
      </c>
      <c r="O671" s="10">
        <f>SUMIFS('Custom Constraints'!$D:$D,'Custom Constraints'!$A:$A,"caiso-deliverability_"&amp;SUBSTITUTE(Dashboard!$D671,"_group",Dashboard!$D$633)&amp;"."&amp;YEAR(Dashboard!O$537))</f>
        <v>0</v>
      </c>
      <c r="P671" s="10">
        <f>SUMIFS('Custom Constraints'!$D:$D,'Custom Constraints'!$A:$A,"caiso-deliverability_"&amp;SUBSTITUTE(Dashboard!$D671,"_group",Dashboard!$D$633)&amp;"."&amp;YEAR(Dashboard!P$537))</f>
        <v>0</v>
      </c>
      <c r="Q671" s="10">
        <f>SUMIFS('Custom Constraints'!$D:$D,'Custom Constraints'!$A:$A,"caiso-deliverability_"&amp;SUBSTITUTE(Dashboard!$D671,"_group",Dashboard!$D$633)&amp;"."&amp;YEAR(Dashboard!Q$537))</f>
        <v>0</v>
      </c>
      <c r="R671" s="10">
        <f>SUMIFS('Custom Constraints'!$D:$D,'Custom Constraints'!$A:$A,"caiso-deliverability_"&amp;SUBSTITUTE(Dashboard!$D671,"_group",Dashboard!$D$633)&amp;"."&amp;YEAR(Dashboard!R$537))</f>
        <v>0</v>
      </c>
      <c r="S671" s="10">
        <f>SUMIFS('Custom Constraints'!$D:$D,'Custom Constraints'!$A:$A,"caiso-deliverability_"&amp;SUBSTITUTE(Dashboard!$D671,"_group",Dashboard!$D$633)&amp;"."&amp;YEAR(Dashboard!S$537))</f>
        <v>0</v>
      </c>
      <c r="T671" s="10">
        <f>SUMIFS('Custom Constraints'!$D:$D,'Custom Constraints'!$A:$A,"caiso-deliverability_"&amp;SUBSTITUTE(Dashboard!$D671,"_group",Dashboard!$D$633)&amp;"."&amp;YEAR(Dashboard!T$537))</f>
        <v>0</v>
      </c>
      <c r="U671" s="10">
        <f>SUMIFS('Custom Constraints'!$D:$D,'Custom Constraints'!$A:$A,"caiso-deliverability_"&amp;SUBSTITUTE(Dashboard!$D671,"_group",Dashboard!$D$633)&amp;"."&amp;YEAR(Dashboard!U$537))</f>
        <v>0</v>
      </c>
      <c r="V671" s="10">
        <f>SUMIFS('Custom Constraints'!$D:$D,'Custom Constraints'!$A:$A,"caiso-deliverability_"&amp;SUBSTITUTE(Dashboard!$D671,"_group",Dashboard!$D$633)&amp;"."&amp;YEAR(Dashboard!V$537))</f>
        <v>0</v>
      </c>
      <c r="W671" s="10">
        <f>SUMIFS('Custom Constraints'!$D:$D,'Custom Constraints'!$A:$A,"caiso-deliverability_"&amp;SUBSTITUTE(Dashboard!$D671,"_group",Dashboard!$D$633)&amp;"."&amp;YEAR(Dashboard!W$537))</f>
        <v>0</v>
      </c>
      <c r="X671" s="10">
        <f>SUMIFS('Custom Constraints'!$D:$D,'Custom Constraints'!$A:$A,"caiso-deliverability_"&amp;SUBSTITUTE(Dashboard!$D671,"_group",Dashboard!$D$633)&amp;"."&amp;YEAR(Dashboard!X$537))</f>
        <v>0</v>
      </c>
      <c r="Y671" s="10">
        <f>SUMIFS('Custom Constraints'!$D:$D,'Custom Constraints'!$A:$A,"caiso-deliverability_"&amp;SUBSTITUTE(Dashboard!$D671,"_group",Dashboard!$D$633)&amp;"."&amp;YEAR(Dashboard!Y$537))</f>
        <v>0</v>
      </c>
      <c r="Z671" s="10">
        <f>SUMIFS('Custom Constraints'!$D:$D,'Custom Constraints'!$A:$A,"caiso-deliverability_"&amp;SUBSTITUTE(Dashboard!$D671,"_group",Dashboard!$D$633)&amp;"."&amp;YEAR(Dashboard!Z$537))</f>
        <v>0</v>
      </c>
      <c r="AA671" s="10">
        <f>SUMIFS('Custom Constraints'!$D:$D,'Custom Constraints'!$A:$A,"caiso-deliverability_"&amp;SUBSTITUTE(Dashboard!$D671,"_group",Dashboard!$D$633)&amp;"."&amp;YEAR(Dashboard!AA$537))</f>
        <v>0</v>
      </c>
      <c r="AB671" s="10">
        <f>SUMIFS('Custom Constraints'!$D:$D,'Custom Constraints'!$A:$A,"caiso-deliverability_"&amp;SUBSTITUTE(Dashboard!$D671,"_group",Dashboard!$D$633)&amp;"."&amp;YEAR(Dashboard!AB$537))</f>
        <v>0</v>
      </c>
      <c r="AC671" s="10">
        <f>SUMIFS('Custom Constraints'!$D:$D,'Custom Constraints'!$A:$A,"caiso-deliverability_"&amp;SUBSTITUTE(Dashboard!$D671,"_group",Dashboard!$D$633)&amp;"."&amp;YEAR(Dashboard!AC$537))</f>
        <v>0</v>
      </c>
      <c r="AD671" s="10">
        <f>SUMIFS('Custom Constraints'!$D:$D,'Custom Constraints'!$A:$A,"caiso-deliverability_"&amp;SUBSTITUTE(Dashboard!$D671,"_group",Dashboard!$D$633)&amp;"."&amp;YEAR(Dashboard!AD$537))</f>
        <v>5400</v>
      </c>
      <c r="AH671" s="34" t="s">
        <v>422</v>
      </c>
    </row>
    <row r="672" spans="4:34" outlineLevel="2" x14ac:dyDescent="0.2">
      <c r="D672" s="8" t="s">
        <v>261</v>
      </c>
      <c r="E672" s="10">
        <f>SUMIFS('Custom Constraints'!$D:$D,'Custom Constraints'!$A:$A,"caiso-deliverability_"&amp;SUBSTITUTE(Dashboard!$D672,"_group",Dashboard!$D$633)&amp;"."&amp;YEAR(Dashboard!E$537))</f>
        <v>0</v>
      </c>
      <c r="F672" s="10">
        <f>SUMIFS('Custom Constraints'!$D:$D,'Custom Constraints'!$A:$A,"caiso-deliverability_"&amp;SUBSTITUTE(Dashboard!$D672,"_group",Dashboard!$D$633)&amp;"."&amp;YEAR(Dashboard!F$537))</f>
        <v>0</v>
      </c>
      <c r="G672" s="10">
        <f>SUMIFS('Custom Constraints'!$D:$D,'Custom Constraints'!$A:$A,"caiso-deliverability_"&amp;SUBSTITUTE(Dashboard!$D672,"_group",Dashboard!$D$633)&amp;"."&amp;YEAR(Dashboard!G$537))</f>
        <v>0</v>
      </c>
      <c r="H672" s="10">
        <f>SUMIFS('Custom Constraints'!$D:$D,'Custom Constraints'!$A:$A,"caiso-deliverability_"&amp;SUBSTITUTE(Dashboard!$D672,"_group",Dashboard!$D$633)&amp;"."&amp;YEAR(Dashboard!H$537))</f>
        <v>0</v>
      </c>
      <c r="I672" s="10">
        <f>SUMIFS('Custom Constraints'!$D:$D,'Custom Constraints'!$A:$A,"caiso-deliverability_"&amp;SUBSTITUTE(Dashboard!$D672,"_group",Dashboard!$D$633)&amp;"."&amp;YEAR(Dashboard!I$537))</f>
        <v>0</v>
      </c>
      <c r="J672" s="10">
        <f>SUMIFS('Custom Constraints'!$D:$D,'Custom Constraints'!$A:$A,"caiso-deliverability_"&amp;SUBSTITUTE(Dashboard!$D672,"_group",Dashboard!$D$633)&amp;"."&amp;YEAR(Dashboard!J$537))</f>
        <v>0</v>
      </c>
      <c r="K672" s="10">
        <f>SUMIFS('Custom Constraints'!$D:$D,'Custom Constraints'!$A:$A,"caiso-deliverability_"&amp;SUBSTITUTE(Dashboard!$D672,"_group",Dashboard!$D$633)&amp;"."&amp;YEAR(Dashboard!K$537))</f>
        <v>0</v>
      </c>
      <c r="L672" s="10">
        <f>SUMIFS('Custom Constraints'!$D:$D,'Custom Constraints'!$A:$A,"caiso-deliverability_"&amp;SUBSTITUTE(Dashboard!$D672,"_group",Dashboard!$D$633)&amp;"."&amp;YEAR(Dashboard!L$537))</f>
        <v>0</v>
      </c>
      <c r="M672" s="10">
        <f>SUMIFS('Custom Constraints'!$D:$D,'Custom Constraints'!$A:$A,"caiso-deliverability_"&amp;SUBSTITUTE(Dashboard!$D672,"_group",Dashboard!$D$633)&amp;"."&amp;YEAR(Dashboard!M$537))</f>
        <v>0</v>
      </c>
      <c r="N672" s="10">
        <f>SUMIFS('Custom Constraints'!$D:$D,'Custom Constraints'!$A:$A,"caiso-deliverability_"&amp;SUBSTITUTE(Dashboard!$D672,"_group",Dashboard!$D$633)&amp;"."&amp;YEAR(Dashboard!N$537))</f>
        <v>0</v>
      </c>
      <c r="O672" s="10">
        <f>SUMIFS('Custom Constraints'!$D:$D,'Custom Constraints'!$A:$A,"caiso-deliverability_"&amp;SUBSTITUTE(Dashboard!$D672,"_group",Dashboard!$D$633)&amp;"."&amp;YEAR(Dashboard!O$537))</f>
        <v>0</v>
      </c>
      <c r="P672" s="10">
        <f>SUMIFS('Custom Constraints'!$D:$D,'Custom Constraints'!$A:$A,"caiso-deliverability_"&amp;SUBSTITUTE(Dashboard!$D672,"_group",Dashboard!$D$633)&amp;"."&amp;YEAR(Dashboard!P$537))</f>
        <v>0</v>
      </c>
      <c r="Q672" s="10">
        <f>SUMIFS('Custom Constraints'!$D:$D,'Custom Constraints'!$A:$A,"caiso-deliverability_"&amp;SUBSTITUTE(Dashboard!$D672,"_group",Dashboard!$D$633)&amp;"."&amp;YEAR(Dashboard!Q$537))</f>
        <v>0</v>
      </c>
      <c r="R672" s="10">
        <f>SUMIFS('Custom Constraints'!$D:$D,'Custom Constraints'!$A:$A,"caiso-deliverability_"&amp;SUBSTITUTE(Dashboard!$D672,"_group",Dashboard!$D$633)&amp;"."&amp;YEAR(Dashboard!R$537))</f>
        <v>0</v>
      </c>
      <c r="S672" s="10">
        <f>SUMIFS('Custom Constraints'!$D:$D,'Custom Constraints'!$A:$A,"caiso-deliverability_"&amp;SUBSTITUTE(Dashboard!$D672,"_group",Dashboard!$D$633)&amp;"."&amp;YEAR(Dashboard!S$537))</f>
        <v>0</v>
      </c>
      <c r="T672" s="10">
        <f>SUMIFS('Custom Constraints'!$D:$D,'Custom Constraints'!$A:$A,"caiso-deliverability_"&amp;SUBSTITUTE(Dashboard!$D672,"_group",Dashboard!$D$633)&amp;"."&amp;YEAR(Dashboard!T$537))</f>
        <v>0</v>
      </c>
      <c r="U672" s="10">
        <f>SUMIFS('Custom Constraints'!$D:$D,'Custom Constraints'!$A:$A,"caiso-deliverability_"&amp;SUBSTITUTE(Dashboard!$D672,"_group",Dashboard!$D$633)&amp;"."&amp;YEAR(Dashboard!U$537))</f>
        <v>0</v>
      </c>
      <c r="V672" s="10">
        <f>SUMIFS('Custom Constraints'!$D:$D,'Custom Constraints'!$A:$A,"caiso-deliverability_"&amp;SUBSTITUTE(Dashboard!$D672,"_group",Dashboard!$D$633)&amp;"."&amp;YEAR(Dashboard!V$537))</f>
        <v>0</v>
      </c>
      <c r="W672" s="10">
        <f>SUMIFS('Custom Constraints'!$D:$D,'Custom Constraints'!$A:$A,"caiso-deliverability_"&amp;SUBSTITUTE(Dashboard!$D672,"_group",Dashboard!$D$633)&amp;"."&amp;YEAR(Dashboard!W$537))</f>
        <v>0</v>
      </c>
      <c r="X672" s="10">
        <f>SUMIFS('Custom Constraints'!$D:$D,'Custom Constraints'!$A:$A,"caiso-deliverability_"&amp;SUBSTITUTE(Dashboard!$D672,"_group",Dashboard!$D$633)&amp;"."&amp;YEAR(Dashboard!X$537))</f>
        <v>0</v>
      </c>
      <c r="Y672" s="10">
        <f>SUMIFS('Custom Constraints'!$D:$D,'Custom Constraints'!$A:$A,"caiso-deliverability_"&amp;SUBSTITUTE(Dashboard!$D672,"_group",Dashboard!$D$633)&amp;"."&amp;YEAR(Dashboard!Y$537))</f>
        <v>0</v>
      </c>
      <c r="Z672" s="10">
        <f>SUMIFS('Custom Constraints'!$D:$D,'Custom Constraints'!$A:$A,"caiso-deliverability_"&amp;SUBSTITUTE(Dashboard!$D672,"_group",Dashboard!$D$633)&amp;"."&amp;YEAR(Dashboard!Z$537))</f>
        <v>0</v>
      </c>
      <c r="AA672" s="10">
        <f>SUMIFS('Custom Constraints'!$D:$D,'Custom Constraints'!$A:$A,"caiso-deliverability_"&amp;SUBSTITUTE(Dashboard!$D672,"_group",Dashboard!$D$633)&amp;"."&amp;YEAR(Dashboard!AA$537))</f>
        <v>0</v>
      </c>
      <c r="AB672" s="10">
        <f>SUMIFS('Custom Constraints'!$D:$D,'Custom Constraints'!$A:$A,"caiso-deliverability_"&amp;SUBSTITUTE(Dashboard!$D672,"_group",Dashboard!$D$633)&amp;"."&amp;YEAR(Dashboard!AB$537))</f>
        <v>0</v>
      </c>
      <c r="AC672" s="10">
        <f>SUMIFS('Custom Constraints'!$D:$D,'Custom Constraints'!$A:$A,"caiso-deliverability_"&amp;SUBSTITUTE(Dashboard!$D672,"_group",Dashboard!$D$633)&amp;"."&amp;YEAR(Dashboard!AC$537))</f>
        <v>0</v>
      </c>
      <c r="AD672" s="10">
        <f>SUMIFS('Custom Constraints'!$D:$D,'Custom Constraints'!$A:$A,"caiso-deliverability_"&amp;SUBSTITUTE(Dashboard!$D672,"_group",Dashboard!$D$633)&amp;"."&amp;YEAR(Dashboard!AD$537))</f>
        <v>731</v>
      </c>
      <c r="AH672" s="34" t="s">
        <v>422</v>
      </c>
    </row>
    <row r="673" spans="4:34" outlineLevel="2" x14ac:dyDescent="0.2">
      <c r="D673" s="8" t="s">
        <v>262</v>
      </c>
      <c r="E673" s="10">
        <f>SUMIFS('Custom Constraints'!$D:$D,'Custom Constraints'!$A:$A,"caiso-deliverability_"&amp;SUBSTITUTE(Dashboard!$D673,"_group",Dashboard!$D$633)&amp;"."&amp;YEAR(Dashboard!E$537))</f>
        <v>0</v>
      </c>
      <c r="F673" s="10">
        <f>SUMIFS('Custom Constraints'!$D:$D,'Custom Constraints'!$A:$A,"caiso-deliverability_"&amp;SUBSTITUTE(Dashboard!$D673,"_group",Dashboard!$D$633)&amp;"."&amp;YEAR(Dashboard!F$537))</f>
        <v>0</v>
      </c>
      <c r="G673" s="10">
        <f>SUMIFS('Custom Constraints'!$D:$D,'Custom Constraints'!$A:$A,"caiso-deliverability_"&amp;SUBSTITUTE(Dashboard!$D673,"_group",Dashboard!$D$633)&amp;"."&amp;YEAR(Dashboard!G$537))</f>
        <v>0</v>
      </c>
      <c r="H673" s="10">
        <f>SUMIFS('Custom Constraints'!$D:$D,'Custom Constraints'!$A:$A,"caiso-deliverability_"&amp;SUBSTITUTE(Dashboard!$D673,"_group",Dashboard!$D$633)&amp;"."&amp;YEAR(Dashboard!H$537))</f>
        <v>0</v>
      </c>
      <c r="I673" s="10">
        <f>SUMIFS('Custom Constraints'!$D:$D,'Custom Constraints'!$A:$A,"caiso-deliverability_"&amp;SUBSTITUTE(Dashboard!$D673,"_group",Dashboard!$D$633)&amp;"."&amp;YEAR(Dashboard!I$537))</f>
        <v>0</v>
      </c>
      <c r="J673" s="10">
        <f>SUMIFS('Custom Constraints'!$D:$D,'Custom Constraints'!$A:$A,"caiso-deliverability_"&amp;SUBSTITUTE(Dashboard!$D673,"_group",Dashboard!$D$633)&amp;"."&amp;YEAR(Dashboard!J$537))</f>
        <v>0</v>
      </c>
      <c r="K673" s="10">
        <f>SUMIFS('Custom Constraints'!$D:$D,'Custom Constraints'!$A:$A,"caiso-deliverability_"&amp;SUBSTITUTE(Dashboard!$D673,"_group",Dashboard!$D$633)&amp;"."&amp;YEAR(Dashboard!K$537))</f>
        <v>0</v>
      </c>
      <c r="L673" s="10">
        <f>SUMIFS('Custom Constraints'!$D:$D,'Custom Constraints'!$A:$A,"caiso-deliverability_"&amp;SUBSTITUTE(Dashboard!$D673,"_group",Dashboard!$D$633)&amp;"."&amp;YEAR(Dashboard!L$537))</f>
        <v>0</v>
      </c>
      <c r="M673" s="10">
        <f>SUMIFS('Custom Constraints'!$D:$D,'Custom Constraints'!$A:$A,"caiso-deliverability_"&amp;SUBSTITUTE(Dashboard!$D673,"_group",Dashboard!$D$633)&amp;"."&amp;YEAR(Dashboard!M$537))</f>
        <v>0</v>
      </c>
      <c r="N673" s="10">
        <f>SUMIFS('Custom Constraints'!$D:$D,'Custom Constraints'!$A:$A,"caiso-deliverability_"&amp;SUBSTITUTE(Dashboard!$D673,"_group",Dashboard!$D$633)&amp;"."&amp;YEAR(Dashboard!N$537))</f>
        <v>0</v>
      </c>
      <c r="O673" s="10">
        <f>SUMIFS('Custom Constraints'!$D:$D,'Custom Constraints'!$A:$A,"caiso-deliverability_"&amp;SUBSTITUTE(Dashboard!$D673,"_group",Dashboard!$D$633)&amp;"."&amp;YEAR(Dashboard!O$537))</f>
        <v>0</v>
      </c>
      <c r="P673" s="10">
        <f>SUMIFS('Custom Constraints'!$D:$D,'Custom Constraints'!$A:$A,"caiso-deliverability_"&amp;SUBSTITUTE(Dashboard!$D673,"_group",Dashboard!$D$633)&amp;"."&amp;YEAR(Dashboard!P$537))</f>
        <v>0</v>
      </c>
      <c r="Q673" s="10">
        <f>SUMIFS('Custom Constraints'!$D:$D,'Custom Constraints'!$A:$A,"caiso-deliverability_"&amp;SUBSTITUTE(Dashboard!$D673,"_group",Dashboard!$D$633)&amp;"."&amp;YEAR(Dashboard!Q$537))</f>
        <v>0</v>
      </c>
      <c r="R673" s="10">
        <f>SUMIFS('Custom Constraints'!$D:$D,'Custom Constraints'!$A:$A,"caiso-deliverability_"&amp;SUBSTITUTE(Dashboard!$D673,"_group",Dashboard!$D$633)&amp;"."&amp;YEAR(Dashboard!R$537))</f>
        <v>0</v>
      </c>
      <c r="S673" s="10">
        <f>SUMIFS('Custom Constraints'!$D:$D,'Custom Constraints'!$A:$A,"caiso-deliverability_"&amp;SUBSTITUTE(Dashboard!$D673,"_group",Dashboard!$D$633)&amp;"."&amp;YEAR(Dashboard!S$537))</f>
        <v>0</v>
      </c>
      <c r="T673" s="10">
        <f>SUMIFS('Custom Constraints'!$D:$D,'Custom Constraints'!$A:$A,"caiso-deliverability_"&amp;SUBSTITUTE(Dashboard!$D673,"_group",Dashboard!$D$633)&amp;"."&amp;YEAR(Dashboard!T$537))</f>
        <v>0</v>
      </c>
      <c r="U673" s="10">
        <f>SUMIFS('Custom Constraints'!$D:$D,'Custom Constraints'!$A:$A,"caiso-deliverability_"&amp;SUBSTITUTE(Dashboard!$D673,"_group",Dashboard!$D$633)&amp;"."&amp;YEAR(Dashboard!U$537))</f>
        <v>0</v>
      </c>
      <c r="V673" s="10">
        <f>SUMIFS('Custom Constraints'!$D:$D,'Custom Constraints'!$A:$A,"caiso-deliverability_"&amp;SUBSTITUTE(Dashboard!$D673,"_group",Dashboard!$D$633)&amp;"."&amp;YEAR(Dashboard!V$537))</f>
        <v>0</v>
      </c>
      <c r="W673" s="10">
        <f>SUMIFS('Custom Constraints'!$D:$D,'Custom Constraints'!$A:$A,"caiso-deliverability_"&amp;SUBSTITUTE(Dashboard!$D673,"_group",Dashboard!$D$633)&amp;"."&amp;YEAR(Dashboard!W$537))</f>
        <v>0</v>
      </c>
      <c r="X673" s="10">
        <f>SUMIFS('Custom Constraints'!$D:$D,'Custom Constraints'!$A:$A,"caiso-deliverability_"&amp;SUBSTITUTE(Dashboard!$D673,"_group",Dashboard!$D$633)&amp;"."&amp;YEAR(Dashboard!X$537))</f>
        <v>0</v>
      </c>
      <c r="Y673" s="10">
        <f>SUMIFS('Custom Constraints'!$D:$D,'Custom Constraints'!$A:$A,"caiso-deliverability_"&amp;SUBSTITUTE(Dashboard!$D673,"_group",Dashboard!$D$633)&amp;"."&amp;YEAR(Dashboard!Y$537))</f>
        <v>0</v>
      </c>
      <c r="Z673" s="10">
        <f>SUMIFS('Custom Constraints'!$D:$D,'Custom Constraints'!$A:$A,"caiso-deliverability_"&amp;SUBSTITUTE(Dashboard!$D673,"_group",Dashboard!$D$633)&amp;"."&amp;YEAR(Dashboard!Z$537))</f>
        <v>0</v>
      </c>
      <c r="AA673" s="10">
        <f>SUMIFS('Custom Constraints'!$D:$D,'Custom Constraints'!$A:$A,"caiso-deliverability_"&amp;SUBSTITUTE(Dashboard!$D673,"_group",Dashboard!$D$633)&amp;"."&amp;YEAR(Dashboard!AA$537))</f>
        <v>0</v>
      </c>
      <c r="AB673" s="10">
        <f>SUMIFS('Custom Constraints'!$D:$D,'Custom Constraints'!$A:$A,"caiso-deliverability_"&amp;SUBSTITUTE(Dashboard!$D673,"_group",Dashboard!$D$633)&amp;"."&amp;YEAR(Dashboard!AB$537))</f>
        <v>0</v>
      </c>
      <c r="AC673" s="10">
        <f>SUMIFS('Custom Constraints'!$D:$D,'Custom Constraints'!$A:$A,"caiso-deliverability_"&amp;SUBSTITUTE(Dashboard!$D673,"_group",Dashboard!$D$633)&amp;"."&amp;YEAR(Dashboard!AC$537))</f>
        <v>0</v>
      </c>
      <c r="AD673" s="10">
        <f>SUMIFS('Custom Constraints'!$D:$D,'Custom Constraints'!$A:$A,"caiso-deliverability_"&amp;SUBSTITUTE(Dashboard!$D673,"_group",Dashboard!$D$633)&amp;"."&amp;YEAR(Dashboard!AD$537))</f>
        <v>3360</v>
      </c>
      <c r="AH673" s="34" t="s">
        <v>422</v>
      </c>
    </row>
    <row r="674" spans="4:34" outlineLevel="2" x14ac:dyDescent="0.2">
      <c r="D674" s="8" t="s">
        <v>263</v>
      </c>
      <c r="E674" s="10">
        <f>SUMIFS('Custom Constraints'!$D:$D,'Custom Constraints'!$A:$A,"caiso-deliverability_"&amp;SUBSTITUTE(Dashboard!$D674,"_group",Dashboard!$D$633)&amp;"."&amp;YEAR(Dashboard!E$537))</f>
        <v>0</v>
      </c>
      <c r="F674" s="10">
        <f>SUMIFS('Custom Constraints'!$D:$D,'Custom Constraints'!$A:$A,"caiso-deliverability_"&amp;SUBSTITUTE(Dashboard!$D674,"_group",Dashboard!$D$633)&amp;"."&amp;YEAR(Dashboard!F$537))</f>
        <v>0</v>
      </c>
      <c r="G674" s="10">
        <f>SUMIFS('Custom Constraints'!$D:$D,'Custom Constraints'!$A:$A,"caiso-deliverability_"&amp;SUBSTITUTE(Dashboard!$D674,"_group",Dashboard!$D$633)&amp;"."&amp;YEAR(Dashboard!G$537))</f>
        <v>0</v>
      </c>
      <c r="H674" s="10">
        <f>SUMIFS('Custom Constraints'!$D:$D,'Custom Constraints'!$A:$A,"caiso-deliverability_"&amp;SUBSTITUTE(Dashboard!$D674,"_group",Dashboard!$D$633)&amp;"."&amp;YEAR(Dashboard!H$537))</f>
        <v>0</v>
      </c>
      <c r="I674" s="10">
        <f>SUMIFS('Custom Constraints'!$D:$D,'Custom Constraints'!$A:$A,"caiso-deliverability_"&amp;SUBSTITUTE(Dashboard!$D674,"_group",Dashboard!$D$633)&amp;"."&amp;YEAR(Dashboard!I$537))</f>
        <v>0</v>
      </c>
      <c r="J674" s="10">
        <f>SUMIFS('Custom Constraints'!$D:$D,'Custom Constraints'!$A:$A,"caiso-deliverability_"&amp;SUBSTITUTE(Dashboard!$D674,"_group",Dashboard!$D$633)&amp;"."&amp;YEAR(Dashboard!J$537))</f>
        <v>0</v>
      </c>
      <c r="K674" s="10">
        <f>SUMIFS('Custom Constraints'!$D:$D,'Custom Constraints'!$A:$A,"caiso-deliverability_"&amp;SUBSTITUTE(Dashboard!$D674,"_group",Dashboard!$D$633)&amp;"."&amp;YEAR(Dashboard!K$537))</f>
        <v>0</v>
      </c>
      <c r="L674" s="10">
        <f>SUMIFS('Custom Constraints'!$D:$D,'Custom Constraints'!$A:$A,"caiso-deliverability_"&amp;SUBSTITUTE(Dashboard!$D674,"_group",Dashboard!$D$633)&amp;"."&amp;YEAR(Dashboard!L$537))</f>
        <v>0</v>
      </c>
      <c r="M674" s="10">
        <f>SUMIFS('Custom Constraints'!$D:$D,'Custom Constraints'!$A:$A,"caiso-deliverability_"&amp;SUBSTITUTE(Dashboard!$D674,"_group",Dashboard!$D$633)&amp;"."&amp;YEAR(Dashboard!M$537))</f>
        <v>0</v>
      </c>
      <c r="N674" s="10">
        <f>SUMIFS('Custom Constraints'!$D:$D,'Custom Constraints'!$A:$A,"caiso-deliverability_"&amp;SUBSTITUTE(Dashboard!$D674,"_group",Dashboard!$D$633)&amp;"."&amp;YEAR(Dashboard!N$537))</f>
        <v>0</v>
      </c>
      <c r="O674" s="10">
        <f>SUMIFS('Custom Constraints'!$D:$D,'Custom Constraints'!$A:$A,"caiso-deliverability_"&amp;SUBSTITUTE(Dashboard!$D674,"_group",Dashboard!$D$633)&amp;"."&amp;YEAR(Dashboard!O$537))</f>
        <v>0</v>
      </c>
      <c r="P674" s="10">
        <f>SUMIFS('Custom Constraints'!$D:$D,'Custom Constraints'!$A:$A,"caiso-deliverability_"&amp;SUBSTITUTE(Dashboard!$D674,"_group",Dashboard!$D$633)&amp;"."&amp;YEAR(Dashboard!P$537))</f>
        <v>0</v>
      </c>
      <c r="Q674" s="10">
        <f>SUMIFS('Custom Constraints'!$D:$D,'Custom Constraints'!$A:$A,"caiso-deliverability_"&amp;SUBSTITUTE(Dashboard!$D674,"_group",Dashboard!$D$633)&amp;"."&amp;YEAR(Dashboard!Q$537))</f>
        <v>0</v>
      </c>
      <c r="R674" s="10">
        <f>SUMIFS('Custom Constraints'!$D:$D,'Custom Constraints'!$A:$A,"caiso-deliverability_"&amp;SUBSTITUTE(Dashboard!$D674,"_group",Dashboard!$D$633)&amp;"."&amp;YEAR(Dashboard!R$537))</f>
        <v>0</v>
      </c>
      <c r="S674" s="10">
        <f>SUMIFS('Custom Constraints'!$D:$D,'Custom Constraints'!$A:$A,"caiso-deliverability_"&amp;SUBSTITUTE(Dashboard!$D674,"_group",Dashboard!$D$633)&amp;"."&amp;YEAR(Dashboard!S$537))</f>
        <v>0</v>
      </c>
      <c r="T674" s="10">
        <f>SUMIFS('Custom Constraints'!$D:$D,'Custom Constraints'!$A:$A,"caiso-deliverability_"&amp;SUBSTITUTE(Dashboard!$D674,"_group",Dashboard!$D$633)&amp;"."&amp;YEAR(Dashboard!T$537))</f>
        <v>0</v>
      </c>
      <c r="U674" s="10">
        <f>SUMIFS('Custom Constraints'!$D:$D,'Custom Constraints'!$A:$A,"caiso-deliverability_"&amp;SUBSTITUTE(Dashboard!$D674,"_group",Dashboard!$D$633)&amp;"."&amp;YEAR(Dashboard!U$537))</f>
        <v>0</v>
      </c>
      <c r="V674" s="10">
        <f>SUMIFS('Custom Constraints'!$D:$D,'Custom Constraints'!$A:$A,"caiso-deliverability_"&amp;SUBSTITUTE(Dashboard!$D674,"_group",Dashboard!$D$633)&amp;"."&amp;YEAR(Dashboard!V$537))</f>
        <v>0</v>
      </c>
      <c r="W674" s="10">
        <f>SUMIFS('Custom Constraints'!$D:$D,'Custom Constraints'!$A:$A,"caiso-deliverability_"&amp;SUBSTITUTE(Dashboard!$D674,"_group",Dashboard!$D$633)&amp;"."&amp;YEAR(Dashboard!W$537))</f>
        <v>0</v>
      </c>
      <c r="X674" s="10">
        <f>SUMIFS('Custom Constraints'!$D:$D,'Custom Constraints'!$A:$A,"caiso-deliverability_"&amp;SUBSTITUTE(Dashboard!$D674,"_group",Dashboard!$D$633)&amp;"."&amp;YEAR(Dashboard!X$537))</f>
        <v>0</v>
      </c>
      <c r="Y674" s="10">
        <f>SUMIFS('Custom Constraints'!$D:$D,'Custom Constraints'!$A:$A,"caiso-deliverability_"&amp;SUBSTITUTE(Dashboard!$D674,"_group",Dashboard!$D$633)&amp;"."&amp;YEAR(Dashboard!Y$537))</f>
        <v>0</v>
      </c>
      <c r="Z674" s="10">
        <f>SUMIFS('Custom Constraints'!$D:$D,'Custom Constraints'!$A:$A,"caiso-deliverability_"&amp;SUBSTITUTE(Dashboard!$D674,"_group",Dashboard!$D$633)&amp;"."&amp;YEAR(Dashboard!Z$537))</f>
        <v>0</v>
      </c>
      <c r="AA674" s="10">
        <f>SUMIFS('Custom Constraints'!$D:$D,'Custom Constraints'!$A:$A,"caiso-deliverability_"&amp;SUBSTITUTE(Dashboard!$D674,"_group",Dashboard!$D$633)&amp;"."&amp;YEAR(Dashboard!AA$537))</f>
        <v>0</v>
      </c>
      <c r="AB674" s="10">
        <f>SUMIFS('Custom Constraints'!$D:$D,'Custom Constraints'!$A:$A,"caiso-deliverability_"&amp;SUBSTITUTE(Dashboard!$D674,"_group",Dashboard!$D$633)&amp;"."&amp;YEAR(Dashboard!AB$537))</f>
        <v>0</v>
      </c>
      <c r="AC674" s="10">
        <f>SUMIFS('Custom Constraints'!$D:$D,'Custom Constraints'!$A:$A,"caiso-deliverability_"&amp;SUBSTITUTE(Dashboard!$D674,"_group",Dashboard!$D$633)&amp;"."&amp;YEAR(Dashboard!AC$537))</f>
        <v>0</v>
      </c>
      <c r="AD674" s="10">
        <f>SUMIFS('Custom Constraints'!$D:$D,'Custom Constraints'!$A:$A,"caiso-deliverability_"&amp;SUBSTITUTE(Dashboard!$D674,"_group",Dashboard!$D$633)&amp;"."&amp;YEAR(Dashboard!AD$537))</f>
        <v>2901</v>
      </c>
      <c r="AH674" s="34" t="s">
        <v>422</v>
      </c>
    </row>
    <row r="675" spans="4:34" outlineLevel="2" x14ac:dyDescent="0.2">
      <c r="D675" s="8" t="s">
        <v>264</v>
      </c>
      <c r="E675" s="10">
        <f>SUMIFS('Custom Constraints'!$D:$D,'Custom Constraints'!$A:$A,"caiso-deliverability_"&amp;SUBSTITUTE(Dashboard!$D675,"_group",Dashboard!$D$633)&amp;"."&amp;YEAR(Dashboard!E$537))</f>
        <v>0</v>
      </c>
      <c r="F675" s="10">
        <f>SUMIFS('Custom Constraints'!$D:$D,'Custom Constraints'!$A:$A,"caiso-deliverability_"&amp;SUBSTITUTE(Dashboard!$D675,"_group",Dashboard!$D$633)&amp;"."&amp;YEAR(Dashboard!F$537))</f>
        <v>0</v>
      </c>
      <c r="G675" s="10">
        <f>SUMIFS('Custom Constraints'!$D:$D,'Custom Constraints'!$A:$A,"caiso-deliverability_"&amp;SUBSTITUTE(Dashboard!$D675,"_group",Dashboard!$D$633)&amp;"."&amp;YEAR(Dashboard!G$537))</f>
        <v>0</v>
      </c>
      <c r="H675" s="10">
        <f>SUMIFS('Custom Constraints'!$D:$D,'Custom Constraints'!$A:$A,"caiso-deliverability_"&amp;SUBSTITUTE(Dashboard!$D675,"_group",Dashboard!$D$633)&amp;"."&amp;YEAR(Dashboard!H$537))</f>
        <v>0</v>
      </c>
      <c r="I675" s="10">
        <f>SUMIFS('Custom Constraints'!$D:$D,'Custom Constraints'!$A:$A,"caiso-deliverability_"&amp;SUBSTITUTE(Dashboard!$D675,"_group",Dashboard!$D$633)&amp;"."&amp;YEAR(Dashboard!I$537))</f>
        <v>0</v>
      </c>
      <c r="J675" s="10">
        <f>SUMIFS('Custom Constraints'!$D:$D,'Custom Constraints'!$A:$A,"caiso-deliverability_"&amp;SUBSTITUTE(Dashboard!$D675,"_group",Dashboard!$D$633)&amp;"."&amp;YEAR(Dashboard!J$537))</f>
        <v>0</v>
      </c>
      <c r="K675" s="10">
        <f>SUMIFS('Custom Constraints'!$D:$D,'Custom Constraints'!$A:$A,"caiso-deliverability_"&amp;SUBSTITUTE(Dashboard!$D675,"_group",Dashboard!$D$633)&amp;"."&amp;YEAR(Dashboard!K$537))</f>
        <v>0</v>
      </c>
      <c r="L675" s="10">
        <f>SUMIFS('Custom Constraints'!$D:$D,'Custom Constraints'!$A:$A,"caiso-deliverability_"&amp;SUBSTITUTE(Dashboard!$D675,"_group",Dashboard!$D$633)&amp;"."&amp;YEAR(Dashboard!L$537))</f>
        <v>0</v>
      </c>
      <c r="M675" s="10">
        <f>SUMIFS('Custom Constraints'!$D:$D,'Custom Constraints'!$A:$A,"caiso-deliverability_"&amp;SUBSTITUTE(Dashboard!$D675,"_group",Dashboard!$D$633)&amp;"."&amp;YEAR(Dashboard!M$537))</f>
        <v>0</v>
      </c>
      <c r="N675" s="10">
        <f>SUMIFS('Custom Constraints'!$D:$D,'Custom Constraints'!$A:$A,"caiso-deliverability_"&amp;SUBSTITUTE(Dashboard!$D675,"_group",Dashboard!$D$633)&amp;"."&amp;YEAR(Dashboard!N$537))</f>
        <v>0</v>
      </c>
      <c r="O675" s="10">
        <f>SUMIFS('Custom Constraints'!$D:$D,'Custom Constraints'!$A:$A,"caiso-deliverability_"&amp;SUBSTITUTE(Dashboard!$D675,"_group",Dashboard!$D$633)&amp;"."&amp;YEAR(Dashboard!O$537))</f>
        <v>0</v>
      </c>
      <c r="P675" s="10">
        <f>SUMIFS('Custom Constraints'!$D:$D,'Custom Constraints'!$A:$A,"caiso-deliverability_"&amp;SUBSTITUTE(Dashboard!$D675,"_group",Dashboard!$D$633)&amp;"."&amp;YEAR(Dashboard!P$537))</f>
        <v>0</v>
      </c>
      <c r="Q675" s="10">
        <f>SUMIFS('Custom Constraints'!$D:$D,'Custom Constraints'!$A:$A,"caiso-deliverability_"&amp;SUBSTITUTE(Dashboard!$D675,"_group",Dashboard!$D$633)&amp;"."&amp;YEAR(Dashboard!Q$537))</f>
        <v>0</v>
      </c>
      <c r="R675" s="10">
        <f>SUMIFS('Custom Constraints'!$D:$D,'Custom Constraints'!$A:$A,"caiso-deliverability_"&amp;SUBSTITUTE(Dashboard!$D675,"_group",Dashboard!$D$633)&amp;"."&amp;YEAR(Dashboard!R$537))</f>
        <v>0</v>
      </c>
      <c r="S675" s="10">
        <f>SUMIFS('Custom Constraints'!$D:$D,'Custom Constraints'!$A:$A,"caiso-deliverability_"&amp;SUBSTITUTE(Dashboard!$D675,"_group",Dashboard!$D$633)&amp;"."&amp;YEAR(Dashboard!S$537))</f>
        <v>0</v>
      </c>
      <c r="T675" s="10">
        <f>SUMIFS('Custom Constraints'!$D:$D,'Custom Constraints'!$A:$A,"caiso-deliverability_"&amp;SUBSTITUTE(Dashboard!$D675,"_group",Dashboard!$D$633)&amp;"."&amp;YEAR(Dashboard!T$537))</f>
        <v>0</v>
      </c>
      <c r="U675" s="10">
        <f>SUMIFS('Custom Constraints'!$D:$D,'Custom Constraints'!$A:$A,"caiso-deliverability_"&amp;SUBSTITUTE(Dashboard!$D675,"_group",Dashboard!$D$633)&amp;"."&amp;YEAR(Dashboard!U$537))</f>
        <v>0</v>
      </c>
      <c r="V675" s="10">
        <f>SUMIFS('Custom Constraints'!$D:$D,'Custom Constraints'!$A:$A,"caiso-deliverability_"&amp;SUBSTITUTE(Dashboard!$D675,"_group",Dashboard!$D$633)&amp;"."&amp;YEAR(Dashboard!V$537))</f>
        <v>0</v>
      </c>
      <c r="W675" s="10">
        <f>SUMIFS('Custom Constraints'!$D:$D,'Custom Constraints'!$A:$A,"caiso-deliverability_"&amp;SUBSTITUTE(Dashboard!$D675,"_group",Dashboard!$D$633)&amp;"."&amp;YEAR(Dashboard!W$537))</f>
        <v>0</v>
      </c>
      <c r="X675" s="10">
        <f>SUMIFS('Custom Constraints'!$D:$D,'Custom Constraints'!$A:$A,"caiso-deliverability_"&amp;SUBSTITUTE(Dashboard!$D675,"_group",Dashboard!$D$633)&amp;"."&amp;YEAR(Dashboard!X$537))</f>
        <v>0</v>
      </c>
      <c r="Y675" s="10">
        <f>SUMIFS('Custom Constraints'!$D:$D,'Custom Constraints'!$A:$A,"caiso-deliverability_"&amp;SUBSTITUTE(Dashboard!$D675,"_group",Dashboard!$D$633)&amp;"."&amp;YEAR(Dashboard!Y$537))</f>
        <v>0</v>
      </c>
      <c r="Z675" s="10">
        <f>SUMIFS('Custom Constraints'!$D:$D,'Custom Constraints'!$A:$A,"caiso-deliverability_"&amp;SUBSTITUTE(Dashboard!$D675,"_group",Dashboard!$D$633)&amp;"."&amp;YEAR(Dashboard!Z$537))</f>
        <v>0</v>
      </c>
      <c r="AA675" s="10">
        <f>SUMIFS('Custom Constraints'!$D:$D,'Custom Constraints'!$A:$A,"caiso-deliverability_"&amp;SUBSTITUTE(Dashboard!$D675,"_group",Dashboard!$D$633)&amp;"."&amp;YEAR(Dashboard!AA$537))</f>
        <v>0</v>
      </c>
      <c r="AB675" s="10">
        <f>SUMIFS('Custom Constraints'!$D:$D,'Custom Constraints'!$A:$A,"caiso-deliverability_"&amp;SUBSTITUTE(Dashboard!$D675,"_group",Dashboard!$D$633)&amp;"."&amp;YEAR(Dashboard!AB$537))</f>
        <v>0</v>
      </c>
      <c r="AC675" s="10">
        <f>SUMIFS('Custom Constraints'!$D:$D,'Custom Constraints'!$A:$A,"caiso-deliverability_"&amp;SUBSTITUTE(Dashboard!$D675,"_group",Dashboard!$D$633)&amp;"."&amp;YEAR(Dashboard!AC$537))</f>
        <v>0</v>
      </c>
      <c r="AD675" s="10">
        <f>SUMIFS('Custom Constraints'!$D:$D,'Custom Constraints'!$A:$A,"caiso-deliverability_"&amp;SUBSTITUTE(Dashboard!$D675,"_group",Dashboard!$D$633)&amp;"."&amp;YEAR(Dashboard!AD$537))</f>
        <v>3151</v>
      </c>
      <c r="AH675" s="34" t="s">
        <v>422</v>
      </c>
    </row>
    <row r="676" spans="4:34" outlineLevel="2" x14ac:dyDescent="0.2">
      <c r="D676" s="8" t="s">
        <v>265</v>
      </c>
      <c r="E676" s="10">
        <f>SUMIFS('Custom Constraints'!$D:$D,'Custom Constraints'!$A:$A,"caiso-deliverability_"&amp;SUBSTITUTE(Dashboard!$D676,"_group",Dashboard!$D$633)&amp;"."&amp;YEAR(Dashboard!E$537))</f>
        <v>0</v>
      </c>
      <c r="F676" s="10">
        <f>SUMIFS('Custom Constraints'!$D:$D,'Custom Constraints'!$A:$A,"caiso-deliverability_"&amp;SUBSTITUTE(Dashboard!$D676,"_group",Dashboard!$D$633)&amp;"."&amp;YEAR(Dashboard!F$537))</f>
        <v>0</v>
      </c>
      <c r="G676" s="10">
        <f>SUMIFS('Custom Constraints'!$D:$D,'Custom Constraints'!$A:$A,"caiso-deliverability_"&amp;SUBSTITUTE(Dashboard!$D676,"_group",Dashboard!$D$633)&amp;"."&amp;YEAR(Dashboard!G$537))</f>
        <v>0</v>
      </c>
      <c r="H676" s="10">
        <f>SUMIFS('Custom Constraints'!$D:$D,'Custom Constraints'!$A:$A,"caiso-deliverability_"&amp;SUBSTITUTE(Dashboard!$D676,"_group",Dashboard!$D$633)&amp;"."&amp;YEAR(Dashboard!H$537))</f>
        <v>0</v>
      </c>
      <c r="I676" s="10">
        <f>SUMIFS('Custom Constraints'!$D:$D,'Custom Constraints'!$A:$A,"caiso-deliverability_"&amp;SUBSTITUTE(Dashboard!$D676,"_group",Dashboard!$D$633)&amp;"."&amp;YEAR(Dashboard!I$537))</f>
        <v>0</v>
      </c>
      <c r="J676" s="10">
        <f>SUMIFS('Custom Constraints'!$D:$D,'Custom Constraints'!$A:$A,"caiso-deliverability_"&amp;SUBSTITUTE(Dashboard!$D676,"_group",Dashboard!$D$633)&amp;"."&amp;YEAR(Dashboard!J$537))</f>
        <v>0</v>
      </c>
      <c r="K676" s="10">
        <f>SUMIFS('Custom Constraints'!$D:$D,'Custom Constraints'!$A:$A,"caiso-deliverability_"&amp;SUBSTITUTE(Dashboard!$D676,"_group",Dashboard!$D$633)&amp;"."&amp;YEAR(Dashboard!K$537))</f>
        <v>0</v>
      </c>
      <c r="L676" s="10">
        <f>SUMIFS('Custom Constraints'!$D:$D,'Custom Constraints'!$A:$A,"caiso-deliverability_"&amp;SUBSTITUTE(Dashboard!$D676,"_group",Dashboard!$D$633)&amp;"."&amp;YEAR(Dashboard!L$537))</f>
        <v>0</v>
      </c>
      <c r="M676" s="10">
        <f>SUMIFS('Custom Constraints'!$D:$D,'Custom Constraints'!$A:$A,"caiso-deliverability_"&amp;SUBSTITUTE(Dashboard!$D676,"_group",Dashboard!$D$633)&amp;"."&amp;YEAR(Dashboard!M$537))</f>
        <v>0</v>
      </c>
      <c r="N676" s="10">
        <f>SUMIFS('Custom Constraints'!$D:$D,'Custom Constraints'!$A:$A,"caiso-deliverability_"&amp;SUBSTITUTE(Dashboard!$D676,"_group",Dashboard!$D$633)&amp;"."&amp;YEAR(Dashboard!N$537))</f>
        <v>0</v>
      </c>
      <c r="O676" s="10">
        <f>SUMIFS('Custom Constraints'!$D:$D,'Custom Constraints'!$A:$A,"caiso-deliverability_"&amp;SUBSTITUTE(Dashboard!$D676,"_group",Dashboard!$D$633)&amp;"."&amp;YEAR(Dashboard!O$537))</f>
        <v>0</v>
      </c>
      <c r="P676" s="10">
        <f>SUMIFS('Custom Constraints'!$D:$D,'Custom Constraints'!$A:$A,"caiso-deliverability_"&amp;SUBSTITUTE(Dashboard!$D676,"_group",Dashboard!$D$633)&amp;"."&amp;YEAR(Dashboard!P$537))</f>
        <v>0</v>
      </c>
      <c r="Q676" s="10">
        <f>SUMIFS('Custom Constraints'!$D:$D,'Custom Constraints'!$A:$A,"caiso-deliverability_"&amp;SUBSTITUTE(Dashboard!$D676,"_group",Dashboard!$D$633)&amp;"."&amp;YEAR(Dashboard!Q$537))</f>
        <v>0</v>
      </c>
      <c r="R676" s="10">
        <f>SUMIFS('Custom Constraints'!$D:$D,'Custom Constraints'!$A:$A,"caiso-deliverability_"&amp;SUBSTITUTE(Dashboard!$D676,"_group",Dashboard!$D$633)&amp;"."&amp;YEAR(Dashboard!R$537))</f>
        <v>0</v>
      </c>
      <c r="S676" s="10">
        <f>SUMIFS('Custom Constraints'!$D:$D,'Custom Constraints'!$A:$A,"caiso-deliverability_"&amp;SUBSTITUTE(Dashboard!$D676,"_group",Dashboard!$D$633)&amp;"."&amp;YEAR(Dashboard!S$537))</f>
        <v>0</v>
      </c>
      <c r="T676" s="10">
        <f>SUMIFS('Custom Constraints'!$D:$D,'Custom Constraints'!$A:$A,"caiso-deliverability_"&amp;SUBSTITUTE(Dashboard!$D676,"_group",Dashboard!$D$633)&amp;"."&amp;YEAR(Dashboard!T$537))</f>
        <v>0</v>
      </c>
      <c r="U676" s="10">
        <f>SUMIFS('Custom Constraints'!$D:$D,'Custom Constraints'!$A:$A,"caiso-deliverability_"&amp;SUBSTITUTE(Dashboard!$D676,"_group",Dashboard!$D$633)&amp;"."&amp;YEAR(Dashboard!U$537))</f>
        <v>0</v>
      </c>
      <c r="V676" s="10">
        <f>SUMIFS('Custom Constraints'!$D:$D,'Custom Constraints'!$A:$A,"caiso-deliverability_"&amp;SUBSTITUTE(Dashboard!$D676,"_group",Dashboard!$D$633)&amp;"."&amp;YEAR(Dashboard!V$537))</f>
        <v>0</v>
      </c>
      <c r="W676" s="10">
        <f>SUMIFS('Custom Constraints'!$D:$D,'Custom Constraints'!$A:$A,"caiso-deliverability_"&amp;SUBSTITUTE(Dashboard!$D676,"_group",Dashboard!$D$633)&amp;"."&amp;YEAR(Dashboard!W$537))</f>
        <v>0</v>
      </c>
      <c r="X676" s="10">
        <f>SUMIFS('Custom Constraints'!$D:$D,'Custom Constraints'!$A:$A,"caiso-deliverability_"&amp;SUBSTITUTE(Dashboard!$D676,"_group",Dashboard!$D$633)&amp;"."&amp;YEAR(Dashboard!X$537))</f>
        <v>0</v>
      </c>
      <c r="Y676" s="10">
        <f>SUMIFS('Custom Constraints'!$D:$D,'Custom Constraints'!$A:$A,"caiso-deliverability_"&amp;SUBSTITUTE(Dashboard!$D676,"_group",Dashboard!$D$633)&amp;"."&amp;YEAR(Dashboard!Y$537))</f>
        <v>0</v>
      </c>
      <c r="Z676" s="10">
        <f>SUMIFS('Custom Constraints'!$D:$D,'Custom Constraints'!$A:$A,"caiso-deliverability_"&amp;SUBSTITUTE(Dashboard!$D676,"_group",Dashboard!$D$633)&amp;"."&amp;YEAR(Dashboard!Z$537))</f>
        <v>0</v>
      </c>
      <c r="AA676" s="10">
        <f>SUMIFS('Custom Constraints'!$D:$D,'Custom Constraints'!$A:$A,"caiso-deliverability_"&amp;SUBSTITUTE(Dashboard!$D676,"_group",Dashboard!$D$633)&amp;"."&amp;YEAR(Dashboard!AA$537))</f>
        <v>0</v>
      </c>
      <c r="AB676" s="10">
        <f>SUMIFS('Custom Constraints'!$D:$D,'Custom Constraints'!$A:$A,"caiso-deliverability_"&amp;SUBSTITUTE(Dashboard!$D676,"_group",Dashboard!$D$633)&amp;"."&amp;YEAR(Dashboard!AB$537))</f>
        <v>0</v>
      </c>
      <c r="AC676" s="10">
        <f>SUMIFS('Custom Constraints'!$D:$D,'Custom Constraints'!$A:$A,"caiso-deliverability_"&amp;SUBSTITUTE(Dashboard!$D676,"_group",Dashboard!$D$633)&amp;"."&amp;YEAR(Dashboard!AC$537))</f>
        <v>0</v>
      </c>
      <c r="AD676" s="10">
        <f>SUMIFS('Custom Constraints'!$D:$D,'Custom Constraints'!$A:$A,"caiso-deliverability_"&amp;SUBSTITUTE(Dashboard!$D676,"_group",Dashboard!$D$633)&amp;"."&amp;YEAR(Dashboard!AD$537))</f>
        <v>1431</v>
      </c>
      <c r="AH676" s="34" t="s">
        <v>422</v>
      </c>
    </row>
    <row r="677" spans="4:34" outlineLevel="2" x14ac:dyDescent="0.2">
      <c r="D677" s="8" t="s">
        <v>266</v>
      </c>
      <c r="E677" s="10">
        <f>SUMIFS('Custom Constraints'!$D:$D,'Custom Constraints'!$A:$A,"caiso-deliverability_"&amp;SUBSTITUTE(Dashboard!$D677,"_group",Dashboard!$D$633)&amp;"."&amp;YEAR(Dashboard!E$537))</f>
        <v>0</v>
      </c>
      <c r="F677" s="10">
        <f>SUMIFS('Custom Constraints'!$D:$D,'Custom Constraints'!$A:$A,"caiso-deliverability_"&amp;SUBSTITUTE(Dashboard!$D677,"_group",Dashboard!$D$633)&amp;"."&amp;YEAR(Dashboard!F$537))</f>
        <v>0</v>
      </c>
      <c r="G677" s="10">
        <f>SUMIFS('Custom Constraints'!$D:$D,'Custom Constraints'!$A:$A,"caiso-deliverability_"&amp;SUBSTITUTE(Dashboard!$D677,"_group",Dashboard!$D$633)&amp;"."&amp;YEAR(Dashboard!G$537))</f>
        <v>0</v>
      </c>
      <c r="H677" s="10">
        <f>SUMIFS('Custom Constraints'!$D:$D,'Custom Constraints'!$A:$A,"caiso-deliverability_"&amp;SUBSTITUTE(Dashboard!$D677,"_group",Dashboard!$D$633)&amp;"."&amp;YEAR(Dashboard!H$537))</f>
        <v>0</v>
      </c>
      <c r="I677" s="10">
        <f>SUMIFS('Custom Constraints'!$D:$D,'Custom Constraints'!$A:$A,"caiso-deliverability_"&amp;SUBSTITUTE(Dashboard!$D677,"_group",Dashboard!$D$633)&amp;"."&amp;YEAR(Dashboard!I$537))</f>
        <v>0</v>
      </c>
      <c r="J677" s="10">
        <f>SUMIFS('Custom Constraints'!$D:$D,'Custom Constraints'!$A:$A,"caiso-deliverability_"&amp;SUBSTITUTE(Dashboard!$D677,"_group",Dashboard!$D$633)&amp;"."&amp;YEAR(Dashboard!J$537))</f>
        <v>0</v>
      </c>
      <c r="K677" s="10">
        <f>SUMIFS('Custom Constraints'!$D:$D,'Custom Constraints'!$A:$A,"caiso-deliverability_"&amp;SUBSTITUTE(Dashboard!$D677,"_group",Dashboard!$D$633)&amp;"."&amp;YEAR(Dashboard!K$537))</f>
        <v>0</v>
      </c>
      <c r="L677" s="10">
        <f>SUMIFS('Custom Constraints'!$D:$D,'Custom Constraints'!$A:$A,"caiso-deliverability_"&amp;SUBSTITUTE(Dashboard!$D677,"_group",Dashboard!$D$633)&amp;"."&amp;YEAR(Dashboard!L$537))</f>
        <v>0</v>
      </c>
      <c r="M677" s="10">
        <f>SUMIFS('Custom Constraints'!$D:$D,'Custom Constraints'!$A:$A,"caiso-deliverability_"&amp;SUBSTITUTE(Dashboard!$D677,"_group",Dashboard!$D$633)&amp;"."&amp;YEAR(Dashboard!M$537))</f>
        <v>0</v>
      </c>
      <c r="N677" s="10">
        <f>SUMIFS('Custom Constraints'!$D:$D,'Custom Constraints'!$A:$A,"caiso-deliverability_"&amp;SUBSTITUTE(Dashboard!$D677,"_group",Dashboard!$D$633)&amp;"."&amp;YEAR(Dashboard!N$537))</f>
        <v>0</v>
      </c>
      <c r="O677" s="10">
        <f>SUMIFS('Custom Constraints'!$D:$D,'Custom Constraints'!$A:$A,"caiso-deliverability_"&amp;SUBSTITUTE(Dashboard!$D677,"_group",Dashboard!$D$633)&amp;"."&amp;YEAR(Dashboard!O$537))</f>
        <v>0</v>
      </c>
      <c r="P677" s="10">
        <f>SUMIFS('Custom Constraints'!$D:$D,'Custom Constraints'!$A:$A,"caiso-deliverability_"&amp;SUBSTITUTE(Dashboard!$D677,"_group",Dashboard!$D$633)&amp;"."&amp;YEAR(Dashboard!P$537))</f>
        <v>0</v>
      </c>
      <c r="Q677" s="10">
        <f>SUMIFS('Custom Constraints'!$D:$D,'Custom Constraints'!$A:$A,"caiso-deliverability_"&amp;SUBSTITUTE(Dashboard!$D677,"_group",Dashboard!$D$633)&amp;"."&amp;YEAR(Dashboard!Q$537))</f>
        <v>0</v>
      </c>
      <c r="R677" s="10">
        <f>SUMIFS('Custom Constraints'!$D:$D,'Custom Constraints'!$A:$A,"caiso-deliverability_"&amp;SUBSTITUTE(Dashboard!$D677,"_group",Dashboard!$D$633)&amp;"."&amp;YEAR(Dashboard!R$537))</f>
        <v>0</v>
      </c>
      <c r="S677" s="10">
        <f>SUMIFS('Custom Constraints'!$D:$D,'Custom Constraints'!$A:$A,"caiso-deliverability_"&amp;SUBSTITUTE(Dashboard!$D677,"_group",Dashboard!$D$633)&amp;"."&amp;YEAR(Dashboard!S$537))</f>
        <v>0</v>
      </c>
      <c r="T677" s="10">
        <f>SUMIFS('Custom Constraints'!$D:$D,'Custom Constraints'!$A:$A,"caiso-deliverability_"&amp;SUBSTITUTE(Dashboard!$D677,"_group",Dashboard!$D$633)&amp;"."&amp;YEAR(Dashboard!T$537))</f>
        <v>0</v>
      </c>
      <c r="U677" s="10">
        <f>SUMIFS('Custom Constraints'!$D:$D,'Custom Constraints'!$A:$A,"caiso-deliverability_"&amp;SUBSTITUTE(Dashboard!$D677,"_group",Dashboard!$D$633)&amp;"."&amp;YEAR(Dashboard!U$537))</f>
        <v>0</v>
      </c>
      <c r="V677" s="10">
        <f>SUMIFS('Custom Constraints'!$D:$D,'Custom Constraints'!$A:$A,"caiso-deliverability_"&amp;SUBSTITUTE(Dashboard!$D677,"_group",Dashboard!$D$633)&amp;"."&amp;YEAR(Dashboard!V$537))</f>
        <v>0</v>
      </c>
      <c r="W677" s="10">
        <f>SUMIFS('Custom Constraints'!$D:$D,'Custom Constraints'!$A:$A,"caiso-deliverability_"&amp;SUBSTITUTE(Dashboard!$D677,"_group",Dashboard!$D$633)&amp;"."&amp;YEAR(Dashboard!W$537))</f>
        <v>0</v>
      </c>
      <c r="X677" s="10">
        <f>SUMIFS('Custom Constraints'!$D:$D,'Custom Constraints'!$A:$A,"caiso-deliverability_"&amp;SUBSTITUTE(Dashboard!$D677,"_group",Dashboard!$D$633)&amp;"."&amp;YEAR(Dashboard!X$537))</f>
        <v>0</v>
      </c>
      <c r="Y677" s="10">
        <f>SUMIFS('Custom Constraints'!$D:$D,'Custom Constraints'!$A:$A,"caiso-deliverability_"&amp;SUBSTITUTE(Dashboard!$D677,"_group",Dashboard!$D$633)&amp;"."&amp;YEAR(Dashboard!Y$537))</f>
        <v>0</v>
      </c>
      <c r="Z677" s="10">
        <f>SUMIFS('Custom Constraints'!$D:$D,'Custom Constraints'!$A:$A,"caiso-deliverability_"&amp;SUBSTITUTE(Dashboard!$D677,"_group",Dashboard!$D$633)&amp;"."&amp;YEAR(Dashboard!Z$537))</f>
        <v>0</v>
      </c>
      <c r="AA677" s="10">
        <f>SUMIFS('Custom Constraints'!$D:$D,'Custom Constraints'!$A:$A,"caiso-deliverability_"&amp;SUBSTITUTE(Dashboard!$D677,"_group",Dashboard!$D$633)&amp;"."&amp;YEAR(Dashboard!AA$537))</f>
        <v>0</v>
      </c>
      <c r="AB677" s="10">
        <f>SUMIFS('Custom Constraints'!$D:$D,'Custom Constraints'!$A:$A,"caiso-deliverability_"&amp;SUBSTITUTE(Dashboard!$D677,"_group",Dashboard!$D$633)&amp;"."&amp;YEAR(Dashboard!AB$537))</f>
        <v>0</v>
      </c>
      <c r="AC677" s="10">
        <f>SUMIFS('Custom Constraints'!$D:$D,'Custom Constraints'!$A:$A,"caiso-deliverability_"&amp;SUBSTITUTE(Dashboard!$D677,"_group",Dashboard!$D$633)&amp;"."&amp;YEAR(Dashboard!AC$537))</f>
        <v>0</v>
      </c>
      <c r="AD677" s="10">
        <f>SUMIFS('Custom Constraints'!$D:$D,'Custom Constraints'!$A:$A,"caiso-deliverability_"&amp;SUBSTITUTE(Dashboard!$D677,"_group",Dashboard!$D$633)&amp;"."&amp;YEAR(Dashboard!AD$537))</f>
        <v>10830</v>
      </c>
      <c r="AH677" s="34" t="s">
        <v>422</v>
      </c>
    </row>
    <row r="678" spans="4:34" outlineLevel="2" x14ac:dyDescent="0.2">
      <c r="D678" s="8" t="s">
        <v>267</v>
      </c>
      <c r="E678" s="10">
        <f>SUMIFS('Custom Constraints'!$D:$D,'Custom Constraints'!$A:$A,"caiso-deliverability_"&amp;SUBSTITUTE(Dashboard!$D678,"_group",Dashboard!$D$633)&amp;"."&amp;YEAR(Dashboard!E$537))</f>
        <v>0</v>
      </c>
      <c r="F678" s="10">
        <f>SUMIFS('Custom Constraints'!$D:$D,'Custom Constraints'!$A:$A,"caiso-deliverability_"&amp;SUBSTITUTE(Dashboard!$D678,"_group",Dashboard!$D$633)&amp;"."&amp;YEAR(Dashboard!F$537))</f>
        <v>0</v>
      </c>
      <c r="G678" s="10">
        <f>SUMIFS('Custom Constraints'!$D:$D,'Custom Constraints'!$A:$A,"caiso-deliverability_"&amp;SUBSTITUTE(Dashboard!$D678,"_group",Dashboard!$D$633)&amp;"."&amp;YEAR(Dashboard!G$537))</f>
        <v>0</v>
      </c>
      <c r="H678" s="10">
        <f>SUMIFS('Custom Constraints'!$D:$D,'Custom Constraints'!$A:$A,"caiso-deliverability_"&amp;SUBSTITUTE(Dashboard!$D678,"_group",Dashboard!$D$633)&amp;"."&amp;YEAR(Dashboard!H$537))</f>
        <v>0</v>
      </c>
      <c r="I678" s="10">
        <f>SUMIFS('Custom Constraints'!$D:$D,'Custom Constraints'!$A:$A,"caiso-deliverability_"&amp;SUBSTITUTE(Dashboard!$D678,"_group",Dashboard!$D$633)&amp;"."&amp;YEAR(Dashboard!I$537))</f>
        <v>0</v>
      </c>
      <c r="J678" s="10">
        <f>SUMIFS('Custom Constraints'!$D:$D,'Custom Constraints'!$A:$A,"caiso-deliverability_"&amp;SUBSTITUTE(Dashboard!$D678,"_group",Dashboard!$D$633)&amp;"."&amp;YEAR(Dashboard!J$537))</f>
        <v>0</v>
      </c>
      <c r="K678" s="10">
        <f>SUMIFS('Custom Constraints'!$D:$D,'Custom Constraints'!$A:$A,"caiso-deliverability_"&amp;SUBSTITUTE(Dashboard!$D678,"_group",Dashboard!$D$633)&amp;"."&amp;YEAR(Dashboard!K$537))</f>
        <v>0</v>
      </c>
      <c r="L678" s="10">
        <f>SUMIFS('Custom Constraints'!$D:$D,'Custom Constraints'!$A:$A,"caiso-deliverability_"&amp;SUBSTITUTE(Dashboard!$D678,"_group",Dashboard!$D$633)&amp;"."&amp;YEAR(Dashboard!L$537))</f>
        <v>0</v>
      </c>
      <c r="M678" s="10">
        <f>SUMIFS('Custom Constraints'!$D:$D,'Custom Constraints'!$A:$A,"caiso-deliverability_"&amp;SUBSTITUTE(Dashboard!$D678,"_group",Dashboard!$D$633)&amp;"."&amp;YEAR(Dashboard!M$537))</f>
        <v>0</v>
      </c>
      <c r="N678" s="10">
        <f>SUMIFS('Custom Constraints'!$D:$D,'Custom Constraints'!$A:$A,"caiso-deliverability_"&amp;SUBSTITUTE(Dashboard!$D678,"_group",Dashboard!$D$633)&amp;"."&amp;YEAR(Dashboard!N$537))</f>
        <v>0</v>
      </c>
      <c r="O678" s="10">
        <f>SUMIFS('Custom Constraints'!$D:$D,'Custom Constraints'!$A:$A,"caiso-deliverability_"&amp;SUBSTITUTE(Dashboard!$D678,"_group",Dashboard!$D$633)&amp;"."&amp;YEAR(Dashboard!O$537))</f>
        <v>0</v>
      </c>
      <c r="P678" s="10">
        <f>SUMIFS('Custom Constraints'!$D:$D,'Custom Constraints'!$A:$A,"caiso-deliverability_"&amp;SUBSTITUTE(Dashboard!$D678,"_group",Dashboard!$D$633)&amp;"."&amp;YEAR(Dashboard!P$537))</f>
        <v>0</v>
      </c>
      <c r="Q678" s="10">
        <f>SUMIFS('Custom Constraints'!$D:$D,'Custom Constraints'!$A:$A,"caiso-deliverability_"&amp;SUBSTITUTE(Dashboard!$D678,"_group",Dashboard!$D$633)&amp;"."&amp;YEAR(Dashboard!Q$537))</f>
        <v>0</v>
      </c>
      <c r="R678" s="10">
        <f>SUMIFS('Custom Constraints'!$D:$D,'Custom Constraints'!$A:$A,"caiso-deliverability_"&amp;SUBSTITUTE(Dashboard!$D678,"_group",Dashboard!$D$633)&amp;"."&amp;YEAR(Dashboard!R$537))</f>
        <v>0</v>
      </c>
      <c r="S678" s="10">
        <f>SUMIFS('Custom Constraints'!$D:$D,'Custom Constraints'!$A:$A,"caiso-deliverability_"&amp;SUBSTITUTE(Dashboard!$D678,"_group",Dashboard!$D$633)&amp;"."&amp;YEAR(Dashboard!S$537))</f>
        <v>0</v>
      </c>
      <c r="T678" s="10">
        <f>SUMIFS('Custom Constraints'!$D:$D,'Custom Constraints'!$A:$A,"caiso-deliverability_"&amp;SUBSTITUTE(Dashboard!$D678,"_group",Dashboard!$D$633)&amp;"."&amp;YEAR(Dashboard!T$537))</f>
        <v>0</v>
      </c>
      <c r="U678" s="10">
        <f>SUMIFS('Custom Constraints'!$D:$D,'Custom Constraints'!$A:$A,"caiso-deliverability_"&amp;SUBSTITUTE(Dashboard!$D678,"_group",Dashboard!$D$633)&amp;"."&amp;YEAR(Dashboard!U$537))</f>
        <v>0</v>
      </c>
      <c r="V678" s="10">
        <f>SUMIFS('Custom Constraints'!$D:$D,'Custom Constraints'!$A:$A,"caiso-deliverability_"&amp;SUBSTITUTE(Dashboard!$D678,"_group",Dashboard!$D$633)&amp;"."&amp;YEAR(Dashboard!V$537))</f>
        <v>0</v>
      </c>
      <c r="W678" s="10">
        <f>SUMIFS('Custom Constraints'!$D:$D,'Custom Constraints'!$A:$A,"caiso-deliverability_"&amp;SUBSTITUTE(Dashboard!$D678,"_group",Dashboard!$D$633)&amp;"."&amp;YEAR(Dashboard!W$537))</f>
        <v>0</v>
      </c>
      <c r="X678" s="10">
        <f>SUMIFS('Custom Constraints'!$D:$D,'Custom Constraints'!$A:$A,"caiso-deliverability_"&amp;SUBSTITUTE(Dashboard!$D678,"_group",Dashboard!$D$633)&amp;"."&amp;YEAR(Dashboard!X$537))</f>
        <v>0</v>
      </c>
      <c r="Y678" s="10">
        <f>SUMIFS('Custom Constraints'!$D:$D,'Custom Constraints'!$A:$A,"caiso-deliverability_"&amp;SUBSTITUTE(Dashboard!$D678,"_group",Dashboard!$D$633)&amp;"."&amp;YEAR(Dashboard!Y$537))</f>
        <v>0</v>
      </c>
      <c r="Z678" s="10">
        <f>SUMIFS('Custom Constraints'!$D:$D,'Custom Constraints'!$A:$A,"caiso-deliverability_"&amp;SUBSTITUTE(Dashboard!$D678,"_group",Dashboard!$D$633)&amp;"."&amp;YEAR(Dashboard!Z$537))</f>
        <v>0</v>
      </c>
      <c r="AA678" s="10">
        <f>SUMIFS('Custom Constraints'!$D:$D,'Custom Constraints'!$A:$A,"caiso-deliverability_"&amp;SUBSTITUTE(Dashboard!$D678,"_group",Dashboard!$D$633)&amp;"."&amp;YEAR(Dashboard!AA$537))</f>
        <v>0</v>
      </c>
      <c r="AB678" s="10">
        <f>SUMIFS('Custom Constraints'!$D:$D,'Custom Constraints'!$A:$A,"caiso-deliverability_"&amp;SUBSTITUTE(Dashboard!$D678,"_group",Dashboard!$D$633)&amp;"."&amp;YEAR(Dashboard!AB$537))</f>
        <v>0</v>
      </c>
      <c r="AC678" s="10">
        <f>SUMIFS('Custom Constraints'!$D:$D,'Custom Constraints'!$A:$A,"caiso-deliverability_"&amp;SUBSTITUTE(Dashboard!$D678,"_group",Dashboard!$D$633)&amp;"."&amp;YEAR(Dashboard!AC$537))</f>
        <v>0</v>
      </c>
      <c r="AD678" s="10">
        <f>SUMIFS('Custom Constraints'!$D:$D,'Custom Constraints'!$A:$A,"caiso-deliverability_"&amp;SUBSTITUTE(Dashboard!$D678,"_group",Dashboard!$D$633)&amp;"."&amp;YEAR(Dashboard!AD$537))</f>
        <v>300</v>
      </c>
      <c r="AH678" s="34" t="s">
        <v>422</v>
      </c>
    </row>
    <row r="679" spans="4:34" outlineLevel="2" x14ac:dyDescent="0.2">
      <c r="D679" s="8" t="s">
        <v>268</v>
      </c>
      <c r="E679" s="10">
        <f>SUMIFS('Custom Constraints'!$D:$D,'Custom Constraints'!$A:$A,"caiso-deliverability_"&amp;SUBSTITUTE(Dashboard!$D679,"_group",Dashboard!$D$633)&amp;"."&amp;YEAR(Dashboard!E$537))</f>
        <v>0</v>
      </c>
      <c r="F679" s="10">
        <f>SUMIFS('Custom Constraints'!$D:$D,'Custom Constraints'!$A:$A,"caiso-deliverability_"&amp;SUBSTITUTE(Dashboard!$D679,"_group",Dashboard!$D$633)&amp;"."&amp;YEAR(Dashboard!F$537))</f>
        <v>0</v>
      </c>
      <c r="G679" s="10">
        <f>SUMIFS('Custom Constraints'!$D:$D,'Custom Constraints'!$A:$A,"caiso-deliverability_"&amp;SUBSTITUTE(Dashboard!$D679,"_group",Dashboard!$D$633)&amp;"."&amp;YEAR(Dashboard!G$537))</f>
        <v>0</v>
      </c>
      <c r="H679" s="10">
        <f>SUMIFS('Custom Constraints'!$D:$D,'Custom Constraints'!$A:$A,"caiso-deliverability_"&amp;SUBSTITUTE(Dashboard!$D679,"_group",Dashboard!$D$633)&amp;"."&amp;YEAR(Dashboard!H$537))</f>
        <v>0</v>
      </c>
      <c r="I679" s="10">
        <f>SUMIFS('Custom Constraints'!$D:$D,'Custom Constraints'!$A:$A,"caiso-deliverability_"&amp;SUBSTITUTE(Dashboard!$D679,"_group",Dashboard!$D$633)&amp;"."&amp;YEAR(Dashboard!I$537))</f>
        <v>0</v>
      </c>
      <c r="J679" s="10">
        <f>SUMIFS('Custom Constraints'!$D:$D,'Custom Constraints'!$A:$A,"caiso-deliverability_"&amp;SUBSTITUTE(Dashboard!$D679,"_group",Dashboard!$D$633)&amp;"."&amp;YEAR(Dashboard!J$537))</f>
        <v>0</v>
      </c>
      <c r="K679" s="10">
        <f>SUMIFS('Custom Constraints'!$D:$D,'Custom Constraints'!$A:$A,"caiso-deliverability_"&amp;SUBSTITUTE(Dashboard!$D679,"_group",Dashboard!$D$633)&amp;"."&amp;YEAR(Dashboard!K$537))</f>
        <v>0</v>
      </c>
      <c r="L679" s="10">
        <f>SUMIFS('Custom Constraints'!$D:$D,'Custom Constraints'!$A:$A,"caiso-deliverability_"&amp;SUBSTITUTE(Dashboard!$D679,"_group",Dashboard!$D$633)&amp;"."&amp;YEAR(Dashboard!L$537))</f>
        <v>0</v>
      </c>
      <c r="M679" s="10">
        <f>SUMIFS('Custom Constraints'!$D:$D,'Custom Constraints'!$A:$A,"caiso-deliverability_"&amp;SUBSTITUTE(Dashboard!$D679,"_group",Dashboard!$D$633)&amp;"."&amp;YEAR(Dashboard!M$537))</f>
        <v>0</v>
      </c>
      <c r="N679" s="10">
        <f>SUMIFS('Custom Constraints'!$D:$D,'Custom Constraints'!$A:$A,"caiso-deliverability_"&amp;SUBSTITUTE(Dashboard!$D679,"_group",Dashboard!$D$633)&amp;"."&amp;YEAR(Dashboard!N$537))</f>
        <v>0</v>
      </c>
      <c r="O679" s="10">
        <f>SUMIFS('Custom Constraints'!$D:$D,'Custom Constraints'!$A:$A,"caiso-deliverability_"&amp;SUBSTITUTE(Dashboard!$D679,"_group",Dashboard!$D$633)&amp;"."&amp;YEAR(Dashboard!O$537))</f>
        <v>0</v>
      </c>
      <c r="P679" s="10">
        <f>SUMIFS('Custom Constraints'!$D:$D,'Custom Constraints'!$A:$A,"caiso-deliverability_"&amp;SUBSTITUTE(Dashboard!$D679,"_group",Dashboard!$D$633)&amp;"."&amp;YEAR(Dashboard!P$537))</f>
        <v>0</v>
      </c>
      <c r="Q679" s="10">
        <f>SUMIFS('Custom Constraints'!$D:$D,'Custom Constraints'!$A:$A,"caiso-deliverability_"&amp;SUBSTITUTE(Dashboard!$D679,"_group",Dashboard!$D$633)&amp;"."&amp;YEAR(Dashboard!Q$537))</f>
        <v>0</v>
      </c>
      <c r="R679" s="10">
        <f>SUMIFS('Custom Constraints'!$D:$D,'Custom Constraints'!$A:$A,"caiso-deliverability_"&amp;SUBSTITUTE(Dashboard!$D679,"_group",Dashboard!$D$633)&amp;"."&amp;YEAR(Dashboard!R$537))</f>
        <v>0</v>
      </c>
      <c r="S679" s="10">
        <f>SUMIFS('Custom Constraints'!$D:$D,'Custom Constraints'!$A:$A,"caiso-deliverability_"&amp;SUBSTITUTE(Dashboard!$D679,"_group",Dashboard!$D$633)&amp;"."&amp;YEAR(Dashboard!S$537))</f>
        <v>0</v>
      </c>
      <c r="T679" s="10">
        <f>SUMIFS('Custom Constraints'!$D:$D,'Custom Constraints'!$A:$A,"caiso-deliverability_"&amp;SUBSTITUTE(Dashboard!$D679,"_group",Dashboard!$D$633)&amp;"."&amp;YEAR(Dashboard!T$537))</f>
        <v>0</v>
      </c>
      <c r="U679" s="10">
        <f>SUMIFS('Custom Constraints'!$D:$D,'Custom Constraints'!$A:$A,"caiso-deliverability_"&amp;SUBSTITUTE(Dashboard!$D679,"_group",Dashboard!$D$633)&amp;"."&amp;YEAR(Dashboard!U$537))</f>
        <v>0</v>
      </c>
      <c r="V679" s="10">
        <f>SUMIFS('Custom Constraints'!$D:$D,'Custom Constraints'!$A:$A,"caiso-deliverability_"&amp;SUBSTITUTE(Dashboard!$D679,"_group",Dashboard!$D$633)&amp;"."&amp;YEAR(Dashboard!V$537))</f>
        <v>0</v>
      </c>
      <c r="W679" s="10">
        <f>SUMIFS('Custom Constraints'!$D:$D,'Custom Constraints'!$A:$A,"caiso-deliverability_"&amp;SUBSTITUTE(Dashboard!$D679,"_group",Dashboard!$D$633)&amp;"."&amp;YEAR(Dashboard!W$537))</f>
        <v>0</v>
      </c>
      <c r="X679" s="10">
        <f>SUMIFS('Custom Constraints'!$D:$D,'Custom Constraints'!$A:$A,"caiso-deliverability_"&amp;SUBSTITUTE(Dashboard!$D679,"_group",Dashboard!$D$633)&amp;"."&amp;YEAR(Dashboard!X$537))</f>
        <v>0</v>
      </c>
      <c r="Y679" s="10">
        <f>SUMIFS('Custom Constraints'!$D:$D,'Custom Constraints'!$A:$A,"caiso-deliverability_"&amp;SUBSTITUTE(Dashboard!$D679,"_group",Dashboard!$D$633)&amp;"."&amp;YEAR(Dashboard!Y$537))</f>
        <v>0</v>
      </c>
      <c r="Z679" s="10">
        <f>SUMIFS('Custom Constraints'!$D:$D,'Custom Constraints'!$A:$A,"caiso-deliverability_"&amp;SUBSTITUTE(Dashboard!$D679,"_group",Dashboard!$D$633)&amp;"."&amp;YEAR(Dashboard!Z$537))</f>
        <v>0</v>
      </c>
      <c r="AA679" s="10">
        <f>SUMIFS('Custom Constraints'!$D:$D,'Custom Constraints'!$A:$A,"caiso-deliverability_"&amp;SUBSTITUTE(Dashboard!$D679,"_group",Dashboard!$D$633)&amp;"."&amp;YEAR(Dashboard!AA$537))</f>
        <v>0</v>
      </c>
      <c r="AB679" s="10">
        <f>SUMIFS('Custom Constraints'!$D:$D,'Custom Constraints'!$A:$A,"caiso-deliverability_"&amp;SUBSTITUTE(Dashboard!$D679,"_group",Dashboard!$D$633)&amp;"."&amp;YEAR(Dashboard!AB$537))</f>
        <v>0</v>
      </c>
      <c r="AC679" s="10">
        <f>SUMIFS('Custom Constraints'!$D:$D,'Custom Constraints'!$A:$A,"caiso-deliverability_"&amp;SUBSTITUTE(Dashboard!$D679,"_group",Dashboard!$D$633)&amp;"."&amp;YEAR(Dashboard!AC$537))</f>
        <v>0</v>
      </c>
      <c r="AD679" s="10">
        <f>SUMIFS('Custom Constraints'!$D:$D,'Custom Constraints'!$A:$A,"caiso-deliverability_"&amp;SUBSTITUTE(Dashboard!$D679,"_group",Dashboard!$D$633)&amp;"."&amp;YEAR(Dashboard!AD$537))</f>
        <v>7241</v>
      </c>
      <c r="AH679" s="34" t="s">
        <v>422</v>
      </c>
    </row>
    <row r="680" spans="4:34" outlineLevel="2" x14ac:dyDescent="0.2">
      <c r="D680" s="8" t="s">
        <v>269</v>
      </c>
      <c r="E680" s="10">
        <f>SUMIFS('Custom Constraints'!$D:$D,'Custom Constraints'!$A:$A,"caiso-deliverability_"&amp;SUBSTITUTE(Dashboard!$D680,"_group",Dashboard!$D$633)&amp;"."&amp;YEAR(Dashboard!E$537))</f>
        <v>0</v>
      </c>
      <c r="F680" s="10">
        <f>SUMIFS('Custom Constraints'!$D:$D,'Custom Constraints'!$A:$A,"caiso-deliverability_"&amp;SUBSTITUTE(Dashboard!$D680,"_group",Dashboard!$D$633)&amp;"."&amp;YEAR(Dashboard!F$537))</f>
        <v>0</v>
      </c>
      <c r="G680" s="10">
        <f>SUMIFS('Custom Constraints'!$D:$D,'Custom Constraints'!$A:$A,"caiso-deliverability_"&amp;SUBSTITUTE(Dashboard!$D680,"_group",Dashboard!$D$633)&amp;"."&amp;YEAR(Dashboard!G$537))</f>
        <v>0</v>
      </c>
      <c r="H680" s="10">
        <f>SUMIFS('Custom Constraints'!$D:$D,'Custom Constraints'!$A:$A,"caiso-deliverability_"&amp;SUBSTITUTE(Dashboard!$D680,"_group",Dashboard!$D$633)&amp;"."&amp;YEAR(Dashboard!H$537))</f>
        <v>0</v>
      </c>
      <c r="I680" s="10">
        <f>SUMIFS('Custom Constraints'!$D:$D,'Custom Constraints'!$A:$A,"caiso-deliverability_"&amp;SUBSTITUTE(Dashboard!$D680,"_group",Dashboard!$D$633)&amp;"."&amp;YEAR(Dashboard!I$537))</f>
        <v>0</v>
      </c>
      <c r="J680" s="10">
        <f>SUMIFS('Custom Constraints'!$D:$D,'Custom Constraints'!$A:$A,"caiso-deliverability_"&amp;SUBSTITUTE(Dashboard!$D680,"_group",Dashboard!$D$633)&amp;"."&amp;YEAR(Dashboard!J$537))</f>
        <v>0</v>
      </c>
      <c r="K680" s="10">
        <f>SUMIFS('Custom Constraints'!$D:$D,'Custom Constraints'!$A:$A,"caiso-deliverability_"&amp;SUBSTITUTE(Dashboard!$D680,"_group",Dashboard!$D$633)&amp;"."&amp;YEAR(Dashboard!K$537))</f>
        <v>0</v>
      </c>
      <c r="L680" s="10">
        <f>SUMIFS('Custom Constraints'!$D:$D,'Custom Constraints'!$A:$A,"caiso-deliverability_"&amp;SUBSTITUTE(Dashboard!$D680,"_group",Dashboard!$D$633)&amp;"."&amp;YEAR(Dashboard!L$537))</f>
        <v>0</v>
      </c>
      <c r="M680" s="10">
        <f>SUMIFS('Custom Constraints'!$D:$D,'Custom Constraints'!$A:$A,"caiso-deliverability_"&amp;SUBSTITUTE(Dashboard!$D680,"_group",Dashboard!$D$633)&amp;"."&amp;YEAR(Dashboard!M$537))</f>
        <v>0</v>
      </c>
      <c r="N680" s="10">
        <f>SUMIFS('Custom Constraints'!$D:$D,'Custom Constraints'!$A:$A,"caiso-deliverability_"&amp;SUBSTITUTE(Dashboard!$D680,"_group",Dashboard!$D$633)&amp;"."&amp;YEAR(Dashboard!N$537))</f>
        <v>0</v>
      </c>
      <c r="O680" s="10">
        <f>SUMIFS('Custom Constraints'!$D:$D,'Custom Constraints'!$A:$A,"caiso-deliverability_"&amp;SUBSTITUTE(Dashboard!$D680,"_group",Dashboard!$D$633)&amp;"."&amp;YEAR(Dashboard!O$537))</f>
        <v>0</v>
      </c>
      <c r="P680" s="10">
        <f>SUMIFS('Custom Constraints'!$D:$D,'Custom Constraints'!$A:$A,"caiso-deliverability_"&amp;SUBSTITUTE(Dashboard!$D680,"_group",Dashboard!$D$633)&amp;"."&amp;YEAR(Dashboard!P$537))</f>
        <v>0</v>
      </c>
      <c r="Q680" s="10">
        <f>SUMIFS('Custom Constraints'!$D:$D,'Custom Constraints'!$A:$A,"caiso-deliverability_"&amp;SUBSTITUTE(Dashboard!$D680,"_group",Dashboard!$D$633)&amp;"."&amp;YEAR(Dashboard!Q$537))</f>
        <v>0</v>
      </c>
      <c r="R680" s="10">
        <f>SUMIFS('Custom Constraints'!$D:$D,'Custom Constraints'!$A:$A,"caiso-deliverability_"&amp;SUBSTITUTE(Dashboard!$D680,"_group",Dashboard!$D$633)&amp;"."&amp;YEAR(Dashboard!R$537))</f>
        <v>0</v>
      </c>
      <c r="S680" s="10">
        <f>SUMIFS('Custom Constraints'!$D:$D,'Custom Constraints'!$A:$A,"caiso-deliverability_"&amp;SUBSTITUTE(Dashboard!$D680,"_group",Dashboard!$D$633)&amp;"."&amp;YEAR(Dashboard!S$537))</f>
        <v>0</v>
      </c>
      <c r="T680" s="10">
        <f>SUMIFS('Custom Constraints'!$D:$D,'Custom Constraints'!$A:$A,"caiso-deliverability_"&amp;SUBSTITUTE(Dashboard!$D680,"_group",Dashboard!$D$633)&amp;"."&amp;YEAR(Dashboard!T$537))</f>
        <v>0</v>
      </c>
      <c r="U680" s="10">
        <f>SUMIFS('Custom Constraints'!$D:$D,'Custom Constraints'!$A:$A,"caiso-deliverability_"&amp;SUBSTITUTE(Dashboard!$D680,"_group",Dashboard!$D$633)&amp;"."&amp;YEAR(Dashboard!U$537))</f>
        <v>0</v>
      </c>
      <c r="V680" s="10">
        <f>SUMIFS('Custom Constraints'!$D:$D,'Custom Constraints'!$A:$A,"caiso-deliverability_"&amp;SUBSTITUTE(Dashboard!$D680,"_group",Dashboard!$D$633)&amp;"."&amp;YEAR(Dashboard!V$537))</f>
        <v>0</v>
      </c>
      <c r="W680" s="10">
        <f>SUMIFS('Custom Constraints'!$D:$D,'Custom Constraints'!$A:$A,"caiso-deliverability_"&amp;SUBSTITUTE(Dashboard!$D680,"_group",Dashboard!$D$633)&amp;"."&amp;YEAR(Dashboard!W$537))</f>
        <v>0</v>
      </c>
      <c r="X680" s="10">
        <f>SUMIFS('Custom Constraints'!$D:$D,'Custom Constraints'!$A:$A,"caiso-deliverability_"&amp;SUBSTITUTE(Dashboard!$D680,"_group",Dashboard!$D$633)&amp;"."&amp;YEAR(Dashboard!X$537))</f>
        <v>0</v>
      </c>
      <c r="Y680" s="10">
        <f>SUMIFS('Custom Constraints'!$D:$D,'Custom Constraints'!$A:$A,"caiso-deliverability_"&amp;SUBSTITUTE(Dashboard!$D680,"_group",Dashboard!$D$633)&amp;"."&amp;YEAR(Dashboard!Y$537))</f>
        <v>0</v>
      </c>
      <c r="Z680" s="10">
        <f>SUMIFS('Custom Constraints'!$D:$D,'Custom Constraints'!$A:$A,"caiso-deliverability_"&amp;SUBSTITUTE(Dashboard!$D680,"_group",Dashboard!$D$633)&amp;"."&amp;YEAR(Dashboard!Z$537))</f>
        <v>0</v>
      </c>
      <c r="AA680" s="10">
        <f>SUMIFS('Custom Constraints'!$D:$D,'Custom Constraints'!$A:$A,"caiso-deliverability_"&amp;SUBSTITUTE(Dashboard!$D680,"_group",Dashboard!$D$633)&amp;"."&amp;YEAR(Dashboard!AA$537))</f>
        <v>0</v>
      </c>
      <c r="AB680" s="10">
        <f>SUMIFS('Custom Constraints'!$D:$D,'Custom Constraints'!$A:$A,"caiso-deliverability_"&amp;SUBSTITUTE(Dashboard!$D680,"_group",Dashboard!$D$633)&amp;"."&amp;YEAR(Dashboard!AB$537))</f>
        <v>0</v>
      </c>
      <c r="AC680" s="10">
        <f>SUMIFS('Custom Constraints'!$D:$D,'Custom Constraints'!$A:$A,"caiso-deliverability_"&amp;SUBSTITUTE(Dashboard!$D680,"_group",Dashboard!$D$633)&amp;"."&amp;YEAR(Dashboard!AC$537))</f>
        <v>0</v>
      </c>
      <c r="AD680" s="10">
        <f>SUMIFS('Custom Constraints'!$D:$D,'Custom Constraints'!$A:$A,"caiso-deliverability_"&amp;SUBSTITUTE(Dashboard!$D680,"_group",Dashboard!$D$633)&amp;"."&amp;YEAR(Dashboard!AD$537))</f>
        <v>20.52</v>
      </c>
      <c r="AH680" s="34" t="s">
        <v>422</v>
      </c>
    </row>
    <row r="681" spans="4:34" outlineLevel="2" x14ac:dyDescent="0.2">
      <c r="D681" s="8" t="s">
        <v>270</v>
      </c>
      <c r="E681" s="10">
        <f>SUMIFS('Custom Constraints'!$D:$D,'Custom Constraints'!$A:$A,"caiso-deliverability_"&amp;SUBSTITUTE(Dashboard!$D681,"_group",Dashboard!$D$633)&amp;"."&amp;YEAR(Dashboard!E$537))</f>
        <v>0</v>
      </c>
      <c r="F681" s="10">
        <f>SUMIFS('Custom Constraints'!$D:$D,'Custom Constraints'!$A:$A,"caiso-deliverability_"&amp;SUBSTITUTE(Dashboard!$D681,"_group",Dashboard!$D$633)&amp;"."&amp;YEAR(Dashboard!F$537))</f>
        <v>0</v>
      </c>
      <c r="G681" s="10">
        <f>SUMIFS('Custom Constraints'!$D:$D,'Custom Constraints'!$A:$A,"caiso-deliverability_"&amp;SUBSTITUTE(Dashboard!$D681,"_group",Dashboard!$D$633)&amp;"."&amp;YEAR(Dashboard!G$537))</f>
        <v>0</v>
      </c>
      <c r="H681" s="10">
        <f>SUMIFS('Custom Constraints'!$D:$D,'Custom Constraints'!$A:$A,"caiso-deliverability_"&amp;SUBSTITUTE(Dashboard!$D681,"_group",Dashboard!$D$633)&amp;"."&amp;YEAR(Dashboard!H$537))</f>
        <v>0</v>
      </c>
      <c r="I681" s="10">
        <f>SUMIFS('Custom Constraints'!$D:$D,'Custom Constraints'!$A:$A,"caiso-deliverability_"&amp;SUBSTITUTE(Dashboard!$D681,"_group",Dashboard!$D$633)&amp;"."&amp;YEAR(Dashboard!I$537))</f>
        <v>0</v>
      </c>
      <c r="J681" s="10">
        <f>SUMIFS('Custom Constraints'!$D:$D,'Custom Constraints'!$A:$A,"caiso-deliverability_"&amp;SUBSTITUTE(Dashboard!$D681,"_group",Dashboard!$D$633)&amp;"."&amp;YEAR(Dashboard!J$537))</f>
        <v>0</v>
      </c>
      <c r="K681" s="10">
        <f>SUMIFS('Custom Constraints'!$D:$D,'Custom Constraints'!$A:$A,"caiso-deliverability_"&amp;SUBSTITUTE(Dashboard!$D681,"_group",Dashboard!$D$633)&amp;"."&amp;YEAR(Dashboard!K$537))</f>
        <v>0</v>
      </c>
      <c r="L681" s="10">
        <f>SUMIFS('Custom Constraints'!$D:$D,'Custom Constraints'!$A:$A,"caiso-deliverability_"&amp;SUBSTITUTE(Dashboard!$D681,"_group",Dashboard!$D$633)&amp;"."&amp;YEAR(Dashboard!L$537))</f>
        <v>0</v>
      </c>
      <c r="M681" s="10">
        <f>SUMIFS('Custom Constraints'!$D:$D,'Custom Constraints'!$A:$A,"caiso-deliverability_"&amp;SUBSTITUTE(Dashboard!$D681,"_group",Dashboard!$D$633)&amp;"."&amp;YEAR(Dashboard!M$537))</f>
        <v>0</v>
      </c>
      <c r="N681" s="10">
        <f>SUMIFS('Custom Constraints'!$D:$D,'Custom Constraints'!$A:$A,"caiso-deliverability_"&amp;SUBSTITUTE(Dashboard!$D681,"_group",Dashboard!$D$633)&amp;"."&amp;YEAR(Dashboard!N$537))</f>
        <v>0</v>
      </c>
      <c r="O681" s="10">
        <f>SUMIFS('Custom Constraints'!$D:$D,'Custom Constraints'!$A:$A,"caiso-deliverability_"&amp;SUBSTITUTE(Dashboard!$D681,"_group",Dashboard!$D$633)&amp;"."&amp;YEAR(Dashboard!O$537))</f>
        <v>0</v>
      </c>
      <c r="P681" s="10">
        <f>SUMIFS('Custom Constraints'!$D:$D,'Custom Constraints'!$A:$A,"caiso-deliverability_"&amp;SUBSTITUTE(Dashboard!$D681,"_group",Dashboard!$D$633)&amp;"."&amp;YEAR(Dashboard!P$537))</f>
        <v>0</v>
      </c>
      <c r="Q681" s="10">
        <f>SUMIFS('Custom Constraints'!$D:$D,'Custom Constraints'!$A:$A,"caiso-deliverability_"&amp;SUBSTITUTE(Dashboard!$D681,"_group",Dashboard!$D$633)&amp;"."&amp;YEAR(Dashboard!Q$537))</f>
        <v>0</v>
      </c>
      <c r="R681" s="10">
        <f>SUMIFS('Custom Constraints'!$D:$D,'Custom Constraints'!$A:$A,"caiso-deliverability_"&amp;SUBSTITUTE(Dashboard!$D681,"_group",Dashboard!$D$633)&amp;"."&amp;YEAR(Dashboard!R$537))</f>
        <v>0</v>
      </c>
      <c r="S681" s="10">
        <f>SUMIFS('Custom Constraints'!$D:$D,'Custom Constraints'!$A:$A,"caiso-deliverability_"&amp;SUBSTITUTE(Dashboard!$D681,"_group",Dashboard!$D$633)&amp;"."&amp;YEAR(Dashboard!S$537))</f>
        <v>0</v>
      </c>
      <c r="T681" s="10">
        <f>SUMIFS('Custom Constraints'!$D:$D,'Custom Constraints'!$A:$A,"caiso-deliverability_"&amp;SUBSTITUTE(Dashboard!$D681,"_group",Dashboard!$D$633)&amp;"."&amp;YEAR(Dashboard!T$537))</f>
        <v>0</v>
      </c>
      <c r="U681" s="10">
        <f>SUMIFS('Custom Constraints'!$D:$D,'Custom Constraints'!$A:$A,"caiso-deliverability_"&amp;SUBSTITUTE(Dashboard!$D681,"_group",Dashboard!$D$633)&amp;"."&amp;YEAR(Dashboard!U$537))</f>
        <v>0</v>
      </c>
      <c r="V681" s="10">
        <f>SUMIFS('Custom Constraints'!$D:$D,'Custom Constraints'!$A:$A,"caiso-deliverability_"&amp;SUBSTITUTE(Dashboard!$D681,"_group",Dashboard!$D$633)&amp;"."&amp;YEAR(Dashboard!V$537))</f>
        <v>0</v>
      </c>
      <c r="W681" s="10">
        <f>SUMIFS('Custom Constraints'!$D:$D,'Custom Constraints'!$A:$A,"caiso-deliverability_"&amp;SUBSTITUTE(Dashboard!$D681,"_group",Dashboard!$D$633)&amp;"."&amp;YEAR(Dashboard!W$537))</f>
        <v>0</v>
      </c>
      <c r="X681" s="10">
        <f>SUMIFS('Custom Constraints'!$D:$D,'Custom Constraints'!$A:$A,"caiso-deliverability_"&amp;SUBSTITUTE(Dashboard!$D681,"_group",Dashboard!$D$633)&amp;"."&amp;YEAR(Dashboard!X$537))</f>
        <v>0</v>
      </c>
      <c r="Y681" s="10">
        <f>SUMIFS('Custom Constraints'!$D:$D,'Custom Constraints'!$A:$A,"caiso-deliverability_"&amp;SUBSTITUTE(Dashboard!$D681,"_group",Dashboard!$D$633)&amp;"."&amp;YEAR(Dashboard!Y$537))</f>
        <v>0</v>
      </c>
      <c r="Z681" s="10">
        <f>SUMIFS('Custom Constraints'!$D:$D,'Custom Constraints'!$A:$A,"caiso-deliverability_"&amp;SUBSTITUTE(Dashboard!$D681,"_group",Dashboard!$D$633)&amp;"."&amp;YEAR(Dashboard!Z$537))</f>
        <v>0</v>
      </c>
      <c r="AA681" s="10">
        <f>SUMIFS('Custom Constraints'!$D:$D,'Custom Constraints'!$A:$A,"caiso-deliverability_"&amp;SUBSTITUTE(Dashboard!$D681,"_group",Dashboard!$D$633)&amp;"."&amp;YEAR(Dashboard!AA$537))</f>
        <v>0</v>
      </c>
      <c r="AB681" s="10">
        <f>SUMIFS('Custom Constraints'!$D:$D,'Custom Constraints'!$A:$A,"caiso-deliverability_"&amp;SUBSTITUTE(Dashboard!$D681,"_group",Dashboard!$D$633)&amp;"."&amp;YEAR(Dashboard!AB$537))</f>
        <v>0</v>
      </c>
      <c r="AC681" s="10">
        <f>SUMIFS('Custom Constraints'!$D:$D,'Custom Constraints'!$A:$A,"caiso-deliverability_"&amp;SUBSTITUTE(Dashboard!$D681,"_group",Dashboard!$D$633)&amp;"."&amp;YEAR(Dashboard!AC$537))</f>
        <v>0</v>
      </c>
      <c r="AD681" s="10">
        <f>SUMIFS('Custom Constraints'!$D:$D,'Custom Constraints'!$A:$A,"caiso-deliverability_"&amp;SUBSTITUTE(Dashboard!$D681,"_group",Dashboard!$D$633)&amp;"."&amp;YEAR(Dashboard!AD$537))</f>
        <v>1959</v>
      </c>
      <c r="AH681" s="34" t="s">
        <v>422</v>
      </c>
    </row>
    <row r="682" spans="4:34" outlineLevel="2" x14ac:dyDescent="0.2">
      <c r="D682" s="8" t="s">
        <v>271</v>
      </c>
      <c r="E682" s="10">
        <f>SUMIFS('Custom Constraints'!$D:$D,'Custom Constraints'!$A:$A,"caiso-deliverability_"&amp;SUBSTITUTE(Dashboard!$D682,"_group",Dashboard!$D$633)&amp;"."&amp;YEAR(Dashboard!E$537))</f>
        <v>0</v>
      </c>
      <c r="F682" s="10">
        <f>SUMIFS('Custom Constraints'!$D:$D,'Custom Constraints'!$A:$A,"caiso-deliverability_"&amp;SUBSTITUTE(Dashboard!$D682,"_group",Dashboard!$D$633)&amp;"."&amp;YEAR(Dashboard!F$537))</f>
        <v>0</v>
      </c>
      <c r="G682" s="10">
        <f>SUMIFS('Custom Constraints'!$D:$D,'Custom Constraints'!$A:$A,"caiso-deliverability_"&amp;SUBSTITUTE(Dashboard!$D682,"_group",Dashboard!$D$633)&amp;"."&amp;YEAR(Dashboard!G$537))</f>
        <v>0</v>
      </c>
      <c r="H682" s="10">
        <f>SUMIFS('Custom Constraints'!$D:$D,'Custom Constraints'!$A:$A,"caiso-deliverability_"&amp;SUBSTITUTE(Dashboard!$D682,"_group",Dashboard!$D$633)&amp;"."&amp;YEAR(Dashboard!H$537))</f>
        <v>0</v>
      </c>
      <c r="I682" s="10">
        <f>SUMIFS('Custom Constraints'!$D:$D,'Custom Constraints'!$A:$A,"caiso-deliverability_"&amp;SUBSTITUTE(Dashboard!$D682,"_group",Dashboard!$D$633)&amp;"."&amp;YEAR(Dashboard!I$537))</f>
        <v>0</v>
      </c>
      <c r="J682" s="10">
        <f>SUMIFS('Custom Constraints'!$D:$D,'Custom Constraints'!$A:$A,"caiso-deliverability_"&amp;SUBSTITUTE(Dashboard!$D682,"_group",Dashboard!$D$633)&amp;"."&amp;YEAR(Dashboard!J$537))</f>
        <v>0</v>
      </c>
      <c r="K682" s="10">
        <f>SUMIFS('Custom Constraints'!$D:$D,'Custom Constraints'!$A:$A,"caiso-deliverability_"&amp;SUBSTITUTE(Dashboard!$D682,"_group",Dashboard!$D$633)&amp;"."&amp;YEAR(Dashboard!K$537))</f>
        <v>0</v>
      </c>
      <c r="L682" s="10">
        <f>SUMIFS('Custom Constraints'!$D:$D,'Custom Constraints'!$A:$A,"caiso-deliverability_"&amp;SUBSTITUTE(Dashboard!$D682,"_group",Dashboard!$D$633)&amp;"."&amp;YEAR(Dashboard!L$537))</f>
        <v>0</v>
      </c>
      <c r="M682" s="10">
        <f>SUMIFS('Custom Constraints'!$D:$D,'Custom Constraints'!$A:$A,"caiso-deliverability_"&amp;SUBSTITUTE(Dashboard!$D682,"_group",Dashboard!$D$633)&amp;"."&amp;YEAR(Dashboard!M$537))</f>
        <v>0</v>
      </c>
      <c r="N682" s="10">
        <f>SUMIFS('Custom Constraints'!$D:$D,'Custom Constraints'!$A:$A,"caiso-deliverability_"&amp;SUBSTITUTE(Dashboard!$D682,"_group",Dashboard!$D$633)&amp;"."&amp;YEAR(Dashboard!N$537))</f>
        <v>0</v>
      </c>
      <c r="O682" s="10">
        <f>SUMIFS('Custom Constraints'!$D:$D,'Custom Constraints'!$A:$A,"caiso-deliverability_"&amp;SUBSTITUTE(Dashboard!$D682,"_group",Dashboard!$D$633)&amp;"."&amp;YEAR(Dashboard!O$537))</f>
        <v>0</v>
      </c>
      <c r="P682" s="10">
        <f>SUMIFS('Custom Constraints'!$D:$D,'Custom Constraints'!$A:$A,"caiso-deliverability_"&amp;SUBSTITUTE(Dashboard!$D682,"_group",Dashboard!$D$633)&amp;"."&amp;YEAR(Dashboard!P$537))</f>
        <v>0</v>
      </c>
      <c r="Q682" s="10">
        <f>SUMIFS('Custom Constraints'!$D:$D,'Custom Constraints'!$A:$A,"caiso-deliverability_"&amp;SUBSTITUTE(Dashboard!$D682,"_group",Dashboard!$D$633)&amp;"."&amp;YEAR(Dashboard!Q$537))</f>
        <v>0</v>
      </c>
      <c r="R682" s="10">
        <f>SUMIFS('Custom Constraints'!$D:$D,'Custom Constraints'!$A:$A,"caiso-deliverability_"&amp;SUBSTITUTE(Dashboard!$D682,"_group",Dashboard!$D$633)&amp;"."&amp;YEAR(Dashboard!R$537))</f>
        <v>0</v>
      </c>
      <c r="S682" s="10">
        <f>SUMIFS('Custom Constraints'!$D:$D,'Custom Constraints'!$A:$A,"caiso-deliverability_"&amp;SUBSTITUTE(Dashboard!$D682,"_group",Dashboard!$D$633)&amp;"."&amp;YEAR(Dashboard!S$537))</f>
        <v>0</v>
      </c>
      <c r="T682" s="10">
        <f>SUMIFS('Custom Constraints'!$D:$D,'Custom Constraints'!$A:$A,"caiso-deliverability_"&amp;SUBSTITUTE(Dashboard!$D682,"_group",Dashboard!$D$633)&amp;"."&amp;YEAR(Dashboard!T$537))</f>
        <v>0</v>
      </c>
      <c r="U682" s="10">
        <f>SUMIFS('Custom Constraints'!$D:$D,'Custom Constraints'!$A:$A,"caiso-deliverability_"&amp;SUBSTITUTE(Dashboard!$D682,"_group",Dashboard!$D$633)&amp;"."&amp;YEAR(Dashboard!U$537))</f>
        <v>0</v>
      </c>
      <c r="V682" s="10">
        <f>SUMIFS('Custom Constraints'!$D:$D,'Custom Constraints'!$A:$A,"caiso-deliverability_"&amp;SUBSTITUTE(Dashboard!$D682,"_group",Dashboard!$D$633)&amp;"."&amp;YEAR(Dashboard!V$537))</f>
        <v>0</v>
      </c>
      <c r="W682" s="10">
        <f>SUMIFS('Custom Constraints'!$D:$D,'Custom Constraints'!$A:$A,"caiso-deliverability_"&amp;SUBSTITUTE(Dashboard!$D682,"_group",Dashboard!$D$633)&amp;"."&amp;YEAR(Dashboard!W$537))</f>
        <v>0</v>
      </c>
      <c r="X682" s="10">
        <f>SUMIFS('Custom Constraints'!$D:$D,'Custom Constraints'!$A:$A,"caiso-deliverability_"&amp;SUBSTITUTE(Dashboard!$D682,"_group",Dashboard!$D$633)&amp;"."&amp;YEAR(Dashboard!X$537))</f>
        <v>0</v>
      </c>
      <c r="Y682" s="10">
        <f>SUMIFS('Custom Constraints'!$D:$D,'Custom Constraints'!$A:$A,"caiso-deliverability_"&amp;SUBSTITUTE(Dashboard!$D682,"_group",Dashboard!$D$633)&amp;"."&amp;YEAR(Dashboard!Y$537))</f>
        <v>0</v>
      </c>
      <c r="Z682" s="10">
        <f>SUMIFS('Custom Constraints'!$D:$D,'Custom Constraints'!$A:$A,"caiso-deliverability_"&amp;SUBSTITUTE(Dashboard!$D682,"_group",Dashboard!$D$633)&amp;"."&amp;YEAR(Dashboard!Z$537))</f>
        <v>0</v>
      </c>
      <c r="AA682" s="10">
        <f>SUMIFS('Custom Constraints'!$D:$D,'Custom Constraints'!$A:$A,"caiso-deliverability_"&amp;SUBSTITUTE(Dashboard!$D682,"_group",Dashboard!$D$633)&amp;"."&amp;YEAR(Dashboard!AA$537))</f>
        <v>0</v>
      </c>
      <c r="AB682" s="10">
        <f>SUMIFS('Custom Constraints'!$D:$D,'Custom Constraints'!$A:$A,"caiso-deliverability_"&amp;SUBSTITUTE(Dashboard!$D682,"_group",Dashboard!$D$633)&amp;"."&amp;YEAR(Dashboard!AB$537))</f>
        <v>0</v>
      </c>
      <c r="AC682" s="10">
        <f>SUMIFS('Custom Constraints'!$D:$D,'Custom Constraints'!$A:$A,"caiso-deliverability_"&amp;SUBSTITUTE(Dashboard!$D682,"_group",Dashboard!$D$633)&amp;"."&amp;YEAR(Dashboard!AC$537))</f>
        <v>0</v>
      </c>
      <c r="AD682" s="10">
        <f>SUMIFS('Custom Constraints'!$D:$D,'Custom Constraints'!$A:$A,"caiso-deliverability_"&amp;SUBSTITUTE(Dashboard!$D682,"_group",Dashboard!$D$633)&amp;"."&amp;YEAR(Dashboard!AD$537))</f>
        <v>968</v>
      </c>
      <c r="AH682" s="34" t="s">
        <v>422</v>
      </c>
    </row>
    <row r="683" spans="4:34" outlineLevel="2" x14ac:dyDescent="0.2">
      <c r="D683" s="8" t="s">
        <v>272</v>
      </c>
      <c r="E683" s="10">
        <f>SUMIFS('Custom Constraints'!$D:$D,'Custom Constraints'!$A:$A,"caiso-deliverability_"&amp;SUBSTITUTE(Dashboard!$D683,"_group",Dashboard!$D$633)&amp;"."&amp;YEAR(Dashboard!E$537))</f>
        <v>0</v>
      </c>
      <c r="F683" s="10">
        <f>SUMIFS('Custom Constraints'!$D:$D,'Custom Constraints'!$A:$A,"caiso-deliverability_"&amp;SUBSTITUTE(Dashboard!$D683,"_group",Dashboard!$D$633)&amp;"."&amp;YEAR(Dashboard!F$537))</f>
        <v>0</v>
      </c>
      <c r="G683" s="10">
        <f>SUMIFS('Custom Constraints'!$D:$D,'Custom Constraints'!$A:$A,"caiso-deliverability_"&amp;SUBSTITUTE(Dashboard!$D683,"_group",Dashboard!$D$633)&amp;"."&amp;YEAR(Dashboard!G$537))</f>
        <v>0</v>
      </c>
      <c r="H683" s="10">
        <f>SUMIFS('Custom Constraints'!$D:$D,'Custom Constraints'!$A:$A,"caiso-deliverability_"&amp;SUBSTITUTE(Dashboard!$D683,"_group",Dashboard!$D$633)&amp;"."&amp;YEAR(Dashboard!H$537))</f>
        <v>0</v>
      </c>
      <c r="I683" s="10">
        <f>SUMIFS('Custom Constraints'!$D:$D,'Custom Constraints'!$A:$A,"caiso-deliverability_"&amp;SUBSTITUTE(Dashboard!$D683,"_group",Dashboard!$D$633)&amp;"."&amp;YEAR(Dashboard!I$537))</f>
        <v>0</v>
      </c>
      <c r="J683" s="10">
        <f>SUMIFS('Custom Constraints'!$D:$D,'Custom Constraints'!$A:$A,"caiso-deliverability_"&amp;SUBSTITUTE(Dashboard!$D683,"_group",Dashboard!$D$633)&amp;"."&amp;YEAR(Dashboard!J$537))</f>
        <v>0</v>
      </c>
      <c r="K683" s="10">
        <f>SUMIFS('Custom Constraints'!$D:$D,'Custom Constraints'!$A:$A,"caiso-deliverability_"&amp;SUBSTITUTE(Dashboard!$D683,"_group",Dashboard!$D$633)&amp;"."&amp;YEAR(Dashboard!K$537))</f>
        <v>0</v>
      </c>
      <c r="L683" s="10">
        <f>SUMIFS('Custom Constraints'!$D:$D,'Custom Constraints'!$A:$A,"caiso-deliverability_"&amp;SUBSTITUTE(Dashboard!$D683,"_group",Dashboard!$D$633)&amp;"."&amp;YEAR(Dashboard!L$537))</f>
        <v>0</v>
      </c>
      <c r="M683" s="10">
        <f>SUMIFS('Custom Constraints'!$D:$D,'Custom Constraints'!$A:$A,"caiso-deliverability_"&amp;SUBSTITUTE(Dashboard!$D683,"_group",Dashboard!$D$633)&amp;"."&amp;YEAR(Dashboard!M$537))</f>
        <v>0</v>
      </c>
      <c r="N683" s="10">
        <f>SUMIFS('Custom Constraints'!$D:$D,'Custom Constraints'!$A:$A,"caiso-deliverability_"&amp;SUBSTITUTE(Dashboard!$D683,"_group",Dashboard!$D$633)&amp;"."&amp;YEAR(Dashboard!N$537))</f>
        <v>0</v>
      </c>
      <c r="O683" s="10">
        <f>SUMIFS('Custom Constraints'!$D:$D,'Custom Constraints'!$A:$A,"caiso-deliverability_"&amp;SUBSTITUTE(Dashboard!$D683,"_group",Dashboard!$D$633)&amp;"."&amp;YEAR(Dashboard!O$537))</f>
        <v>0</v>
      </c>
      <c r="P683" s="10">
        <f>SUMIFS('Custom Constraints'!$D:$D,'Custom Constraints'!$A:$A,"caiso-deliverability_"&amp;SUBSTITUTE(Dashboard!$D683,"_group",Dashboard!$D$633)&amp;"."&amp;YEAR(Dashboard!P$537))</f>
        <v>0</v>
      </c>
      <c r="Q683" s="10">
        <f>SUMIFS('Custom Constraints'!$D:$D,'Custom Constraints'!$A:$A,"caiso-deliverability_"&amp;SUBSTITUTE(Dashboard!$D683,"_group",Dashboard!$D$633)&amp;"."&amp;YEAR(Dashboard!Q$537))</f>
        <v>0</v>
      </c>
      <c r="R683" s="10">
        <f>SUMIFS('Custom Constraints'!$D:$D,'Custom Constraints'!$A:$A,"caiso-deliverability_"&amp;SUBSTITUTE(Dashboard!$D683,"_group",Dashboard!$D$633)&amp;"."&amp;YEAR(Dashboard!R$537))</f>
        <v>0</v>
      </c>
      <c r="S683" s="10">
        <f>SUMIFS('Custom Constraints'!$D:$D,'Custom Constraints'!$A:$A,"caiso-deliverability_"&amp;SUBSTITUTE(Dashboard!$D683,"_group",Dashboard!$D$633)&amp;"."&amp;YEAR(Dashboard!S$537))</f>
        <v>0</v>
      </c>
      <c r="T683" s="10">
        <f>SUMIFS('Custom Constraints'!$D:$D,'Custom Constraints'!$A:$A,"caiso-deliverability_"&amp;SUBSTITUTE(Dashboard!$D683,"_group",Dashboard!$D$633)&amp;"."&amp;YEAR(Dashboard!T$537))</f>
        <v>0</v>
      </c>
      <c r="U683" s="10">
        <f>SUMIFS('Custom Constraints'!$D:$D,'Custom Constraints'!$A:$A,"caiso-deliverability_"&amp;SUBSTITUTE(Dashboard!$D683,"_group",Dashboard!$D$633)&amp;"."&amp;YEAR(Dashboard!U$537))</f>
        <v>0</v>
      </c>
      <c r="V683" s="10">
        <f>SUMIFS('Custom Constraints'!$D:$D,'Custom Constraints'!$A:$A,"caiso-deliverability_"&amp;SUBSTITUTE(Dashboard!$D683,"_group",Dashboard!$D$633)&amp;"."&amp;YEAR(Dashboard!V$537))</f>
        <v>0</v>
      </c>
      <c r="W683" s="10">
        <f>SUMIFS('Custom Constraints'!$D:$D,'Custom Constraints'!$A:$A,"caiso-deliverability_"&amp;SUBSTITUTE(Dashboard!$D683,"_group",Dashboard!$D$633)&amp;"."&amp;YEAR(Dashboard!W$537))</f>
        <v>0</v>
      </c>
      <c r="X683" s="10">
        <f>SUMIFS('Custom Constraints'!$D:$D,'Custom Constraints'!$A:$A,"caiso-deliverability_"&amp;SUBSTITUTE(Dashboard!$D683,"_group",Dashboard!$D$633)&amp;"."&amp;YEAR(Dashboard!X$537))</f>
        <v>0</v>
      </c>
      <c r="Y683" s="10">
        <f>SUMIFS('Custom Constraints'!$D:$D,'Custom Constraints'!$A:$A,"caiso-deliverability_"&amp;SUBSTITUTE(Dashboard!$D683,"_group",Dashboard!$D$633)&amp;"."&amp;YEAR(Dashboard!Y$537))</f>
        <v>0</v>
      </c>
      <c r="Z683" s="10">
        <f>SUMIFS('Custom Constraints'!$D:$D,'Custom Constraints'!$A:$A,"caiso-deliverability_"&amp;SUBSTITUTE(Dashboard!$D683,"_group",Dashboard!$D$633)&amp;"."&amp;YEAR(Dashboard!Z$537))</f>
        <v>0</v>
      </c>
      <c r="AA683" s="10">
        <f>SUMIFS('Custom Constraints'!$D:$D,'Custom Constraints'!$A:$A,"caiso-deliverability_"&amp;SUBSTITUTE(Dashboard!$D683,"_group",Dashboard!$D$633)&amp;"."&amp;YEAR(Dashboard!AA$537))</f>
        <v>0</v>
      </c>
      <c r="AB683" s="10">
        <f>SUMIFS('Custom Constraints'!$D:$D,'Custom Constraints'!$A:$A,"caiso-deliverability_"&amp;SUBSTITUTE(Dashboard!$D683,"_group",Dashboard!$D$633)&amp;"."&amp;YEAR(Dashboard!AB$537))</f>
        <v>0</v>
      </c>
      <c r="AC683" s="10">
        <f>SUMIFS('Custom Constraints'!$D:$D,'Custom Constraints'!$A:$A,"caiso-deliverability_"&amp;SUBSTITUTE(Dashboard!$D683,"_group",Dashboard!$D$633)&amp;"."&amp;YEAR(Dashboard!AC$537))</f>
        <v>0</v>
      </c>
      <c r="AD683" s="10">
        <f>SUMIFS('Custom Constraints'!$D:$D,'Custom Constraints'!$A:$A,"caiso-deliverability_"&amp;SUBSTITUTE(Dashboard!$D683,"_group",Dashboard!$D$633)&amp;"."&amp;YEAR(Dashboard!AD$537))</f>
        <v>1127</v>
      </c>
      <c r="AH683" s="34" t="s">
        <v>422</v>
      </c>
    </row>
    <row r="684" spans="4:34" outlineLevel="2" x14ac:dyDescent="0.2">
      <c r="D684" s="8" t="s">
        <v>273</v>
      </c>
      <c r="E684" s="10">
        <f>SUMIFS('Custom Constraints'!$D:$D,'Custom Constraints'!$A:$A,"caiso-deliverability_"&amp;SUBSTITUTE(Dashboard!$D684,"_group",Dashboard!$D$633)&amp;"."&amp;YEAR(Dashboard!E$537))</f>
        <v>0</v>
      </c>
      <c r="F684" s="10">
        <f>SUMIFS('Custom Constraints'!$D:$D,'Custom Constraints'!$A:$A,"caiso-deliverability_"&amp;SUBSTITUTE(Dashboard!$D684,"_group",Dashboard!$D$633)&amp;"."&amp;YEAR(Dashboard!F$537))</f>
        <v>0</v>
      </c>
      <c r="G684" s="10">
        <f>SUMIFS('Custom Constraints'!$D:$D,'Custom Constraints'!$A:$A,"caiso-deliverability_"&amp;SUBSTITUTE(Dashboard!$D684,"_group",Dashboard!$D$633)&amp;"."&amp;YEAR(Dashboard!G$537))</f>
        <v>0</v>
      </c>
      <c r="H684" s="10">
        <f>SUMIFS('Custom Constraints'!$D:$D,'Custom Constraints'!$A:$A,"caiso-deliverability_"&amp;SUBSTITUTE(Dashboard!$D684,"_group",Dashboard!$D$633)&amp;"."&amp;YEAR(Dashboard!H$537))</f>
        <v>0</v>
      </c>
      <c r="I684" s="10">
        <f>SUMIFS('Custom Constraints'!$D:$D,'Custom Constraints'!$A:$A,"caiso-deliverability_"&amp;SUBSTITUTE(Dashboard!$D684,"_group",Dashboard!$D$633)&amp;"."&amp;YEAR(Dashboard!I$537))</f>
        <v>0</v>
      </c>
      <c r="J684" s="10">
        <f>SUMIFS('Custom Constraints'!$D:$D,'Custom Constraints'!$A:$A,"caiso-deliverability_"&amp;SUBSTITUTE(Dashboard!$D684,"_group",Dashboard!$D$633)&amp;"."&amp;YEAR(Dashboard!J$537))</f>
        <v>0</v>
      </c>
      <c r="K684" s="10">
        <f>SUMIFS('Custom Constraints'!$D:$D,'Custom Constraints'!$A:$A,"caiso-deliverability_"&amp;SUBSTITUTE(Dashboard!$D684,"_group",Dashboard!$D$633)&amp;"."&amp;YEAR(Dashboard!K$537))</f>
        <v>0</v>
      </c>
      <c r="L684" s="10">
        <f>SUMIFS('Custom Constraints'!$D:$D,'Custom Constraints'!$A:$A,"caiso-deliverability_"&amp;SUBSTITUTE(Dashboard!$D684,"_group",Dashboard!$D$633)&amp;"."&amp;YEAR(Dashboard!L$537))</f>
        <v>0</v>
      </c>
      <c r="M684" s="10">
        <f>SUMIFS('Custom Constraints'!$D:$D,'Custom Constraints'!$A:$A,"caiso-deliverability_"&amp;SUBSTITUTE(Dashboard!$D684,"_group",Dashboard!$D$633)&amp;"."&amp;YEAR(Dashboard!M$537))</f>
        <v>0</v>
      </c>
      <c r="N684" s="10">
        <f>SUMIFS('Custom Constraints'!$D:$D,'Custom Constraints'!$A:$A,"caiso-deliverability_"&amp;SUBSTITUTE(Dashboard!$D684,"_group",Dashboard!$D$633)&amp;"."&amp;YEAR(Dashboard!N$537))</f>
        <v>0</v>
      </c>
      <c r="O684" s="10">
        <f>SUMIFS('Custom Constraints'!$D:$D,'Custom Constraints'!$A:$A,"caiso-deliverability_"&amp;SUBSTITUTE(Dashboard!$D684,"_group",Dashboard!$D$633)&amp;"."&amp;YEAR(Dashboard!O$537))</f>
        <v>0</v>
      </c>
      <c r="P684" s="10">
        <f>SUMIFS('Custom Constraints'!$D:$D,'Custom Constraints'!$A:$A,"caiso-deliverability_"&amp;SUBSTITUTE(Dashboard!$D684,"_group",Dashboard!$D$633)&amp;"."&amp;YEAR(Dashboard!P$537))</f>
        <v>0</v>
      </c>
      <c r="Q684" s="10">
        <f>SUMIFS('Custom Constraints'!$D:$D,'Custom Constraints'!$A:$A,"caiso-deliverability_"&amp;SUBSTITUTE(Dashboard!$D684,"_group",Dashboard!$D$633)&amp;"."&amp;YEAR(Dashboard!Q$537))</f>
        <v>0</v>
      </c>
      <c r="R684" s="10">
        <f>SUMIFS('Custom Constraints'!$D:$D,'Custom Constraints'!$A:$A,"caiso-deliverability_"&amp;SUBSTITUTE(Dashboard!$D684,"_group",Dashboard!$D$633)&amp;"."&amp;YEAR(Dashboard!R$537))</f>
        <v>0</v>
      </c>
      <c r="S684" s="10">
        <f>SUMIFS('Custom Constraints'!$D:$D,'Custom Constraints'!$A:$A,"caiso-deliverability_"&amp;SUBSTITUTE(Dashboard!$D684,"_group",Dashboard!$D$633)&amp;"."&amp;YEAR(Dashboard!S$537))</f>
        <v>0</v>
      </c>
      <c r="T684" s="10">
        <f>SUMIFS('Custom Constraints'!$D:$D,'Custom Constraints'!$A:$A,"caiso-deliverability_"&amp;SUBSTITUTE(Dashboard!$D684,"_group",Dashboard!$D$633)&amp;"."&amp;YEAR(Dashboard!T$537))</f>
        <v>0</v>
      </c>
      <c r="U684" s="10">
        <f>SUMIFS('Custom Constraints'!$D:$D,'Custom Constraints'!$A:$A,"caiso-deliverability_"&amp;SUBSTITUTE(Dashboard!$D684,"_group",Dashboard!$D$633)&amp;"."&amp;YEAR(Dashboard!U$537))</f>
        <v>0</v>
      </c>
      <c r="V684" s="10">
        <f>SUMIFS('Custom Constraints'!$D:$D,'Custom Constraints'!$A:$A,"caiso-deliverability_"&amp;SUBSTITUTE(Dashboard!$D684,"_group",Dashboard!$D$633)&amp;"."&amp;YEAR(Dashboard!V$537))</f>
        <v>0</v>
      </c>
      <c r="W684" s="10">
        <f>SUMIFS('Custom Constraints'!$D:$D,'Custom Constraints'!$A:$A,"caiso-deliverability_"&amp;SUBSTITUTE(Dashboard!$D684,"_group",Dashboard!$D$633)&amp;"."&amp;YEAR(Dashboard!W$537))</f>
        <v>0</v>
      </c>
      <c r="X684" s="10">
        <f>SUMIFS('Custom Constraints'!$D:$D,'Custom Constraints'!$A:$A,"caiso-deliverability_"&amp;SUBSTITUTE(Dashboard!$D684,"_group",Dashboard!$D$633)&amp;"."&amp;YEAR(Dashboard!X$537))</f>
        <v>0</v>
      </c>
      <c r="Y684" s="10">
        <f>SUMIFS('Custom Constraints'!$D:$D,'Custom Constraints'!$A:$A,"caiso-deliverability_"&amp;SUBSTITUTE(Dashboard!$D684,"_group",Dashboard!$D$633)&amp;"."&amp;YEAR(Dashboard!Y$537))</f>
        <v>0</v>
      </c>
      <c r="Z684" s="10">
        <f>SUMIFS('Custom Constraints'!$D:$D,'Custom Constraints'!$A:$A,"caiso-deliverability_"&amp;SUBSTITUTE(Dashboard!$D684,"_group",Dashboard!$D$633)&amp;"."&amp;YEAR(Dashboard!Z$537))</f>
        <v>0</v>
      </c>
      <c r="AA684" s="10">
        <f>SUMIFS('Custom Constraints'!$D:$D,'Custom Constraints'!$A:$A,"caiso-deliverability_"&amp;SUBSTITUTE(Dashboard!$D684,"_group",Dashboard!$D$633)&amp;"."&amp;YEAR(Dashboard!AA$537))</f>
        <v>0</v>
      </c>
      <c r="AB684" s="10">
        <f>SUMIFS('Custom Constraints'!$D:$D,'Custom Constraints'!$A:$A,"caiso-deliverability_"&amp;SUBSTITUTE(Dashboard!$D684,"_group",Dashboard!$D$633)&amp;"."&amp;YEAR(Dashboard!AB$537))</f>
        <v>0</v>
      </c>
      <c r="AC684" s="10">
        <f>SUMIFS('Custom Constraints'!$D:$D,'Custom Constraints'!$A:$A,"caiso-deliverability_"&amp;SUBSTITUTE(Dashboard!$D684,"_group",Dashboard!$D$633)&amp;"."&amp;YEAR(Dashboard!AC$537))</f>
        <v>0</v>
      </c>
      <c r="AD684" s="10">
        <f>SUMIFS('Custom Constraints'!$D:$D,'Custom Constraints'!$A:$A,"caiso-deliverability_"&amp;SUBSTITUTE(Dashboard!$D684,"_group",Dashboard!$D$633)&amp;"."&amp;YEAR(Dashboard!AD$537))</f>
        <v>1273</v>
      </c>
      <c r="AH684" s="34" t="s">
        <v>422</v>
      </c>
    </row>
    <row r="685" spans="4:34" outlineLevel="2" x14ac:dyDescent="0.2">
      <c r="D685" s="8" t="s">
        <v>274</v>
      </c>
      <c r="E685" s="10">
        <f>SUMIFS('Custom Constraints'!$D:$D,'Custom Constraints'!$A:$A,"caiso-deliverability_"&amp;SUBSTITUTE(Dashboard!$D685,"_group",Dashboard!$D$633)&amp;"."&amp;YEAR(Dashboard!E$537))</f>
        <v>0</v>
      </c>
      <c r="F685" s="10">
        <f>SUMIFS('Custom Constraints'!$D:$D,'Custom Constraints'!$A:$A,"caiso-deliverability_"&amp;SUBSTITUTE(Dashboard!$D685,"_group",Dashboard!$D$633)&amp;"."&amp;YEAR(Dashboard!F$537))</f>
        <v>0</v>
      </c>
      <c r="G685" s="10">
        <f>SUMIFS('Custom Constraints'!$D:$D,'Custom Constraints'!$A:$A,"caiso-deliverability_"&amp;SUBSTITUTE(Dashboard!$D685,"_group",Dashboard!$D$633)&amp;"."&amp;YEAR(Dashboard!G$537))</f>
        <v>0</v>
      </c>
      <c r="H685" s="10">
        <f>SUMIFS('Custom Constraints'!$D:$D,'Custom Constraints'!$A:$A,"caiso-deliverability_"&amp;SUBSTITUTE(Dashboard!$D685,"_group",Dashboard!$D$633)&amp;"."&amp;YEAR(Dashboard!H$537))</f>
        <v>0</v>
      </c>
      <c r="I685" s="10">
        <f>SUMIFS('Custom Constraints'!$D:$D,'Custom Constraints'!$A:$A,"caiso-deliverability_"&amp;SUBSTITUTE(Dashboard!$D685,"_group",Dashboard!$D$633)&amp;"."&amp;YEAR(Dashboard!I$537))</f>
        <v>0</v>
      </c>
      <c r="J685" s="10">
        <f>SUMIFS('Custom Constraints'!$D:$D,'Custom Constraints'!$A:$A,"caiso-deliverability_"&amp;SUBSTITUTE(Dashboard!$D685,"_group",Dashboard!$D$633)&amp;"."&amp;YEAR(Dashboard!J$537))</f>
        <v>0</v>
      </c>
      <c r="K685" s="10">
        <f>SUMIFS('Custom Constraints'!$D:$D,'Custom Constraints'!$A:$A,"caiso-deliverability_"&amp;SUBSTITUTE(Dashboard!$D685,"_group",Dashboard!$D$633)&amp;"."&amp;YEAR(Dashboard!K$537))</f>
        <v>0</v>
      </c>
      <c r="L685" s="10">
        <f>SUMIFS('Custom Constraints'!$D:$D,'Custom Constraints'!$A:$A,"caiso-deliverability_"&amp;SUBSTITUTE(Dashboard!$D685,"_group",Dashboard!$D$633)&amp;"."&amp;YEAR(Dashboard!L$537))</f>
        <v>0</v>
      </c>
      <c r="M685" s="10">
        <f>SUMIFS('Custom Constraints'!$D:$D,'Custom Constraints'!$A:$A,"caiso-deliverability_"&amp;SUBSTITUTE(Dashboard!$D685,"_group",Dashboard!$D$633)&amp;"."&amp;YEAR(Dashboard!M$537))</f>
        <v>0</v>
      </c>
      <c r="N685" s="10">
        <f>SUMIFS('Custom Constraints'!$D:$D,'Custom Constraints'!$A:$A,"caiso-deliverability_"&amp;SUBSTITUTE(Dashboard!$D685,"_group",Dashboard!$D$633)&amp;"."&amp;YEAR(Dashboard!N$537))</f>
        <v>0</v>
      </c>
      <c r="O685" s="10">
        <f>SUMIFS('Custom Constraints'!$D:$D,'Custom Constraints'!$A:$A,"caiso-deliverability_"&amp;SUBSTITUTE(Dashboard!$D685,"_group",Dashboard!$D$633)&amp;"."&amp;YEAR(Dashboard!O$537))</f>
        <v>0</v>
      </c>
      <c r="P685" s="10">
        <f>SUMIFS('Custom Constraints'!$D:$D,'Custom Constraints'!$A:$A,"caiso-deliverability_"&amp;SUBSTITUTE(Dashboard!$D685,"_group",Dashboard!$D$633)&amp;"."&amp;YEAR(Dashboard!P$537))</f>
        <v>0</v>
      </c>
      <c r="Q685" s="10">
        <f>SUMIFS('Custom Constraints'!$D:$D,'Custom Constraints'!$A:$A,"caiso-deliverability_"&amp;SUBSTITUTE(Dashboard!$D685,"_group",Dashboard!$D$633)&amp;"."&amp;YEAR(Dashboard!Q$537))</f>
        <v>0</v>
      </c>
      <c r="R685" s="10">
        <f>SUMIFS('Custom Constraints'!$D:$D,'Custom Constraints'!$A:$A,"caiso-deliverability_"&amp;SUBSTITUTE(Dashboard!$D685,"_group",Dashboard!$D$633)&amp;"."&amp;YEAR(Dashboard!R$537))</f>
        <v>0</v>
      </c>
      <c r="S685" s="10">
        <f>SUMIFS('Custom Constraints'!$D:$D,'Custom Constraints'!$A:$A,"caiso-deliverability_"&amp;SUBSTITUTE(Dashboard!$D685,"_group",Dashboard!$D$633)&amp;"."&amp;YEAR(Dashboard!S$537))</f>
        <v>0</v>
      </c>
      <c r="T685" s="10">
        <f>SUMIFS('Custom Constraints'!$D:$D,'Custom Constraints'!$A:$A,"caiso-deliverability_"&amp;SUBSTITUTE(Dashboard!$D685,"_group",Dashboard!$D$633)&amp;"."&amp;YEAR(Dashboard!T$537))</f>
        <v>0</v>
      </c>
      <c r="U685" s="10">
        <f>SUMIFS('Custom Constraints'!$D:$D,'Custom Constraints'!$A:$A,"caiso-deliverability_"&amp;SUBSTITUTE(Dashboard!$D685,"_group",Dashboard!$D$633)&amp;"."&amp;YEAR(Dashboard!U$537))</f>
        <v>0</v>
      </c>
      <c r="V685" s="10">
        <f>SUMIFS('Custom Constraints'!$D:$D,'Custom Constraints'!$A:$A,"caiso-deliverability_"&amp;SUBSTITUTE(Dashboard!$D685,"_group",Dashboard!$D$633)&amp;"."&amp;YEAR(Dashboard!V$537))</f>
        <v>0</v>
      </c>
      <c r="W685" s="10">
        <f>SUMIFS('Custom Constraints'!$D:$D,'Custom Constraints'!$A:$A,"caiso-deliverability_"&amp;SUBSTITUTE(Dashboard!$D685,"_group",Dashboard!$D$633)&amp;"."&amp;YEAR(Dashboard!W$537))</f>
        <v>0</v>
      </c>
      <c r="X685" s="10">
        <f>SUMIFS('Custom Constraints'!$D:$D,'Custom Constraints'!$A:$A,"caiso-deliverability_"&amp;SUBSTITUTE(Dashboard!$D685,"_group",Dashboard!$D$633)&amp;"."&amp;YEAR(Dashboard!X$537))</f>
        <v>0</v>
      </c>
      <c r="Y685" s="10">
        <f>SUMIFS('Custom Constraints'!$D:$D,'Custom Constraints'!$A:$A,"caiso-deliverability_"&amp;SUBSTITUTE(Dashboard!$D685,"_group",Dashboard!$D$633)&amp;"."&amp;YEAR(Dashboard!Y$537))</f>
        <v>0</v>
      </c>
      <c r="Z685" s="10">
        <f>SUMIFS('Custom Constraints'!$D:$D,'Custom Constraints'!$A:$A,"caiso-deliverability_"&amp;SUBSTITUTE(Dashboard!$D685,"_group",Dashboard!$D$633)&amp;"."&amp;YEAR(Dashboard!Z$537))</f>
        <v>0</v>
      </c>
      <c r="AA685" s="10">
        <f>SUMIFS('Custom Constraints'!$D:$D,'Custom Constraints'!$A:$A,"caiso-deliverability_"&amp;SUBSTITUTE(Dashboard!$D685,"_group",Dashboard!$D$633)&amp;"."&amp;YEAR(Dashboard!AA$537))</f>
        <v>0</v>
      </c>
      <c r="AB685" s="10">
        <f>SUMIFS('Custom Constraints'!$D:$D,'Custom Constraints'!$A:$A,"caiso-deliverability_"&amp;SUBSTITUTE(Dashboard!$D685,"_group",Dashboard!$D$633)&amp;"."&amp;YEAR(Dashboard!AB$537))</f>
        <v>0</v>
      </c>
      <c r="AC685" s="10">
        <f>SUMIFS('Custom Constraints'!$D:$D,'Custom Constraints'!$A:$A,"caiso-deliverability_"&amp;SUBSTITUTE(Dashboard!$D685,"_group",Dashboard!$D$633)&amp;"."&amp;YEAR(Dashboard!AC$537))</f>
        <v>0</v>
      </c>
      <c r="AD685" s="10">
        <f>SUMIFS('Custom Constraints'!$D:$D,'Custom Constraints'!$A:$A,"caiso-deliverability_"&amp;SUBSTITUTE(Dashboard!$D685,"_group",Dashboard!$D$633)&amp;"."&amp;YEAR(Dashboard!AD$537))</f>
        <v>1576</v>
      </c>
      <c r="AH685" s="34" t="s">
        <v>422</v>
      </c>
    </row>
    <row r="686" spans="4:34" outlineLevel="2" x14ac:dyDescent="0.2">
      <c r="D686" s="8" t="s">
        <v>275</v>
      </c>
      <c r="E686" s="10">
        <f>SUMIFS('Custom Constraints'!$D:$D,'Custom Constraints'!$A:$A,"caiso-deliverability_"&amp;SUBSTITUTE(Dashboard!$D686,"_group",Dashboard!$D$633)&amp;"."&amp;YEAR(Dashboard!E$537))</f>
        <v>0</v>
      </c>
      <c r="F686" s="10">
        <f>SUMIFS('Custom Constraints'!$D:$D,'Custom Constraints'!$A:$A,"caiso-deliverability_"&amp;SUBSTITUTE(Dashboard!$D686,"_group",Dashboard!$D$633)&amp;"."&amp;YEAR(Dashboard!F$537))</f>
        <v>0</v>
      </c>
      <c r="G686" s="10">
        <f>SUMIFS('Custom Constraints'!$D:$D,'Custom Constraints'!$A:$A,"caiso-deliverability_"&amp;SUBSTITUTE(Dashboard!$D686,"_group",Dashboard!$D$633)&amp;"."&amp;YEAR(Dashboard!G$537))</f>
        <v>0</v>
      </c>
      <c r="H686" s="10">
        <f>SUMIFS('Custom Constraints'!$D:$D,'Custom Constraints'!$A:$A,"caiso-deliverability_"&amp;SUBSTITUTE(Dashboard!$D686,"_group",Dashboard!$D$633)&amp;"."&amp;YEAR(Dashboard!H$537))</f>
        <v>0</v>
      </c>
      <c r="I686" s="10">
        <f>SUMIFS('Custom Constraints'!$D:$D,'Custom Constraints'!$A:$A,"caiso-deliverability_"&amp;SUBSTITUTE(Dashboard!$D686,"_group",Dashboard!$D$633)&amp;"."&amp;YEAR(Dashboard!I$537))</f>
        <v>0</v>
      </c>
      <c r="J686" s="10">
        <f>SUMIFS('Custom Constraints'!$D:$D,'Custom Constraints'!$A:$A,"caiso-deliverability_"&amp;SUBSTITUTE(Dashboard!$D686,"_group",Dashboard!$D$633)&amp;"."&amp;YEAR(Dashboard!J$537))</f>
        <v>0</v>
      </c>
      <c r="K686" s="10">
        <f>SUMIFS('Custom Constraints'!$D:$D,'Custom Constraints'!$A:$A,"caiso-deliverability_"&amp;SUBSTITUTE(Dashboard!$D686,"_group",Dashboard!$D$633)&amp;"."&amp;YEAR(Dashboard!K$537))</f>
        <v>0</v>
      </c>
      <c r="L686" s="10">
        <f>SUMIFS('Custom Constraints'!$D:$D,'Custom Constraints'!$A:$A,"caiso-deliverability_"&amp;SUBSTITUTE(Dashboard!$D686,"_group",Dashboard!$D$633)&amp;"."&amp;YEAR(Dashboard!L$537))</f>
        <v>0</v>
      </c>
      <c r="M686" s="10">
        <f>SUMIFS('Custom Constraints'!$D:$D,'Custom Constraints'!$A:$A,"caiso-deliverability_"&amp;SUBSTITUTE(Dashboard!$D686,"_group",Dashboard!$D$633)&amp;"."&amp;YEAR(Dashboard!M$537))</f>
        <v>0</v>
      </c>
      <c r="N686" s="10">
        <f>SUMIFS('Custom Constraints'!$D:$D,'Custom Constraints'!$A:$A,"caiso-deliverability_"&amp;SUBSTITUTE(Dashboard!$D686,"_group",Dashboard!$D$633)&amp;"."&amp;YEAR(Dashboard!N$537))</f>
        <v>0</v>
      </c>
      <c r="O686" s="10">
        <f>SUMIFS('Custom Constraints'!$D:$D,'Custom Constraints'!$A:$A,"caiso-deliverability_"&amp;SUBSTITUTE(Dashboard!$D686,"_group",Dashboard!$D$633)&amp;"."&amp;YEAR(Dashboard!O$537))</f>
        <v>0</v>
      </c>
      <c r="P686" s="10">
        <f>SUMIFS('Custom Constraints'!$D:$D,'Custom Constraints'!$A:$A,"caiso-deliverability_"&amp;SUBSTITUTE(Dashboard!$D686,"_group",Dashboard!$D$633)&amp;"."&amp;YEAR(Dashboard!P$537))</f>
        <v>0</v>
      </c>
      <c r="Q686" s="10">
        <f>SUMIFS('Custom Constraints'!$D:$D,'Custom Constraints'!$A:$A,"caiso-deliverability_"&amp;SUBSTITUTE(Dashboard!$D686,"_group",Dashboard!$D$633)&amp;"."&amp;YEAR(Dashboard!Q$537))</f>
        <v>0</v>
      </c>
      <c r="R686" s="10">
        <f>SUMIFS('Custom Constraints'!$D:$D,'Custom Constraints'!$A:$A,"caiso-deliverability_"&amp;SUBSTITUTE(Dashboard!$D686,"_group",Dashboard!$D$633)&amp;"."&amp;YEAR(Dashboard!R$537))</f>
        <v>0</v>
      </c>
      <c r="S686" s="10">
        <f>SUMIFS('Custom Constraints'!$D:$D,'Custom Constraints'!$A:$A,"caiso-deliverability_"&amp;SUBSTITUTE(Dashboard!$D686,"_group",Dashboard!$D$633)&amp;"."&amp;YEAR(Dashboard!S$537))</f>
        <v>0</v>
      </c>
      <c r="T686" s="10">
        <f>SUMIFS('Custom Constraints'!$D:$D,'Custom Constraints'!$A:$A,"caiso-deliverability_"&amp;SUBSTITUTE(Dashboard!$D686,"_group",Dashboard!$D$633)&amp;"."&amp;YEAR(Dashboard!T$537))</f>
        <v>0</v>
      </c>
      <c r="U686" s="10">
        <f>SUMIFS('Custom Constraints'!$D:$D,'Custom Constraints'!$A:$A,"caiso-deliverability_"&amp;SUBSTITUTE(Dashboard!$D686,"_group",Dashboard!$D$633)&amp;"."&amp;YEAR(Dashboard!U$537))</f>
        <v>0</v>
      </c>
      <c r="V686" s="10">
        <f>SUMIFS('Custom Constraints'!$D:$D,'Custom Constraints'!$A:$A,"caiso-deliverability_"&amp;SUBSTITUTE(Dashboard!$D686,"_group",Dashboard!$D$633)&amp;"."&amp;YEAR(Dashboard!V$537))</f>
        <v>0</v>
      </c>
      <c r="W686" s="10">
        <f>SUMIFS('Custom Constraints'!$D:$D,'Custom Constraints'!$A:$A,"caiso-deliverability_"&amp;SUBSTITUTE(Dashboard!$D686,"_group",Dashboard!$D$633)&amp;"."&amp;YEAR(Dashboard!W$537))</f>
        <v>0</v>
      </c>
      <c r="X686" s="10">
        <f>SUMIFS('Custom Constraints'!$D:$D,'Custom Constraints'!$A:$A,"caiso-deliverability_"&amp;SUBSTITUTE(Dashboard!$D686,"_group",Dashboard!$D$633)&amp;"."&amp;YEAR(Dashboard!X$537))</f>
        <v>0</v>
      </c>
      <c r="Y686" s="10">
        <f>SUMIFS('Custom Constraints'!$D:$D,'Custom Constraints'!$A:$A,"caiso-deliverability_"&amp;SUBSTITUTE(Dashboard!$D686,"_group",Dashboard!$D$633)&amp;"."&amp;YEAR(Dashboard!Y$537))</f>
        <v>0</v>
      </c>
      <c r="Z686" s="10">
        <f>SUMIFS('Custom Constraints'!$D:$D,'Custom Constraints'!$A:$A,"caiso-deliverability_"&amp;SUBSTITUTE(Dashboard!$D686,"_group",Dashboard!$D$633)&amp;"."&amp;YEAR(Dashboard!Z$537))</f>
        <v>0</v>
      </c>
      <c r="AA686" s="10">
        <f>SUMIFS('Custom Constraints'!$D:$D,'Custom Constraints'!$A:$A,"caiso-deliverability_"&amp;SUBSTITUTE(Dashboard!$D686,"_group",Dashboard!$D$633)&amp;"."&amp;YEAR(Dashboard!AA$537))</f>
        <v>0</v>
      </c>
      <c r="AB686" s="10">
        <f>SUMIFS('Custom Constraints'!$D:$D,'Custom Constraints'!$A:$A,"caiso-deliverability_"&amp;SUBSTITUTE(Dashboard!$D686,"_group",Dashboard!$D$633)&amp;"."&amp;YEAR(Dashboard!AB$537))</f>
        <v>0</v>
      </c>
      <c r="AC686" s="10">
        <f>SUMIFS('Custom Constraints'!$D:$D,'Custom Constraints'!$A:$A,"caiso-deliverability_"&amp;SUBSTITUTE(Dashboard!$D686,"_group",Dashboard!$D$633)&amp;"."&amp;YEAR(Dashboard!AC$537))</f>
        <v>0</v>
      </c>
      <c r="AD686" s="10">
        <f>SUMIFS('Custom Constraints'!$D:$D,'Custom Constraints'!$A:$A,"caiso-deliverability_"&amp;SUBSTITUTE(Dashboard!$D686,"_group",Dashboard!$D$633)&amp;"."&amp;YEAR(Dashboard!AD$537))</f>
        <v>1560</v>
      </c>
      <c r="AH686" s="34" t="s">
        <v>422</v>
      </c>
    </row>
    <row r="687" spans="4:34" outlineLevel="2" x14ac:dyDescent="0.2">
      <c r="D687" s="8" t="s">
        <v>276</v>
      </c>
      <c r="E687" s="10">
        <f>SUMIFS('Custom Constraints'!$D:$D,'Custom Constraints'!$A:$A,"caiso-deliverability_"&amp;SUBSTITUTE(Dashboard!$D687,"_group",Dashboard!$D$633)&amp;"."&amp;YEAR(Dashboard!E$537))</f>
        <v>0</v>
      </c>
      <c r="F687" s="10">
        <f>SUMIFS('Custom Constraints'!$D:$D,'Custom Constraints'!$A:$A,"caiso-deliverability_"&amp;SUBSTITUTE(Dashboard!$D687,"_group",Dashboard!$D$633)&amp;"."&amp;YEAR(Dashboard!F$537))</f>
        <v>0</v>
      </c>
      <c r="G687" s="10">
        <f>SUMIFS('Custom Constraints'!$D:$D,'Custom Constraints'!$A:$A,"caiso-deliverability_"&amp;SUBSTITUTE(Dashboard!$D687,"_group",Dashboard!$D$633)&amp;"."&amp;YEAR(Dashboard!G$537))</f>
        <v>0</v>
      </c>
      <c r="H687" s="10">
        <f>SUMIFS('Custom Constraints'!$D:$D,'Custom Constraints'!$A:$A,"caiso-deliverability_"&amp;SUBSTITUTE(Dashboard!$D687,"_group",Dashboard!$D$633)&amp;"."&amp;YEAR(Dashboard!H$537))</f>
        <v>0</v>
      </c>
      <c r="I687" s="10">
        <f>SUMIFS('Custom Constraints'!$D:$D,'Custom Constraints'!$A:$A,"caiso-deliverability_"&amp;SUBSTITUTE(Dashboard!$D687,"_group",Dashboard!$D$633)&amp;"."&amp;YEAR(Dashboard!I$537))</f>
        <v>0</v>
      </c>
      <c r="J687" s="10">
        <f>SUMIFS('Custom Constraints'!$D:$D,'Custom Constraints'!$A:$A,"caiso-deliverability_"&amp;SUBSTITUTE(Dashboard!$D687,"_group",Dashboard!$D$633)&amp;"."&amp;YEAR(Dashboard!J$537))</f>
        <v>0</v>
      </c>
      <c r="K687" s="10">
        <f>SUMIFS('Custom Constraints'!$D:$D,'Custom Constraints'!$A:$A,"caiso-deliverability_"&amp;SUBSTITUTE(Dashboard!$D687,"_group",Dashboard!$D$633)&amp;"."&amp;YEAR(Dashboard!K$537))</f>
        <v>0</v>
      </c>
      <c r="L687" s="10">
        <f>SUMIFS('Custom Constraints'!$D:$D,'Custom Constraints'!$A:$A,"caiso-deliverability_"&amp;SUBSTITUTE(Dashboard!$D687,"_group",Dashboard!$D$633)&amp;"."&amp;YEAR(Dashboard!L$537))</f>
        <v>0</v>
      </c>
      <c r="M687" s="10">
        <f>SUMIFS('Custom Constraints'!$D:$D,'Custom Constraints'!$A:$A,"caiso-deliverability_"&amp;SUBSTITUTE(Dashboard!$D687,"_group",Dashboard!$D$633)&amp;"."&amp;YEAR(Dashboard!M$537))</f>
        <v>0</v>
      </c>
      <c r="N687" s="10">
        <f>SUMIFS('Custom Constraints'!$D:$D,'Custom Constraints'!$A:$A,"caiso-deliverability_"&amp;SUBSTITUTE(Dashboard!$D687,"_group",Dashboard!$D$633)&amp;"."&amp;YEAR(Dashboard!N$537))</f>
        <v>0</v>
      </c>
      <c r="O687" s="10">
        <f>SUMIFS('Custom Constraints'!$D:$D,'Custom Constraints'!$A:$A,"caiso-deliverability_"&amp;SUBSTITUTE(Dashboard!$D687,"_group",Dashboard!$D$633)&amp;"."&amp;YEAR(Dashboard!O$537))</f>
        <v>0</v>
      </c>
      <c r="P687" s="10">
        <f>SUMIFS('Custom Constraints'!$D:$D,'Custom Constraints'!$A:$A,"caiso-deliverability_"&amp;SUBSTITUTE(Dashboard!$D687,"_group",Dashboard!$D$633)&amp;"."&amp;YEAR(Dashboard!P$537))</f>
        <v>0</v>
      </c>
      <c r="Q687" s="10">
        <f>SUMIFS('Custom Constraints'!$D:$D,'Custom Constraints'!$A:$A,"caiso-deliverability_"&amp;SUBSTITUTE(Dashboard!$D687,"_group",Dashboard!$D$633)&amp;"."&amp;YEAR(Dashboard!Q$537))</f>
        <v>0</v>
      </c>
      <c r="R687" s="10">
        <f>SUMIFS('Custom Constraints'!$D:$D,'Custom Constraints'!$A:$A,"caiso-deliverability_"&amp;SUBSTITUTE(Dashboard!$D687,"_group",Dashboard!$D$633)&amp;"."&amp;YEAR(Dashboard!R$537))</f>
        <v>0</v>
      </c>
      <c r="S687" s="10">
        <f>SUMIFS('Custom Constraints'!$D:$D,'Custom Constraints'!$A:$A,"caiso-deliverability_"&amp;SUBSTITUTE(Dashboard!$D687,"_group",Dashboard!$D$633)&amp;"."&amp;YEAR(Dashboard!S$537))</f>
        <v>0</v>
      </c>
      <c r="T687" s="10">
        <f>SUMIFS('Custom Constraints'!$D:$D,'Custom Constraints'!$A:$A,"caiso-deliverability_"&amp;SUBSTITUTE(Dashboard!$D687,"_group",Dashboard!$D$633)&amp;"."&amp;YEAR(Dashboard!T$537))</f>
        <v>0</v>
      </c>
      <c r="U687" s="10">
        <f>SUMIFS('Custom Constraints'!$D:$D,'Custom Constraints'!$A:$A,"caiso-deliverability_"&amp;SUBSTITUTE(Dashboard!$D687,"_group",Dashboard!$D$633)&amp;"."&amp;YEAR(Dashboard!U$537))</f>
        <v>0</v>
      </c>
      <c r="V687" s="10">
        <f>SUMIFS('Custom Constraints'!$D:$D,'Custom Constraints'!$A:$A,"caiso-deliverability_"&amp;SUBSTITUTE(Dashboard!$D687,"_group",Dashboard!$D$633)&amp;"."&amp;YEAR(Dashboard!V$537))</f>
        <v>0</v>
      </c>
      <c r="W687" s="10">
        <f>SUMIFS('Custom Constraints'!$D:$D,'Custom Constraints'!$A:$A,"caiso-deliverability_"&amp;SUBSTITUTE(Dashboard!$D687,"_group",Dashboard!$D$633)&amp;"."&amp;YEAR(Dashboard!W$537))</f>
        <v>0</v>
      </c>
      <c r="X687" s="10">
        <f>SUMIFS('Custom Constraints'!$D:$D,'Custom Constraints'!$A:$A,"caiso-deliverability_"&amp;SUBSTITUTE(Dashboard!$D687,"_group",Dashboard!$D$633)&amp;"."&amp;YEAR(Dashboard!X$537))</f>
        <v>0</v>
      </c>
      <c r="Y687" s="10">
        <f>SUMIFS('Custom Constraints'!$D:$D,'Custom Constraints'!$A:$A,"caiso-deliverability_"&amp;SUBSTITUTE(Dashboard!$D687,"_group",Dashboard!$D$633)&amp;"."&amp;YEAR(Dashboard!Y$537))</f>
        <v>0</v>
      </c>
      <c r="Z687" s="10">
        <f>SUMIFS('Custom Constraints'!$D:$D,'Custom Constraints'!$A:$A,"caiso-deliverability_"&amp;SUBSTITUTE(Dashboard!$D687,"_group",Dashboard!$D$633)&amp;"."&amp;YEAR(Dashboard!Z$537))</f>
        <v>0</v>
      </c>
      <c r="AA687" s="10">
        <f>SUMIFS('Custom Constraints'!$D:$D,'Custom Constraints'!$A:$A,"caiso-deliverability_"&amp;SUBSTITUTE(Dashboard!$D687,"_group",Dashboard!$D$633)&amp;"."&amp;YEAR(Dashboard!AA$537))</f>
        <v>0</v>
      </c>
      <c r="AB687" s="10">
        <f>SUMIFS('Custom Constraints'!$D:$D,'Custom Constraints'!$A:$A,"caiso-deliverability_"&amp;SUBSTITUTE(Dashboard!$D687,"_group",Dashboard!$D$633)&amp;"."&amp;YEAR(Dashboard!AB$537))</f>
        <v>0</v>
      </c>
      <c r="AC687" s="10">
        <f>SUMIFS('Custom Constraints'!$D:$D,'Custom Constraints'!$A:$A,"caiso-deliverability_"&amp;SUBSTITUTE(Dashboard!$D687,"_group",Dashboard!$D$633)&amp;"."&amp;YEAR(Dashboard!AC$537))</f>
        <v>0</v>
      </c>
      <c r="AD687" s="10">
        <f>SUMIFS('Custom Constraints'!$D:$D,'Custom Constraints'!$A:$A,"caiso-deliverability_"&amp;SUBSTITUTE(Dashboard!$D687,"_group",Dashboard!$D$633)&amp;"."&amp;YEAR(Dashboard!AD$537))</f>
        <v>1707.56</v>
      </c>
      <c r="AH687" s="34" t="s">
        <v>422</v>
      </c>
    </row>
    <row r="688" spans="4:34" outlineLevel="2" x14ac:dyDescent="0.2">
      <c r="D688" s="8" t="s">
        <v>277</v>
      </c>
      <c r="E688" s="10">
        <f>SUMIFS('Custom Constraints'!$D:$D,'Custom Constraints'!$A:$A,"caiso-deliverability_"&amp;SUBSTITUTE(Dashboard!$D688,"_group",Dashboard!$D$633)&amp;"."&amp;YEAR(Dashboard!E$537))</f>
        <v>0</v>
      </c>
      <c r="F688" s="10">
        <f>SUMIFS('Custom Constraints'!$D:$D,'Custom Constraints'!$A:$A,"caiso-deliverability_"&amp;SUBSTITUTE(Dashboard!$D688,"_group",Dashboard!$D$633)&amp;"."&amp;YEAR(Dashboard!F$537))</f>
        <v>0</v>
      </c>
      <c r="G688" s="10">
        <f>SUMIFS('Custom Constraints'!$D:$D,'Custom Constraints'!$A:$A,"caiso-deliverability_"&amp;SUBSTITUTE(Dashboard!$D688,"_group",Dashboard!$D$633)&amp;"."&amp;YEAR(Dashboard!G$537))</f>
        <v>0</v>
      </c>
      <c r="H688" s="10">
        <f>SUMIFS('Custom Constraints'!$D:$D,'Custom Constraints'!$A:$A,"caiso-deliverability_"&amp;SUBSTITUTE(Dashboard!$D688,"_group",Dashboard!$D$633)&amp;"."&amp;YEAR(Dashboard!H$537))</f>
        <v>0</v>
      </c>
      <c r="I688" s="10">
        <f>SUMIFS('Custom Constraints'!$D:$D,'Custom Constraints'!$A:$A,"caiso-deliverability_"&amp;SUBSTITUTE(Dashboard!$D688,"_group",Dashboard!$D$633)&amp;"."&amp;YEAR(Dashboard!I$537))</f>
        <v>0</v>
      </c>
      <c r="J688" s="10">
        <f>SUMIFS('Custom Constraints'!$D:$D,'Custom Constraints'!$A:$A,"caiso-deliverability_"&amp;SUBSTITUTE(Dashboard!$D688,"_group",Dashboard!$D$633)&amp;"."&amp;YEAR(Dashboard!J$537))</f>
        <v>0</v>
      </c>
      <c r="K688" s="10">
        <f>SUMIFS('Custom Constraints'!$D:$D,'Custom Constraints'!$A:$A,"caiso-deliverability_"&amp;SUBSTITUTE(Dashboard!$D688,"_group",Dashboard!$D$633)&amp;"."&amp;YEAR(Dashboard!K$537))</f>
        <v>0</v>
      </c>
      <c r="L688" s="10">
        <f>SUMIFS('Custom Constraints'!$D:$D,'Custom Constraints'!$A:$A,"caiso-deliverability_"&amp;SUBSTITUTE(Dashboard!$D688,"_group",Dashboard!$D$633)&amp;"."&amp;YEAR(Dashboard!L$537))</f>
        <v>0</v>
      </c>
      <c r="M688" s="10">
        <f>SUMIFS('Custom Constraints'!$D:$D,'Custom Constraints'!$A:$A,"caiso-deliverability_"&amp;SUBSTITUTE(Dashboard!$D688,"_group",Dashboard!$D$633)&amp;"."&amp;YEAR(Dashboard!M$537))</f>
        <v>0</v>
      </c>
      <c r="N688" s="10">
        <f>SUMIFS('Custom Constraints'!$D:$D,'Custom Constraints'!$A:$A,"caiso-deliverability_"&amp;SUBSTITUTE(Dashboard!$D688,"_group",Dashboard!$D$633)&amp;"."&amp;YEAR(Dashboard!N$537))</f>
        <v>0</v>
      </c>
      <c r="O688" s="10">
        <f>SUMIFS('Custom Constraints'!$D:$D,'Custom Constraints'!$A:$A,"caiso-deliverability_"&amp;SUBSTITUTE(Dashboard!$D688,"_group",Dashboard!$D$633)&amp;"."&amp;YEAR(Dashboard!O$537))</f>
        <v>0</v>
      </c>
      <c r="P688" s="10">
        <f>SUMIFS('Custom Constraints'!$D:$D,'Custom Constraints'!$A:$A,"caiso-deliverability_"&amp;SUBSTITUTE(Dashboard!$D688,"_group",Dashboard!$D$633)&amp;"."&amp;YEAR(Dashboard!P$537))</f>
        <v>0</v>
      </c>
      <c r="Q688" s="10">
        <f>SUMIFS('Custom Constraints'!$D:$D,'Custom Constraints'!$A:$A,"caiso-deliverability_"&amp;SUBSTITUTE(Dashboard!$D688,"_group",Dashboard!$D$633)&amp;"."&amp;YEAR(Dashboard!Q$537))</f>
        <v>0</v>
      </c>
      <c r="R688" s="10">
        <f>SUMIFS('Custom Constraints'!$D:$D,'Custom Constraints'!$A:$A,"caiso-deliverability_"&amp;SUBSTITUTE(Dashboard!$D688,"_group",Dashboard!$D$633)&amp;"."&amp;YEAR(Dashboard!R$537))</f>
        <v>0</v>
      </c>
      <c r="S688" s="10">
        <f>SUMIFS('Custom Constraints'!$D:$D,'Custom Constraints'!$A:$A,"caiso-deliverability_"&amp;SUBSTITUTE(Dashboard!$D688,"_group",Dashboard!$D$633)&amp;"."&amp;YEAR(Dashboard!S$537))</f>
        <v>0</v>
      </c>
      <c r="T688" s="10">
        <f>SUMIFS('Custom Constraints'!$D:$D,'Custom Constraints'!$A:$A,"caiso-deliverability_"&amp;SUBSTITUTE(Dashboard!$D688,"_group",Dashboard!$D$633)&amp;"."&amp;YEAR(Dashboard!T$537))</f>
        <v>0</v>
      </c>
      <c r="U688" s="10">
        <f>SUMIFS('Custom Constraints'!$D:$D,'Custom Constraints'!$A:$A,"caiso-deliverability_"&amp;SUBSTITUTE(Dashboard!$D688,"_group",Dashboard!$D$633)&amp;"."&amp;YEAR(Dashboard!U$537))</f>
        <v>0</v>
      </c>
      <c r="V688" s="10">
        <f>SUMIFS('Custom Constraints'!$D:$D,'Custom Constraints'!$A:$A,"caiso-deliverability_"&amp;SUBSTITUTE(Dashboard!$D688,"_group",Dashboard!$D$633)&amp;"."&amp;YEAR(Dashboard!V$537))</f>
        <v>0</v>
      </c>
      <c r="W688" s="10">
        <f>SUMIFS('Custom Constraints'!$D:$D,'Custom Constraints'!$A:$A,"caiso-deliverability_"&amp;SUBSTITUTE(Dashboard!$D688,"_group",Dashboard!$D$633)&amp;"."&amp;YEAR(Dashboard!W$537))</f>
        <v>0</v>
      </c>
      <c r="X688" s="10">
        <f>SUMIFS('Custom Constraints'!$D:$D,'Custom Constraints'!$A:$A,"caiso-deliverability_"&amp;SUBSTITUTE(Dashboard!$D688,"_group",Dashboard!$D$633)&amp;"."&amp;YEAR(Dashboard!X$537))</f>
        <v>0</v>
      </c>
      <c r="Y688" s="10">
        <f>SUMIFS('Custom Constraints'!$D:$D,'Custom Constraints'!$A:$A,"caiso-deliverability_"&amp;SUBSTITUTE(Dashboard!$D688,"_group",Dashboard!$D$633)&amp;"."&amp;YEAR(Dashboard!Y$537))</f>
        <v>0</v>
      </c>
      <c r="Z688" s="10">
        <f>SUMIFS('Custom Constraints'!$D:$D,'Custom Constraints'!$A:$A,"caiso-deliverability_"&amp;SUBSTITUTE(Dashboard!$D688,"_group",Dashboard!$D$633)&amp;"."&amp;YEAR(Dashboard!Z$537))</f>
        <v>0</v>
      </c>
      <c r="AA688" s="10">
        <f>SUMIFS('Custom Constraints'!$D:$D,'Custom Constraints'!$A:$A,"caiso-deliverability_"&amp;SUBSTITUTE(Dashboard!$D688,"_group",Dashboard!$D$633)&amp;"."&amp;YEAR(Dashboard!AA$537))</f>
        <v>0</v>
      </c>
      <c r="AB688" s="10">
        <f>SUMIFS('Custom Constraints'!$D:$D,'Custom Constraints'!$A:$A,"caiso-deliverability_"&amp;SUBSTITUTE(Dashboard!$D688,"_group",Dashboard!$D$633)&amp;"."&amp;YEAR(Dashboard!AB$537))</f>
        <v>0</v>
      </c>
      <c r="AC688" s="10">
        <f>SUMIFS('Custom Constraints'!$D:$D,'Custom Constraints'!$A:$A,"caiso-deliverability_"&amp;SUBSTITUTE(Dashboard!$D688,"_group",Dashboard!$D$633)&amp;"."&amp;YEAR(Dashboard!AC$537))</f>
        <v>0</v>
      </c>
      <c r="AD688" s="10">
        <f>SUMIFS('Custom Constraints'!$D:$D,'Custom Constraints'!$A:$A,"caiso-deliverability_"&amp;SUBSTITUTE(Dashboard!$D688,"_group",Dashboard!$D$633)&amp;"."&amp;YEAR(Dashboard!AD$537))</f>
        <v>1611</v>
      </c>
      <c r="AH688" s="34" t="s">
        <v>422</v>
      </c>
    </row>
    <row r="689" spans="4:34" outlineLevel="2" x14ac:dyDescent="0.2">
      <c r="D689" s="8" t="s">
        <v>278</v>
      </c>
      <c r="E689" s="10">
        <f>SUMIFS('Custom Constraints'!$D:$D,'Custom Constraints'!$A:$A,"caiso-deliverability_"&amp;SUBSTITUTE(Dashboard!$D689,"_group",Dashboard!$D$633)&amp;"."&amp;YEAR(Dashboard!E$537))</f>
        <v>0</v>
      </c>
      <c r="F689" s="10">
        <f>SUMIFS('Custom Constraints'!$D:$D,'Custom Constraints'!$A:$A,"caiso-deliverability_"&amp;SUBSTITUTE(Dashboard!$D689,"_group",Dashboard!$D$633)&amp;"."&amp;YEAR(Dashboard!F$537))</f>
        <v>0</v>
      </c>
      <c r="G689" s="10">
        <f>SUMIFS('Custom Constraints'!$D:$D,'Custom Constraints'!$A:$A,"caiso-deliverability_"&amp;SUBSTITUTE(Dashboard!$D689,"_group",Dashboard!$D$633)&amp;"."&amp;YEAR(Dashboard!G$537))</f>
        <v>0</v>
      </c>
      <c r="H689" s="10">
        <f>SUMIFS('Custom Constraints'!$D:$D,'Custom Constraints'!$A:$A,"caiso-deliverability_"&amp;SUBSTITUTE(Dashboard!$D689,"_group",Dashboard!$D$633)&amp;"."&amp;YEAR(Dashboard!H$537))</f>
        <v>0</v>
      </c>
      <c r="I689" s="10">
        <f>SUMIFS('Custom Constraints'!$D:$D,'Custom Constraints'!$A:$A,"caiso-deliverability_"&amp;SUBSTITUTE(Dashboard!$D689,"_group",Dashboard!$D$633)&amp;"."&amp;YEAR(Dashboard!I$537))</f>
        <v>0</v>
      </c>
      <c r="J689" s="10">
        <f>SUMIFS('Custom Constraints'!$D:$D,'Custom Constraints'!$A:$A,"caiso-deliverability_"&amp;SUBSTITUTE(Dashboard!$D689,"_group",Dashboard!$D$633)&amp;"."&amp;YEAR(Dashboard!J$537))</f>
        <v>0</v>
      </c>
      <c r="K689" s="10">
        <f>SUMIFS('Custom Constraints'!$D:$D,'Custom Constraints'!$A:$A,"caiso-deliverability_"&amp;SUBSTITUTE(Dashboard!$D689,"_group",Dashboard!$D$633)&amp;"."&amp;YEAR(Dashboard!K$537))</f>
        <v>0</v>
      </c>
      <c r="L689" s="10">
        <f>SUMIFS('Custom Constraints'!$D:$D,'Custom Constraints'!$A:$A,"caiso-deliverability_"&amp;SUBSTITUTE(Dashboard!$D689,"_group",Dashboard!$D$633)&amp;"."&amp;YEAR(Dashboard!L$537))</f>
        <v>0</v>
      </c>
      <c r="M689" s="10">
        <f>SUMIFS('Custom Constraints'!$D:$D,'Custom Constraints'!$A:$A,"caiso-deliverability_"&amp;SUBSTITUTE(Dashboard!$D689,"_group",Dashboard!$D$633)&amp;"."&amp;YEAR(Dashboard!M$537))</f>
        <v>0</v>
      </c>
      <c r="N689" s="10">
        <f>SUMIFS('Custom Constraints'!$D:$D,'Custom Constraints'!$A:$A,"caiso-deliverability_"&amp;SUBSTITUTE(Dashboard!$D689,"_group",Dashboard!$D$633)&amp;"."&amp;YEAR(Dashboard!N$537))</f>
        <v>0</v>
      </c>
      <c r="O689" s="10">
        <f>SUMIFS('Custom Constraints'!$D:$D,'Custom Constraints'!$A:$A,"caiso-deliverability_"&amp;SUBSTITUTE(Dashboard!$D689,"_group",Dashboard!$D$633)&amp;"."&amp;YEAR(Dashboard!O$537))</f>
        <v>0</v>
      </c>
      <c r="P689" s="10">
        <f>SUMIFS('Custom Constraints'!$D:$D,'Custom Constraints'!$A:$A,"caiso-deliverability_"&amp;SUBSTITUTE(Dashboard!$D689,"_group",Dashboard!$D$633)&amp;"."&amp;YEAR(Dashboard!P$537))</f>
        <v>0</v>
      </c>
      <c r="Q689" s="10">
        <f>SUMIFS('Custom Constraints'!$D:$D,'Custom Constraints'!$A:$A,"caiso-deliverability_"&amp;SUBSTITUTE(Dashboard!$D689,"_group",Dashboard!$D$633)&amp;"."&amp;YEAR(Dashboard!Q$537))</f>
        <v>0</v>
      </c>
      <c r="R689" s="10">
        <f>SUMIFS('Custom Constraints'!$D:$D,'Custom Constraints'!$A:$A,"caiso-deliverability_"&amp;SUBSTITUTE(Dashboard!$D689,"_group",Dashboard!$D$633)&amp;"."&amp;YEAR(Dashboard!R$537))</f>
        <v>0</v>
      </c>
      <c r="S689" s="10">
        <f>SUMIFS('Custom Constraints'!$D:$D,'Custom Constraints'!$A:$A,"caiso-deliverability_"&amp;SUBSTITUTE(Dashboard!$D689,"_group",Dashboard!$D$633)&amp;"."&amp;YEAR(Dashboard!S$537))</f>
        <v>0</v>
      </c>
      <c r="T689" s="10">
        <f>SUMIFS('Custom Constraints'!$D:$D,'Custom Constraints'!$A:$A,"caiso-deliverability_"&amp;SUBSTITUTE(Dashboard!$D689,"_group",Dashboard!$D$633)&amp;"."&amp;YEAR(Dashboard!T$537))</f>
        <v>0</v>
      </c>
      <c r="U689" s="10">
        <f>SUMIFS('Custom Constraints'!$D:$D,'Custom Constraints'!$A:$A,"caiso-deliverability_"&amp;SUBSTITUTE(Dashboard!$D689,"_group",Dashboard!$D$633)&amp;"."&amp;YEAR(Dashboard!U$537))</f>
        <v>0</v>
      </c>
      <c r="V689" s="10">
        <f>SUMIFS('Custom Constraints'!$D:$D,'Custom Constraints'!$A:$A,"caiso-deliverability_"&amp;SUBSTITUTE(Dashboard!$D689,"_group",Dashboard!$D$633)&amp;"."&amp;YEAR(Dashboard!V$537))</f>
        <v>0</v>
      </c>
      <c r="W689" s="10">
        <f>SUMIFS('Custom Constraints'!$D:$D,'Custom Constraints'!$A:$A,"caiso-deliverability_"&amp;SUBSTITUTE(Dashboard!$D689,"_group",Dashboard!$D$633)&amp;"."&amp;YEAR(Dashboard!W$537))</f>
        <v>0</v>
      </c>
      <c r="X689" s="10">
        <f>SUMIFS('Custom Constraints'!$D:$D,'Custom Constraints'!$A:$A,"caiso-deliverability_"&amp;SUBSTITUTE(Dashboard!$D689,"_group",Dashboard!$D$633)&amp;"."&amp;YEAR(Dashboard!X$537))</f>
        <v>0</v>
      </c>
      <c r="Y689" s="10">
        <f>SUMIFS('Custom Constraints'!$D:$D,'Custom Constraints'!$A:$A,"caiso-deliverability_"&amp;SUBSTITUTE(Dashboard!$D689,"_group",Dashboard!$D$633)&amp;"."&amp;YEAR(Dashboard!Y$537))</f>
        <v>0</v>
      </c>
      <c r="Z689" s="10">
        <f>SUMIFS('Custom Constraints'!$D:$D,'Custom Constraints'!$A:$A,"caiso-deliverability_"&amp;SUBSTITUTE(Dashboard!$D689,"_group",Dashboard!$D$633)&amp;"."&amp;YEAR(Dashboard!Z$537))</f>
        <v>0</v>
      </c>
      <c r="AA689" s="10">
        <f>SUMIFS('Custom Constraints'!$D:$D,'Custom Constraints'!$A:$A,"caiso-deliverability_"&amp;SUBSTITUTE(Dashboard!$D689,"_group",Dashboard!$D$633)&amp;"."&amp;YEAR(Dashboard!AA$537))</f>
        <v>0</v>
      </c>
      <c r="AB689" s="10">
        <f>SUMIFS('Custom Constraints'!$D:$D,'Custom Constraints'!$A:$A,"caiso-deliverability_"&amp;SUBSTITUTE(Dashboard!$D689,"_group",Dashboard!$D$633)&amp;"."&amp;YEAR(Dashboard!AB$537))</f>
        <v>0</v>
      </c>
      <c r="AC689" s="10">
        <f>SUMIFS('Custom Constraints'!$D:$D,'Custom Constraints'!$A:$A,"caiso-deliverability_"&amp;SUBSTITUTE(Dashboard!$D689,"_group",Dashboard!$D$633)&amp;"."&amp;YEAR(Dashboard!AC$537))</f>
        <v>0</v>
      </c>
      <c r="AD689" s="10">
        <f>SUMIFS('Custom Constraints'!$D:$D,'Custom Constraints'!$A:$A,"caiso-deliverability_"&amp;SUBSTITUTE(Dashboard!$D689,"_group",Dashboard!$D$633)&amp;"."&amp;YEAR(Dashboard!AD$537))</f>
        <v>1748</v>
      </c>
      <c r="AH689" s="34" t="s">
        <v>422</v>
      </c>
    </row>
    <row r="690" spans="4:34" outlineLevel="2" x14ac:dyDescent="0.2">
      <c r="D690" s="8" t="s">
        <v>279</v>
      </c>
      <c r="E690" s="10">
        <f>SUMIFS('Custom Constraints'!$D:$D,'Custom Constraints'!$A:$A,"caiso-deliverability_"&amp;SUBSTITUTE(Dashboard!$D690,"_group",Dashboard!$D$633)&amp;"."&amp;YEAR(Dashboard!E$537))</f>
        <v>0</v>
      </c>
      <c r="F690" s="10">
        <f>SUMIFS('Custom Constraints'!$D:$D,'Custom Constraints'!$A:$A,"caiso-deliverability_"&amp;SUBSTITUTE(Dashboard!$D690,"_group",Dashboard!$D$633)&amp;"."&amp;YEAR(Dashboard!F$537))</f>
        <v>0</v>
      </c>
      <c r="G690" s="10">
        <f>SUMIFS('Custom Constraints'!$D:$D,'Custom Constraints'!$A:$A,"caiso-deliverability_"&amp;SUBSTITUTE(Dashboard!$D690,"_group",Dashboard!$D$633)&amp;"."&amp;YEAR(Dashboard!G$537))</f>
        <v>0</v>
      </c>
      <c r="H690" s="10">
        <f>SUMIFS('Custom Constraints'!$D:$D,'Custom Constraints'!$A:$A,"caiso-deliverability_"&amp;SUBSTITUTE(Dashboard!$D690,"_group",Dashboard!$D$633)&amp;"."&amp;YEAR(Dashboard!H$537))</f>
        <v>0</v>
      </c>
      <c r="I690" s="10">
        <f>SUMIFS('Custom Constraints'!$D:$D,'Custom Constraints'!$A:$A,"caiso-deliverability_"&amp;SUBSTITUTE(Dashboard!$D690,"_group",Dashboard!$D$633)&amp;"."&amp;YEAR(Dashboard!I$537))</f>
        <v>0</v>
      </c>
      <c r="J690" s="10">
        <f>SUMIFS('Custom Constraints'!$D:$D,'Custom Constraints'!$A:$A,"caiso-deliverability_"&amp;SUBSTITUTE(Dashboard!$D690,"_group",Dashboard!$D$633)&amp;"."&amp;YEAR(Dashboard!J$537))</f>
        <v>0</v>
      </c>
      <c r="K690" s="10">
        <f>SUMIFS('Custom Constraints'!$D:$D,'Custom Constraints'!$A:$A,"caiso-deliverability_"&amp;SUBSTITUTE(Dashboard!$D690,"_group",Dashboard!$D$633)&amp;"."&amp;YEAR(Dashboard!K$537))</f>
        <v>0</v>
      </c>
      <c r="L690" s="10">
        <f>SUMIFS('Custom Constraints'!$D:$D,'Custom Constraints'!$A:$A,"caiso-deliverability_"&amp;SUBSTITUTE(Dashboard!$D690,"_group",Dashboard!$D$633)&amp;"."&amp;YEAR(Dashboard!L$537))</f>
        <v>0</v>
      </c>
      <c r="M690" s="10">
        <f>SUMIFS('Custom Constraints'!$D:$D,'Custom Constraints'!$A:$A,"caiso-deliverability_"&amp;SUBSTITUTE(Dashboard!$D690,"_group",Dashboard!$D$633)&amp;"."&amp;YEAR(Dashboard!M$537))</f>
        <v>0</v>
      </c>
      <c r="N690" s="10">
        <f>SUMIFS('Custom Constraints'!$D:$D,'Custom Constraints'!$A:$A,"caiso-deliverability_"&amp;SUBSTITUTE(Dashboard!$D690,"_group",Dashboard!$D$633)&amp;"."&amp;YEAR(Dashboard!N$537))</f>
        <v>0</v>
      </c>
      <c r="O690" s="10">
        <f>SUMIFS('Custom Constraints'!$D:$D,'Custom Constraints'!$A:$A,"caiso-deliverability_"&amp;SUBSTITUTE(Dashboard!$D690,"_group",Dashboard!$D$633)&amp;"."&amp;YEAR(Dashboard!O$537))</f>
        <v>0</v>
      </c>
      <c r="P690" s="10">
        <f>SUMIFS('Custom Constraints'!$D:$D,'Custom Constraints'!$A:$A,"caiso-deliverability_"&amp;SUBSTITUTE(Dashboard!$D690,"_group",Dashboard!$D$633)&amp;"."&amp;YEAR(Dashboard!P$537))</f>
        <v>0</v>
      </c>
      <c r="Q690" s="10">
        <f>SUMIFS('Custom Constraints'!$D:$D,'Custom Constraints'!$A:$A,"caiso-deliverability_"&amp;SUBSTITUTE(Dashboard!$D690,"_group",Dashboard!$D$633)&amp;"."&amp;YEAR(Dashboard!Q$537))</f>
        <v>0</v>
      </c>
      <c r="R690" s="10">
        <f>SUMIFS('Custom Constraints'!$D:$D,'Custom Constraints'!$A:$A,"caiso-deliverability_"&amp;SUBSTITUTE(Dashboard!$D690,"_group",Dashboard!$D$633)&amp;"."&amp;YEAR(Dashboard!R$537))</f>
        <v>0</v>
      </c>
      <c r="S690" s="10">
        <f>SUMIFS('Custom Constraints'!$D:$D,'Custom Constraints'!$A:$A,"caiso-deliverability_"&amp;SUBSTITUTE(Dashboard!$D690,"_group",Dashboard!$D$633)&amp;"."&amp;YEAR(Dashboard!S$537))</f>
        <v>0</v>
      </c>
      <c r="T690" s="10">
        <f>SUMIFS('Custom Constraints'!$D:$D,'Custom Constraints'!$A:$A,"caiso-deliverability_"&amp;SUBSTITUTE(Dashboard!$D690,"_group",Dashboard!$D$633)&amp;"."&amp;YEAR(Dashboard!T$537))</f>
        <v>0</v>
      </c>
      <c r="U690" s="10">
        <f>SUMIFS('Custom Constraints'!$D:$D,'Custom Constraints'!$A:$A,"caiso-deliverability_"&amp;SUBSTITUTE(Dashboard!$D690,"_group",Dashboard!$D$633)&amp;"."&amp;YEAR(Dashboard!U$537))</f>
        <v>0</v>
      </c>
      <c r="V690" s="10">
        <f>SUMIFS('Custom Constraints'!$D:$D,'Custom Constraints'!$A:$A,"caiso-deliverability_"&amp;SUBSTITUTE(Dashboard!$D690,"_group",Dashboard!$D$633)&amp;"."&amp;YEAR(Dashboard!V$537))</f>
        <v>0</v>
      </c>
      <c r="W690" s="10">
        <f>SUMIFS('Custom Constraints'!$D:$D,'Custom Constraints'!$A:$A,"caiso-deliverability_"&amp;SUBSTITUTE(Dashboard!$D690,"_group",Dashboard!$D$633)&amp;"."&amp;YEAR(Dashboard!W$537))</f>
        <v>0</v>
      </c>
      <c r="X690" s="10">
        <f>SUMIFS('Custom Constraints'!$D:$D,'Custom Constraints'!$A:$A,"caiso-deliverability_"&amp;SUBSTITUTE(Dashboard!$D690,"_group",Dashboard!$D$633)&amp;"."&amp;YEAR(Dashboard!X$537))</f>
        <v>0</v>
      </c>
      <c r="Y690" s="10">
        <f>SUMIFS('Custom Constraints'!$D:$D,'Custom Constraints'!$A:$A,"caiso-deliverability_"&amp;SUBSTITUTE(Dashboard!$D690,"_group",Dashboard!$D$633)&amp;"."&amp;YEAR(Dashboard!Y$537))</f>
        <v>0</v>
      </c>
      <c r="Z690" s="10">
        <f>SUMIFS('Custom Constraints'!$D:$D,'Custom Constraints'!$A:$A,"caiso-deliverability_"&amp;SUBSTITUTE(Dashboard!$D690,"_group",Dashboard!$D$633)&amp;"."&amp;YEAR(Dashboard!Z$537))</f>
        <v>0</v>
      </c>
      <c r="AA690" s="10">
        <f>SUMIFS('Custom Constraints'!$D:$D,'Custom Constraints'!$A:$A,"caiso-deliverability_"&amp;SUBSTITUTE(Dashboard!$D690,"_group",Dashboard!$D$633)&amp;"."&amp;YEAR(Dashboard!AA$537))</f>
        <v>0</v>
      </c>
      <c r="AB690" s="10">
        <f>SUMIFS('Custom Constraints'!$D:$D,'Custom Constraints'!$A:$A,"caiso-deliverability_"&amp;SUBSTITUTE(Dashboard!$D690,"_group",Dashboard!$D$633)&amp;"."&amp;YEAR(Dashboard!AB$537))</f>
        <v>0</v>
      </c>
      <c r="AC690" s="10">
        <f>SUMIFS('Custom Constraints'!$D:$D,'Custom Constraints'!$A:$A,"caiso-deliverability_"&amp;SUBSTITUTE(Dashboard!$D690,"_group",Dashboard!$D$633)&amp;"."&amp;YEAR(Dashboard!AC$537))</f>
        <v>0</v>
      </c>
      <c r="AD690" s="10">
        <f>SUMIFS('Custom Constraints'!$D:$D,'Custom Constraints'!$A:$A,"caiso-deliverability_"&amp;SUBSTITUTE(Dashboard!$D690,"_group",Dashboard!$D$633)&amp;"."&amp;YEAR(Dashboard!AD$537))</f>
        <v>5700</v>
      </c>
      <c r="AH690" s="34" t="s">
        <v>422</v>
      </c>
    </row>
    <row r="691" spans="4:34" outlineLevel="2" x14ac:dyDescent="0.2">
      <c r="D691" s="8" t="s">
        <v>280</v>
      </c>
      <c r="E691" s="10">
        <f>SUMIFS('Custom Constraints'!$D:$D,'Custom Constraints'!$A:$A,"caiso-deliverability_"&amp;SUBSTITUTE(Dashboard!$D691,"_group",Dashboard!$D$633)&amp;"."&amp;YEAR(Dashboard!E$537))</f>
        <v>0</v>
      </c>
      <c r="F691" s="10">
        <f>SUMIFS('Custom Constraints'!$D:$D,'Custom Constraints'!$A:$A,"caiso-deliverability_"&amp;SUBSTITUTE(Dashboard!$D691,"_group",Dashboard!$D$633)&amp;"."&amp;YEAR(Dashboard!F$537))</f>
        <v>0</v>
      </c>
      <c r="G691" s="10">
        <f>SUMIFS('Custom Constraints'!$D:$D,'Custom Constraints'!$A:$A,"caiso-deliverability_"&amp;SUBSTITUTE(Dashboard!$D691,"_group",Dashboard!$D$633)&amp;"."&amp;YEAR(Dashboard!G$537))</f>
        <v>0</v>
      </c>
      <c r="H691" s="10">
        <f>SUMIFS('Custom Constraints'!$D:$D,'Custom Constraints'!$A:$A,"caiso-deliverability_"&amp;SUBSTITUTE(Dashboard!$D691,"_group",Dashboard!$D$633)&amp;"."&amp;YEAR(Dashboard!H$537))</f>
        <v>0</v>
      </c>
      <c r="I691" s="10">
        <f>SUMIFS('Custom Constraints'!$D:$D,'Custom Constraints'!$A:$A,"caiso-deliverability_"&amp;SUBSTITUTE(Dashboard!$D691,"_group",Dashboard!$D$633)&amp;"."&amp;YEAR(Dashboard!I$537))</f>
        <v>0</v>
      </c>
      <c r="J691" s="10">
        <f>SUMIFS('Custom Constraints'!$D:$D,'Custom Constraints'!$A:$A,"caiso-deliverability_"&amp;SUBSTITUTE(Dashboard!$D691,"_group",Dashboard!$D$633)&amp;"."&amp;YEAR(Dashboard!J$537))</f>
        <v>0</v>
      </c>
      <c r="K691" s="10">
        <f>SUMIFS('Custom Constraints'!$D:$D,'Custom Constraints'!$A:$A,"caiso-deliverability_"&amp;SUBSTITUTE(Dashboard!$D691,"_group",Dashboard!$D$633)&amp;"."&amp;YEAR(Dashboard!K$537))</f>
        <v>0</v>
      </c>
      <c r="L691" s="10">
        <f>SUMIFS('Custom Constraints'!$D:$D,'Custom Constraints'!$A:$A,"caiso-deliverability_"&amp;SUBSTITUTE(Dashboard!$D691,"_group",Dashboard!$D$633)&amp;"."&amp;YEAR(Dashboard!L$537))</f>
        <v>0</v>
      </c>
      <c r="M691" s="10">
        <f>SUMIFS('Custom Constraints'!$D:$D,'Custom Constraints'!$A:$A,"caiso-deliverability_"&amp;SUBSTITUTE(Dashboard!$D691,"_group",Dashboard!$D$633)&amp;"."&amp;YEAR(Dashboard!M$537))</f>
        <v>0</v>
      </c>
      <c r="N691" s="10">
        <f>SUMIFS('Custom Constraints'!$D:$D,'Custom Constraints'!$A:$A,"caiso-deliverability_"&amp;SUBSTITUTE(Dashboard!$D691,"_group",Dashboard!$D$633)&amp;"."&amp;YEAR(Dashboard!N$537))</f>
        <v>0</v>
      </c>
      <c r="O691" s="10">
        <f>SUMIFS('Custom Constraints'!$D:$D,'Custom Constraints'!$A:$A,"caiso-deliverability_"&amp;SUBSTITUTE(Dashboard!$D691,"_group",Dashboard!$D$633)&amp;"."&amp;YEAR(Dashboard!O$537))</f>
        <v>0</v>
      </c>
      <c r="P691" s="10">
        <f>SUMIFS('Custom Constraints'!$D:$D,'Custom Constraints'!$A:$A,"caiso-deliverability_"&amp;SUBSTITUTE(Dashboard!$D691,"_group",Dashboard!$D$633)&amp;"."&amp;YEAR(Dashboard!P$537))</f>
        <v>0</v>
      </c>
      <c r="Q691" s="10">
        <f>SUMIFS('Custom Constraints'!$D:$D,'Custom Constraints'!$A:$A,"caiso-deliverability_"&amp;SUBSTITUTE(Dashboard!$D691,"_group",Dashboard!$D$633)&amp;"."&amp;YEAR(Dashboard!Q$537))</f>
        <v>0</v>
      </c>
      <c r="R691" s="10">
        <f>SUMIFS('Custom Constraints'!$D:$D,'Custom Constraints'!$A:$A,"caiso-deliverability_"&amp;SUBSTITUTE(Dashboard!$D691,"_group",Dashboard!$D$633)&amp;"."&amp;YEAR(Dashboard!R$537))</f>
        <v>0</v>
      </c>
      <c r="S691" s="10">
        <f>SUMIFS('Custom Constraints'!$D:$D,'Custom Constraints'!$A:$A,"caiso-deliverability_"&amp;SUBSTITUTE(Dashboard!$D691,"_group",Dashboard!$D$633)&amp;"."&amp;YEAR(Dashboard!S$537))</f>
        <v>0</v>
      </c>
      <c r="T691" s="10">
        <f>SUMIFS('Custom Constraints'!$D:$D,'Custom Constraints'!$A:$A,"caiso-deliverability_"&amp;SUBSTITUTE(Dashboard!$D691,"_group",Dashboard!$D$633)&amp;"."&amp;YEAR(Dashboard!T$537))</f>
        <v>0</v>
      </c>
      <c r="U691" s="10">
        <f>SUMIFS('Custom Constraints'!$D:$D,'Custom Constraints'!$A:$A,"caiso-deliverability_"&amp;SUBSTITUTE(Dashboard!$D691,"_group",Dashboard!$D$633)&amp;"."&amp;YEAR(Dashboard!U$537))</f>
        <v>0</v>
      </c>
      <c r="V691" s="10">
        <f>SUMIFS('Custom Constraints'!$D:$D,'Custom Constraints'!$A:$A,"caiso-deliverability_"&amp;SUBSTITUTE(Dashboard!$D691,"_group",Dashboard!$D$633)&amp;"."&amp;YEAR(Dashboard!V$537))</f>
        <v>0</v>
      </c>
      <c r="W691" s="10">
        <f>SUMIFS('Custom Constraints'!$D:$D,'Custom Constraints'!$A:$A,"caiso-deliverability_"&amp;SUBSTITUTE(Dashboard!$D691,"_group",Dashboard!$D$633)&amp;"."&amp;YEAR(Dashboard!W$537))</f>
        <v>0</v>
      </c>
      <c r="X691" s="10">
        <f>SUMIFS('Custom Constraints'!$D:$D,'Custom Constraints'!$A:$A,"caiso-deliverability_"&amp;SUBSTITUTE(Dashboard!$D691,"_group",Dashboard!$D$633)&amp;"."&amp;YEAR(Dashboard!X$537))</f>
        <v>0</v>
      </c>
      <c r="Y691" s="10">
        <f>SUMIFS('Custom Constraints'!$D:$D,'Custom Constraints'!$A:$A,"caiso-deliverability_"&amp;SUBSTITUTE(Dashboard!$D691,"_group",Dashboard!$D$633)&amp;"."&amp;YEAR(Dashboard!Y$537))</f>
        <v>0</v>
      </c>
      <c r="Z691" s="10">
        <f>SUMIFS('Custom Constraints'!$D:$D,'Custom Constraints'!$A:$A,"caiso-deliverability_"&amp;SUBSTITUTE(Dashboard!$D691,"_group",Dashboard!$D$633)&amp;"."&amp;YEAR(Dashboard!Z$537))</f>
        <v>0</v>
      </c>
      <c r="AA691" s="10">
        <f>SUMIFS('Custom Constraints'!$D:$D,'Custom Constraints'!$A:$A,"caiso-deliverability_"&amp;SUBSTITUTE(Dashboard!$D691,"_group",Dashboard!$D$633)&amp;"."&amp;YEAR(Dashboard!AA$537))</f>
        <v>0</v>
      </c>
      <c r="AB691" s="10">
        <f>SUMIFS('Custom Constraints'!$D:$D,'Custom Constraints'!$A:$A,"caiso-deliverability_"&amp;SUBSTITUTE(Dashboard!$D691,"_group",Dashboard!$D$633)&amp;"."&amp;YEAR(Dashboard!AB$537))</f>
        <v>0</v>
      </c>
      <c r="AC691" s="10">
        <f>SUMIFS('Custom Constraints'!$D:$D,'Custom Constraints'!$A:$A,"caiso-deliverability_"&amp;SUBSTITUTE(Dashboard!$D691,"_group",Dashboard!$D$633)&amp;"."&amp;YEAR(Dashboard!AC$537))</f>
        <v>0</v>
      </c>
      <c r="AD691" s="10">
        <f>SUMIFS('Custom Constraints'!$D:$D,'Custom Constraints'!$A:$A,"caiso-deliverability_"&amp;SUBSTITUTE(Dashboard!$D691,"_group",Dashboard!$D$633)&amp;"."&amp;YEAR(Dashboard!AD$537))</f>
        <v>1202</v>
      </c>
      <c r="AH691" s="34" t="s">
        <v>422</v>
      </c>
    </row>
    <row r="692" spans="4:34" outlineLevel="2" x14ac:dyDescent="0.2">
      <c r="D692" s="8" t="s">
        <v>281</v>
      </c>
      <c r="E692" s="10">
        <f>SUMIFS('Custom Constraints'!$D:$D,'Custom Constraints'!$A:$A,"caiso-deliverability_"&amp;SUBSTITUTE(Dashboard!$D692,"_group",Dashboard!$D$633)&amp;"."&amp;YEAR(Dashboard!E$537))</f>
        <v>0</v>
      </c>
      <c r="F692" s="10">
        <f>SUMIFS('Custom Constraints'!$D:$D,'Custom Constraints'!$A:$A,"caiso-deliverability_"&amp;SUBSTITUTE(Dashboard!$D692,"_group",Dashboard!$D$633)&amp;"."&amp;YEAR(Dashboard!F$537))</f>
        <v>0</v>
      </c>
      <c r="G692" s="10">
        <f>SUMIFS('Custom Constraints'!$D:$D,'Custom Constraints'!$A:$A,"caiso-deliverability_"&amp;SUBSTITUTE(Dashboard!$D692,"_group",Dashboard!$D$633)&amp;"."&amp;YEAR(Dashboard!G$537))</f>
        <v>0</v>
      </c>
      <c r="H692" s="10">
        <f>SUMIFS('Custom Constraints'!$D:$D,'Custom Constraints'!$A:$A,"caiso-deliverability_"&amp;SUBSTITUTE(Dashboard!$D692,"_group",Dashboard!$D$633)&amp;"."&amp;YEAR(Dashboard!H$537))</f>
        <v>0</v>
      </c>
      <c r="I692" s="10">
        <f>SUMIFS('Custom Constraints'!$D:$D,'Custom Constraints'!$A:$A,"caiso-deliverability_"&amp;SUBSTITUTE(Dashboard!$D692,"_group",Dashboard!$D$633)&amp;"."&amp;YEAR(Dashboard!I$537))</f>
        <v>0</v>
      </c>
      <c r="J692" s="10">
        <f>SUMIFS('Custom Constraints'!$D:$D,'Custom Constraints'!$A:$A,"caiso-deliverability_"&amp;SUBSTITUTE(Dashboard!$D692,"_group",Dashboard!$D$633)&amp;"."&amp;YEAR(Dashboard!J$537))</f>
        <v>0</v>
      </c>
      <c r="K692" s="10">
        <f>SUMIFS('Custom Constraints'!$D:$D,'Custom Constraints'!$A:$A,"caiso-deliverability_"&amp;SUBSTITUTE(Dashboard!$D692,"_group",Dashboard!$D$633)&amp;"."&amp;YEAR(Dashboard!K$537))</f>
        <v>0</v>
      </c>
      <c r="L692" s="10">
        <f>SUMIFS('Custom Constraints'!$D:$D,'Custom Constraints'!$A:$A,"caiso-deliverability_"&amp;SUBSTITUTE(Dashboard!$D692,"_group",Dashboard!$D$633)&amp;"."&amp;YEAR(Dashboard!L$537))</f>
        <v>0</v>
      </c>
      <c r="M692" s="10">
        <f>SUMIFS('Custom Constraints'!$D:$D,'Custom Constraints'!$A:$A,"caiso-deliverability_"&amp;SUBSTITUTE(Dashboard!$D692,"_group",Dashboard!$D$633)&amp;"."&amp;YEAR(Dashboard!M$537))</f>
        <v>0</v>
      </c>
      <c r="N692" s="10">
        <f>SUMIFS('Custom Constraints'!$D:$D,'Custom Constraints'!$A:$A,"caiso-deliverability_"&amp;SUBSTITUTE(Dashboard!$D692,"_group",Dashboard!$D$633)&amp;"."&amp;YEAR(Dashboard!N$537))</f>
        <v>0</v>
      </c>
      <c r="O692" s="10">
        <f>SUMIFS('Custom Constraints'!$D:$D,'Custom Constraints'!$A:$A,"caiso-deliverability_"&amp;SUBSTITUTE(Dashboard!$D692,"_group",Dashboard!$D$633)&amp;"."&amp;YEAR(Dashboard!O$537))</f>
        <v>0</v>
      </c>
      <c r="P692" s="10">
        <f>SUMIFS('Custom Constraints'!$D:$D,'Custom Constraints'!$A:$A,"caiso-deliverability_"&amp;SUBSTITUTE(Dashboard!$D692,"_group",Dashboard!$D$633)&amp;"."&amp;YEAR(Dashboard!P$537))</f>
        <v>0</v>
      </c>
      <c r="Q692" s="10">
        <f>SUMIFS('Custom Constraints'!$D:$D,'Custom Constraints'!$A:$A,"caiso-deliverability_"&amp;SUBSTITUTE(Dashboard!$D692,"_group",Dashboard!$D$633)&amp;"."&amp;YEAR(Dashboard!Q$537))</f>
        <v>0</v>
      </c>
      <c r="R692" s="10">
        <f>SUMIFS('Custom Constraints'!$D:$D,'Custom Constraints'!$A:$A,"caiso-deliverability_"&amp;SUBSTITUTE(Dashboard!$D692,"_group",Dashboard!$D$633)&amp;"."&amp;YEAR(Dashboard!R$537))</f>
        <v>0</v>
      </c>
      <c r="S692" s="10">
        <f>SUMIFS('Custom Constraints'!$D:$D,'Custom Constraints'!$A:$A,"caiso-deliverability_"&amp;SUBSTITUTE(Dashboard!$D692,"_group",Dashboard!$D$633)&amp;"."&amp;YEAR(Dashboard!S$537))</f>
        <v>0</v>
      </c>
      <c r="T692" s="10">
        <f>SUMIFS('Custom Constraints'!$D:$D,'Custom Constraints'!$A:$A,"caiso-deliverability_"&amp;SUBSTITUTE(Dashboard!$D692,"_group",Dashboard!$D$633)&amp;"."&amp;YEAR(Dashboard!T$537))</f>
        <v>0</v>
      </c>
      <c r="U692" s="10">
        <f>SUMIFS('Custom Constraints'!$D:$D,'Custom Constraints'!$A:$A,"caiso-deliverability_"&amp;SUBSTITUTE(Dashboard!$D692,"_group",Dashboard!$D$633)&amp;"."&amp;YEAR(Dashboard!U$537))</f>
        <v>0</v>
      </c>
      <c r="V692" s="10">
        <f>SUMIFS('Custom Constraints'!$D:$D,'Custom Constraints'!$A:$A,"caiso-deliverability_"&amp;SUBSTITUTE(Dashboard!$D692,"_group",Dashboard!$D$633)&amp;"."&amp;YEAR(Dashboard!V$537))</f>
        <v>0</v>
      </c>
      <c r="W692" s="10">
        <f>SUMIFS('Custom Constraints'!$D:$D,'Custom Constraints'!$A:$A,"caiso-deliverability_"&amp;SUBSTITUTE(Dashboard!$D692,"_group",Dashboard!$D$633)&amp;"."&amp;YEAR(Dashboard!W$537))</f>
        <v>0</v>
      </c>
      <c r="X692" s="10">
        <f>SUMIFS('Custom Constraints'!$D:$D,'Custom Constraints'!$A:$A,"caiso-deliverability_"&amp;SUBSTITUTE(Dashboard!$D692,"_group",Dashboard!$D$633)&amp;"."&amp;YEAR(Dashboard!X$537))</f>
        <v>0</v>
      </c>
      <c r="Y692" s="10">
        <f>SUMIFS('Custom Constraints'!$D:$D,'Custom Constraints'!$A:$A,"caiso-deliverability_"&amp;SUBSTITUTE(Dashboard!$D692,"_group",Dashboard!$D$633)&amp;"."&amp;YEAR(Dashboard!Y$537))</f>
        <v>0</v>
      </c>
      <c r="Z692" s="10">
        <f>SUMIFS('Custom Constraints'!$D:$D,'Custom Constraints'!$A:$A,"caiso-deliverability_"&amp;SUBSTITUTE(Dashboard!$D692,"_group",Dashboard!$D$633)&amp;"."&amp;YEAR(Dashboard!Z$537))</f>
        <v>0</v>
      </c>
      <c r="AA692" s="10">
        <f>SUMIFS('Custom Constraints'!$D:$D,'Custom Constraints'!$A:$A,"caiso-deliverability_"&amp;SUBSTITUTE(Dashboard!$D692,"_group",Dashboard!$D$633)&amp;"."&amp;YEAR(Dashboard!AA$537))</f>
        <v>0</v>
      </c>
      <c r="AB692" s="10">
        <f>SUMIFS('Custom Constraints'!$D:$D,'Custom Constraints'!$A:$A,"caiso-deliverability_"&amp;SUBSTITUTE(Dashboard!$D692,"_group",Dashboard!$D$633)&amp;"."&amp;YEAR(Dashboard!AB$537))</f>
        <v>0</v>
      </c>
      <c r="AC692" s="10">
        <f>SUMIFS('Custom Constraints'!$D:$D,'Custom Constraints'!$A:$A,"caiso-deliverability_"&amp;SUBSTITUTE(Dashboard!$D692,"_group",Dashboard!$D$633)&amp;"."&amp;YEAR(Dashboard!AC$537))</f>
        <v>0</v>
      </c>
      <c r="AD692" s="10">
        <f>SUMIFS('Custom Constraints'!$D:$D,'Custom Constraints'!$A:$A,"caiso-deliverability_"&amp;SUBSTITUTE(Dashboard!$D692,"_group",Dashboard!$D$633)&amp;"."&amp;YEAR(Dashboard!AD$537))</f>
        <v>826</v>
      </c>
      <c r="AH692" s="34" t="s">
        <v>422</v>
      </c>
    </row>
    <row r="693" spans="4:34" outlineLevel="2" x14ac:dyDescent="0.2">
      <c r="D693" s="8" t="s">
        <v>282</v>
      </c>
      <c r="E693" s="10">
        <f>SUMIFS('Custom Constraints'!$D:$D,'Custom Constraints'!$A:$A,"caiso-deliverability_"&amp;SUBSTITUTE(Dashboard!$D693,"_group",Dashboard!$D$633)&amp;"."&amp;YEAR(Dashboard!E$537))</f>
        <v>0</v>
      </c>
      <c r="F693" s="10">
        <f>SUMIFS('Custom Constraints'!$D:$D,'Custom Constraints'!$A:$A,"caiso-deliverability_"&amp;SUBSTITUTE(Dashboard!$D693,"_group",Dashboard!$D$633)&amp;"."&amp;YEAR(Dashboard!F$537))</f>
        <v>0</v>
      </c>
      <c r="G693" s="10">
        <f>SUMIFS('Custom Constraints'!$D:$D,'Custom Constraints'!$A:$A,"caiso-deliverability_"&amp;SUBSTITUTE(Dashboard!$D693,"_group",Dashboard!$D$633)&amp;"."&amp;YEAR(Dashboard!G$537))</f>
        <v>0</v>
      </c>
      <c r="H693" s="10">
        <f>SUMIFS('Custom Constraints'!$D:$D,'Custom Constraints'!$A:$A,"caiso-deliverability_"&amp;SUBSTITUTE(Dashboard!$D693,"_group",Dashboard!$D$633)&amp;"."&amp;YEAR(Dashboard!H$537))</f>
        <v>0</v>
      </c>
      <c r="I693" s="10">
        <f>SUMIFS('Custom Constraints'!$D:$D,'Custom Constraints'!$A:$A,"caiso-deliverability_"&amp;SUBSTITUTE(Dashboard!$D693,"_group",Dashboard!$D$633)&amp;"."&amp;YEAR(Dashboard!I$537))</f>
        <v>0</v>
      </c>
      <c r="J693" s="10">
        <f>SUMIFS('Custom Constraints'!$D:$D,'Custom Constraints'!$A:$A,"caiso-deliverability_"&amp;SUBSTITUTE(Dashboard!$D693,"_group",Dashboard!$D$633)&amp;"."&amp;YEAR(Dashboard!J$537))</f>
        <v>0</v>
      </c>
      <c r="K693" s="10">
        <f>SUMIFS('Custom Constraints'!$D:$D,'Custom Constraints'!$A:$A,"caiso-deliverability_"&amp;SUBSTITUTE(Dashboard!$D693,"_group",Dashboard!$D$633)&amp;"."&amp;YEAR(Dashboard!K$537))</f>
        <v>0</v>
      </c>
      <c r="L693" s="10">
        <f>SUMIFS('Custom Constraints'!$D:$D,'Custom Constraints'!$A:$A,"caiso-deliverability_"&amp;SUBSTITUTE(Dashboard!$D693,"_group",Dashboard!$D$633)&amp;"."&amp;YEAR(Dashboard!L$537))</f>
        <v>0</v>
      </c>
      <c r="M693" s="10">
        <f>SUMIFS('Custom Constraints'!$D:$D,'Custom Constraints'!$A:$A,"caiso-deliverability_"&amp;SUBSTITUTE(Dashboard!$D693,"_group",Dashboard!$D$633)&amp;"."&amp;YEAR(Dashboard!M$537))</f>
        <v>0</v>
      </c>
      <c r="N693" s="10">
        <f>SUMIFS('Custom Constraints'!$D:$D,'Custom Constraints'!$A:$A,"caiso-deliverability_"&amp;SUBSTITUTE(Dashboard!$D693,"_group",Dashboard!$D$633)&amp;"."&amp;YEAR(Dashboard!N$537))</f>
        <v>0</v>
      </c>
      <c r="O693" s="10">
        <f>SUMIFS('Custom Constraints'!$D:$D,'Custom Constraints'!$A:$A,"caiso-deliverability_"&amp;SUBSTITUTE(Dashboard!$D693,"_group",Dashboard!$D$633)&amp;"."&amp;YEAR(Dashboard!O$537))</f>
        <v>0</v>
      </c>
      <c r="P693" s="10">
        <f>SUMIFS('Custom Constraints'!$D:$D,'Custom Constraints'!$A:$A,"caiso-deliverability_"&amp;SUBSTITUTE(Dashboard!$D693,"_group",Dashboard!$D$633)&amp;"."&amp;YEAR(Dashboard!P$537))</f>
        <v>0</v>
      </c>
      <c r="Q693" s="10">
        <f>SUMIFS('Custom Constraints'!$D:$D,'Custom Constraints'!$A:$A,"caiso-deliverability_"&amp;SUBSTITUTE(Dashboard!$D693,"_group",Dashboard!$D$633)&amp;"."&amp;YEAR(Dashboard!Q$537))</f>
        <v>0</v>
      </c>
      <c r="R693" s="10">
        <f>SUMIFS('Custom Constraints'!$D:$D,'Custom Constraints'!$A:$A,"caiso-deliverability_"&amp;SUBSTITUTE(Dashboard!$D693,"_group",Dashboard!$D$633)&amp;"."&amp;YEAR(Dashboard!R$537))</f>
        <v>0</v>
      </c>
      <c r="S693" s="10">
        <f>SUMIFS('Custom Constraints'!$D:$D,'Custom Constraints'!$A:$A,"caiso-deliverability_"&amp;SUBSTITUTE(Dashboard!$D693,"_group",Dashboard!$D$633)&amp;"."&amp;YEAR(Dashboard!S$537))</f>
        <v>0</v>
      </c>
      <c r="T693" s="10">
        <f>SUMIFS('Custom Constraints'!$D:$D,'Custom Constraints'!$A:$A,"caiso-deliverability_"&amp;SUBSTITUTE(Dashboard!$D693,"_group",Dashboard!$D$633)&amp;"."&amp;YEAR(Dashboard!T$537))</f>
        <v>0</v>
      </c>
      <c r="U693" s="10">
        <f>SUMIFS('Custom Constraints'!$D:$D,'Custom Constraints'!$A:$A,"caiso-deliverability_"&amp;SUBSTITUTE(Dashboard!$D693,"_group",Dashboard!$D$633)&amp;"."&amp;YEAR(Dashboard!U$537))</f>
        <v>0</v>
      </c>
      <c r="V693" s="10">
        <f>SUMIFS('Custom Constraints'!$D:$D,'Custom Constraints'!$A:$A,"caiso-deliverability_"&amp;SUBSTITUTE(Dashboard!$D693,"_group",Dashboard!$D$633)&amp;"."&amp;YEAR(Dashboard!V$537))</f>
        <v>0</v>
      </c>
      <c r="W693" s="10">
        <f>SUMIFS('Custom Constraints'!$D:$D,'Custom Constraints'!$A:$A,"caiso-deliverability_"&amp;SUBSTITUTE(Dashboard!$D693,"_group",Dashboard!$D$633)&amp;"."&amp;YEAR(Dashboard!W$537))</f>
        <v>0</v>
      </c>
      <c r="X693" s="10">
        <f>SUMIFS('Custom Constraints'!$D:$D,'Custom Constraints'!$A:$A,"caiso-deliverability_"&amp;SUBSTITUTE(Dashboard!$D693,"_group",Dashboard!$D$633)&amp;"."&amp;YEAR(Dashboard!X$537))</f>
        <v>0</v>
      </c>
      <c r="Y693" s="10">
        <f>SUMIFS('Custom Constraints'!$D:$D,'Custom Constraints'!$A:$A,"caiso-deliverability_"&amp;SUBSTITUTE(Dashboard!$D693,"_group",Dashboard!$D$633)&amp;"."&amp;YEAR(Dashboard!Y$537))</f>
        <v>0</v>
      </c>
      <c r="Z693" s="10">
        <f>SUMIFS('Custom Constraints'!$D:$D,'Custom Constraints'!$A:$A,"caiso-deliverability_"&amp;SUBSTITUTE(Dashboard!$D693,"_group",Dashboard!$D$633)&amp;"."&amp;YEAR(Dashboard!Z$537))</f>
        <v>0</v>
      </c>
      <c r="AA693" s="10">
        <f>SUMIFS('Custom Constraints'!$D:$D,'Custom Constraints'!$A:$A,"caiso-deliverability_"&amp;SUBSTITUTE(Dashboard!$D693,"_group",Dashboard!$D$633)&amp;"."&amp;YEAR(Dashboard!AA$537))</f>
        <v>0</v>
      </c>
      <c r="AB693" s="10">
        <f>SUMIFS('Custom Constraints'!$D:$D,'Custom Constraints'!$A:$A,"caiso-deliverability_"&amp;SUBSTITUTE(Dashboard!$D693,"_group",Dashboard!$D$633)&amp;"."&amp;YEAR(Dashboard!AB$537))</f>
        <v>0</v>
      </c>
      <c r="AC693" s="10">
        <f>SUMIFS('Custom Constraints'!$D:$D,'Custom Constraints'!$A:$A,"caiso-deliverability_"&amp;SUBSTITUTE(Dashboard!$D693,"_group",Dashboard!$D$633)&amp;"."&amp;YEAR(Dashboard!AC$537))</f>
        <v>0</v>
      </c>
      <c r="AD693" s="10">
        <f>SUMIFS('Custom Constraints'!$D:$D,'Custom Constraints'!$A:$A,"caiso-deliverability_"&amp;SUBSTITUTE(Dashboard!$D693,"_group",Dashboard!$D$633)&amp;"."&amp;YEAR(Dashboard!AD$537))</f>
        <v>1156</v>
      </c>
      <c r="AH693" s="34" t="s">
        <v>422</v>
      </c>
    </row>
    <row r="694" spans="4:34" outlineLevel="2" x14ac:dyDescent="0.2">
      <c r="D694" s="8" t="s">
        <v>283</v>
      </c>
      <c r="E694" s="10">
        <f>SUMIFS('Custom Constraints'!$D:$D,'Custom Constraints'!$A:$A,"caiso-deliverability_"&amp;SUBSTITUTE(Dashboard!$D694,"_group",Dashboard!$D$633)&amp;"."&amp;YEAR(Dashboard!E$537))</f>
        <v>0</v>
      </c>
      <c r="F694" s="10">
        <f>SUMIFS('Custom Constraints'!$D:$D,'Custom Constraints'!$A:$A,"caiso-deliverability_"&amp;SUBSTITUTE(Dashboard!$D694,"_group",Dashboard!$D$633)&amp;"."&amp;YEAR(Dashboard!F$537))</f>
        <v>0</v>
      </c>
      <c r="G694" s="10">
        <f>SUMIFS('Custom Constraints'!$D:$D,'Custom Constraints'!$A:$A,"caiso-deliverability_"&amp;SUBSTITUTE(Dashboard!$D694,"_group",Dashboard!$D$633)&amp;"."&amp;YEAR(Dashboard!G$537))</f>
        <v>0</v>
      </c>
      <c r="H694" s="10">
        <f>SUMIFS('Custom Constraints'!$D:$D,'Custom Constraints'!$A:$A,"caiso-deliverability_"&amp;SUBSTITUTE(Dashboard!$D694,"_group",Dashboard!$D$633)&amp;"."&amp;YEAR(Dashboard!H$537))</f>
        <v>0</v>
      </c>
      <c r="I694" s="10">
        <f>SUMIFS('Custom Constraints'!$D:$D,'Custom Constraints'!$A:$A,"caiso-deliverability_"&amp;SUBSTITUTE(Dashboard!$D694,"_group",Dashboard!$D$633)&amp;"."&amp;YEAR(Dashboard!I$537))</f>
        <v>0</v>
      </c>
      <c r="J694" s="10">
        <f>SUMIFS('Custom Constraints'!$D:$D,'Custom Constraints'!$A:$A,"caiso-deliverability_"&amp;SUBSTITUTE(Dashboard!$D694,"_group",Dashboard!$D$633)&amp;"."&amp;YEAR(Dashboard!J$537))</f>
        <v>0</v>
      </c>
      <c r="K694" s="10">
        <f>SUMIFS('Custom Constraints'!$D:$D,'Custom Constraints'!$A:$A,"caiso-deliverability_"&amp;SUBSTITUTE(Dashboard!$D694,"_group",Dashboard!$D$633)&amp;"."&amp;YEAR(Dashboard!K$537))</f>
        <v>0</v>
      </c>
      <c r="L694" s="10">
        <f>SUMIFS('Custom Constraints'!$D:$D,'Custom Constraints'!$A:$A,"caiso-deliverability_"&amp;SUBSTITUTE(Dashboard!$D694,"_group",Dashboard!$D$633)&amp;"."&amp;YEAR(Dashboard!L$537))</f>
        <v>0</v>
      </c>
      <c r="M694" s="10">
        <f>SUMIFS('Custom Constraints'!$D:$D,'Custom Constraints'!$A:$A,"caiso-deliverability_"&amp;SUBSTITUTE(Dashboard!$D694,"_group",Dashboard!$D$633)&amp;"."&amp;YEAR(Dashboard!M$537))</f>
        <v>0</v>
      </c>
      <c r="N694" s="10">
        <f>SUMIFS('Custom Constraints'!$D:$D,'Custom Constraints'!$A:$A,"caiso-deliverability_"&amp;SUBSTITUTE(Dashboard!$D694,"_group",Dashboard!$D$633)&amp;"."&amp;YEAR(Dashboard!N$537))</f>
        <v>0</v>
      </c>
      <c r="O694" s="10">
        <f>SUMIFS('Custom Constraints'!$D:$D,'Custom Constraints'!$A:$A,"caiso-deliverability_"&amp;SUBSTITUTE(Dashboard!$D694,"_group",Dashboard!$D$633)&amp;"."&amp;YEAR(Dashboard!O$537))</f>
        <v>0</v>
      </c>
      <c r="P694" s="10">
        <f>SUMIFS('Custom Constraints'!$D:$D,'Custom Constraints'!$A:$A,"caiso-deliverability_"&amp;SUBSTITUTE(Dashboard!$D694,"_group",Dashboard!$D$633)&amp;"."&amp;YEAR(Dashboard!P$537))</f>
        <v>0</v>
      </c>
      <c r="Q694" s="10">
        <f>SUMIFS('Custom Constraints'!$D:$D,'Custom Constraints'!$A:$A,"caiso-deliverability_"&amp;SUBSTITUTE(Dashboard!$D694,"_group",Dashboard!$D$633)&amp;"."&amp;YEAR(Dashboard!Q$537))</f>
        <v>0</v>
      </c>
      <c r="R694" s="10">
        <f>SUMIFS('Custom Constraints'!$D:$D,'Custom Constraints'!$A:$A,"caiso-deliverability_"&amp;SUBSTITUTE(Dashboard!$D694,"_group",Dashboard!$D$633)&amp;"."&amp;YEAR(Dashboard!R$537))</f>
        <v>0</v>
      </c>
      <c r="S694" s="10">
        <f>SUMIFS('Custom Constraints'!$D:$D,'Custom Constraints'!$A:$A,"caiso-deliverability_"&amp;SUBSTITUTE(Dashboard!$D694,"_group",Dashboard!$D$633)&amp;"."&amp;YEAR(Dashboard!S$537))</f>
        <v>0</v>
      </c>
      <c r="T694" s="10">
        <f>SUMIFS('Custom Constraints'!$D:$D,'Custom Constraints'!$A:$A,"caiso-deliverability_"&amp;SUBSTITUTE(Dashboard!$D694,"_group",Dashboard!$D$633)&amp;"."&amp;YEAR(Dashboard!T$537))</f>
        <v>0</v>
      </c>
      <c r="U694" s="10">
        <f>SUMIFS('Custom Constraints'!$D:$D,'Custom Constraints'!$A:$A,"caiso-deliverability_"&amp;SUBSTITUTE(Dashboard!$D694,"_group",Dashboard!$D$633)&amp;"."&amp;YEAR(Dashboard!U$537))</f>
        <v>0</v>
      </c>
      <c r="V694" s="10">
        <f>SUMIFS('Custom Constraints'!$D:$D,'Custom Constraints'!$A:$A,"caiso-deliverability_"&amp;SUBSTITUTE(Dashboard!$D694,"_group",Dashboard!$D$633)&amp;"."&amp;YEAR(Dashboard!V$537))</f>
        <v>0</v>
      </c>
      <c r="W694" s="10">
        <f>SUMIFS('Custom Constraints'!$D:$D,'Custom Constraints'!$A:$A,"caiso-deliverability_"&amp;SUBSTITUTE(Dashboard!$D694,"_group",Dashboard!$D$633)&amp;"."&amp;YEAR(Dashboard!W$537))</f>
        <v>0</v>
      </c>
      <c r="X694" s="10">
        <f>SUMIFS('Custom Constraints'!$D:$D,'Custom Constraints'!$A:$A,"caiso-deliverability_"&amp;SUBSTITUTE(Dashboard!$D694,"_group",Dashboard!$D$633)&amp;"."&amp;YEAR(Dashboard!X$537))</f>
        <v>0</v>
      </c>
      <c r="Y694" s="10">
        <f>SUMIFS('Custom Constraints'!$D:$D,'Custom Constraints'!$A:$A,"caiso-deliverability_"&amp;SUBSTITUTE(Dashboard!$D694,"_group",Dashboard!$D$633)&amp;"."&amp;YEAR(Dashboard!Y$537))</f>
        <v>0</v>
      </c>
      <c r="Z694" s="10">
        <f>SUMIFS('Custom Constraints'!$D:$D,'Custom Constraints'!$A:$A,"caiso-deliverability_"&amp;SUBSTITUTE(Dashboard!$D694,"_group",Dashboard!$D$633)&amp;"."&amp;YEAR(Dashboard!Z$537))</f>
        <v>0</v>
      </c>
      <c r="AA694" s="10">
        <f>SUMIFS('Custom Constraints'!$D:$D,'Custom Constraints'!$A:$A,"caiso-deliverability_"&amp;SUBSTITUTE(Dashboard!$D694,"_group",Dashboard!$D$633)&amp;"."&amp;YEAR(Dashboard!AA$537))</f>
        <v>0</v>
      </c>
      <c r="AB694" s="10">
        <f>SUMIFS('Custom Constraints'!$D:$D,'Custom Constraints'!$A:$A,"caiso-deliverability_"&amp;SUBSTITUTE(Dashboard!$D694,"_group",Dashboard!$D$633)&amp;"."&amp;YEAR(Dashboard!AB$537))</f>
        <v>0</v>
      </c>
      <c r="AC694" s="10">
        <f>SUMIFS('Custom Constraints'!$D:$D,'Custom Constraints'!$A:$A,"caiso-deliverability_"&amp;SUBSTITUTE(Dashboard!$D694,"_group",Dashboard!$D$633)&amp;"."&amp;YEAR(Dashboard!AC$537))</f>
        <v>0</v>
      </c>
      <c r="AD694" s="10">
        <f>SUMIFS('Custom Constraints'!$D:$D,'Custom Constraints'!$A:$A,"caiso-deliverability_"&amp;SUBSTITUTE(Dashboard!$D694,"_group",Dashboard!$D$633)&amp;"."&amp;YEAR(Dashboard!AD$537))</f>
        <v>4040</v>
      </c>
      <c r="AH694" s="34" t="s">
        <v>422</v>
      </c>
    </row>
    <row r="695" spans="4:34" outlineLevel="2" x14ac:dyDescent="0.2">
      <c r="D695" s="8" t="s">
        <v>284</v>
      </c>
      <c r="E695" s="10">
        <f>SUMIFS('Custom Constraints'!$D:$D,'Custom Constraints'!$A:$A,"caiso-deliverability_"&amp;SUBSTITUTE(Dashboard!$D695,"_group",Dashboard!$D$633)&amp;"."&amp;YEAR(Dashboard!E$537))</f>
        <v>0</v>
      </c>
      <c r="F695" s="10">
        <f>SUMIFS('Custom Constraints'!$D:$D,'Custom Constraints'!$A:$A,"caiso-deliverability_"&amp;SUBSTITUTE(Dashboard!$D695,"_group",Dashboard!$D$633)&amp;"."&amp;YEAR(Dashboard!F$537))</f>
        <v>0</v>
      </c>
      <c r="G695" s="10">
        <f>SUMIFS('Custom Constraints'!$D:$D,'Custom Constraints'!$A:$A,"caiso-deliverability_"&amp;SUBSTITUTE(Dashboard!$D695,"_group",Dashboard!$D$633)&amp;"."&amp;YEAR(Dashboard!G$537))</f>
        <v>0</v>
      </c>
      <c r="H695" s="10">
        <f>SUMIFS('Custom Constraints'!$D:$D,'Custom Constraints'!$A:$A,"caiso-deliverability_"&amp;SUBSTITUTE(Dashboard!$D695,"_group",Dashboard!$D$633)&amp;"."&amp;YEAR(Dashboard!H$537))</f>
        <v>0</v>
      </c>
      <c r="I695" s="10">
        <f>SUMIFS('Custom Constraints'!$D:$D,'Custom Constraints'!$A:$A,"caiso-deliverability_"&amp;SUBSTITUTE(Dashboard!$D695,"_group",Dashboard!$D$633)&amp;"."&amp;YEAR(Dashboard!I$537))</f>
        <v>0</v>
      </c>
      <c r="J695" s="10">
        <f>SUMIFS('Custom Constraints'!$D:$D,'Custom Constraints'!$A:$A,"caiso-deliverability_"&amp;SUBSTITUTE(Dashboard!$D695,"_group",Dashboard!$D$633)&amp;"."&amp;YEAR(Dashboard!J$537))</f>
        <v>0</v>
      </c>
      <c r="K695" s="10">
        <f>SUMIFS('Custom Constraints'!$D:$D,'Custom Constraints'!$A:$A,"caiso-deliverability_"&amp;SUBSTITUTE(Dashboard!$D695,"_group",Dashboard!$D$633)&amp;"."&amp;YEAR(Dashboard!K$537))</f>
        <v>0</v>
      </c>
      <c r="L695" s="10">
        <f>SUMIFS('Custom Constraints'!$D:$D,'Custom Constraints'!$A:$A,"caiso-deliverability_"&amp;SUBSTITUTE(Dashboard!$D695,"_group",Dashboard!$D$633)&amp;"."&amp;YEAR(Dashboard!L$537))</f>
        <v>0</v>
      </c>
      <c r="M695" s="10">
        <f>SUMIFS('Custom Constraints'!$D:$D,'Custom Constraints'!$A:$A,"caiso-deliverability_"&amp;SUBSTITUTE(Dashboard!$D695,"_group",Dashboard!$D$633)&amp;"."&amp;YEAR(Dashboard!M$537))</f>
        <v>0</v>
      </c>
      <c r="N695" s="10">
        <f>SUMIFS('Custom Constraints'!$D:$D,'Custom Constraints'!$A:$A,"caiso-deliverability_"&amp;SUBSTITUTE(Dashboard!$D695,"_group",Dashboard!$D$633)&amp;"."&amp;YEAR(Dashboard!N$537))</f>
        <v>0</v>
      </c>
      <c r="O695" s="10">
        <f>SUMIFS('Custom Constraints'!$D:$D,'Custom Constraints'!$A:$A,"caiso-deliverability_"&amp;SUBSTITUTE(Dashboard!$D695,"_group",Dashboard!$D$633)&amp;"."&amp;YEAR(Dashboard!O$537))</f>
        <v>0</v>
      </c>
      <c r="P695" s="10">
        <f>SUMIFS('Custom Constraints'!$D:$D,'Custom Constraints'!$A:$A,"caiso-deliverability_"&amp;SUBSTITUTE(Dashboard!$D695,"_group",Dashboard!$D$633)&amp;"."&amp;YEAR(Dashboard!P$537))</f>
        <v>0</v>
      </c>
      <c r="Q695" s="10">
        <f>SUMIFS('Custom Constraints'!$D:$D,'Custom Constraints'!$A:$A,"caiso-deliverability_"&amp;SUBSTITUTE(Dashboard!$D695,"_group",Dashboard!$D$633)&amp;"."&amp;YEAR(Dashboard!Q$537))</f>
        <v>0</v>
      </c>
      <c r="R695" s="10">
        <f>SUMIFS('Custom Constraints'!$D:$D,'Custom Constraints'!$A:$A,"caiso-deliverability_"&amp;SUBSTITUTE(Dashboard!$D695,"_group",Dashboard!$D$633)&amp;"."&amp;YEAR(Dashboard!R$537))</f>
        <v>0</v>
      </c>
      <c r="S695" s="10">
        <f>SUMIFS('Custom Constraints'!$D:$D,'Custom Constraints'!$A:$A,"caiso-deliverability_"&amp;SUBSTITUTE(Dashboard!$D695,"_group",Dashboard!$D$633)&amp;"."&amp;YEAR(Dashboard!S$537))</f>
        <v>0</v>
      </c>
      <c r="T695" s="10">
        <f>SUMIFS('Custom Constraints'!$D:$D,'Custom Constraints'!$A:$A,"caiso-deliverability_"&amp;SUBSTITUTE(Dashboard!$D695,"_group",Dashboard!$D$633)&amp;"."&amp;YEAR(Dashboard!T$537))</f>
        <v>0</v>
      </c>
      <c r="U695" s="10">
        <f>SUMIFS('Custom Constraints'!$D:$D,'Custom Constraints'!$A:$A,"caiso-deliverability_"&amp;SUBSTITUTE(Dashboard!$D695,"_group",Dashboard!$D$633)&amp;"."&amp;YEAR(Dashboard!U$537))</f>
        <v>0</v>
      </c>
      <c r="V695" s="10">
        <f>SUMIFS('Custom Constraints'!$D:$D,'Custom Constraints'!$A:$A,"caiso-deliverability_"&amp;SUBSTITUTE(Dashboard!$D695,"_group",Dashboard!$D$633)&amp;"."&amp;YEAR(Dashboard!V$537))</f>
        <v>0</v>
      </c>
      <c r="W695" s="10">
        <f>SUMIFS('Custom Constraints'!$D:$D,'Custom Constraints'!$A:$A,"caiso-deliverability_"&amp;SUBSTITUTE(Dashboard!$D695,"_group",Dashboard!$D$633)&amp;"."&amp;YEAR(Dashboard!W$537))</f>
        <v>0</v>
      </c>
      <c r="X695" s="10">
        <f>SUMIFS('Custom Constraints'!$D:$D,'Custom Constraints'!$A:$A,"caiso-deliverability_"&amp;SUBSTITUTE(Dashboard!$D695,"_group",Dashboard!$D$633)&amp;"."&amp;YEAR(Dashboard!X$537))</f>
        <v>0</v>
      </c>
      <c r="Y695" s="10">
        <f>SUMIFS('Custom Constraints'!$D:$D,'Custom Constraints'!$A:$A,"caiso-deliverability_"&amp;SUBSTITUTE(Dashboard!$D695,"_group",Dashboard!$D$633)&amp;"."&amp;YEAR(Dashboard!Y$537))</f>
        <v>0</v>
      </c>
      <c r="Z695" s="10">
        <f>SUMIFS('Custom Constraints'!$D:$D,'Custom Constraints'!$A:$A,"caiso-deliverability_"&amp;SUBSTITUTE(Dashboard!$D695,"_group",Dashboard!$D$633)&amp;"."&amp;YEAR(Dashboard!Z$537))</f>
        <v>0</v>
      </c>
      <c r="AA695" s="10">
        <f>SUMIFS('Custom Constraints'!$D:$D,'Custom Constraints'!$A:$A,"caiso-deliverability_"&amp;SUBSTITUTE(Dashboard!$D695,"_group",Dashboard!$D$633)&amp;"."&amp;YEAR(Dashboard!AA$537))</f>
        <v>0</v>
      </c>
      <c r="AB695" s="10">
        <f>SUMIFS('Custom Constraints'!$D:$D,'Custom Constraints'!$A:$A,"caiso-deliverability_"&amp;SUBSTITUTE(Dashboard!$D695,"_group",Dashboard!$D$633)&amp;"."&amp;YEAR(Dashboard!AB$537))</f>
        <v>0</v>
      </c>
      <c r="AC695" s="10">
        <f>SUMIFS('Custom Constraints'!$D:$D,'Custom Constraints'!$A:$A,"caiso-deliverability_"&amp;SUBSTITUTE(Dashboard!$D695,"_group",Dashboard!$D$633)&amp;"."&amp;YEAR(Dashboard!AC$537))</f>
        <v>0</v>
      </c>
      <c r="AD695" s="10">
        <f>SUMIFS('Custom Constraints'!$D:$D,'Custom Constraints'!$A:$A,"caiso-deliverability_"&amp;SUBSTITUTE(Dashboard!$D695,"_group",Dashboard!$D$633)&amp;"."&amp;YEAR(Dashboard!AD$537))</f>
        <v>1098</v>
      </c>
      <c r="AH695" s="34" t="s">
        <v>422</v>
      </c>
    </row>
    <row r="696" spans="4:34" ht="12.6" outlineLevel="2" thickBot="1" x14ac:dyDescent="0.25">
      <c r="D696" s="9" t="s">
        <v>139</v>
      </c>
      <c r="E696" s="17">
        <f t="shared" ref="E696" si="827">SUM(E668:E695)</f>
        <v>0</v>
      </c>
      <c r="F696" s="17">
        <f t="shared" ref="F696:AD696" si="828">SUM(F668:F695)</f>
        <v>0</v>
      </c>
      <c r="G696" s="17">
        <f t="shared" si="828"/>
        <v>0</v>
      </c>
      <c r="H696" s="17">
        <f t="shared" si="828"/>
        <v>0</v>
      </c>
      <c r="I696" s="17">
        <f t="shared" si="828"/>
        <v>0</v>
      </c>
      <c r="J696" s="17">
        <f t="shared" si="828"/>
        <v>0</v>
      </c>
      <c r="K696" s="17">
        <f t="shared" si="828"/>
        <v>0</v>
      </c>
      <c r="L696" s="17">
        <f t="shared" si="828"/>
        <v>0</v>
      </c>
      <c r="M696" s="17">
        <f t="shared" si="828"/>
        <v>0</v>
      </c>
      <c r="N696" s="17">
        <f t="shared" si="828"/>
        <v>0</v>
      </c>
      <c r="O696" s="17">
        <f t="shared" si="828"/>
        <v>0</v>
      </c>
      <c r="P696" s="17">
        <f t="shared" si="828"/>
        <v>0</v>
      </c>
      <c r="Q696" s="17">
        <f t="shared" si="828"/>
        <v>0</v>
      </c>
      <c r="R696" s="17">
        <f t="shared" si="828"/>
        <v>0</v>
      </c>
      <c r="S696" s="17">
        <f t="shared" si="828"/>
        <v>0</v>
      </c>
      <c r="T696" s="17">
        <f t="shared" si="828"/>
        <v>0</v>
      </c>
      <c r="U696" s="17">
        <f t="shared" si="828"/>
        <v>0</v>
      </c>
      <c r="V696" s="17">
        <f t="shared" si="828"/>
        <v>0</v>
      </c>
      <c r="W696" s="17">
        <f t="shared" si="828"/>
        <v>0</v>
      </c>
      <c r="X696" s="17">
        <f t="shared" si="828"/>
        <v>0</v>
      </c>
      <c r="Y696" s="17">
        <f t="shared" si="828"/>
        <v>0</v>
      </c>
      <c r="Z696" s="17">
        <f t="shared" si="828"/>
        <v>0</v>
      </c>
      <c r="AA696" s="17">
        <f t="shared" si="828"/>
        <v>0</v>
      </c>
      <c r="AB696" s="17">
        <f t="shared" si="828"/>
        <v>0</v>
      </c>
      <c r="AC696" s="17">
        <f t="shared" si="828"/>
        <v>0</v>
      </c>
      <c r="AD696" s="17">
        <f t="shared" si="828"/>
        <v>66384.079999999987</v>
      </c>
      <c r="AH696" s="34" t="s">
        <v>422</v>
      </c>
    </row>
    <row r="697" spans="4:34" ht="12" outlineLevel="2" thickTop="1" x14ac:dyDescent="0.2">
      <c r="AH697" s="34" t="s">
        <v>422</v>
      </c>
    </row>
    <row r="698" spans="4:34" ht="13.2" outlineLevel="2" x14ac:dyDescent="0.2">
      <c r="E698" s="2" t="s">
        <v>314</v>
      </c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H698" s="34" t="s">
        <v>422</v>
      </c>
    </row>
    <row r="699" spans="4:34" outlineLevel="2" x14ac:dyDescent="0.2">
      <c r="E699" s="7">
        <v>43831</v>
      </c>
      <c r="F699" s="7">
        <f t="shared" ref="F699" si="829">EDATE(E699,12)</f>
        <v>44197</v>
      </c>
      <c r="G699" s="7">
        <f t="shared" ref="G699" si="830">EDATE(F699,12)</f>
        <v>44562</v>
      </c>
      <c r="H699" s="7">
        <f t="shared" ref="H699" si="831">EDATE(G699,12)</f>
        <v>44927</v>
      </c>
      <c r="I699" s="7">
        <f t="shared" ref="I699" si="832">EDATE(H699,12)</f>
        <v>45292</v>
      </c>
      <c r="J699" s="7">
        <f t="shared" ref="J699" si="833">EDATE(I699,12)</f>
        <v>45658</v>
      </c>
      <c r="K699" s="7">
        <f t="shared" ref="K699" si="834">EDATE(J699,12)</f>
        <v>46023</v>
      </c>
      <c r="L699" s="7">
        <f t="shared" ref="L699" si="835">EDATE(K699,12)</f>
        <v>46388</v>
      </c>
      <c r="M699" s="7">
        <f t="shared" ref="M699" si="836">EDATE(L699,12)</f>
        <v>46753</v>
      </c>
      <c r="N699" s="7">
        <f t="shared" ref="N699" si="837">EDATE(M699,12)</f>
        <v>47119</v>
      </c>
      <c r="O699" s="7">
        <f t="shared" ref="O699" si="838">EDATE(N699,12)</f>
        <v>47484</v>
      </c>
      <c r="P699" s="7">
        <f t="shared" ref="P699" si="839">EDATE(O699,12)</f>
        <v>47849</v>
      </c>
      <c r="Q699" s="7">
        <f t="shared" ref="Q699" si="840">EDATE(P699,12)</f>
        <v>48214</v>
      </c>
      <c r="R699" s="7">
        <f t="shared" ref="R699" si="841">EDATE(Q699,12)</f>
        <v>48580</v>
      </c>
      <c r="S699" s="7">
        <f t="shared" ref="S699" si="842">EDATE(R699,12)</f>
        <v>48945</v>
      </c>
      <c r="T699" s="7">
        <f t="shared" ref="T699" si="843">EDATE(S699,12)</f>
        <v>49310</v>
      </c>
      <c r="U699" s="7">
        <f t="shared" ref="U699" si="844">EDATE(T699,12)</f>
        <v>49675</v>
      </c>
      <c r="V699" s="7">
        <f t="shared" ref="V699" si="845">EDATE(U699,12)</f>
        <v>50041</v>
      </c>
      <c r="W699" s="7">
        <f t="shared" ref="W699" si="846">EDATE(V699,12)</f>
        <v>50406</v>
      </c>
      <c r="X699" s="7">
        <f t="shared" ref="X699" si="847">EDATE(W699,12)</f>
        <v>50771</v>
      </c>
      <c r="Y699" s="7">
        <f t="shared" ref="Y699" si="848">EDATE(X699,12)</f>
        <v>51136</v>
      </c>
      <c r="Z699" s="7">
        <f t="shared" ref="Z699" si="849">EDATE(Y699,12)</f>
        <v>51502</v>
      </c>
      <c r="AA699" s="7">
        <f t="shared" ref="AA699" si="850">EDATE(Z699,12)</f>
        <v>51867</v>
      </c>
      <c r="AB699" s="7">
        <f t="shared" ref="AB699" si="851">EDATE(AA699,12)</f>
        <v>52232</v>
      </c>
      <c r="AC699" s="7">
        <f t="shared" ref="AC699" si="852">EDATE(AB699,12)</f>
        <v>52597</v>
      </c>
      <c r="AD699" s="7">
        <f>EDATE(AC699,12)</f>
        <v>52963</v>
      </c>
      <c r="AH699" s="34" t="s">
        <v>422</v>
      </c>
    </row>
    <row r="700" spans="4:34" outlineLevel="2" x14ac:dyDescent="0.2">
      <c r="D700" s="8" t="s">
        <v>257</v>
      </c>
      <c r="E700" s="10">
        <f>-E408*INDEX('Deliverability Upgrade Factors'!$F:$F,MATCH(SUBSTITUTE(Dashboard!$D700,"_group",Dashboard!$D$633),'Deliverability Upgrade Factors'!$B:$B,0))</f>
        <v>0</v>
      </c>
      <c r="F700" s="10">
        <f>-F408*INDEX('Deliverability Upgrade Factors'!$F:$F,MATCH(SUBSTITUTE(Dashboard!$D700,"_group",Dashboard!$D$633),'Deliverability Upgrade Factors'!$B:$B,0))</f>
        <v>0</v>
      </c>
      <c r="G700" s="10">
        <f>-G408*INDEX('Deliverability Upgrade Factors'!$F:$F,MATCH(SUBSTITUTE(Dashboard!$D700,"_group",Dashboard!$D$633),'Deliverability Upgrade Factors'!$B:$B,0))</f>
        <v>0</v>
      </c>
      <c r="H700" s="10">
        <f>-H408*INDEX('Deliverability Upgrade Factors'!$F:$F,MATCH(SUBSTITUTE(Dashboard!$D700,"_group",Dashboard!$D$633),'Deliverability Upgrade Factors'!$B:$B,0))</f>
        <v>0</v>
      </c>
      <c r="I700" s="10">
        <f>-I408*INDEX('Deliverability Upgrade Factors'!$F:$F,MATCH(SUBSTITUTE(Dashboard!$D700,"_group",Dashboard!$D$633),'Deliverability Upgrade Factors'!$B:$B,0))</f>
        <v>0</v>
      </c>
      <c r="J700" s="10">
        <f>-J408*INDEX('Deliverability Upgrade Factors'!$F:$F,MATCH(SUBSTITUTE(Dashboard!$D700,"_group",Dashboard!$D$633),'Deliverability Upgrade Factors'!$B:$B,0))</f>
        <v>0</v>
      </c>
      <c r="K700" s="10">
        <f>-K408*INDEX('Deliverability Upgrade Factors'!$F:$F,MATCH(SUBSTITUTE(Dashboard!$D700,"_group",Dashboard!$D$633),'Deliverability Upgrade Factors'!$B:$B,0))</f>
        <v>0</v>
      </c>
      <c r="L700" s="10">
        <f>-L408*INDEX('Deliverability Upgrade Factors'!$F:$F,MATCH(SUBSTITUTE(Dashboard!$D700,"_group",Dashboard!$D$633),'Deliverability Upgrade Factors'!$B:$B,0))</f>
        <v>0</v>
      </c>
      <c r="M700" s="10">
        <f>-M408*INDEX('Deliverability Upgrade Factors'!$F:$F,MATCH(SUBSTITUTE(Dashboard!$D700,"_group",Dashboard!$D$633),'Deliverability Upgrade Factors'!$B:$B,0))</f>
        <v>0</v>
      </c>
      <c r="N700" s="10">
        <f>-N408*INDEX('Deliverability Upgrade Factors'!$F:$F,MATCH(SUBSTITUTE(Dashboard!$D700,"_group",Dashboard!$D$633),'Deliverability Upgrade Factors'!$B:$B,0))</f>
        <v>0</v>
      </c>
      <c r="O700" s="10">
        <f>-O408*INDEX('Deliverability Upgrade Factors'!$F:$F,MATCH(SUBSTITUTE(Dashboard!$D700,"_group",Dashboard!$D$633),'Deliverability Upgrade Factors'!$B:$B,0))</f>
        <v>0</v>
      </c>
      <c r="P700" s="10">
        <f>-P408*INDEX('Deliverability Upgrade Factors'!$F:$F,MATCH(SUBSTITUTE(Dashboard!$D700,"_group",Dashboard!$D$633),'Deliverability Upgrade Factors'!$B:$B,0))</f>
        <v>0</v>
      </c>
      <c r="Q700" s="10">
        <f>-Q408*INDEX('Deliverability Upgrade Factors'!$F:$F,MATCH(SUBSTITUTE(Dashboard!$D700,"_group",Dashboard!$D$633),'Deliverability Upgrade Factors'!$B:$B,0))</f>
        <v>0</v>
      </c>
      <c r="R700" s="10">
        <f>-R408*INDEX('Deliverability Upgrade Factors'!$F:$F,MATCH(SUBSTITUTE(Dashboard!$D700,"_group",Dashboard!$D$633),'Deliverability Upgrade Factors'!$B:$B,0))</f>
        <v>0</v>
      </c>
      <c r="S700" s="10">
        <f>-S408*INDEX('Deliverability Upgrade Factors'!$F:$F,MATCH(SUBSTITUTE(Dashboard!$D700,"_group",Dashboard!$D$633),'Deliverability Upgrade Factors'!$B:$B,0))</f>
        <v>0</v>
      </c>
      <c r="T700" s="10">
        <f>-T408*INDEX('Deliverability Upgrade Factors'!$F:$F,MATCH(SUBSTITUTE(Dashboard!$D700,"_group",Dashboard!$D$633),'Deliverability Upgrade Factors'!$B:$B,0))</f>
        <v>0</v>
      </c>
      <c r="U700" s="10">
        <f>-U408*INDEX('Deliverability Upgrade Factors'!$F:$F,MATCH(SUBSTITUTE(Dashboard!$D700,"_group",Dashboard!$D$633),'Deliverability Upgrade Factors'!$B:$B,0))</f>
        <v>0</v>
      </c>
      <c r="V700" s="10">
        <f>-V408*INDEX('Deliverability Upgrade Factors'!$F:$F,MATCH(SUBSTITUTE(Dashboard!$D700,"_group",Dashboard!$D$633),'Deliverability Upgrade Factors'!$B:$B,0))</f>
        <v>0</v>
      </c>
      <c r="W700" s="10">
        <f>-W408*INDEX('Deliverability Upgrade Factors'!$F:$F,MATCH(SUBSTITUTE(Dashboard!$D700,"_group",Dashboard!$D$633),'Deliverability Upgrade Factors'!$B:$B,0))</f>
        <v>0</v>
      </c>
      <c r="X700" s="10">
        <f>-X408*INDEX('Deliverability Upgrade Factors'!$F:$F,MATCH(SUBSTITUTE(Dashboard!$D700,"_group",Dashboard!$D$633),'Deliverability Upgrade Factors'!$B:$B,0))</f>
        <v>0</v>
      </c>
      <c r="Y700" s="10">
        <f>-Y408*INDEX('Deliverability Upgrade Factors'!$F:$F,MATCH(SUBSTITUTE(Dashboard!$D700,"_group",Dashboard!$D$633),'Deliverability Upgrade Factors'!$B:$B,0))</f>
        <v>0</v>
      </c>
      <c r="Z700" s="10">
        <f>-Z408*INDEX('Deliverability Upgrade Factors'!$F:$F,MATCH(SUBSTITUTE(Dashboard!$D700,"_group",Dashboard!$D$633),'Deliverability Upgrade Factors'!$B:$B,0))</f>
        <v>0</v>
      </c>
      <c r="AA700" s="10">
        <f>-AA408*INDEX('Deliverability Upgrade Factors'!$F:$F,MATCH(SUBSTITUTE(Dashboard!$D700,"_group",Dashboard!$D$633),'Deliverability Upgrade Factors'!$B:$B,0))</f>
        <v>0</v>
      </c>
      <c r="AB700" s="10">
        <f>-AB408*INDEX('Deliverability Upgrade Factors'!$F:$F,MATCH(SUBSTITUTE(Dashboard!$D700,"_group",Dashboard!$D$633),'Deliverability Upgrade Factors'!$B:$B,0))</f>
        <v>0</v>
      </c>
      <c r="AC700" s="10">
        <f>-AC408*INDEX('Deliverability Upgrade Factors'!$F:$F,MATCH(SUBSTITUTE(Dashboard!$D700,"_group",Dashboard!$D$633),'Deliverability Upgrade Factors'!$B:$B,0))</f>
        <v>0</v>
      </c>
      <c r="AD700" s="10">
        <f>-AD408*INDEX('Deliverability Upgrade Factors'!$F:$F,MATCH(SUBSTITUTE(Dashboard!$D700,"_group",Dashboard!$D$633),'Deliverability Upgrade Factors'!$B:$B,0))</f>
        <v>0</v>
      </c>
      <c r="AH700" s="34" t="s">
        <v>422</v>
      </c>
    </row>
    <row r="701" spans="4:34" outlineLevel="2" x14ac:dyDescent="0.2">
      <c r="D701" s="8" t="s">
        <v>258</v>
      </c>
      <c r="E701" s="10">
        <f>-E409*INDEX('Deliverability Upgrade Factors'!$F:$F,MATCH(SUBSTITUTE(Dashboard!$D701,"_group",Dashboard!$D$633),'Deliverability Upgrade Factors'!$B:$B,0))</f>
        <v>0</v>
      </c>
      <c r="F701" s="10">
        <f>-F409*INDEX('Deliverability Upgrade Factors'!$F:$F,MATCH(SUBSTITUTE(Dashboard!$D701,"_group",Dashboard!$D$633),'Deliverability Upgrade Factors'!$B:$B,0))</f>
        <v>0</v>
      </c>
      <c r="G701" s="10">
        <f>-G409*INDEX('Deliverability Upgrade Factors'!$F:$F,MATCH(SUBSTITUTE(Dashboard!$D701,"_group",Dashboard!$D$633),'Deliverability Upgrade Factors'!$B:$B,0))</f>
        <v>0</v>
      </c>
      <c r="H701" s="10">
        <f>-H409*INDEX('Deliverability Upgrade Factors'!$F:$F,MATCH(SUBSTITUTE(Dashboard!$D701,"_group",Dashboard!$D$633),'Deliverability Upgrade Factors'!$B:$B,0))</f>
        <v>0</v>
      </c>
      <c r="I701" s="10">
        <f>-I409*INDEX('Deliverability Upgrade Factors'!$F:$F,MATCH(SUBSTITUTE(Dashboard!$D701,"_group",Dashboard!$D$633),'Deliverability Upgrade Factors'!$B:$B,0))</f>
        <v>0</v>
      </c>
      <c r="J701" s="10">
        <f>-J409*INDEX('Deliverability Upgrade Factors'!$F:$F,MATCH(SUBSTITUTE(Dashboard!$D701,"_group",Dashboard!$D$633),'Deliverability Upgrade Factors'!$B:$B,0))</f>
        <v>0</v>
      </c>
      <c r="K701" s="10">
        <f>-K409*INDEX('Deliverability Upgrade Factors'!$F:$F,MATCH(SUBSTITUTE(Dashboard!$D701,"_group",Dashboard!$D$633),'Deliverability Upgrade Factors'!$B:$B,0))</f>
        <v>0</v>
      </c>
      <c r="L701" s="10">
        <f>-L409*INDEX('Deliverability Upgrade Factors'!$F:$F,MATCH(SUBSTITUTE(Dashboard!$D701,"_group",Dashboard!$D$633),'Deliverability Upgrade Factors'!$B:$B,0))</f>
        <v>0</v>
      </c>
      <c r="M701" s="10">
        <f>-M409*INDEX('Deliverability Upgrade Factors'!$F:$F,MATCH(SUBSTITUTE(Dashboard!$D701,"_group",Dashboard!$D$633),'Deliverability Upgrade Factors'!$B:$B,0))</f>
        <v>0</v>
      </c>
      <c r="N701" s="10">
        <f>-N409*INDEX('Deliverability Upgrade Factors'!$F:$F,MATCH(SUBSTITUTE(Dashboard!$D701,"_group",Dashboard!$D$633),'Deliverability Upgrade Factors'!$B:$B,0))</f>
        <v>0</v>
      </c>
      <c r="O701" s="10">
        <f>-O409*INDEX('Deliverability Upgrade Factors'!$F:$F,MATCH(SUBSTITUTE(Dashboard!$D701,"_group",Dashboard!$D$633),'Deliverability Upgrade Factors'!$B:$B,0))</f>
        <v>0</v>
      </c>
      <c r="P701" s="10">
        <f>-P409*INDEX('Deliverability Upgrade Factors'!$F:$F,MATCH(SUBSTITUTE(Dashboard!$D701,"_group",Dashboard!$D$633),'Deliverability Upgrade Factors'!$B:$B,0))</f>
        <v>0</v>
      </c>
      <c r="Q701" s="10">
        <f>-Q409*INDEX('Deliverability Upgrade Factors'!$F:$F,MATCH(SUBSTITUTE(Dashboard!$D701,"_group",Dashboard!$D$633),'Deliverability Upgrade Factors'!$B:$B,0))</f>
        <v>0</v>
      </c>
      <c r="R701" s="10">
        <f>-R409*INDEX('Deliverability Upgrade Factors'!$F:$F,MATCH(SUBSTITUTE(Dashboard!$D701,"_group",Dashboard!$D$633),'Deliverability Upgrade Factors'!$B:$B,0))</f>
        <v>0</v>
      </c>
      <c r="S701" s="10">
        <f>-S409*INDEX('Deliverability Upgrade Factors'!$F:$F,MATCH(SUBSTITUTE(Dashboard!$D701,"_group",Dashboard!$D$633),'Deliverability Upgrade Factors'!$B:$B,0))</f>
        <v>0</v>
      </c>
      <c r="T701" s="10">
        <f>-T409*INDEX('Deliverability Upgrade Factors'!$F:$F,MATCH(SUBSTITUTE(Dashboard!$D701,"_group",Dashboard!$D$633),'Deliverability Upgrade Factors'!$B:$B,0))</f>
        <v>0</v>
      </c>
      <c r="U701" s="10">
        <f>-U409*INDEX('Deliverability Upgrade Factors'!$F:$F,MATCH(SUBSTITUTE(Dashboard!$D701,"_group",Dashboard!$D$633),'Deliverability Upgrade Factors'!$B:$B,0))</f>
        <v>0</v>
      </c>
      <c r="V701" s="10">
        <f>-V409*INDEX('Deliverability Upgrade Factors'!$F:$F,MATCH(SUBSTITUTE(Dashboard!$D701,"_group",Dashboard!$D$633),'Deliverability Upgrade Factors'!$B:$B,0))</f>
        <v>0</v>
      </c>
      <c r="W701" s="10">
        <f>-W409*INDEX('Deliverability Upgrade Factors'!$F:$F,MATCH(SUBSTITUTE(Dashboard!$D701,"_group",Dashboard!$D$633),'Deliverability Upgrade Factors'!$B:$B,0))</f>
        <v>0</v>
      </c>
      <c r="X701" s="10">
        <f>-X409*INDEX('Deliverability Upgrade Factors'!$F:$F,MATCH(SUBSTITUTE(Dashboard!$D701,"_group",Dashboard!$D$633),'Deliverability Upgrade Factors'!$B:$B,0))</f>
        <v>0</v>
      </c>
      <c r="Y701" s="10">
        <f>-Y409*INDEX('Deliverability Upgrade Factors'!$F:$F,MATCH(SUBSTITUTE(Dashboard!$D701,"_group",Dashboard!$D$633),'Deliverability Upgrade Factors'!$B:$B,0))</f>
        <v>0</v>
      </c>
      <c r="Z701" s="10">
        <f>-Z409*INDEX('Deliverability Upgrade Factors'!$F:$F,MATCH(SUBSTITUTE(Dashboard!$D701,"_group",Dashboard!$D$633),'Deliverability Upgrade Factors'!$B:$B,0))</f>
        <v>0</v>
      </c>
      <c r="AA701" s="10">
        <f>-AA409*INDEX('Deliverability Upgrade Factors'!$F:$F,MATCH(SUBSTITUTE(Dashboard!$D701,"_group",Dashboard!$D$633),'Deliverability Upgrade Factors'!$B:$B,0))</f>
        <v>0</v>
      </c>
      <c r="AB701" s="10">
        <f>-AB409*INDEX('Deliverability Upgrade Factors'!$F:$F,MATCH(SUBSTITUTE(Dashboard!$D701,"_group",Dashboard!$D$633),'Deliverability Upgrade Factors'!$B:$B,0))</f>
        <v>0</v>
      </c>
      <c r="AC701" s="10">
        <f>-AC409*INDEX('Deliverability Upgrade Factors'!$F:$F,MATCH(SUBSTITUTE(Dashboard!$D701,"_group",Dashboard!$D$633),'Deliverability Upgrade Factors'!$B:$B,0))</f>
        <v>0</v>
      </c>
      <c r="AD701" s="10">
        <f>-AD409*INDEX('Deliverability Upgrade Factors'!$F:$F,MATCH(SUBSTITUTE(Dashboard!$D701,"_group",Dashboard!$D$633),'Deliverability Upgrade Factors'!$B:$B,0))</f>
        <v>0</v>
      </c>
      <c r="AH701" s="34" t="s">
        <v>422</v>
      </c>
    </row>
    <row r="702" spans="4:34" outlineLevel="2" x14ac:dyDescent="0.2">
      <c r="D702" s="8" t="s">
        <v>259</v>
      </c>
      <c r="E702" s="10">
        <f>-E410*INDEX('Deliverability Upgrade Factors'!$F:$F,MATCH(SUBSTITUTE(Dashboard!$D702,"_group",Dashboard!$D$633),'Deliverability Upgrade Factors'!$B:$B,0))</f>
        <v>0</v>
      </c>
      <c r="F702" s="10">
        <f>-F410*INDEX('Deliverability Upgrade Factors'!$F:$F,MATCH(SUBSTITUTE(Dashboard!$D702,"_group",Dashboard!$D$633),'Deliverability Upgrade Factors'!$B:$B,0))</f>
        <v>0</v>
      </c>
      <c r="G702" s="10">
        <f>-G410*INDEX('Deliverability Upgrade Factors'!$F:$F,MATCH(SUBSTITUTE(Dashboard!$D702,"_group",Dashboard!$D$633),'Deliverability Upgrade Factors'!$B:$B,0))</f>
        <v>0</v>
      </c>
      <c r="H702" s="10">
        <f>-H410*INDEX('Deliverability Upgrade Factors'!$F:$F,MATCH(SUBSTITUTE(Dashboard!$D702,"_group",Dashboard!$D$633),'Deliverability Upgrade Factors'!$B:$B,0))</f>
        <v>0</v>
      </c>
      <c r="I702" s="10">
        <f>-I410*INDEX('Deliverability Upgrade Factors'!$F:$F,MATCH(SUBSTITUTE(Dashboard!$D702,"_group",Dashboard!$D$633),'Deliverability Upgrade Factors'!$B:$B,0))</f>
        <v>0</v>
      </c>
      <c r="J702" s="10">
        <f>-J410*INDEX('Deliverability Upgrade Factors'!$F:$F,MATCH(SUBSTITUTE(Dashboard!$D702,"_group",Dashboard!$D$633),'Deliverability Upgrade Factors'!$B:$B,0))</f>
        <v>0</v>
      </c>
      <c r="K702" s="10">
        <f>-K410*INDEX('Deliverability Upgrade Factors'!$F:$F,MATCH(SUBSTITUTE(Dashboard!$D702,"_group",Dashboard!$D$633),'Deliverability Upgrade Factors'!$B:$B,0))</f>
        <v>0</v>
      </c>
      <c r="L702" s="10">
        <f>-L410*INDEX('Deliverability Upgrade Factors'!$F:$F,MATCH(SUBSTITUTE(Dashboard!$D702,"_group",Dashboard!$D$633),'Deliverability Upgrade Factors'!$B:$B,0))</f>
        <v>0</v>
      </c>
      <c r="M702" s="10">
        <f>-M410*INDEX('Deliverability Upgrade Factors'!$F:$F,MATCH(SUBSTITUTE(Dashboard!$D702,"_group",Dashboard!$D$633),'Deliverability Upgrade Factors'!$B:$B,0))</f>
        <v>0</v>
      </c>
      <c r="N702" s="10">
        <f>-N410*INDEX('Deliverability Upgrade Factors'!$F:$F,MATCH(SUBSTITUTE(Dashboard!$D702,"_group",Dashboard!$D$633),'Deliverability Upgrade Factors'!$B:$B,0))</f>
        <v>0</v>
      </c>
      <c r="O702" s="10">
        <f>-O410*INDEX('Deliverability Upgrade Factors'!$F:$F,MATCH(SUBSTITUTE(Dashboard!$D702,"_group",Dashboard!$D$633),'Deliverability Upgrade Factors'!$B:$B,0))</f>
        <v>0</v>
      </c>
      <c r="P702" s="10">
        <f>-P410*INDEX('Deliverability Upgrade Factors'!$F:$F,MATCH(SUBSTITUTE(Dashboard!$D702,"_group",Dashboard!$D$633),'Deliverability Upgrade Factors'!$B:$B,0))</f>
        <v>0</v>
      </c>
      <c r="Q702" s="10">
        <f>-Q410*INDEX('Deliverability Upgrade Factors'!$F:$F,MATCH(SUBSTITUTE(Dashboard!$D702,"_group",Dashboard!$D$633),'Deliverability Upgrade Factors'!$B:$B,0))</f>
        <v>0</v>
      </c>
      <c r="R702" s="10">
        <f>-R410*INDEX('Deliverability Upgrade Factors'!$F:$F,MATCH(SUBSTITUTE(Dashboard!$D702,"_group",Dashboard!$D$633),'Deliverability Upgrade Factors'!$B:$B,0))</f>
        <v>0</v>
      </c>
      <c r="S702" s="10">
        <f>-S410*INDEX('Deliverability Upgrade Factors'!$F:$F,MATCH(SUBSTITUTE(Dashboard!$D702,"_group",Dashboard!$D$633),'Deliverability Upgrade Factors'!$B:$B,0))</f>
        <v>0</v>
      </c>
      <c r="T702" s="10">
        <f>-T410*INDEX('Deliverability Upgrade Factors'!$F:$F,MATCH(SUBSTITUTE(Dashboard!$D702,"_group",Dashboard!$D$633),'Deliverability Upgrade Factors'!$B:$B,0))</f>
        <v>0</v>
      </c>
      <c r="U702" s="10">
        <f>-U410*INDEX('Deliverability Upgrade Factors'!$F:$F,MATCH(SUBSTITUTE(Dashboard!$D702,"_group",Dashboard!$D$633),'Deliverability Upgrade Factors'!$B:$B,0))</f>
        <v>0</v>
      </c>
      <c r="V702" s="10">
        <f>-V410*INDEX('Deliverability Upgrade Factors'!$F:$F,MATCH(SUBSTITUTE(Dashboard!$D702,"_group",Dashboard!$D$633),'Deliverability Upgrade Factors'!$B:$B,0))</f>
        <v>0</v>
      </c>
      <c r="W702" s="10">
        <f>-W410*INDEX('Deliverability Upgrade Factors'!$F:$F,MATCH(SUBSTITUTE(Dashboard!$D702,"_group",Dashboard!$D$633),'Deliverability Upgrade Factors'!$B:$B,0))</f>
        <v>0</v>
      </c>
      <c r="X702" s="10">
        <f>-X410*INDEX('Deliverability Upgrade Factors'!$F:$F,MATCH(SUBSTITUTE(Dashboard!$D702,"_group",Dashboard!$D$633),'Deliverability Upgrade Factors'!$B:$B,0))</f>
        <v>0</v>
      </c>
      <c r="Y702" s="10">
        <f>-Y410*INDEX('Deliverability Upgrade Factors'!$F:$F,MATCH(SUBSTITUTE(Dashboard!$D702,"_group",Dashboard!$D$633),'Deliverability Upgrade Factors'!$B:$B,0))</f>
        <v>0</v>
      </c>
      <c r="Z702" s="10">
        <f>-Z410*INDEX('Deliverability Upgrade Factors'!$F:$F,MATCH(SUBSTITUTE(Dashboard!$D702,"_group",Dashboard!$D$633),'Deliverability Upgrade Factors'!$B:$B,0))</f>
        <v>0</v>
      </c>
      <c r="AA702" s="10">
        <f>-AA410*INDEX('Deliverability Upgrade Factors'!$F:$F,MATCH(SUBSTITUTE(Dashboard!$D702,"_group",Dashboard!$D$633),'Deliverability Upgrade Factors'!$B:$B,0))</f>
        <v>0</v>
      </c>
      <c r="AB702" s="10">
        <f>-AB410*INDEX('Deliverability Upgrade Factors'!$F:$F,MATCH(SUBSTITUTE(Dashboard!$D702,"_group",Dashboard!$D$633),'Deliverability Upgrade Factors'!$B:$B,0))</f>
        <v>0</v>
      </c>
      <c r="AC702" s="10">
        <f>-AC410*INDEX('Deliverability Upgrade Factors'!$F:$F,MATCH(SUBSTITUTE(Dashboard!$D702,"_group",Dashboard!$D$633),'Deliverability Upgrade Factors'!$B:$B,0))</f>
        <v>0</v>
      </c>
      <c r="AD702" s="10">
        <f>-AD410*INDEX('Deliverability Upgrade Factors'!$F:$F,MATCH(SUBSTITUTE(Dashboard!$D702,"_group",Dashboard!$D$633),'Deliverability Upgrade Factors'!$B:$B,0))</f>
        <v>0</v>
      </c>
      <c r="AH702" s="34" t="s">
        <v>422</v>
      </c>
    </row>
    <row r="703" spans="4:34" outlineLevel="2" x14ac:dyDescent="0.2">
      <c r="D703" s="8" t="s">
        <v>260</v>
      </c>
      <c r="E703" s="10">
        <f>-E411*INDEX('Deliverability Upgrade Factors'!$F:$F,MATCH(SUBSTITUTE(Dashboard!$D703,"_group",Dashboard!$D$633),'Deliverability Upgrade Factors'!$B:$B,0))</f>
        <v>0</v>
      </c>
      <c r="F703" s="10">
        <f>-F411*INDEX('Deliverability Upgrade Factors'!$F:$F,MATCH(SUBSTITUTE(Dashboard!$D703,"_group",Dashboard!$D$633),'Deliverability Upgrade Factors'!$B:$B,0))</f>
        <v>0</v>
      </c>
      <c r="G703" s="10">
        <f>-G411*INDEX('Deliverability Upgrade Factors'!$F:$F,MATCH(SUBSTITUTE(Dashboard!$D703,"_group",Dashboard!$D$633),'Deliverability Upgrade Factors'!$B:$B,0))</f>
        <v>0</v>
      </c>
      <c r="H703" s="10">
        <f>-H411*INDEX('Deliverability Upgrade Factors'!$F:$F,MATCH(SUBSTITUTE(Dashboard!$D703,"_group",Dashboard!$D$633),'Deliverability Upgrade Factors'!$B:$B,0))</f>
        <v>0</v>
      </c>
      <c r="I703" s="10">
        <f>-I411*INDEX('Deliverability Upgrade Factors'!$F:$F,MATCH(SUBSTITUTE(Dashboard!$D703,"_group",Dashboard!$D$633),'Deliverability Upgrade Factors'!$B:$B,0))</f>
        <v>0</v>
      </c>
      <c r="J703" s="10">
        <f>-J411*INDEX('Deliverability Upgrade Factors'!$F:$F,MATCH(SUBSTITUTE(Dashboard!$D703,"_group",Dashboard!$D$633),'Deliverability Upgrade Factors'!$B:$B,0))</f>
        <v>0</v>
      </c>
      <c r="K703" s="10">
        <f>-K411*INDEX('Deliverability Upgrade Factors'!$F:$F,MATCH(SUBSTITUTE(Dashboard!$D703,"_group",Dashboard!$D$633),'Deliverability Upgrade Factors'!$B:$B,0))</f>
        <v>0</v>
      </c>
      <c r="L703" s="10">
        <f>-L411*INDEX('Deliverability Upgrade Factors'!$F:$F,MATCH(SUBSTITUTE(Dashboard!$D703,"_group",Dashboard!$D$633),'Deliverability Upgrade Factors'!$B:$B,0))</f>
        <v>0</v>
      </c>
      <c r="M703" s="10">
        <f>-M411*INDEX('Deliverability Upgrade Factors'!$F:$F,MATCH(SUBSTITUTE(Dashboard!$D703,"_group",Dashboard!$D$633),'Deliverability Upgrade Factors'!$B:$B,0))</f>
        <v>0</v>
      </c>
      <c r="N703" s="10">
        <f>-N411*INDEX('Deliverability Upgrade Factors'!$F:$F,MATCH(SUBSTITUTE(Dashboard!$D703,"_group",Dashboard!$D$633),'Deliverability Upgrade Factors'!$B:$B,0))</f>
        <v>0</v>
      </c>
      <c r="O703" s="10">
        <f>-O411*INDEX('Deliverability Upgrade Factors'!$F:$F,MATCH(SUBSTITUTE(Dashboard!$D703,"_group",Dashboard!$D$633),'Deliverability Upgrade Factors'!$B:$B,0))</f>
        <v>0</v>
      </c>
      <c r="P703" s="10">
        <f>-P411*INDEX('Deliverability Upgrade Factors'!$F:$F,MATCH(SUBSTITUTE(Dashboard!$D703,"_group",Dashboard!$D$633),'Deliverability Upgrade Factors'!$B:$B,0))</f>
        <v>0</v>
      </c>
      <c r="Q703" s="10">
        <f>-Q411*INDEX('Deliverability Upgrade Factors'!$F:$F,MATCH(SUBSTITUTE(Dashboard!$D703,"_group",Dashboard!$D$633),'Deliverability Upgrade Factors'!$B:$B,0))</f>
        <v>0</v>
      </c>
      <c r="R703" s="10">
        <f>-R411*INDEX('Deliverability Upgrade Factors'!$F:$F,MATCH(SUBSTITUTE(Dashboard!$D703,"_group",Dashboard!$D$633),'Deliverability Upgrade Factors'!$B:$B,0))</f>
        <v>0</v>
      </c>
      <c r="S703" s="10">
        <f>-S411*INDEX('Deliverability Upgrade Factors'!$F:$F,MATCH(SUBSTITUTE(Dashboard!$D703,"_group",Dashboard!$D$633),'Deliverability Upgrade Factors'!$B:$B,0))</f>
        <v>0</v>
      </c>
      <c r="T703" s="10">
        <f>-T411*INDEX('Deliverability Upgrade Factors'!$F:$F,MATCH(SUBSTITUTE(Dashboard!$D703,"_group",Dashboard!$D$633),'Deliverability Upgrade Factors'!$B:$B,0))</f>
        <v>0</v>
      </c>
      <c r="U703" s="10">
        <f>-U411*INDEX('Deliverability Upgrade Factors'!$F:$F,MATCH(SUBSTITUTE(Dashboard!$D703,"_group",Dashboard!$D$633),'Deliverability Upgrade Factors'!$B:$B,0))</f>
        <v>0</v>
      </c>
      <c r="V703" s="10">
        <f>-V411*INDEX('Deliverability Upgrade Factors'!$F:$F,MATCH(SUBSTITUTE(Dashboard!$D703,"_group",Dashboard!$D$633),'Deliverability Upgrade Factors'!$B:$B,0))</f>
        <v>0</v>
      </c>
      <c r="W703" s="10">
        <f>-W411*INDEX('Deliverability Upgrade Factors'!$F:$F,MATCH(SUBSTITUTE(Dashboard!$D703,"_group",Dashboard!$D$633),'Deliverability Upgrade Factors'!$B:$B,0))</f>
        <v>0</v>
      </c>
      <c r="X703" s="10">
        <f>-X411*INDEX('Deliverability Upgrade Factors'!$F:$F,MATCH(SUBSTITUTE(Dashboard!$D703,"_group",Dashboard!$D$633),'Deliverability Upgrade Factors'!$B:$B,0))</f>
        <v>0</v>
      </c>
      <c r="Y703" s="10">
        <f>-Y411*INDEX('Deliverability Upgrade Factors'!$F:$F,MATCH(SUBSTITUTE(Dashboard!$D703,"_group",Dashboard!$D$633),'Deliverability Upgrade Factors'!$B:$B,0))</f>
        <v>0</v>
      </c>
      <c r="Z703" s="10">
        <f>-Z411*INDEX('Deliverability Upgrade Factors'!$F:$F,MATCH(SUBSTITUTE(Dashboard!$D703,"_group",Dashboard!$D$633),'Deliverability Upgrade Factors'!$B:$B,0))</f>
        <v>0</v>
      </c>
      <c r="AA703" s="10">
        <f>-AA411*INDEX('Deliverability Upgrade Factors'!$F:$F,MATCH(SUBSTITUTE(Dashboard!$D703,"_group",Dashboard!$D$633),'Deliverability Upgrade Factors'!$B:$B,0))</f>
        <v>0</v>
      </c>
      <c r="AB703" s="10">
        <f>-AB411*INDEX('Deliverability Upgrade Factors'!$F:$F,MATCH(SUBSTITUTE(Dashboard!$D703,"_group",Dashboard!$D$633),'Deliverability Upgrade Factors'!$B:$B,0))</f>
        <v>0</v>
      </c>
      <c r="AC703" s="10">
        <f>-AC411*INDEX('Deliverability Upgrade Factors'!$F:$F,MATCH(SUBSTITUTE(Dashboard!$D703,"_group",Dashboard!$D$633),'Deliverability Upgrade Factors'!$B:$B,0))</f>
        <v>0</v>
      </c>
      <c r="AD703" s="10">
        <f>-AD411*INDEX('Deliverability Upgrade Factors'!$F:$F,MATCH(SUBSTITUTE(Dashboard!$D703,"_group",Dashboard!$D$633),'Deliverability Upgrade Factors'!$B:$B,0))</f>
        <v>0</v>
      </c>
      <c r="AH703" s="34" t="s">
        <v>422</v>
      </c>
    </row>
    <row r="704" spans="4:34" outlineLevel="2" x14ac:dyDescent="0.2">
      <c r="D704" s="8" t="s">
        <v>261</v>
      </c>
      <c r="E704" s="10">
        <f>-E412*INDEX('Deliverability Upgrade Factors'!$F:$F,MATCH(SUBSTITUTE(Dashboard!$D704,"_group",Dashboard!$D$633),'Deliverability Upgrade Factors'!$B:$B,0))</f>
        <v>0</v>
      </c>
      <c r="F704" s="10">
        <f>-F412*INDEX('Deliverability Upgrade Factors'!$F:$F,MATCH(SUBSTITUTE(Dashboard!$D704,"_group",Dashboard!$D$633),'Deliverability Upgrade Factors'!$B:$B,0))</f>
        <v>0</v>
      </c>
      <c r="G704" s="10">
        <f>-G412*INDEX('Deliverability Upgrade Factors'!$F:$F,MATCH(SUBSTITUTE(Dashboard!$D704,"_group",Dashboard!$D$633),'Deliverability Upgrade Factors'!$B:$B,0))</f>
        <v>0</v>
      </c>
      <c r="H704" s="10">
        <f>-H412*INDEX('Deliverability Upgrade Factors'!$F:$F,MATCH(SUBSTITUTE(Dashboard!$D704,"_group",Dashboard!$D$633),'Deliverability Upgrade Factors'!$B:$B,0))</f>
        <v>0</v>
      </c>
      <c r="I704" s="10">
        <f>-I412*INDEX('Deliverability Upgrade Factors'!$F:$F,MATCH(SUBSTITUTE(Dashboard!$D704,"_group",Dashboard!$D$633),'Deliverability Upgrade Factors'!$B:$B,0))</f>
        <v>0</v>
      </c>
      <c r="J704" s="10">
        <f>-J412*INDEX('Deliverability Upgrade Factors'!$F:$F,MATCH(SUBSTITUTE(Dashboard!$D704,"_group",Dashboard!$D$633),'Deliverability Upgrade Factors'!$B:$B,0))</f>
        <v>0</v>
      </c>
      <c r="K704" s="10">
        <f>-K412*INDEX('Deliverability Upgrade Factors'!$F:$F,MATCH(SUBSTITUTE(Dashboard!$D704,"_group",Dashboard!$D$633),'Deliverability Upgrade Factors'!$B:$B,0))</f>
        <v>0</v>
      </c>
      <c r="L704" s="10">
        <f>-L412*INDEX('Deliverability Upgrade Factors'!$F:$F,MATCH(SUBSTITUTE(Dashboard!$D704,"_group",Dashboard!$D$633),'Deliverability Upgrade Factors'!$B:$B,0))</f>
        <v>0</v>
      </c>
      <c r="M704" s="10">
        <f>-M412*INDEX('Deliverability Upgrade Factors'!$F:$F,MATCH(SUBSTITUTE(Dashboard!$D704,"_group",Dashboard!$D$633),'Deliverability Upgrade Factors'!$B:$B,0))</f>
        <v>0</v>
      </c>
      <c r="N704" s="10">
        <f>-N412*INDEX('Deliverability Upgrade Factors'!$F:$F,MATCH(SUBSTITUTE(Dashboard!$D704,"_group",Dashboard!$D$633),'Deliverability Upgrade Factors'!$B:$B,0))</f>
        <v>0</v>
      </c>
      <c r="O704" s="10">
        <f>-O412*INDEX('Deliverability Upgrade Factors'!$F:$F,MATCH(SUBSTITUTE(Dashboard!$D704,"_group",Dashboard!$D$633),'Deliverability Upgrade Factors'!$B:$B,0))</f>
        <v>0</v>
      </c>
      <c r="P704" s="10">
        <f>-P412*INDEX('Deliverability Upgrade Factors'!$F:$F,MATCH(SUBSTITUTE(Dashboard!$D704,"_group",Dashboard!$D$633),'Deliverability Upgrade Factors'!$B:$B,0))</f>
        <v>0</v>
      </c>
      <c r="Q704" s="10">
        <f>-Q412*INDEX('Deliverability Upgrade Factors'!$F:$F,MATCH(SUBSTITUTE(Dashboard!$D704,"_group",Dashboard!$D$633),'Deliverability Upgrade Factors'!$B:$B,0))</f>
        <v>0</v>
      </c>
      <c r="R704" s="10">
        <f>-R412*INDEX('Deliverability Upgrade Factors'!$F:$F,MATCH(SUBSTITUTE(Dashboard!$D704,"_group",Dashboard!$D$633),'Deliverability Upgrade Factors'!$B:$B,0))</f>
        <v>0</v>
      </c>
      <c r="S704" s="10">
        <f>-S412*INDEX('Deliverability Upgrade Factors'!$F:$F,MATCH(SUBSTITUTE(Dashboard!$D704,"_group",Dashboard!$D$633),'Deliverability Upgrade Factors'!$B:$B,0))</f>
        <v>0</v>
      </c>
      <c r="T704" s="10">
        <f>-T412*INDEX('Deliverability Upgrade Factors'!$F:$F,MATCH(SUBSTITUTE(Dashboard!$D704,"_group",Dashboard!$D$633),'Deliverability Upgrade Factors'!$B:$B,0))</f>
        <v>0</v>
      </c>
      <c r="U704" s="10">
        <f>-U412*INDEX('Deliverability Upgrade Factors'!$F:$F,MATCH(SUBSTITUTE(Dashboard!$D704,"_group",Dashboard!$D$633),'Deliverability Upgrade Factors'!$B:$B,0))</f>
        <v>0</v>
      </c>
      <c r="V704" s="10">
        <f>-V412*INDEX('Deliverability Upgrade Factors'!$F:$F,MATCH(SUBSTITUTE(Dashboard!$D704,"_group",Dashboard!$D$633),'Deliverability Upgrade Factors'!$B:$B,0))</f>
        <v>0</v>
      </c>
      <c r="W704" s="10">
        <f>-W412*INDEX('Deliverability Upgrade Factors'!$F:$F,MATCH(SUBSTITUTE(Dashboard!$D704,"_group",Dashboard!$D$633),'Deliverability Upgrade Factors'!$B:$B,0))</f>
        <v>0</v>
      </c>
      <c r="X704" s="10">
        <f>-X412*INDEX('Deliverability Upgrade Factors'!$F:$F,MATCH(SUBSTITUTE(Dashboard!$D704,"_group",Dashboard!$D$633),'Deliverability Upgrade Factors'!$B:$B,0))</f>
        <v>0</v>
      </c>
      <c r="Y704" s="10">
        <f>-Y412*INDEX('Deliverability Upgrade Factors'!$F:$F,MATCH(SUBSTITUTE(Dashboard!$D704,"_group",Dashboard!$D$633),'Deliverability Upgrade Factors'!$B:$B,0))</f>
        <v>0</v>
      </c>
      <c r="Z704" s="10">
        <f>-Z412*INDEX('Deliverability Upgrade Factors'!$F:$F,MATCH(SUBSTITUTE(Dashboard!$D704,"_group",Dashboard!$D$633),'Deliverability Upgrade Factors'!$B:$B,0))</f>
        <v>0</v>
      </c>
      <c r="AA704" s="10">
        <f>-AA412*INDEX('Deliverability Upgrade Factors'!$F:$F,MATCH(SUBSTITUTE(Dashboard!$D704,"_group",Dashboard!$D$633),'Deliverability Upgrade Factors'!$B:$B,0))</f>
        <v>0</v>
      </c>
      <c r="AB704" s="10">
        <f>-AB412*INDEX('Deliverability Upgrade Factors'!$F:$F,MATCH(SUBSTITUTE(Dashboard!$D704,"_group",Dashboard!$D$633),'Deliverability Upgrade Factors'!$B:$B,0))</f>
        <v>0</v>
      </c>
      <c r="AC704" s="10">
        <f>-AC412*INDEX('Deliverability Upgrade Factors'!$F:$F,MATCH(SUBSTITUTE(Dashboard!$D704,"_group",Dashboard!$D$633),'Deliverability Upgrade Factors'!$B:$B,0))</f>
        <v>0</v>
      </c>
      <c r="AD704" s="10">
        <f>-AD412*INDEX('Deliverability Upgrade Factors'!$F:$F,MATCH(SUBSTITUTE(Dashboard!$D704,"_group",Dashboard!$D$633),'Deliverability Upgrade Factors'!$B:$B,0))</f>
        <v>0</v>
      </c>
      <c r="AH704" s="34" t="s">
        <v>422</v>
      </c>
    </row>
    <row r="705" spans="4:34" outlineLevel="2" x14ac:dyDescent="0.2">
      <c r="D705" s="8" t="s">
        <v>262</v>
      </c>
      <c r="E705" s="10">
        <f>-E413*INDEX('Deliverability Upgrade Factors'!$F:$F,MATCH(SUBSTITUTE(Dashboard!$D705,"_group",Dashboard!$D$633),'Deliverability Upgrade Factors'!$B:$B,0))</f>
        <v>0</v>
      </c>
      <c r="F705" s="10">
        <f>-F413*INDEX('Deliverability Upgrade Factors'!$F:$F,MATCH(SUBSTITUTE(Dashboard!$D705,"_group",Dashboard!$D$633),'Deliverability Upgrade Factors'!$B:$B,0))</f>
        <v>0</v>
      </c>
      <c r="G705" s="10">
        <f>-G413*INDEX('Deliverability Upgrade Factors'!$F:$F,MATCH(SUBSTITUTE(Dashboard!$D705,"_group",Dashboard!$D$633),'Deliverability Upgrade Factors'!$B:$B,0))</f>
        <v>0</v>
      </c>
      <c r="H705" s="10">
        <f>-H413*INDEX('Deliverability Upgrade Factors'!$F:$F,MATCH(SUBSTITUTE(Dashboard!$D705,"_group",Dashboard!$D$633),'Deliverability Upgrade Factors'!$B:$B,0))</f>
        <v>0</v>
      </c>
      <c r="I705" s="10">
        <f>-I413*INDEX('Deliverability Upgrade Factors'!$F:$F,MATCH(SUBSTITUTE(Dashboard!$D705,"_group",Dashboard!$D$633),'Deliverability Upgrade Factors'!$B:$B,0))</f>
        <v>0</v>
      </c>
      <c r="J705" s="10">
        <f>-J413*INDEX('Deliverability Upgrade Factors'!$F:$F,MATCH(SUBSTITUTE(Dashboard!$D705,"_group",Dashboard!$D$633),'Deliverability Upgrade Factors'!$B:$B,0))</f>
        <v>0</v>
      </c>
      <c r="K705" s="10">
        <f>-K413*INDEX('Deliverability Upgrade Factors'!$F:$F,MATCH(SUBSTITUTE(Dashboard!$D705,"_group",Dashboard!$D$633),'Deliverability Upgrade Factors'!$B:$B,0))</f>
        <v>0</v>
      </c>
      <c r="L705" s="10">
        <f>-L413*INDEX('Deliverability Upgrade Factors'!$F:$F,MATCH(SUBSTITUTE(Dashboard!$D705,"_group",Dashboard!$D$633),'Deliverability Upgrade Factors'!$B:$B,0))</f>
        <v>0</v>
      </c>
      <c r="M705" s="10">
        <f>-M413*INDEX('Deliverability Upgrade Factors'!$F:$F,MATCH(SUBSTITUTE(Dashboard!$D705,"_group",Dashboard!$D$633),'Deliverability Upgrade Factors'!$B:$B,0))</f>
        <v>0</v>
      </c>
      <c r="N705" s="10">
        <f>-N413*INDEX('Deliverability Upgrade Factors'!$F:$F,MATCH(SUBSTITUTE(Dashboard!$D705,"_group",Dashboard!$D$633),'Deliverability Upgrade Factors'!$B:$B,0))</f>
        <v>0</v>
      </c>
      <c r="O705" s="10">
        <f>-O413*INDEX('Deliverability Upgrade Factors'!$F:$F,MATCH(SUBSTITUTE(Dashboard!$D705,"_group",Dashboard!$D$633),'Deliverability Upgrade Factors'!$B:$B,0))</f>
        <v>0</v>
      </c>
      <c r="P705" s="10">
        <f>-P413*INDEX('Deliverability Upgrade Factors'!$F:$F,MATCH(SUBSTITUTE(Dashboard!$D705,"_group",Dashboard!$D$633),'Deliverability Upgrade Factors'!$B:$B,0))</f>
        <v>0</v>
      </c>
      <c r="Q705" s="10">
        <f>-Q413*INDEX('Deliverability Upgrade Factors'!$F:$F,MATCH(SUBSTITUTE(Dashboard!$D705,"_group",Dashboard!$D$633),'Deliverability Upgrade Factors'!$B:$B,0))</f>
        <v>0</v>
      </c>
      <c r="R705" s="10">
        <f>-R413*INDEX('Deliverability Upgrade Factors'!$F:$F,MATCH(SUBSTITUTE(Dashboard!$D705,"_group",Dashboard!$D$633),'Deliverability Upgrade Factors'!$B:$B,0))</f>
        <v>0</v>
      </c>
      <c r="S705" s="10">
        <f>-S413*INDEX('Deliverability Upgrade Factors'!$F:$F,MATCH(SUBSTITUTE(Dashboard!$D705,"_group",Dashboard!$D$633),'Deliverability Upgrade Factors'!$B:$B,0))</f>
        <v>0</v>
      </c>
      <c r="T705" s="10">
        <f>-T413*INDEX('Deliverability Upgrade Factors'!$F:$F,MATCH(SUBSTITUTE(Dashboard!$D705,"_group",Dashboard!$D$633),'Deliverability Upgrade Factors'!$B:$B,0))</f>
        <v>0</v>
      </c>
      <c r="U705" s="10">
        <f>-U413*INDEX('Deliverability Upgrade Factors'!$F:$F,MATCH(SUBSTITUTE(Dashboard!$D705,"_group",Dashboard!$D$633),'Deliverability Upgrade Factors'!$B:$B,0))</f>
        <v>0</v>
      </c>
      <c r="V705" s="10">
        <f>-V413*INDEX('Deliverability Upgrade Factors'!$F:$F,MATCH(SUBSTITUTE(Dashboard!$D705,"_group",Dashboard!$D$633),'Deliverability Upgrade Factors'!$B:$B,0))</f>
        <v>0</v>
      </c>
      <c r="W705" s="10">
        <f>-W413*INDEX('Deliverability Upgrade Factors'!$F:$F,MATCH(SUBSTITUTE(Dashboard!$D705,"_group",Dashboard!$D$633),'Deliverability Upgrade Factors'!$B:$B,0))</f>
        <v>0</v>
      </c>
      <c r="X705" s="10">
        <f>-X413*INDEX('Deliverability Upgrade Factors'!$F:$F,MATCH(SUBSTITUTE(Dashboard!$D705,"_group",Dashboard!$D$633),'Deliverability Upgrade Factors'!$B:$B,0))</f>
        <v>0</v>
      </c>
      <c r="Y705" s="10">
        <f>-Y413*INDEX('Deliverability Upgrade Factors'!$F:$F,MATCH(SUBSTITUTE(Dashboard!$D705,"_group",Dashboard!$D$633),'Deliverability Upgrade Factors'!$B:$B,0))</f>
        <v>0</v>
      </c>
      <c r="Z705" s="10">
        <f>-Z413*INDEX('Deliverability Upgrade Factors'!$F:$F,MATCH(SUBSTITUTE(Dashboard!$D705,"_group",Dashboard!$D$633),'Deliverability Upgrade Factors'!$B:$B,0))</f>
        <v>0</v>
      </c>
      <c r="AA705" s="10">
        <f>-AA413*INDEX('Deliverability Upgrade Factors'!$F:$F,MATCH(SUBSTITUTE(Dashboard!$D705,"_group",Dashboard!$D$633),'Deliverability Upgrade Factors'!$B:$B,0))</f>
        <v>0</v>
      </c>
      <c r="AB705" s="10">
        <f>-AB413*INDEX('Deliverability Upgrade Factors'!$F:$F,MATCH(SUBSTITUTE(Dashboard!$D705,"_group",Dashboard!$D$633),'Deliverability Upgrade Factors'!$B:$B,0))</f>
        <v>0</v>
      </c>
      <c r="AC705" s="10">
        <f>-AC413*INDEX('Deliverability Upgrade Factors'!$F:$F,MATCH(SUBSTITUTE(Dashboard!$D705,"_group",Dashboard!$D$633),'Deliverability Upgrade Factors'!$B:$B,0))</f>
        <v>0</v>
      </c>
      <c r="AD705" s="10">
        <f>-AD413*INDEX('Deliverability Upgrade Factors'!$F:$F,MATCH(SUBSTITUTE(Dashboard!$D705,"_group",Dashboard!$D$633),'Deliverability Upgrade Factors'!$B:$B,0))</f>
        <v>400</v>
      </c>
      <c r="AH705" s="34" t="s">
        <v>422</v>
      </c>
    </row>
    <row r="706" spans="4:34" outlineLevel="2" x14ac:dyDescent="0.2">
      <c r="D706" s="8" t="s">
        <v>263</v>
      </c>
      <c r="E706" s="10">
        <f>-E414*INDEX('Deliverability Upgrade Factors'!$F:$F,MATCH(SUBSTITUTE(Dashboard!$D706,"_group",Dashboard!$D$633),'Deliverability Upgrade Factors'!$B:$B,0))</f>
        <v>0</v>
      </c>
      <c r="F706" s="10">
        <f>-F414*INDEX('Deliverability Upgrade Factors'!$F:$F,MATCH(SUBSTITUTE(Dashboard!$D706,"_group",Dashboard!$D$633),'Deliverability Upgrade Factors'!$B:$B,0))</f>
        <v>0</v>
      </c>
      <c r="G706" s="10">
        <f>-G414*INDEX('Deliverability Upgrade Factors'!$F:$F,MATCH(SUBSTITUTE(Dashboard!$D706,"_group",Dashboard!$D$633),'Deliverability Upgrade Factors'!$B:$B,0))</f>
        <v>0</v>
      </c>
      <c r="H706" s="10">
        <f>-H414*INDEX('Deliverability Upgrade Factors'!$F:$F,MATCH(SUBSTITUTE(Dashboard!$D706,"_group",Dashboard!$D$633),'Deliverability Upgrade Factors'!$B:$B,0))</f>
        <v>0</v>
      </c>
      <c r="I706" s="10">
        <f>-I414*INDEX('Deliverability Upgrade Factors'!$F:$F,MATCH(SUBSTITUTE(Dashboard!$D706,"_group",Dashboard!$D$633),'Deliverability Upgrade Factors'!$B:$B,0))</f>
        <v>0</v>
      </c>
      <c r="J706" s="10">
        <f>-J414*INDEX('Deliverability Upgrade Factors'!$F:$F,MATCH(SUBSTITUTE(Dashboard!$D706,"_group",Dashboard!$D$633),'Deliverability Upgrade Factors'!$B:$B,0))</f>
        <v>0</v>
      </c>
      <c r="K706" s="10">
        <f>-K414*INDEX('Deliverability Upgrade Factors'!$F:$F,MATCH(SUBSTITUTE(Dashboard!$D706,"_group",Dashboard!$D$633),'Deliverability Upgrade Factors'!$B:$B,0))</f>
        <v>0</v>
      </c>
      <c r="L706" s="10">
        <f>-L414*INDEX('Deliverability Upgrade Factors'!$F:$F,MATCH(SUBSTITUTE(Dashboard!$D706,"_group",Dashboard!$D$633),'Deliverability Upgrade Factors'!$B:$B,0))</f>
        <v>0</v>
      </c>
      <c r="M706" s="10">
        <f>-M414*INDEX('Deliverability Upgrade Factors'!$F:$F,MATCH(SUBSTITUTE(Dashboard!$D706,"_group",Dashboard!$D$633),'Deliverability Upgrade Factors'!$B:$B,0))</f>
        <v>0</v>
      </c>
      <c r="N706" s="10">
        <f>-N414*INDEX('Deliverability Upgrade Factors'!$F:$F,MATCH(SUBSTITUTE(Dashboard!$D706,"_group",Dashboard!$D$633),'Deliverability Upgrade Factors'!$B:$B,0))</f>
        <v>0</v>
      </c>
      <c r="O706" s="10">
        <f>-O414*INDEX('Deliverability Upgrade Factors'!$F:$F,MATCH(SUBSTITUTE(Dashboard!$D706,"_group",Dashboard!$D$633),'Deliverability Upgrade Factors'!$B:$B,0))</f>
        <v>0</v>
      </c>
      <c r="P706" s="10">
        <f>-P414*INDEX('Deliverability Upgrade Factors'!$F:$F,MATCH(SUBSTITUTE(Dashboard!$D706,"_group",Dashboard!$D$633),'Deliverability Upgrade Factors'!$B:$B,0))</f>
        <v>0</v>
      </c>
      <c r="Q706" s="10">
        <f>-Q414*INDEX('Deliverability Upgrade Factors'!$F:$F,MATCH(SUBSTITUTE(Dashboard!$D706,"_group",Dashboard!$D$633),'Deliverability Upgrade Factors'!$B:$B,0))</f>
        <v>0</v>
      </c>
      <c r="R706" s="10">
        <f>-R414*INDEX('Deliverability Upgrade Factors'!$F:$F,MATCH(SUBSTITUTE(Dashboard!$D706,"_group",Dashboard!$D$633),'Deliverability Upgrade Factors'!$B:$B,0))</f>
        <v>0</v>
      </c>
      <c r="S706" s="10">
        <f>-S414*INDEX('Deliverability Upgrade Factors'!$F:$F,MATCH(SUBSTITUTE(Dashboard!$D706,"_group",Dashboard!$D$633),'Deliverability Upgrade Factors'!$B:$B,0))</f>
        <v>0</v>
      </c>
      <c r="T706" s="10">
        <f>-T414*INDEX('Deliverability Upgrade Factors'!$F:$F,MATCH(SUBSTITUTE(Dashboard!$D706,"_group",Dashboard!$D$633),'Deliverability Upgrade Factors'!$B:$B,0))</f>
        <v>0</v>
      </c>
      <c r="U706" s="10">
        <f>-U414*INDEX('Deliverability Upgrade Factors'!$F:$F,MATCH(SUBSTITUTE(Dashboard!$D706,"_group",Dashboard!$D$633),'Deliverability Upgrade Factors'!$B:$B,0))</f>
        <v>0</v>
      </c>
      <c r="V706" s="10">
        <f>-V414*INDEX('Deliverability Upgrade Factors'!$F:$F,MATCH(SUBSTITUTE(Dashboard!$D706,"_group",Dashboard!$D$633),'Deliverability Upgrade Factors'!$B:$B,0))</f>
        <v>0</v>
      </c>
      <c r="W706" s="10">
        <f>-W414*INDEX('Deliverability Upgrade Factors'!$F:$F,MATCH(SUBSTITUTE(Dashboard!$D706,"_group",Dashboard!$D$633),'Deliverability Upgrade Factors'!$B:$B,0))</f>
        <v>0</v>
      </c>
      <c r="X706" s="10">
        <f>-X414*INDEX('Deliverability Upgrade Factors'!$F:$F,MATCH(SUBSTITUTE(Dashboard!$D706,"_group",Dashboard!$D$633),'Deliverability Upgrade Factors'!$B:$B,0))</f>
        <v>0</v>
      </c>
      <c r="Y706" s="10">
        <f>-Y414*INDEX('Deliverability Upgrade Factors'!$F:$F,MATCH(SUBSTITUTE(Dashboard!$D706,"_group",Dashboard!$D$633),'Deliverability Upgrade Factors'!$B:$B,0))</f>
        <v>0</v>
      </c>
      <c r="Z706" s="10">
        <f>-Z414*INDEX('Deliverability Upgrade Factors'!$F:$F,MATCH(SUBSTITUTE(Dashboard!$D706,"_group",Dashboard!$D$633),'Deliverability Upgrade Factors'!$B:$B,0))</f>
        <v>0</v>
      </c>
      <c r="AA706" s="10">
        <f>-AA414*INDEX('Deliverability Upgrade Factors'!$F:$F,MATCH(SUBSTITUTE(Dashboard!$D706,"_group",Dashboard!$D$633),'Deliverability Upgrade Factors'!$B:$B,0))</f>
        <v>0</v>
      </c>
      <c r="AB706" s="10">
        <f>-AB414*INDEX('Deliverability Upgrade Factors'!$F:$F,MATCH(SUBSTITUTE(Dashboard!$D706,"_group",Dashboard!$D$633),'Deliverability Upgrade Factors'!$B:$B,0))</f>
        <v>0</v>
      </c>
      <c r="AC706" s="10">
        <f>-AC414*INDEX('Deliverability Upgrade Factors'!$F:$F,MATCH(SUBSTITUTE(Dashboard!$D706,"_group",Dashboard!$D$633),'Deliverability Upgrade Factors'!$B:$B,0))</f>
        <v>0</v>
      </c>
      <c r="AD706" s="10">
        <f>-AD414*INDEX('Deliverability Upgrade Factors'!$F:$F,MATCH(SUBSTITUTE(Dashboard!$D706,"_group",Dashboard!$D$633),'Deliverability Upgrade Factors'!$B:$B,0))</f>
        <v>0</v>
      </c>
      <c r="AH706" s="34" t="s">
        <v>422</v>
      </c>
    </row>
    <row r="707" spans="4:34" outlineLevel="2" x14ac:dyDescent="0.2">
      <c r="D707" s="8" t="s">
        <v>264</v>
      </c>
      <c r="E707" s="10">
        <f>-E415*INDEX('Deliverability Upgrade Factors'!$F:$F,MATCH(SUBSTITUTE(Dashboard!$D707,"_group",Dashboard!$D$633),'Deliverability Upgrade Factors'!$B:$B,0))</f>
        <v>0</v>
      </c>
      <c r="F707" s="10">
        <f>-F415*INDEX('Deliverability Upgrade Factors'!$F:$F,MATCH(SUBSTITUTE(Dashboard!$D707,"_group",Dashboard!$D$633),'Deliverability Upgrade Factors'!$B:$B,0))</f>
        <v>0</v>
      </c>
      <c r="G707" s="10">
        <f>-G415*INDEX('Deliverability Upgrade Factors'!$F:$F,MATCH(SUBSTITUTE(Dashboard!$D707,"_group",Dashboard!$D$633),'Deliverability Upgrade Factors'!$B:$B,0))</f>
        <v>0</v>
      </c>
      <c r="H707" s="10">
        <f>-H415*INDEX('Deliverability Upgrade Factors'!$F:$F,MATCH(SUBSTITUTE(Dashboard!$D707,"_group",Dashboard!$D$633),'Deliverability Upgrade Factors'!$B:$B,0))</f>
        <v>0</v>
      </c>
      <c r="I707" s="10">
        <f>-I415*INDEX('Deliverability Upgrade Factors'!$F:$F,MATCH(SUBSTITUTE(Dashboard!$D707,"_group",Dashboard!$D$633),'Deliverability Upgrade Factors'!$B:$B,0))</f>
        <v>0</v>
      </c>
      <c r="J707" s="10">
        <f>-J415*INDEX('Deliverability Upgrade Factors'!$F:$F,MATCH(SUBSTITUTE(Dashboard!$D707,"_group",Dashboard!$D$633),'Deliverability Upgrade Factors'!$B:$B,0))</f>
        <v>0</v>
      </c>
      <c r="K707" s="10">
        <f>-K415*INDEX('Deliverability Upgrade Factors'!$F:$F,MATCH(SUBSTITUTE(Dashboard!$D707,"_group",Dashboard!$D$633),'Deliverability Upgrade Factors'!$B:$B,0))</f>
        <v>0</v>
      </c>
      <c r="L707" s="10">
        <f>-L415*INDEX('Deliverability Upgrade Factors'!$F:$F,MATCH(SUBSTITUTE(Dashboard!$D707,"_group",Dashboard!$D$633),'Deliverability Upgrade Factors'!$B:$B,0))</f>
        <v>0</v>
      </c>
      <c r="M707" s="10">
        <f>-M415*INDEX('Deliverability Upgrade Factors'!$F:$F,MATCH(SUBSTITUTE(Dashboard!$D707,"_group",Dashboard!$D$633),'Deliverability Upgrade Factors'!$B:$B,0))</f>
        <v>0</v>
      </c>
      <c r="N707" s="10">
        <f>-N415*INDEX('Deliverability Upgrade Factors'!$F:$F,MATCH(SUBSTITUTE(Dashboard!$D707,"_group",Dashboard!$D$633),'Deliverability Upgrade Factors'!$B:$B,0))</f>
        <v>0</v>
      </c>
      <c r="O707" s="10">
        <f>-O415*INDEX('Deliverability Upgrade Factors'!$F:$F,MATCH(SUBSTITUTE(Dashboard!$D707,"_group",Dashboard!$D$633),'Deliverability Upgrade Factors'!$B:$B,0))</f>
        <v>0</v>
      </c>
      <c r="P707" s="10">
        <f>-P415*INDEX('Deliverability Upgrade Factors'!$F:$F,MATCH(SUBSTITUTE(Dashboard!$D707,"_group",Dashboard!$D$633),'Deliverability Upgrade Factors'!$B:$B,0))</f>
        <v>0</v>
      </c>
      <c r="Q707" s="10">
        <f>-Q415*INDEX('Deliverability Upgrade Factors'!$F:$F,MATCH(SUBSTITUTE(Dashboard!$D707,"_group",Dashboard!$D$633),'Deliverability Upgrade Factors'!$B:$B,0))</f>
        <v>0</v>
      </c>
      <c r="R707" s="10">
        <f>-R415*INDEX('Deliverability Upgrade Factors'!$F:$F,MATCH(SUBSTITUTE(Dashboard!$D707,"_group",Dashboard!$D$633),'Deliverability Upgrade Factors'!$B:$B,0))</f>
        <v>0</v>
      </c>
      <c r="S707" s="10">
        <f>-S415*INDEX('Deliverability Upgrade Factors'!$F:$F,MATCH(SUBSTITUTE(Dashboard!$D707,"_group",Dashboard!$D$633),'Deliverability Upgrade Factors'!$B:$B,0))</f>
        <v>0</v>
      </c>
      <c r="T707" s="10">
        <f>-T415*INDEX('Deliverability Upgrade Factors'!$F:$F,MATCH(SUBSTITUTE(Dashboard!$D707,"_group",Dashboard!$D$633),'Deliverability Upgrade Factors'!$B:$B,0))</f>
        <v>0</v>
      </c>
      <c r="U707" s="10">
        <f>-U415*INDEX('Deliverability Upgrade Factors'!$F:$F,MATCH(SUBSTITUTE(Dashboard!$D707,"_group",Dashboard!$D$633),'Deliverability Upgrade Factors'!$B:$B,0))</f>
        <v>0</v>
      </c>
      <c r="V707" s="10">
        <f>-V415*INDEX('Deliverability Upgrade Factors'!$F:$F,MATCH(SUBSTITUTE(Dashboard!$D707,"_group",Dashboard!$D$633),'Deliverability Upgrade Factors'!$B:$B,0))</f>
        <v>0</v>
      </c>
      <c r="W707" s="10">
        <f>-W415*INDEX('Deliverability Upgrade Factors'!$F:$F,MATCH(SUBSTITUTE(Dashboard!$D707,"_group",Dashboard!$D$633),'Deliverability Upgrade Factors'!$B:$B,0))</f>
        <v>0</v>
      </c>
      <c r="X707" s="10">
        <f>-X415*INDEX('Deliverability Upgrade Factors'!$F:$F,MATCH(SUBSTITUTE(Dashboard!$D707,"_group",Dashboard!$D$633),'Deliverability Upgrade Factors'!$B:$B,0))</f>
        <v>0</v>
      </c>
      <c r="Y707" s="10">
        <f>-Y415*INDEX('Deliverability Upgrade Factors'!$F:$F,MATCH(SUBSTITUTE(Dashboard!$D707,"_group",Dashboard!$D$633),'Deliverability Upgrade Factors'!$B:$B,0))</f>
        <v>0</v>
      </c>
      <c r="Z707" s="10">
        <f>-Z415*INDEX('Deliverability Upgrade Factors'!$F:$F,MATCH(SUBSTITUTE(Dashboard!$D707,"_group",Dashboard!$D$633),'Deliverability Upgrade Factors'!$B:$B,0))</f>
        <v>0</v>
      </c>
      <c r="AA707" s="10">
        <f>-AA415*INDEX('Deliverability Upgrade Factors'!$F:$F,MATCH(SUBSTITUTE(Dashboard!$D707,"_group",Dashboard!$D$633),'Deliverability Upgrade Factors'!$B:$B,0))</f>
        <v>0</v>
      </c>
      <c r="AB707" s="10">
        <f>-AB415*INDEX('Deliverability Upgrade Factors'!$F:$F,MATCH(SUBSTITUTE(Dashboard!$D707,"_group",Dashboard!$D$633),'Deliverability Upgrade Factors'!$B:$B,0))</f>
        <v>0</v>
      </c>
      <c r="AC707" s="10">
        <f>-AC415*INDEX('Deliverability Upgrade Factors'!$F:$F,MATCH(SUBSTITUTE(Dashboard!$D707,"_group",Dashboard!$D$633),'Deliverability Upgrade Factors'!$B:$B,0))</f>
        <v>0</v>
      </c>
      <c r="AD707" s="10">
        <f>-AD415*INDEX('Deliverability Upgrade Factors'!$F:$F,MATCH(SUBSTITUTE(Dashboard!$D707,"_group",Dashboard!$D$633),'Deliverability Upgrade Factors'!$B:$B,0))</f>
        <v>0</v>
      </c>
      <c r="AH707" s="34" t="s">
        <v>422</v>
      </c>
    </row>
    <row r="708" spans="4:34" outlineLevel="2" x14ac:dyDescent="0.2">
      <c r="D708" s="8" t="s">
        <v>265</v>
      </c>
      <c r="E708" s="10">
        <f>-E416*INDEX('Deliverability Upgrade Factors'!$F:$F,MATCH(SUBSTITUTE(Dashboard!$D708,"_group",Dashboard!$D$633),'Deliverability Upgrade Factors'!$B:$B,0))</f>
        <v>0</v>
      </c>
      <c r="F708" s="10">
        <f>-F416*INDEX('Deliverability Upgrade Factors'!$F:$F,MATCH(SUBSTITUTE(Dashboard!$D708,"_group",Dashboard!$D$633),'Deliverability Upgrade Factors'!$B:$B,0))</f>
        <v>0</v>
      </c>
      <c r="G708" s="10">
        <f>-G416*INDEX('Deliverability Upgrade Factors'!$F:$F,MATCH(SUBSTITUTE(Dashboard!$D708,"_group",Dashboard!$D$633),'Deliverability Upgrade Factors'!$B:$B,0))</f>
        <v>0</v>
      </c>
      <c r="H708" s="10">
        <f>-H416*INDEX('Deliverability Upgrade Factors'!$F:$F,MATCH(SUBSTITUTE(Dashboard!$D708,"_group",Dashboard!$D$633),'Deliverability Upgrade Factors'!$B:$B,0))</f>
        <v>0</v>
      </c>
      <c r="I708" s="10">
        <f>-I416*INDEX('Deliverability Upgrade Factors'!$F:$F,MATCH(SUBSTITUTE(Dashboard!$D708,"_group",Dashboard!$D$633),'Deliverability Upgrade Factors'!$B:$B,0))</f>
        <v>0</v>
      </c>
      <c r="J708" s="10">
        <f>-J416*INDEX('Deliverability Upgrade Factors'!$F:$F,MATCH(SUBSTITUTE(Dashboard!$D708,"_group",Dashboard!$D$633),'Deliverability Upgrade Factors'!$B:$B,0))</f>
        <v>0</v>
      </c>
      <c r="K708" s="10">
        <f>-K416*INDEX('Deliverability Upgrade Factors'!$F:$F,MATCH(SUBSTITUTE(Dashboard!$D708,"_group",Dashboard!$D$633),'Deliverability Upgrade Factors'!$B:$B,0))</f>
        <v>0</v>
      </c>
      <c r="L708" s="10">
        <f>-L416*INDEX('Deliverability Upgrade Factors'!$F:$F,MATCH(SUBSTITUTE(Dashboard!$D708,"_group",Dashboard!$D$633),'Deliverability Upgrade Factors'!$B:$B,0))</f>
        <v>0</v>
      </c>
      <c r="M708" s="10">
        <f>-M416*INDEX('Deliverability Upgrade Factors'!$F:$F,MATCH(SUBSTITUTE(Dashboard!$D708,"_group",Dashboard!$D$633),'Deliverability Upgrade Factors'!$B:$B,0))</f>
        <v>0</v>
      </c>
      <c r="N708" s="10">
        <f>-N416*INDEX('Deliverability Upgrade Factors'!$F:$F,MATCH(SUBSTITUTE(Dashboard!$D708,"_group",Dashboard!$D$633),'Deliverability Upgrade Factors'!$B:$B,0))</f>
        <v>0</v>
      </c>
      <c r="O708" s="10">
        <f>-O416*INDEX('Deliverability Upgrade Factors'!$F:$F,MATCH(SUBSTITUTE(Dashboard!$D708,"_group",Dashboard!$D$633),'Deliverability Upgrade Factors'!$B:$B,0))</f>
        <v>0</v>
      </c>
      <c r="P708" s="10">
        <f>-P416*INDEX('Deliverability Upgrade Factors'!$F:$F,MATCH(SUBSTITUTE(Dashboard!$D708,"_group",Dashboard!$D$633),'Deliverability Upgrade Factors'!$B:$B,0))</f>
        <v>0</v>
      </c>
      <c r="Q708" s="10">
        <f>-Q416*INDEX('Deliverability Upgrade Factors'!$F:$F,MATCH(SUBSTITUTE(Dashboard!$D708,"_group",Dashboard!$D$633),'Deliverability Upgrade Factors'!$B:$B,0))</f>
        <v>0</v>
      </c>
      <c r="R708" s="10">
        <f>-R416*INDEX('Deliverability Upgrade Factors'!$F:$F,MATCH(SUBSTITUTE(Dashboard!$D708,"_group",Dashboard!$D$633),'Deliverability Upgrade Factors'!$B:$B,0))</f>
        <v>0</v>
      </c>
      <c r="S708" s="10">
        <f>-S416*INDEX('Deliverability Upgrade Factors'!$F:$F,MATCH(SUBSTITUTE(Dashboard!$D708,"_group",Dashboard!$D$633),'Deliverability Upgrade Factors'!$B:$B,0))</f>
        <v>0</v>
      </c>
      <c r="T708" s="10">
        <f>-T416*INDEX('Deliverability Upgrade Factors'!$F:$F,MATCH(SUBSTITUTE(Dashboard!$D708,"_group",Dashboard!$D$633),'Deliverability Upgrade Factors'!$B:$B,0))</f>
        <v>0</v>
      </c>
      <c r="U708" s="10">
        <f>-U416*INDEX('Deliverability Upgrade Factors'!$F:$F,MATCH(SUBSTITUTE(Dashboard!$D708,"_group",Dashboard!$D$633),'Deliverability Upgrade Factors'!$B:$B,0))</f>
        <v>0</v>
      </c>
      <c r="V708" s="10">
        <f>-V416*INDEX('Deliverability Upgrade Factors'!$F:$F,MATCH(SUBSTITUTE(Dashboard!$D708,"_group",Dashboard!$D$633),'Deliverability Upgrade Factors'!$B:$B,0))</f>
        <v>0</v>
      </c>
      <c r="W708" s="10">
        <f>-W416*INDEX('Deliverability Upgrade Factors'!$F:$F,MATCH(SUBSTITUTE(Dashboard!$D708,"_group",Dashboard!$D$633),'Deliverability Upgrade Factors'!$B:$B,0))</f>
        <v>0</v>
      </c>
      <c r="X708" s="10">
        <f>-X416*INDEX('Deliverability Upgrade Factors'!$F:$F,MATCH(SUBSTITUTE(Dashboard!$D708,"_group",Dashboard!$D$633),'Deliverability Upgrade Factors'!$B:$B,0))</f>
        <v>0</v>
      </c>
      <c r="Y708" s="10">
        <f>-Y416*INDEX('Deliverability Upgrade Factors'!$F:$F,MATCH(SUBSTITUTE(Dashboard!$D708,"_group",Dashboard!$D$633),'Deliverability Upgrade Factors'!$B:$B,0))</f>
        <v>0</v>
      </c>
      <c r="Z708" s="10">
        <f>-Z416*INDEX('Deliverability Upgrade Factors'!$F:$F,MATCH(SUBSTITUTE(Dashboard!$D708,"_group",Dashboard!$D$633),'Deliverability Upgrade Factors'!$B:$B,0))</f>
        <v>0</v>
      </c>
      <c r="AA708" s="10">
        <f>-AA416*INDEX('Deliverability Upgrade Factors'!$F:$F,MATCH(SUBSTITUTE(Dashboard!$D708,"_group",Dashboard!$D$633),'Deliverability Upgrade Factors'!$B:$B,0))</f>
        <v>0</v>
      </c>
      <c r="AB708" s="10">
        <f>-AB416*INDEX('Deliverability Upgrade Factors'!$F:$F,MATCH(SUBSTITUTE(Dashboard!$D708,"_group",Dashboard!$D$633),'Deliverability Upgrade Factors'!$B:$B,0))</f>
        <v>0</v>
      </c>
      <c r="AC708" s="10">
        <f>-AC416*INDEX('Deliverability Upgrade Factors'!$F:$F,MATCH(SUBSTITUTE(Dashboard!$D708,"_group",Dashboard!$D$633),'Deliverability Upgrade Factors'!$B:$B,0))</f>
        <v>0</v>
      </c>
      <c r="AD708" s="10">
        <f>-AD416*INDEX('Deliverability Upgrade Factors'!$F:$F,MATCH(SUBSTITUTE(Dashboard!$D708,"_group",Dashboard!$D$633),'Deliverability Upgrade Factors'!$B:$B,0))</f>
        <v>0</v>
      </c>
      <c r="AH708" s="34" t="s">
        <v>422</v>
      </c>
    </row>
    <row r="709" spans="4:34" outlineLevel="2" x14ac:dyDescent="0.2">
      <c r="D709" s="8" t="s">
        <v>266</v>
      </c>
      <c r="E709" s="10">
        <f>-E417*INDEX('Deliverability Upgrade Factors'!$F:$F,MATCH(SUBSTITUTE(Dashboard!$D709,"_group",Dashboard!$D$633),'Deliverability Upgrade Factors'!$B:$B,0))</f>
        <v>0</v>
      </c>
      <c r="F709" s="10">
        <f>-F417*INDEX('Deliverability Upgrade Factors'!$F:$F,MATCH(SUBSTITUTE(Dashboard!$D709,"_group",Dashboard!$D$633),'Deliverability Upgrade Factors'!$B:$B,0))</f>
        <v>0</v>
      </c>
      <c r="G709" s="10">
        <f>-G417*INDEX('Deliverability Upgrade Factors'!$F:$F,MATCH(SUBSTITUTE(Dashboard!$D709,"_group",Dashboard!$D$633),'Deliverability Upgrade Factors'!$B:$B,0))</f>
        <v>0</v>
      </c>
      <c r="H709" s="10">
        <f>-H417*INDEX('Deliverability Upgrade Factors'!$F:$F,MATCH(SUBSTITUTE(Dashboard!$D709,"_group",Dashboard!$D$633),'Deliverability Upgrade Factors'!$B:$B,0))</f>
        <v>0</v>
      </c>
      <c r="I709" s="10">
        <f>-I417*INDEX('Deliverability Upgrade Factors'!$F:$F,MATCH(SUBSTITUTE(Dashboard!$D709,"_group",Dashboard!$D$633),'Deliverability Upgrade Factors'!$B:$B,0))</f>
        <v>0</v>
      </c>
      <c r="J709" s="10">
        <f>-J417*INDEX('Deliverability Upgrade Factors'!$F:$F,MATCH(SUBSTITUTE(Dashboard!$D709,"_group",Dashboard!$D$633),'Deliverability Upgrade Factors'!$B:$B,0))</f>
        <v>0</v>
      </c>
      <c r="K709" s="10">
        <f>-K417*INDEX('Deliverability Upgrade Factors'!$F:$F,MATCH(SUBSTITUTE(Dashboard!$D709,"_group",Dashboard!$D$633),'Deliverability Upgrade Factors'!$B:$B,0))</f>
        <v>0</v>
      </c>
      <c r="L709" s="10">
        <f>-L417*INDEX('Deliverability Upgrade Factors'!$F:$F,MATCH(SUBSTITUTE(Dashboard!$D709,"_group",Dashboard!$D$633),'Deliverability Upgrade Factors'!$B:$B,0))</f>
        <v>0</v>
      </c>
      <c r="M709" s="10">
        <f>-M417*INDEX('Deliverability Upgrade Factors'!$F:$F,MATCH(SUBSTITUTE(Dashboard!$D709,"_group",Dashboard!$D$633),'Deliverability Upgrade Factors'!$B:$B,0))</f>
        <v>0</v>
      </c>
      <c r="N709" s="10">
        <f>-N417*INDEX('Deliverability Upgrade Factors'!$F:$F,MATCH(SUBSTITUTE(Dashboard!$D709,"_group",Dashboard!$D$633),'Deliverability Upgrade Factors'!$B:$B,0))</f>
        <v>0</v>
      </c>
      <c r="O709" s="10">
        <f>-O417*INDEX('Deliverability Upgrade Factors'!$F:$F,MATCH(SUBSTITUTE(Dashboard!$D709,"_group",Dashboard!$D$633),'Deliverability Upgrade Factors'!$B:$B,0))</f>
        <v>0</v>
      </c>
      <c r="P709" s="10">
        <f>-P417*INDEX('Deliverability Upgrade Factors'!$F:$F,MATCH(SUBSTITUTE(Dashboard!$D709,"_group",Dashboard!$D$633),'Deliverability Upgrade Factors'!$B:$B,0))</f>
        <v>0</v>
      </c>
      <c r="Q709" s="10">
        <f>-Q417*INDEX('Deliverability Upgrade Factors'!$F:$F,MATCH(SUBSTITUTE(Dashboard!$D709,"_group",Dashboard!$D$633),'Deliverability Upgrade Factors'!$B:$B,0))</f>
        <v>0</v>
      </c>
      <c r="R709" s="10">
        <f>-R417*INDEX('Deliverability Upgrade Factors'!$F:$F,MATCH(SUBSTITUTE(Dashboard!$D709,"_group",Dashboard!$D$633),'Deliverability Upgrade Factors'!$B:$B,0))</f>
        <v>0</v>
      </c>
      <c r="S709" s="10">
        <f>-S417*INDEX('Deliverability Upgrade Factors'!$F:$F,MATCH(SUBSTITUTE(Dashboard!$D709,"_group",Dashboard!$D$633),'Deliverability Upgrade Factors'!$B:$B,0))</f>
        <v>0</v>
      </c>
      <c r="T709" s="10">
        <f>-T417*INDEX('Deliverability Upgrade Factors'!$F:$F,MATCH(SUBSTITUTE(Dashboard!$D709,"_group",Dashboard!$D$633),'Deliverability Upgrade Factors'!$B:$B,0))</f>
        <v>0</v>
      </c>
      <c r="U709" s="10">
        <f>-U417*INDEX('Deliverability Upgrade Factors'!$F:$F,MATCH(SUBSTITUTE(Dashboard!$D709,"_group",Dashboard!$D$633),'Deliverability Upgrade Factors'!$B:$B,0))</f>
        <v>0</v>
      </c>
      <c r="V709" s="10">
        <f>-V417*INDEX('Deliverability Upgrade Factors'!$F:$F,MATCH(SUBSTITUTE(Dashboard!$D709,"_group",Dashboard!$D$633),'Deliverability Upgrade Factors'!$B:$B,0))</f>
        <v>0</v>
      </c>
      <c r="W709" s="10">
        <f>-W417*INDEX('Deliverability Upgrade Factors'!$F:$F,MATCH(SUBSTITUTE(Dashboard!$D709,"_group",Dashboard!$D$633),'Deliverability Upgrade Factors'!$B:$B,0))</f>
        <v>0</v>
      </c>
      <c r="X709" s="10">
        <f>-X417*INDEX('Deliverability Upgrade Factors'!$F:$F,MATCH(SUBSTITUTE(Dashboard!$D709,"_group",Dashboard!$D$633),'Deliverability Upgrade Factors'!$B:$B,0))</f>
        <v>0</v>
      </c>
      <c r="Y709" s="10">
        <f>-Y417*INDEX('Deliverability Upgrade Factors'!$F:$F,MATCH(SUBSTITUTE(Dashboard!$D709,"_group",Dashboard!$D$633),'Deliverability Upgrade Factors'!$B:$B,0))</f>
        <v>0</v>
      </c>
      <c r="Z709" s="10">
        <f>-Z417*INDEX('Deliverability Upgrade Factors'!$F:$F,MATCH(SUBSTITUTE(Dashboard!$D709,"_group",Dashboard!$D$633),'Deliverability Upgrade Factors'!$B:$B,0))</f>
        <v>0</v>
      </c>
      <c r="AA709" s="10">
        <f>-AA417*INDEX('Deliverability Upgrade Factors'!$F:$F,MATCH(SUBSTITUTE(Dashboard!$D709,"_group",Dashboard!$D$633),'Deliverability Upgrade Factors'!$B:$B,0))</f>
        <v>0</v>
      </c>
      <c r="AB709" s="10">
        <f>-AB417*INDEX('Deliverability Upgrade Factors'!$F:$F,MATCH(SUBSTITUTE(Dashboard!$D709,"_group",Dashboard!$D$633),'Deliverability Upgrade Factors'!$B:$B,0))</f>
        <v>0</v>
      </c>
      <c r="AC709" s="10">
        <f>-AC417*INDEX('Deliverability Upgrade Factors'!$F:$F,MATCH(SUBSTITUTE(Dashboard!$D709,"_group",Dashboard!$D$633),'Deliverability Upgrade Factors'!$B:$B,0))</f>
        <v>0</v>
      </c>
      <c r="AD709" s="10">
        <f>-AD417*INDEX('Deliverability Upgrade Factors'!$F:$F,MATCH(SUBSTITUTE(Dashboard!$D709,"_group",Dashboard!$D$633),'Deliverability Upgrade Factors'!$B:$B,0))</f>
        <v>0</v>
      </c>
      <c r="AH709" s="34" t="s">
        <v>422</v>
      </c>
    </row>
    <row r="710" spans="4:34" outlineLevel="2" x14ac:dyDescent="0.2">
      <c r="D710" s="8" t="s">
        <v>267</v>
      </c>
      <c r="E710" s="10">
        <f>-E418*INDEX('Deliverability Upgrade Factors'!$F:$F,MATCH(SUBSTITUTE(Dashboard!$D710,"_group",Dashboard!$D$633),'Deliverability Upgrade Factors'!$B:$B,0))</f>
        <v>0</v>
      </c>
      <c r="F710" s="10">
        <f>-F418*INDEX('Deliverability Upgrade Factors'!$F:$F,MATCH(SUBSTITUTE(Dashboard!$D710,"_group",Dashboard!$D$633),'Deliverability Upgrade Factors'!$B:$B,0))</f>
        <v>0</v>
      </c>
      <c r="G710" s="10">
        <f>-G418*INDEX('Deliverability Upgrade Factors'!$F:$F,MATCH(SUBSTITUTE(Dashboard!$D710,"_group",Dashboard!$D$633),'Deliverability Upgrade Factors'!$B:$B,0))</f>
        <v>0</v>
      </c>
      <c r="H710" s="10">
        <f>-H418*INDEX('Deliverability Upgrade Factors'!$F:$F,MATCH(SUBSTITUTE(Dashboard!$D710,"_group",Dashboard!$D$633),'Deliverability Upgrade Factors'!$B:$B,0))</f>
        <v>0</v>
      </c>
      <c r="I710" s="10">
        <f>-I418*INDEX('Deliverability Upgrade Factors'!$F:$F,MATCH(SUBSTITUTE(Dashboard!$D710,"_group",Dashboard!$D$633),'Deliverability Upgrade Factors'!$B:$B,0))</f>
        <v>0</v>
      </c>
      <c r="J710" s="10">
        <f>-J418*INDEX('Deliverability Upgrade Factors'!$F:$F,MATCH(SUBSTITUTE(Dashboard!$D710,"_group",Dashboard!$D$633),'Deliverability Upgrade Factors'!$B:$B,0))</f>
        <v>0</v>
      </c>
      <c r="K710" s="10">
        <f>-K418*INDEX('Deliverability Upgrade Factors'!$F:$F,MATCH(SUBSTITUTE(Dashboard!$D710,"_group",Dashboard!$D$633),'Deliverability Upgrade Factors'!$B:$B,0))</f>
        <v>0</v>
      </c>
      <c r="L710" s="10">
        <f>-L418*INDEX('Deliverability Upgrade Factors'!$F:$F,MATCH(SUBSTITUTE(Dashboard!$D710,"_group",Dashboard!$D$633),'Deliverability Upgrade Factors'!$B:$B,0))</f>
        <v>0</v>
      </c>
      <c r="M710" s="10">
        <f>-M418*INDEX('Deliverability Upgrade Factors'!$F:$F,MATCH(SUBSTITUTE(Dashboard!$D710,"_group",Dashboard!$D$633),'Deliverability Upgrade Factors'!$B:$B,0))</f>
        <v>0</v>
      </c>
      <c r="N710" s="10">
        <f>-N418*INDEX('Deliverability Upgrade Factors'!$F:$F,MATCH(SUBSTITUTE(Dashboard!$D710,"_group",Dashboard!$D$633),'Deliverability Upgrade Factors'!$B:$B,0))</f>
        <v>0</v>
      </c>
      <c r="O710" s="10">
        <f>-O418*INDEX('Deliverability Upgrade Factors'!$F:$F,MATCH(SUBSTITUTE(Dashboard!$D710,"_group",Dashboard!$D$633),'Deliverability Upgrade Factors'!$B:$B,0))</f>
        <v>0</v>
      </c>
      <c r="P710" s="10">
        <f>-P418*INDEX('Deliverability Upgrade Factors'!$F:$F,MATCH(SUBSTITUTE(Dashboard!$D710,"_group",Dashboard!$D$633),'Deliverability Upgrade Factors'!$B:$B,0))</f>
        <v>0</v>
      </c>
      <c r="Q710" s="10">
        <f>-Q418*INDEX('Deliverability Upgrade Factors'!$F:$F,MATCH(SUBSTITUTE(Dashboard!$D710,"_group",Dashboard!$D$633),'Deliverability Upgrade Factors'!$B:$B,0))</f>
        <v>0</v>
      </c>
      <c r="R710" s="10">
        <f>-R418*INDEX('Deliverability Upgrade Factors'!$F:$F,MATCH(SUBSTITUTE(Dashboard!$D710,"_group",Dashboard!$D$633),'Deliverability Upgrade Factors'!$B:$B,0))</f>
        <v>0</v>
      </c>
      <c r="S710" s="10">
        <f>-S418*INDEX('Deliverability Upgrade Factors'!$F:$F,MATCH(SUBSTITUTE(Dashboard!$D710,"_group",Dashboard!$D$633),'Deliverability Upgrade Factors'!$B:$B,0))</f>
        <v>0</v>
      </c>
      <c r="T710" s="10">
        <f>-T418*INDEX('Deliverability Upgrade Factors'!$F:$F,MATCH(SUBSTITUTE(Dashboard!$D710,"_group",Dashboard!$D$633),'Deliverability Upgrade Factors'!$B:$B,0))</f>
        <v>0</v>
      </c>
      <c r="U710" s="10">
        <f>-U418*INDEX('Deliverability Upgrade Factors'!$F:$F,MATCH(SUBSTITUTE(Dashboard!$D710,"_group",Dashboard!$D$633),'Deliverability Upgrade Factors'!$B:$B,0))</f>
        <v>0</v>
      </c>
      <c r="V710" s="10">
        <f>-V418*INDEX('Deliverability Upgrade Factors'!$F:$F,MATCH(SUBSTITUTE(Dashboard!$D710,"_group",Dashboard!$D$633),'Deliverability Upgrade Factors'!$B:$B,0))</f>
        <v>0</v>
      </c>
      <c r="W710" s="10">
        <f>-W418*INDEX('Deliverability Upgrade Factors'!$F:$F,MATCH(SUBSTITUTE(Dashboard!$D710,"_group",Dashboard!$D$633),'Deliverability Upgrade Factors'!$B:$B,0))</f>
        <v>0</v>
      </c>
      <c r="X710" s="10">
        <f>-X418*INDEX('Deliverability Upgrade Factors'!$F:$F,MATCH(SUBSTITUTE(Dashboard!$D710,"_group",Dashboard!$D$633),'Deliverability Upgrade Factors'!$B:$B,0))</f>
        <v>0</v>
      </c>
      <c r="Y710" s="10">
        <f>-Y418*INDEX('Deliverability Upgrade Factors'!$F:$F,MATCH(SUBSTITUTE(Dashboard!$D710,"_group",Dashboard!$D$633),'Deliverability Upgrade Factors'!$B:$B,0))</f>
        <v>0</v>
      </c>
      <c r="Z710" s="10">
        <f>-Z418*INDEX('Deliverability Upgrade Factors'!$F:$F,MATCH(SUBSTITUTE(Dashboard!$D710,"_group",Dashboard!$D$633),'Deliverability Upgrade Factors'!$B:$B,0))</f>
        <v>0</v>
      </c>
      <c r="AA710" s="10">
        <f>-AA418*INDEX('Deliverability Upgrade Factors'!$F:$F,MATCH(SUBSTITUTE(Dashboard!$D710,"_group",Dashboard!$D$633),'Deliverability Upgrade Factors'!$B:$B,0))</f>
        <v>0</v>
      </c>
      <c r="AB710" s="10">
        <f>-AB418*INDEX('Deliverability Upgrade Factors'!$F:$F,MATCH(SUBSTITUTE(Dashboard!$D710,"_group",Dashboard!$D$633),'Deliverability Upgrade Factors'!$B:$B,0))</f>
        <v>0</v>
      </c>
      <c r="AC710" s="10">
        <f>-AC418*INDEX('Deliverability Upgrade Factors'!$F:$F,MATCH(SUBSTITUTE(Dashboard!$D710,"_group",Dashboard!$D$633),'Deliverability Upgrade Factors'!$B:$B,0))</f>
        <v>0</v>
      </c>
      <c r="AD710" s="10">
        <f>-AD418*INDEX('Deliverability Upgrade Factors'!$F:$F,MATCH(SUBSTITUTE(Dashboard!$D710,"_group",Dashboard!$D$633),'Deliverability Upgrade Factors'!$B:$B,0))</f>
        <v>0</v>
      </c>
      <c r="AH710" s="34" t="s">
        <v>422</v>
      </c>
    </row>
    <row r="711" spans="4:34" outlineLevel="2" x14ac:dyDescent="0.2">
      <c r="D711" s="8" t="s">
        <v>268</v>
      </c>
      <c r="E711" s="10">
        <f>-E419*INDEX('Deliverability Upgrade Factors'!$F:$F,MATCH(SUBSTITUTE(Dashboard!$D711,"_group",Dashboard!$D$633),'Deliverability Upgrade Factors'!$B:$B,0))</f>
        <v>0</v>
      </c>
      <c r="F711" s="10">
        <f>-F419*INDEX('Deliverability Upgrade Factors'!$F:$F,MATCH(SUBSTITUTE(Dashboard!$D711,"_group",Dashboard!$D$633),'Deliverability Upgrade Factors'!$B:$B,0))</f>
        <v>0</v>
      </c>
      <c r="G711" s="10">
        <f>-G419*INDEX('Deliverability Upgrade Factors'!$F:$F,MATCH(SUBSTITUTE(Dashboard!$D711,"_group",Dashboard!$D$633),'Deliverability Upgrade Factors'!$B:$B,0))</f>
        <v>0</v>
      </c>
      <c r="H711" s="10">
        <f>-H419*INDEX('Deliverability Upgrade Factors'!$F:$F,MATCH(SUBSTITUTE(Dashboard!$D711,"_group",Dashboard!$D$633),'Deliverability Upgrade Factors'!$B:$B,0))</f>
        <v>0</v>
      </c>
      <c r="I711" s="10">
        <f>-I419*INDEX('Deliverability Upgrade Factors'!$F:$F,MATCH(SUBSTITUTE(Dashboard!$D711,"_group",Dashboard!$D$633),'Deliverability Upgrade Factors'!$B:$B,0))</f>
        <v>0</v>
      </c>
      <c r="J711" s="10">
        <f>-J419*INDEX('Deliverability Upgrade Factors'!$F:$F,MATCH(SUBSTITUTE(Dashboard!$D711,"_group",Dashboard!$D$633),'Deliverability Upgrade Factors'!$B:$B,0))</f>
        <v>0</v>
      </c>
      <c r="K711" s="10">
        <f>-K419*INDEX('Deliverability Upgrade Factors'!$F:$F,MATCH(SUBSTITUTE(Dashboard!$D711,"_group",Dashboard!$D$633),'Deliverability Upgrade Factors'!$B:$B,0))</f>
        <v>0</v>
      </c>
      <c r="L711" s="10">
        <f>-L419*INDEX('Deliverability Upgrade Factors'!$F:$F,MATCH(SUBSTITUTE(Dashboard!$D711,"_group",Dashboard!$D$633),'Deliverability Upgrade Factors'!$B:$B,0))</f>
        <v>0</v>
      </c>
      <c r="M711" s="10">
        <f>-M419*INDEX('Deliverability Upgrade Factors'!$F:$F,MATCH(SUBSTITUTE(Dashboard!$D711,"_group",Dashboard!$D$633),'Deliverability Upgrade Factors'!$B:$B,0))</f>
        <v>0</v>
      </c>
      <c r="N711" s="10">
        <f>-N419*INDEX('Deliverability Upgrade Factors'!$F:$F,MATCH(SUBSTITUTE(Dashboard!$D711,"_group",Dashboard!$D$633),'Deliverability Upgrade Factors'!$B:$B,0))</f>
        <v>0</v>
      </c>
      <c r="O711" s="10">
        <f>-O419*INDEX('Deliverability Upgrade Factors'!$F:$F,MATCH(SUBSTITUTE(Dashboard!$D711,"_group",Dashboard!$D$633),'Deliverability Upgrade Factors'!$B:$B,0))</f>
        <v>0</v>
      </c>
      <c r="P711" s="10">
        <f>-P419*INDEX('Deliverability Upgrade Factors'!$F:$F,MATCH(SUBSTITUTE(Dashboard!$D711,"_group",Dashboard!$D$633),'Deliverability Upgrade Factors'!$B:$B,0))</f>
        <v>0</v>
      </c>
      <c r="Q711" s="10">
        <f>-Q419*INDEX('Deliverability Upgrade Factors'!$F:$F,MATCH(SUBSTITUTE(Dashboard!$D711,"_group",Dashboard!$D$633),'Deliverability Upgrade Factors'!$B:$B,0))</f>
        <v>0</v>
      </c>
      <c r="R711" s="10">
        <f>-R419*INDEX('Deliverability Upgrade Factors'!$F:$F,MATCH(SUBSTITUTE(Dashboard!$D711,"_group",Dashboard!$D$633),'Deliverability Upgrade Factors'!$B:$B,0))</f>
        <v>0</v>
      </c>
      <c r="S711" s="10">
        <f>-S419*INDEX('Deliverability Upgrade Factors'!$F:$F,MATCH(SUBSTITUTE(Dashboard!$D711,"_group",Dashboard!$D$633),'Deliverability Upgrade Factors'!$B:$B,0))</f>
        <v>0</v>
      </c>
      <c r="T711" s="10">
        <f>-T419*INDEX('Deliverability Upgrade Factors'!$F:$F,MATCH(SUBSTITUTE(Dashboard!$D711,"_group",Dashboard!$D$633),'Deliverability Upgrade Factors'!$B:$B,0))</f>
        <v>0</v>
      </c>
      <c r="U711" s="10">
        <f>-U419*INDEX('Deliverability Upgrade Factors'!$F:$F,MATCH(SUBSTITUTE(Dashboard!$D711,"_group",Dashboard!$D$633),'Deliverability Upgrade Factors'!$B:$B,0))</f>
        <v>0</v>
      </c>
      <c r="V711" s="10">
        <f>-V419*INDEX('Deliverability Upgrade Factors'!$F:$F,MATCH(SUBSTITUTE(Dashboard!$D711,"_group",Dashboard!$D$633),'Deliverability Upgrade Factors'!$B:$B,0))</f>
        <v>0</v>
      </c>
      <c r="W711" s="10">
        <f>-W419*INDEX('Deliverability Upgrade Factors'!$F:$F,MATCH(SUBSTITUTE(Dashboard!$D711,"_group",Dashboard!$D$633),'Deliverability Upgrade Factors'!$B:$B,0))</f>
        <v>0</v>
      </c>
      <c r="X711" s="10">
        <f>-X419*INDEX('Deliverability Upgrade Factors'!$F:$F,MATCH(SUBSTITUTE(Dashboard!$D711,"_group",Dashboard!$D$633),'Deliverability Upgrade Factors'!$B:$B,0))</f>
        <v>0</v>
      </c>
      <c r="Y711" s="10">
        <f>-Y419*INDEX('Deliverability Upgrade Factors'!$F:$F,MATCH(SUBSTITUTE(Dashboard!$D711,"_group",Dashboard!$D$633),'Deliverability Upgrade Factors'!$B:$B,0))</f>
        <v>0</v>
      </c>
      <c r="Z711" s="10">
        <f>-Z419*INDEX('Deliverability Upgrade Factors'!$F:$F,MATCH(SUBSTITUTE(Dashboard!$D711,"_group",Dashboard!$D$633),'Deliverability Upgrade Factors'!$B:$B,0))</f>
        <v>0</v>
      </c>
      <c r="AA711" s="10">
        <f>-AA419*INDEX('Deliverability Upgrade Factors'!$F:$F,MATCH(SUBSTITUTE(Dashboard!$D711,"_group",Dashboard!$D$633),'Deliverability Upgrade Factors'!$B:$B,0))</f>
        <v>0</v>
      </c>
      <c r="AB711" s="10">
        <f>-AB419*INDEX('Deliverability Upgrade Factors'!$F:$F,MATCH(SUBSTITUTE(Dashboard!$D711,"_group",Dashboard!$D$633),'Deliverability Upgrade Factors'!$B:$B,0))</f>
        <v>0</v>
      </c>
      <c r="AC711" s="10">
        <f>-AC419*INDEX('Deliverability Upgrade Factors'!$F:$F,MATCH(SUBSTITUTE(Dashboard!$D711,"_group",Dashboard!$D$633),'Deliverability Upgrade Factors'!$B:$B,0))</f>
        <v>0</v>
      </c>
      <c r="AD711" s="10">
        <f>-AD419*INDEX('Deliverability Upgrade Factors'!$F:$F,MATCH(SUBSTITUTE(Dashboard!$D711,"_group",Dashboard!$D$633),'Deliverability Upgrade Factors'!$B:$B,0))</f>
        <v>0</v>
      </c>
      <c r="AH711" s="34" t="s">
        <v>422</v>
      </c>
    </row>
    <row r="712" spans="4:34" outlineLevel="2" x14ac:dyDescent="0.2">
      <c r="D712" s="8" t="s">
        <v>269</v>
      </c>
      <c r="E712" s="10">
        <f>-E420*INDEX('Deliverability Upgrade Factors'!$F:$F,MATCH(SUBSTITUTE(Dashboard!$D712,"_group",Dashboard!$D$633),'Deliverability Upgrade Factors'!$B:$B,0))</f>
        <v>0</v>
      </c>
      <c r="F712" s="10">
        <f>-F420*INDEX('Deliverability Upgrade Factors'!$F:$F,MATCH(SUBSTITUTE(Dashboard!$D712,"_group",Dashboard!$D$633),'Deliverability Upgrade Factors'!$B:$B,0))</f>
        <v>0</v>
      </c>
      <c r="G712" s="10">
        <f>-G420*INDEX('Deliverability Upgrade Factors'!$F:$F,MATCH(SUBSTITUTE(Dashboard!$D712,"_group",Dashboard!$D$633),'Deliverability Upgrade Factors'!$B:$B,0))</f>
        <v>0</v>
      </c>
      <c r="H712" s="10">
        <f>-H420*INDEX('Deliverability Upgrade Factors'!$F:$F,MATCH(SUBSTITUTE(Dashboard!$D712,"_group",Dashboard!$D$633),'Deliverability Upgrade Factors'!$B:$B,0))</f>
        <v>0</v>
      </c>
      <c r="I712" s="10">
        <f>-I420*INDEX('Deliverability Upgrade Factors'!$F:$F,MATCH(SUBSTITUTE(Dashboard!$D712,"_group",Dashboard!$D$633),'Deliverability Upgrade Factors'!$B:$B,0))</f>
        <v>0</v>
      </c>
      <c r="J712" s="10">
        <f>-J420*INDEX('Deliverability Upgrade Factors'!$F:$F,MATCH(SUBSTITUTE(Dashboard!$D712,"_group",Dashboard!$D$633),'Deliverability Upgrade Factors'!$B:$B,0))</f>
        <v>0</v>
      </c>
      <c r="K712" s="10">
        <f>-K420*INDEX('Deliverability Upgrade Factors'!$F:$F,MATCH(SUBSTITUTE(Dashboard!$D712,"_group",Dashboard!$D$633),'Deliverability Upgrade Factors'!$B:$B,0))</f>
        <v>0</v>
      </c>
      <c r="L712" s="10">
        <f>-L420*INDEX('Deliverability Upgrade Factors'!$F:$F,MATCH(SUBSTITUTE(Dashboard!$D712,"_group",Dashboard!$D$633),'Deliverability Upgrade Factors'!$B:$B,0))</f>
        <v>0</v>
      </c>
      <c r="M712" s="10">
        <f>-M420*INDEX('Deliverability Upgrade Factors'!$F:$F,MATCH(SUBSTITUTE(Dashboard!$D712,"_group",Dashboard!$D$633),'Deliverability Upgrade Factors'!$B:$B,0))</f>
        <v>0</v>
      </c>
      <c r="N712" s="10">
        <f>-N420*INDEX('Deliverability Upgrade Factors'!$F:$F,MATCH(SUBSTITUTE(Dashboard!$D712,"_group",Dashboard!$D$633),'Deliverability Upgrade Factors'!$B:$B,0))</f>
        <v>0</v>
      </c>
      <c r="O712" s="10">
        <f>-O420*INDEX('Deliverability Upgrade Factors'!$F:$F,MATCH(SUBSTITUTE(Dashboard!$D712,"_group",Dashboard!$D$633),'Deliverability Upgrade Factors'!$B:$B,0))</f>
        <v>0</v>
      </c>
      <c r="P712" s="10">
        <f>-P420*INDEX('Deliverability Upgrade Factors'!$F:$F,MATCH(SUBSTITUTE(Dashboard!$D712,"_group",Dashboard!$D$633),'Deliverability Upgrade Factors'!$B:$B,0))</f>
        <v>0</v>
      </c>
      <c r="Q712" s="10">
        <f>-Q420*INDEX('Deliverability Upgrade Factors'!$F:$F,MATCH(SUBSTITUTE(Dashboard!$D712,"_group",Dashboard!$D$633),'Deliverability Upgrade Factors'!$B:$B,0))</f>
        <v>0</v>
      </c>
      <c r="R712" s="10">
        <f>-R420*INDEX('Deliverability Upgrade Factors'!$F:$F,MATCH(SUBSTITUTE(Dashboard!$D712,"_group",Dashboard!$D$633),'Deliverability Upgrade Factors'!$B:$B,0))</f>
        <v>0</v>
      </c>
      <c r="S712" s="10">
        <f>-S420*INDEX('Deliverability Upgrade Factors'!$F:$F,MATCH(SUBSTITUTE(Dashboard!$D712,"_group",Dashboard!$D$633),'Deliverability Upgrade Factors'!$B:$B,0))</f>
        <v>0</v>
      </c>
      <c r="T712" s="10">
        <f>-T420*INDEX('Deliverability Upgrade Factors'!$F:$F,MATCH(SUBSTITUTE(Dashboard!$D712,"_group",Dashboard!$D$633),'Deliverability Upgrade Factors'!$B:$B,0))</f>
        <v>0</v>
      </c>
      <c r="U712" s="10">
        <f>-U420*INDEX('Deliverability Upgrade Factors'!$F:$F,MATCH(SUBSTITUTE(Dashboard!$D712,"_group",Dashboard!$D$633),'Deliverability Upgrade Factors'!$B:$B,0))</f>
        <v>0</v>
      </c>
      <c r="V712" s="10">
        <f>-V420*INDEX('Deliverability Upgrade Factors'!$F:$F,MATCH(SUBSTITUTE(Dashboard!$D712,"_group",Dashboard!$D$633),'Deliverability Upgrade Factors'!$B:$B,0))</f>
        <v>0</v>
      </c>
      <c r="W712" s="10">
        <f>-W420*INDEX('Deliverability Upgrade Factors'!$F:$F,MATCH(SUBSTITUTE(Dashboard!$D712,"_group",Dashboard!$D$633),'Deliverability Upgrade Factors'!$B:$B,0))</f>
        <v>0</v>
      </c>
      <c r="X712" s="10">
        <f>-X420*INDEX('Deliverability Upgrade Factors'!$F:$F,MATCH(SUBSTITUTE(Dashboard!$D712,"_group",Dashboard!$D$633),'Deliverability Upgrade Factors'!$B:$B,0))</f>
        <v>0</v>
      </c>
      <c r="Y712" s="10">
        <f>-Y420*INDEX('Deliverability Upgrade Factors'!$F:$F,MATCH(SUBSTITUTE(Dashboard!$D712,"_group",Dashboard!$D$633),'Deliverability Upgrade Factors'!$B:$B,0))</f>
        <v>0</v>
      </c>
      <c r="Z712" s="10">
        <f>-Z420*INDEX('Deliverability Upgrade Factors'!$F:$F,MATCH(SUBSTITUTE(Dashboard!$D712,"_group",Dashboard!$D$633),'Deliverability Upgrade Factors'!$B:$B,0))</f>
        <v>0</v>
      </c>
      <c r="AA712" s="10">
        <f>-AA420*INDEX('Deliverability Upgrade Factors'!$F:$F,MATCH(SUBSTITUTE(Dashboard!$D712,"_group",Dashboard!$D$633),'Deliverability Upgrade Factors'!$B:$B,0))</f>
        <v>0</v>
      </c>
      <c r="AB712" s="10">
        <f>-AB420*INDEX('Deliverability Upgrade Factors'!$F:$F,MATCH(SUBSTITUTE(Dashboard!$D712,"_group",Dashboard!$D$633),'Deliverability Upgrade Factors'!$B:$B,0))</f>
        <v>0</v>
      </c>
      <c r="AC712" s="10">
        <f>-AC420*INDEX('Deliverability Upgrade Factors'!$F:$F,MATCH(SUBSTITUTE(Dashboard!$D712,"_group",Dashboard!$D$633),'Deliverability Upgrade Factors'!$B:$B,0))</f>
        <v>0</v>
      </c>
      <c r="AD712" s="10">
        <f>-AD420*INDEX('Deliverability Upgrade Factors'!$F:$F,MATCH(SUBSTITUTE(Dashboard!$D712,"_group",Dashboard!$D$633),'Deliverability Upgrade Factors'!$B:$B,0))</f>
        <v>0</v>
      </c>
      <c r="AH712" s="34" t="s">
        <v>422</v>
      </c>
    </row>
    <row r="713" spans="4:34" outlineLevel="2" x14ac:dyDescent="0.2">
      <c r="D713" s="8" t="s">
        <v>270</v>
      </c>
      <c r="E713" s="10">
        <f>-E421*INDEX('Deliverability Upgrade Factors'!$F:$F,MATCH(SUBSTITUTE(Dashboard!$D713,"_group",Dashboard!$D$633),'Deliverability Upgrade Factors'!$B:$B,0))</f>
        <v>0</v>
      </c>
      <c r="F713" s="10">
        <f>-F421*INDEX('Deliverability Upgrade Factors'!$F:$F,MATCH(SUBSTITUTE(Dashboard!$D713,"_group",Dashboard!$D$633),'Deliverability Upgrade Factors'!$B:$B,0))</f>
        <v>0</v>
      </c>
      <c r="G713" s="10">
        <f>-G421*INDEX('Deliverability Upgrade Factors'!$F:$F,MATCH(SUBSTITUTE(Dashboard!$D713,"_group",Dashboard!$D$633),'Deliverability Upgrade Factors'!$B:$B,0))</f>
        <v>0</v>
      </c>
      <c r="H713" s="10">
        <f>-H421*INDEX('Deliverability Upgrade Factors'!$F:$F,MATCH(SUBSTITUTE(Dashboard!$D713,"_group",Dashboard!$D$633),'Deliverability Upgrade Factors'!$B:$B,0))</f>
        <v>0</v>
      </c>
      <c r="I713" s="10">
        <f>-I421*INDEX('Deliverability Upgrade Factors'!$F:$F,MATCH(SUBSTITUTE(Dashboard!$D713,"_group",Dashboard!$D$633),'Deliverability Upgrade Factors'!$B:$B,0))</f>
        <v>0</v>
      </c>
      <c r="J713" s="10">
        <f>-J421*INDEX('Deliverability Upgrade Factors'!$F:$F,MATCH(SUBSTITUTE(Dashboard!$D713,"_group",Dashboard!$D$633),'Deliverability Upgrade Factors'!$B:$B,0))</f>
        <v>0</v>
      </c>
      <c r="K713" s="10">
        <f>-K421*INDEX('Deliverability Upgrade Factors'!$F:$F,MATCH(SUBSTITUTE(Dashboard!$D713,"_group",Dashboard!$D$633),'Deliverability Upgrade Factors'!$B:$B,0))</f>
        <v>0</v>
      </c>
      <c r="L713" s="10">
        <f>-L421*INDEX('Deliverability Upgrade Factors'!$F:$F,MATCH(SUBSTITUTE(Dashboard!$D713,"_group",Dashboard!$D$633),'Deliverability Upgrade Factors'!$B:$B,0))</f>
        <v>0</v>
      </c>
      <c r="M713" s="10">
        <f>-M421*INDEX('Deliverability Upgrade Factors'!$F:$F,MATCH(SUBSTITUTE(Dashboard!$D713,"_group",Dashboard!$D$633),'Deliverability Upgrade Factors'!$B:$B,0))</f>
        <v>0</v>
      </c>
      <c r="N713" s="10">
        <f>-N421*INDEX('Deliverability Upgrade Factors'!$F:$F,MATCH(SUBSTITUTE(Dashboard!$D713,"_group",Dashboard!$D$633),'Deliverability Upgrade Factors'!$B:$B,0))</f>
        <v>0</v>
      </c>
      <c r="O713" s="10">
        <f>-O421*INDEX('Deliverability Upgrade Factors'!$F:$F,MATCH(SUBSTITUTE(Dashboard!$D713,"_group",Dashboard!$D$633),'Deliverability Upgrade Factors'!$B:$B,0))</f>
        <v>0</v>
      </c>
      <c r="P713" s="10">
        <f>-P421*INDEX('Deliverability Upgrade Factors'!$F:$F,MATCH(SUBSTITUTE(Dashboard!$D713,"_group",Dashboard!$D$633),'Deliverability Upgrade Factors'!$B:$B,0))</f>
        <v>0</v>
      </c>
      <c r="Q713" s="10">
        <f>-Q421*INDEX('Deliverability Upgrade Factors'!$F:$F,MATCH(SUBSTITUTE(Dashboard!$D713,"_group",Dashboard!$D$633),'Deliverability Upgrade Factors'!$B:$B,0))</f>
        <v>0</v>
      </c>
      <c r="R713" s="10">
        <f>-R421*INDEX('Deliverability Upgrade Factors'!$F:$F,MATCH(SUBSTITUTE(Dashboard!$D713,"_group",Dashboard!$D$633),'Deliverability Upgrade Factors'!$B:$B,0))</f>
        <v>0</v>
      </c>
      <c r="S713" s="10">
        <f>-S421*INDEX('Deliverability Upgrade Factors'!$F:$F,MATCH(SUBSTITUTE(Dashboard!$D713,"_group",Dashboard!$D$633),'Deliverability Upgrade Factors'!$B:$B,0))</f>
        <v>0</v>
      </c>
      <c r="T713" s="10">
        <f>-T421*INDEX('Deliverability Upgrade Factors'!$F:$F,MATCH(SUBSTITUTE(Dashboard!$D713,"_group",Dashboard!$D$633),'Deliverability Upgrade Factors'!$B:$B,0))</f>
        <v>0</v>
      </c>
      <c r="U713" s="10">
        <f>-U421*INDEX('Deliverability Upgrade Factors'!$F:$F,MATCH(SUBSTITUTE(Dashboard!$D713,"_group",Dashboard!$D$633),'Deliverability Upgrade Factors'!$B:$B,0))</f>
        <v>0</v>
      </c>
      <c r="V713" s="10">
        <f>-V421*INDEX('Deliverability Upgrade Factors'!$F:$F,MATCH(SUBSTITUTE(Dashboard!$D713,"_group",Dashboard!$D$633),'Deliverability Upgrade Factors'!$B:$B,0))</f>
        <v>0</v>
      </c>
      <c r="W713" s="10">
        <f>-W421*INDEX('Deliverability Upgrade Factors'!$F:$F,MATCH(SUBSTITUTE(Dashboard!$D713,"_group",Dashboard!$D$633),'Deliverability Upgrade Factors'!$B:$B,0))</f>
        <v>0</v>
      </c>
      <c r="X713" s="10">
        <f>-X421*INDEX('Deliverability Upgrade Factors'!$F:$F,MATCH(SUBSTITUTE(Dashboard!$D713,"_group",Dashboard!$D$633),'Deliverability Upgrade Factors'!$B:$B,0))</f>
        <v>0</v>
      </c>
      <c r="Y713" s="10">
        <f>-Y421*INDEX('Deliverability Upgrade Factors'!$F:$F,MATCH(SUBSTITUTE(Dashboard!$D713,"_group",Dashboard!$D$633),'Deliverability Upgrade Factors'!$B:$B,0))</f>
        <v>0</v>
      </c>
      <c r="Z713" s="10">
        <f>-Z421*INDEX('Deliverability Upgrade Factors'!$F:$F,MATCH(SUBSTITUTE(Dashboard!$D713,"_group",Dashboard!$D$633),'Deliverability Upgrade Factors'!$B:$B,0))</f>
        <v>0</v>
      </c>
      <c r="AA713" s="10">
        <f>-AA421*INDEX('Deliverability Upgrade Factors'!$F:$F,MATCH(SUBSTITUTE(Dashboard!$D713,"_group",Dashboard!$D$633),'Deliverability Upgrade Factors'!$B:$B,0))</f>
        <v>0</v>
      </c>
      <c r="AB713" s="10">
        <f>-AB421*INDEX('Deliverability Upgrade Factors'!$F:$F,MATCH(SUBSTITUTE(Dashboard!$D713,"_group",Dashboard!$D$633),'Deliverability Upgrade Factors'!$B:$B,0))</f>
        <v>0</v>
      </c>
      <c r="AC713" s="10">
        <f>-AC421*INDEX('Deliverability Upgrade Factors'!$F:$F,MATCH(SUBSTITUTE(Dashboard!$D713,"_group",Dashboard!$D$633),'Deliverability Upgrade Factors'!$B:$B,0))</f>
        <v>0</v>
      </c>
      <c r="AD713" s="10">
        <f>-AD421*INDEX('Deliverability Upgrade Factors'!$F:$F,MATCH(SUBSTITUTE(Dashboard!$D713,"_group",Dashboard!$D$633),'Deliverability Upgrade Factors'!$B:$B,0))</f>
        <v>0</v>
      </c>
      <c r="AH713" s="34" t="s">
        <v>422</v>
      </c>
    </row>
    <row r="714" spans="4:34" outlineLevel="2" x14ac:dyDescent="0.2">
      <c r="D714" s="8" t="s">
        <v>271</v>
      </c>
      <c r="E714" s="10">
        <f>-E422*INDEX('Deliverability Upgrade Factors'!$F:$F,MATCH(SUBSTITUTE(Dashboard!$D714,"_group",Dashboard!$D$633),'Deliverability Upgrade Factors'!$B:$B,0))</f>
        <v>0</v>
      </c>
      <c r="F714" s="10">
        <f>-F422*INDEX('Deliverability Upgrade Factors'!$F:$F,MATCH(SUBSTITUTE(Dashboard!$D714,"_group",Dashboard!$D$633),'Deliverability Upgrade Factors'!$B:$B,0))</f>
        <v>0</v>
      </c>
      <c r="G714" s="10">
        <f>-G422*INDEX('Deliverability Upgrade Factors'!$F:$F,MATCH(SUBSTITUTE(Dashboard!$D714,"_group",Dashboard!$D$633),'Deliverability Upgrade Factors'!$B:$B,0))</f>
        <v>0</v>
      </c>
      <c r="H714" s="10">
        <f>-H422*INDEX('Deliverability Upgrade Factors'!$F:$F,MATCH(SUBSTITUTE(Dashboard!$D714,"_group",Dashboard!$D$633),'Deliverability Upgrade Factors'!$B:$B,0))</f>
        <v>0</v>
      </c>
      <c r="I714" s="10">
        <f>-I422*INDEX('Deliverability Upgrade Factors'!$F:$F,MATCH(SUBSTITUTE(Dashboard!$D714,"_group",Dashboard!$D$633),'Deliverability Upgrade Factors'!$B:$B,0))</f>
        <v>0</v>
      </c>
      <c r="J714" s="10">
        <f>-J422*INDEX('Deliverability Upgrade Factors'!$F:$F,MATCH(SUBSTITUTE(Dashboard!$D714,"_group",Dashboard!$D$633),'Deliverability Upgrade Factors'!$B:$B,0))</f>
        <v>0</v>
      </c>
      <c r="K714" s="10">
        <f>-K422*INDEX('Deliverability Upgrade Factors'!$F:$F,MATCH(SUBSTITUTE(Dashboard!$D714,"_group",Dashboard!$D$633),'Deliverability Upgrade Factors'!$B:$B,0))</f>
        <v>0</v>
      </c>
      <c r="L714" s="10">
        <f>-L422*INDEX('Deliverability Upgrade Factors'!$F:$F,MATCH(SUBSTITUTE(Dashboard!$D714,"_group",Dashboard!$D$633),'Deliverability Upgrade Factors'!$B:$B,0))</f>
        <v>0</v>
      </c>
      <c r="M714" s="10">
        <f>-M422*INDEX('Deliverability Upgrade Factors'!$F:$F,MATCH(SUBSTITUTE(Dashboard!$D714,"_group",Dashboard!$D$633),'Deliverability Upgrade Factors'!$B:$B,0))</f>
        <v>0</v>
      </c>
      <c r="N714" s="10">
        <f>-N422*INDEX('Deliverability Upgrade Factors'!$F:$F,MATCH(SUBSTITUTE(Dashboard!$D714,"_group",Dashboard!$D$633),'Deliverability Upgrade Factors'!$B:$B,0))</f>
        <v>0</v>
      </c>
      <c r="O714" s="10">
        <f>-O422*INDEX('Deliverability Upgrade Factors'!$F:$F,MATCH(SUBSTITUTE(Dashboard!$D714,"_group",Dashboard!$D$633),'Deliverability Upgrade Factors'!$B:$B,0))</f>
        <v>0</v>
      </c>
      <c r="P714" s="10">
        <f>-P422*INDEX('Deliverability Upgrade Factors'!$F:$F,MATCH(SUBSTITUTE(Dashboard!$D714,"_group",Dashboard!$D$633),'Deliverability Upgrade Factors'!$B:$B,0))</f>
        <v>0</v>
      </c>
      <c r="Q714" s="10">
        <f>-Q422*INDEX('Deliverability Upgrade Factors'!$F:$F,MATCH(SUBSTITUTE(Dashboard!$D714,"_group",Dashboard!$D$633),'Deliverability Upgrade Factors'!$B:$B,0))</f>
        <v>0</v>
      </c>
      <c r="R714" s="10">
        <f>-R422*INDEX('Deliverability Upgrade Factors'!$F:$F,MATCH(SUBSTITUTE(Dashboard!$D714,"_group",Dashboard!$D$633),'Deliverability Upgrade Factors'!$B:$B,0))</f>
        <v>0</v>
      </c>
      <c r="S714" s="10">
        <f>-S422*INDEX('Deliverability Upgrade Factors'!$F:$F,MATCH(SUBSTITUTE(Dashboard!$D714,"_group",Dashboard!$D$633),'Deliverability Upgrade Factors'!$B:$B,0))</f>
        <v>0</v>
      </c>
      <c r="T714" s="10">
        <f>-T422*INDEX('Deliverability Upgrade Factors'!$F:$F,MATCH(SUBSTITUTE(Dashboard!$D714,"_group",Dashboard!$D$633),'Deliverability Upgrade Factors'!$B:$B,0))</f>
        <v>0</v>
      </c>
      <c r="U714" s="10">
        <f>-U422*INDEX('Deliverability Upgrade Factors'!$F:$F,MATCH(SUBSTITUTE(Dashboard!$D714,"_group",Dashboard!$D$633),'Deliverability Upgrade Factors'!$B:$B,0))</f>
        <v>0</v>
      </c>
      <c r="V714" s="10">
        <f>-V422*INDEX('Deliverability Upgrade Factors'!$F:$F,MATCH(SUBSTITUTE(Dashboard!$D714,"_group",Dashboard!$D$633),'Deliverability Upgrade Factors'!$B:$B,0))</f>
        <v>0</v>
      </c>
      <c r="W714" s="10">
        <f>-W422*INDEX('Deliverability Upgrade Factors'!$F:$F,MATCH(SUBSTITUTE(Dashboard!$D714,"_group",Dashboard!$D$633),'Deliverability Upgrade Factors'!$B:$B,0))</f>
        <v>0</v>
      </c>
      <c r="X714" s="10">
        <f>-X422*INDEX('Deliverability Upgrade Factors'!$F:$F,MATCH(SUBSTITUTE(Dashboard!$D714,"_group",Dashboard!$D$633),'Deliverability Upgrade Factors'!$B:$B,0))</f>
        <v>0</v>
      </c>
      <c r="Y714" s="10">
        <f>-Y422*INDEX('Deliverability Upgrade Factors'!$F:$F,MATCH(SUBSTITUTE(Dashboard!$D714,"_group",Dashboard!$D$633),'Deliverability Upgrade Factors'!$B:$B,0))</f>
        <v>0</v>
      </c>
      <c r="Z714" s="10">
        <f>-Z422*INDEX('Deliverability Upgrade Factors'!$F:$F,MATCH(SUBSTITUTE(Dashboard!$D714,"_group",Dashboard!$D$633),'Deliverability Upgrade Factors'!$B:$B,0))</f>
        <v>0</v>
      </c>
      <c r="AA714" s="10">
        <f>-AA422*INDEX('Deliverability Upgrade Factors'!$F:$F,MATCH(SUBSTITUTE(Dashboard!$D714,"_group",Dashboard!$D$633),'Deliverability Upgrade Factors'!$B:$B,0))</f>
        <v>0</v>
      </c>
      <c r="AB714" s="10">
        <f>-AB422*INDEX('Deliverability Upgrade Factors'!$F:$F,MATCH(SUBSTITUTE(Dashboard!$D714,"_group",Dashboard!$D$633),'Deliverability Upgrade Factors'!$B:$B,0))</f>
        <v>0</v>
      </c>
      <c r="AC714" s="10">
        <f>-AC422*INDEX('Deliverability Upgrade Factors'!$F:$F,MATCH(SUBSTITUTE(Dashboard!$D714,"_group",Dashboard!$D$633),'Deliverability Upgrade Factors'!$B:$B,0))</f>
        <v>0</v>
      </c>
      <c r="AD714" s="10">
        <f>-AD422*INDEX('Deliverability Upgrade Factors'!$F:$F,MATCH(SUBSTITUTE(Dashboard!$D714,"_group",Dashboard!$D$633),'Deliverability Upgrade Factors'!$B:$B,0))</f>
        <v>1933</v>
      </c>
      <c r="AH714" s="34" t="s">
        <v>422</v>
      </c>
    </row>
    <row r="715" spans="4:34" outlineLevel="2" x14ac:dyDescent="0.2">
      <c r="D715" s="8" t="s">
        <v>272</v>
      </c>
      <c r="E715" s="10">
        <f>-E423*INDEX('Deliverability Upgrade Factors'!$F:$F,MATCH(SUBSTITUTE(Dashboard!$D715,"_group",Dashboard!$D$633),'Deliverability Upgrade Factors'!$B:$B,0))</f>
        <v>0</v>
      </c>
      <c r="F715" s="10">
        <f>-F423*INDEX('Deliverability Upgrade Factors'!$F:$F,MATCH(SUBSTITUTE(Dashboard!$D715,"_group",Dashboard!$D$633),'Deliverability Upgrade Factors'!$B:$B,0))</f>
        <v>0</v>
      </c>
      <c r="G715" s="10">
        <f>-G423*INDEX('Deliverability Upgrade Factors'!$F:$F,MATCH(SUBSTITUTE(Dashboard!$D715,"_group",Dashboard!$D$633),'Deliverability Upgrade Factors'!$B:$B,0))</f>
        <v>0</v>
      </c>
      <c r="H715" s="10">
        <f>-H423*INDEX('Deliverability Upgrade Factors'!$F:$F,MATCH(SUBSTITUTE(Dashboard!$D715,"_group",Dashboard!$D$633),'Deliverability Upgrade Factors'!$B:$B,0))</f>
        <v>0</v>
      </c>
      <c r="I715" s="10">
        <f>-I423*INDEX('Deliverability Upgrade Factors'!$F:$F,MATCH(SUBSTITUTE(Dashboard!$D715,"_group",Dashboard!$D$633),'Deliverability Upgrade Factors'!$B:$B,0))</f>
        <v>0</v>
      </c>
      <c r="J715" s="10">
        <f>-J423*INDEX('Deliverability Upgrade Factors'!$F:$F,MATCH(SUBSTITUTE(Dashboard!$D715,"_group",Dashboard!$D$633),'Deliverability Upgrade Factors'!$B:$B,0))</f>
        <v>0</v>
      </c>
      <c r="K715" s="10">
        <f>-K423*INDEX('Deliverability Upgrade Factors'!$F:$F,MATCH(SUBSTITUTE(Dashboard!$D715,"_group",Dashboard!$D$633),'Deliverability Upgrade Factors'!$B:$B,0))</f>
        <v>0</v>
      </c>
      <c r="L715" s="10">
        <f>-L423*INDEX('Deliverability Upgrade Factors'!$F:$F,MATCH(SUBSTITUTE(Dashboard!$D715,"_group",Dashboard!$D$633),'Deliverability Upgrade Factors'!$B:$B,0))</f>
        <v>0</v>
      </c>
      <c r="M715" s="10">
        <f>-M423*INDEX('Deliverability Upgrade Factors'!$F:$F,MATCH(SUBSTITUTE(Dashboard!$D715,"_group",Dashboard!$D$633),'Deliverability Upgrade Factors'!$B:$B,0))</f>
        <v>0</v>
      </c>
      <c r="N715" s="10">
        <f>-N423*INDEX('Deliverability Upgrade Factors'!$F:$F,MATCH(SUBSTITUTE(Dashboard!$D715,"_group",Dashboard!$D$633),'Deliverability Upgrade Factors'!$B:$B,0))</f>
        <v>0</v>
      </c>
      <c r="O715" s="10">
        <f>-O423*INDEX('Deliverability Upgrade Factors'!$F:$F,MATCH(SUBSTITUTE(Dashboard!$D715,"_group",Dashboard!$D$633),'Deliverability Upgrade Factors'!$B:$B,0))</f>
        <v>0</v>
      </c>
      <c r="P715" s="10">
        <f>-P423*INDEX('Deliverability Upgrade Factors'!$F:$F,MATCH(SUBSTITUTE(Dashboard!$D715,"_group",Dashboard!$D$633),'Deliverability Upgrade Factors'!$B:$B,0))</f>
        <v>0</v>
      </c>
      <c r="Q715" s="10">
        <f>-Q423*INDEX('Deliverability Upgrade Factors'!$F:$F,MATCH(SUBSTITUTE(Dashboard!$D715,"_group",Dashboard!$D$633),'Deliverability Upgrade Factors'!$B:$B,0))</f>
        <v>0</v>
      </c>
      <c r="R715" s="10">
        <f>-R423*INDEX('Deliverability Upgrade Factors'!$F:$F,MATCH(SUBSTITUTE(Dashboard!$D715,"_group",Dashboard!$D$633),'Deliverability Upgrade Factors'!$B:$B,0))</f>
        <v>0</v>
      </c>
      <c r="S715" s="10">
        <f>-S423*INDEX('Deliverability Upgrade Factors'!$F:$F,MATCH(SUBSTITUTE(Dashboard!$D715,"_group",Dashboard!$D$633),'Deliverability Upgrade Factors'!$B:$B,0))</f>
        <v>0</v>
      </c>
      <c r="T715" s="10">
        <f>-T423*INDEX('Deliverability Upgrade Factors'!$F:$F,MATCH(SUBSTITUTE(Dashboard!$D715,"_group",Dashboard!$D$633),'Deliverability Upgrade Factors'!$B:$B,0))</f>
        <v>0</v>
      </c>
      <c r="U715" s="10">
        <f>-U423*INDEX('Deliverability Upgrade Factors'!$F:$F,MATCH(SUBSTITUTE(Dashboard!$D715,"_group",Dashboard!$D$633),'Deliverability Upgrade Factors'!$B:$B,0))</f>
        <v>0</v>
      </c>
      <c r="V715" s="10">
        <f>-V423*INDEX('Deliverability Upgrade Factors'!$F:$F,MATCH(SUBSTITUTE(Dashboard!$D715,"_group",Dashboard!$D$633),'Deliverability Upgrade Factors'!$B:$B,0))</f>
        <v>0</v>
      </c>
      <c r="W715" s="10">
        <f>-W423*INDEX('Deliverability Upgrade Factors'!$F:$F,MATCH(SUBSTITUTE(Dashboard!$D715,"_group",Dashboard!$D$633),'Deliverability Upgrade Factors'!$B:$B,0))</f>
        <v>0</v>
      </c>
      <c r="X715" s="10">
        <f>-X423*INDEX('Deliverability Upgrade Factors'!$F:$F,MATCH(SUBSTITUTE(Dashboard!$D715,"_group",Dashboard!$D$633),'Deliverability Upgrade Factors'!$B:$B,0))</f>
        <v>0</v>
      </c>
      <c r="Y715" s="10">
        <f>-Y423*INDEX('Deliverability Upgrade Factors'!$F:$F,MATCH(SUBSTITUTE(Dashboard!$D715,"_group",Dashboard!$D$633),'Deliverability Upgrade Factors'!$B:$B,0))</f>
        <v>0</v>
      </c>
      <c r="Z715" s="10">
        <f>-Z423*INDEX('Deliverability Upgrade Factors'!$F:$F,MATCH(SUBSTITUTE(Dashboard!$D715,"_group",Dashboard!$D$633),'Deliverability Upgrade Factors'!$B:$B,0))</f>
        <v>0</v>
      </c>
      <c r="AA715" s="10">
        <f>-AA423*INDEX('Deliverability Upgrade Factors'!$F:$F,MATCH(SUBSTITUTE(Dashboard!$D715,"_group",Dashboard!$D$633),'Deliverability Upgrade Factors'!$B:$B,0))</f>
        <v>0</v>
      </c>
      <c r="AB715" s="10">
        <f>-AB423*INDEX('Deliverability Upgrade Factors'!$F:$F,MATCH(SUBSTITUTE(Dashboard!$D715,"_group",Dashboard!$D$633),'Deliverability Upgrade Factors'!$B:$B,0))</f>
        <v>0</v>
      </c>
      <c r="AC715" s="10">
        <f>-AC423*INDEX('Deliverability Upgrade Factors'!$F:$F,MATCH(SUBSTITUTE(Dashboard!$D715,"_group",Dashboard!$D$633),'Deliverability Upgrade Factors'!$B:$B,0))</f>
        <v>0</v>
      </c>
      <c r="AD715" s="10">
        <f>-AD423*INDEX('Deliverability Upgrade Factors'!$F:$F,MATCH(SUBSTITUTE(Dashboard!$D715,"_group",Dashboard!$D$633),'Deliverability Upgrade Factors'!$B:$B,0))</f>
        <v>0</v>
      </c>
      <c r="AH715" s="34" t="s">
        <v>422</v>
      </c>
    </row>
    <row r="716" spans="4:34" outlineLevel="2" x14ac:dyDescent="0.2">
      <c r="D716" s="8" t="s">
        <v>273</v>
      </c>
      <c r="E716" s="10">
        <f>-E424*INDEX('Deliverability Upgrade Factors'!$F:$F,MATCH(SUBSTITUTE(Dashboard!$D716,"_group",Dashboard!$D$633),'Deliverability Upgrade Factors'!$B:$B,0))</f>
        <v>0</v>
      </c>
      <c r="F716" s="10">
        <f>-F424*INDEX('Deliverability Upgrade Factors'!$F:$F,MATCH(SUBSTITUTE(Dashboard!$D716,"_group",Dashboard!$D$633),'Deliverability Upgrade Factors'!$B:$B,0))</f>
        <v>0</v>
      </c>
      <c r="G716" s="10">
        <f>-G424*INDEX('Deliverability Upgrade Factors'!$F:$F,MATCH(SUBSTITUTE(Dashboard!$D716,"_group",Dashboard!$D$633),'Deliverability Upgrade Factors'!$B:$B,0))</f>
        <v>0</v>
      </c>
      <c r="H716" s="10">
        <f>-H424*INDEX('Deliverability Upgrade Factors'!$F:$F,MATCH(SUBSTITUTE(Dashboard!$D716,"_group",Dashboard!$D$633),'Deliverability Upgrade Factors'!$B:$B,0))</f>
        <v>0</v>
      </c>
      <c r="I716" s="10">
        <f>-I424*INDEX('Deliverability Upgrade Factors'!$F:$F,MATCH(SUBSTITUTE(Dashboard!$D716,"_group",Dashboard!$D$633),'Deliverability Upgrade Factors'!$B:$B,0))</f>
        <v>0</v>
      </c>
      <c r="J716" s="10">
        <f>-J424*INDEX('Deliverability Upgrade Factors'!$F:$F,MATCH(SUBSTITUTE(Dashboard!$D716,"_group",Dashboard!$D$633),'Deliverability Upgrade Factors'!$B:$B,0))</f>
        <v>0</v>
      </c>
      <c r="K716" s="10">
        <f>-K424*INDEX('Deliverability Upgrade Factors'!$F:$F,MATCH(SUBSTITUTE(Dashboard!$D716,"_group",Dashboard!$D$633),'Deliverability Upgrade Factors'!$B:$B,0))</f>
        <v>0</v>
      </c>
      <c r="L716" s="10">
        <f>-L424*INDEX('Deliverability Upgrade Factors'!$F:$F,MATCH(SUBSTITUTE(Dashboard!$D716,"_group",Dashboard!$D$633),'Deliverability Upgrade Factors'!$B:$B,0))</f>
        <v>0</v>
      </c>
      <c r="M716" s="10">
        <f>-M424*INDEX('Deliverability Upgrade Factors'!$F:$F,MATCH(SUBSTITUTE(Dashboard!$D716,"_group",Dashboard!$D$633),'Deliverability Upgrade Factors'!$B:$B,0))</f>
        <v>0</v>
      </c>
      <c r="N716" s="10">
        <f>-N424*INDEX('Deliverability Upgrade Factors'!$F:$F,MATCH(SUBSTITUTE(Dashboard!$D716,"_group",Dashboard!$D$633),'Deliverability Upgrade Factors'!$B:$B,0))</f>
        <v>0</v>
      </c>
      <c r="O716" s="10">
        <f>-O424*INDEX('Deliverability Upgrade Factors'!$F:$F,MATCH(SUBSTITUTE(Dashboard!$D716,"_group",Dashboard!$D$633),'Deliverability Upgrade Factors'!$B:$B,0))</f>
        <v>0</v>
      </c>
      <c r="P716" s="10">
        <f>-P424*INDEX('Deliverability Upgrade Factors'!$F:$F,MATCH(SUBSTITUTE(Dashboard!$D716,"_group",Dashboard!$D$633),'Deliverability Upgrade Factors'!$B:$B,0))</f>
        <v>0</v>
      </c>
      <c r="Q716" s="10">
        <f>-Q424*INDEX('Deliverability Upgrade Factors'!$F:$F,MATCH(SUBSTITUTE(Dashboard!$D716,"_group",Dashboard!$D$633),'Deliverability Upgrade Factors'!$B:$B,0))</f>
        <v>0</v>
      </c>
      <c r="R716" s="10">
        <f>-R424*INDEX('Deliverability Upgrade Factors'!$F:$F,MATCH(SUBSTITUTE(Dashboard!$D716,"_group",Dashboard!$D$633),'Deliverability Upgrade Factors'!$B:$B,0))</f>
        <v>0</v>
      </c>
      <c r="S716" s="10">
        <f>-S424*INDEX('Deliverability Upgrade Factors'!$F:$F,MATCH(SUBSTITUTE(Dashboard!$D716,"_group",Dashboard!$D$633),'Deliverability Upgrade Factors'!$B:$B,0))</f>
        <v>0</v>
      </c>
      <c r="T716" s="10">
        <f>-T424*INDEX('Deliverability Upgrade Factors'!$F:$F,MATCH(SUBSTITUTE(Dashboard!$D716,"_group",Dashboard!$D$633),'Deliverability Upgrade Factors'!$B:$B,0))</f>
        <v>0</v>
      </c>
      <c r="U716" s="10">
        <f>-U424*INDEX('Deliverability Upgrade Factors'!$F:$F,MATCH(SUBSTITUTE(Dashboard!$D716,"_group",Dashboard!$D$633),'Deliverability Upgrade Factors'!$B:$B,0))</f>
        <v>0</v>
      </c>
      <c r="V716" s="10">
        <f>-V424*INDEX('Deliverability Upgrade Factors'!$F:$F,MATCH(SUBSTITUTE(Dashboard!$D716,"_group",Dashboard!$D$633),'Deliverability Upgrade Factors'!$B:$B,0))</f>
        <v>0</v>
      </c>
      <c r="W716" s="10">
        <f>-W424*INDEX('Deliverability Upgrade Factors'!$F:$F,MATCH(SUBSTITUTE(Dashboard!$D716,"_group",Dashboard!$D$633),'Deliverability Upgrade Factors'!$B:$B,0))</f>
        <v>0</v>
      </c>
      <c r="X716" s="10">
        <f>-X424*INDEX('Deliverability Upgrade Factors'!$F:$F,MATCH(SUBSTITUTE(Dashboard!$D716,"_group",Dashboard!$D$633),'Deliverability Upgrade Factors'!$B:$B,0))</f>
        <v>0</v>
      </c>
      <c r="Y716" s="10">
        <f>-Y424*INDEX('Deliverability Upgrade Factors'!$F:$F,MATCH(SUBSTITUTE(Dashboard!$D716,"_group",Dashboard!$D$633),'Deliverability Upgrade Factors'!$B:$B,0))</f>
        <v>0</v>
      </c>
      <c r="Z716" s="10">
        <f>-Z424*INDEX('Deliverability Upgrade Factors'!$F:$F,MATCH(SUBSTITUTE(Dashboard!$D716,"_group",Dashboard!$D$633),'Deliverability Upgrade Factors'!$B:$B,0))</f>
        <v>0</v>
      </c>
      <c r="AA716" s="10">
        <f>-AA424*INDEX('Deliverability Upgrade Factors'!$F:$F,MATCH(SUBSTITUTE(Dashboard!$D716,"_group",Dashboard!$D$633),'Deliverability Upgrade Factors'!$B:$B,0))</f>
        <v>0</v>
      </c>
      <c r="AB716" s="10">
        <f>-AB424*INDEX('Deliverability Upgrade Factors'!$F:$F,MATCH(SUBSTITUTE(Dashboard!$D716,"_group",Dashboard!$D$633),'Deliverability Upgrade Factors'!$B:$B,0))</f>
        <v>0</v>
      </c>
      <c r="AC716" s="10">
        <f>-AC424*INDEX('Deliverability Upgrade Factors'!$F:$F,MATCH(SUBSTITUTE(Dashboard!$D716,"_group",Dashboard!$D$633),'Deliverability Upgrade Factors'!$B:$B,0))</f>
        <v>0</v>
      </c>
      <c r="AD716" s="10">
        <f>-AD424*INDEX('Deliverability Upgrade Factors'!$F:$F,MATCH(SUBSTITUTE(Dashboard!$D716,"_group",Dashboard!$D$633),'Deliverability Upgrade Factors'!$B:$B,0))</f>
        <v>0</v>
      </c>
      <c r="AH716" s="34" t="s">
        <v>422</v>
      </c>
    </row>
    <row r="717" spans="4:34" outlineLevel="2" x14ac:dyDescent="0.2">
      <c r="D717" s="8" t="s">
        <v>274</v>
      </c>
      <c r="E717" s="10">
        <f>-E425*INDEX('Deliverability Upgrade Factors'!$F:$F,MATCH(SUBSTITUTE(Dashboard!$D717,"_group",Dashboard!$D$633),'Deliverability Upgrade Factors'!$B:$B,0))</f>
        <v>0</v>
      </c>
      <c r="F717" s="10">
        <f>-F425*INDEX('Deliverability Upgrade Factors'!$F:$F,MATCH(SUBSTITUTE(Dashboard!$D717,"_group",Dashboard!$D$633),'Deliverability Upgrade Factors'!$B:$B,0))</f>
        <v>0</v>
      </c>
      <c r="G717" s="10">
        <f>-G425*INDEX('Deliverability Upgrade Factors'!$F:$F,MATCH(SUBSTITUTE(Dashboard!$D717,"_group",Dashboard!$D$633),'Deliverability Upgrade Factors'!$B:$B,0))</f>
        <v>0</v>
      </c>
      <c r="H717" s="10">
        <f>-H425*INDEX('Deliverability Upgrade Factors'!$F:$F,MATCH(SUBSTITUTE(Dashboard!$D717,"_group",Dashboard!$D$633),'Deliverability Upgrade Factors'!$B:$B,0))</f>
        <v>0</v>
      </c>
      <c r="I717" s="10">
        <f>-I425*INDEX('Deliverability Upgrade Factors'!$F:$F,MATCH(SUBSTITUTE(Dashboard!$D717,"_group",Dashboard!$D$633),'Deliverability Upgrade Factors'!$B:$B,0))</f>
        <v>0</v>
      </c>
      <c r="J717" s="10">
        <f>-J425*INDEX('Deliverability Upgrade Factors'!$F:$F,MATCH(SUBSTITUTE(Dashboard!$D717,"_group",Dashboard!$D$633),'Deliverability Upgrade Factors'!$B:$B,0))</f>
        <v>0</v>
      </c>
      <c r="K717" s="10">
        <f>-K425*INDEX('Deliverability Upgrade Factors'!$F:$F,MATCH(SUBSTITUTE(Dashboard!$D717,"_group",Dashboard!$D$633),'Deliverability Upgrade Factors'!$B:$B,0))</f>
        <v>0</v>
      </c>
      <c r="L717" s="10">
        <f>-L425*INDEX('Deliverability Upgrade Factors'!$F:$F,MATCH(SUBSTITUTE(Dashboard!$D717,"_group",Dashboard!$D$633),'Deliverability Upgrade Factors'!$B:$B,0))</f>
        <v>0</v>
      </c>
      <c r="M717" s="10">
        <f>-M425*INDEX('Deliverability Upgrade Factors'!$F:$F,MATCH(SUBSTITUTE(Dashboard!$D717,"_group",Dashboard!$D$633),'Deliverability Upgrade Factors'!$B:$B,0))</f>
        <v>0</v>
      </c>
      <c r="N717" s="10">
        <f>-N425*INDEX('Deliverability Upgrade Factors'!$F:$F,MATCH(SUBSTITUTE(Dashboard!$D717,"_group",Dashboard!$D$633),'Deliverability Upgrade Factors'!$B:$B,0))</f>
        <v>0</v>
      </c>
      <c r="O717" s="10">
        <f>-O425*INDEX('Deliverability Upgrade Factors'!$F:$F,MATCH(SUBSTITUTE(Dashboard!$D717,"_group",Dashboard!$D$633),'Deliverability Upgrade Factors'!$B:$B,0))</f>
        <v>0</v>
      </c>
      <c r="P717" s="10">
        <f>-P425*INDEX('Deliverability Upgrade Factors'!$F:$F,MATCH(SUBSTITUTE(Dashboard!$D717,"_group",Dashboard!$D$633),'Deliverability Upgrade Factors'!$B:$B,0))</f>
        <v>0</v>
      </c>
      <c r="Q717" s="10">
        <f>-Q425*INDEX('Deliverability Upgrade Factors'!$F:$F,MATCH(SUBSTITUTE(Dashboard!$D717,"_group",Dashboard!$D$633),'Deliverability Upgrade Factors'!$B:$B,0))</f>
        <v>0</v>
      </c>
      <c r="R717" s="10">
        <f>-R425*INDEX('Deliverability Upgrade Factors'!$F:$F,MATCH(SUBSTITUTE(Dashboard!$D717,"_group",Dashboard!$D$633),'Deliverability Upgrade Factors'!$B:$B,0))</f>
        <v>0</v>
      </c>
      <c r="S717" s="10">
        <f>-S425*INDEX('Deliverability Upgrade Factors'!$F:$F,MATCH(SUBSTITUTE(Dashboard!$D717,"_group",Dashboard!$D$633),'Deliverability Upgrade Factors'!$B:$B,0))</f>
        <v>0</v>
      </c>
      <c r="T717" s="10">
        <f>-T425*INDEX('Deliverability Upgrade Factors'!$F:$F,MATCH(SUBSTITUTE(Dashboard!$D717,"_group",Dashboard!$D$633),'Deliverability Upgrade Factors'!$B:$B,0))</f>
        <v>0</v>
      </c>
      <c r="U717" s="10">
        <f>-U425*INDEX('Deliverability Upgrade Factors'!$F:$F,MATCH(SUBSTITUTE(Dashboard!$D717,"_group",Dashboard!$D$633),'Deliverability Upgrade Factors'!$B:$B,0))</f>
        <v>0</v>
      </c>
      <c r="V717" s="10">
        <f>-V425*INDEX('Deliverability Upgrade Factors'!$F:$F,MATCH(SUBSTITUTE(Dashboard!$D717,"_group",Dashboard!$D$633),'Deliverability Upgrade Factors'!$B:$B,0))</f>
        <v>0</v>
      </c>
      <c r="W717" s="10">
        <f>-W425*INDEX('Deliverability Upgrade Factors'!$F:$F,MATCH(SUBSTITUTE(Dashboard!$D717,"_group",Dashboard!$D$633),'Deliverability Upgrade Factors'!$B:$B,0))</f>
        <v>0</v>
      </c>
      <c r="X717" s="10">
        <f>-X425*INDEX('Deliverability Upgrade Factors'!$F:$F,MATCH(SUBSTITUTE(Dashboard!$D717,"_group",Dashboard!$D$633),'Deliverability Upgrade Factors'!$B:$B,0))</f>
        <v>0</v>
      </c>
      <c r="Y717" s="10">
        <f>-Y425*INDEX('Deliverability Upgrade Factors'!$F:$F,MATCH(SUBSTITUTE(Dashboard!$D717,"_group",Dashboard!$D$633),'Deliverability Upgrade Factors'!$B:$B,0))</f>
        <v>0</v>
      </c>
      <c r="Z717" s="10">
        <f>-Z425*INDEX('Deliverability Upgrade Factors'!$F:$F,MATCH(SUBSTITUTE(Dashboard!$D717,"_group",Dashboard!$D$633),'Deliverability Upgrade Factors'!$B:$B,0))</f>
        <v>0</v>
      </c>
      <c r="AA717" s="10">
        <f>-AA425*INDEX('Deliverability Upgrade Factors'!$F:$F,MATCH(SUBSTITUTE(Dashboard!$D717,"_group",Dashboard!$D$633),'Deliverability Upgrade Factors'!$B:$B,0))</f>
        <v>0</v>
      </c>
      <c r="AB717" s="10">
        <f>-AB425*INDEX('Deliverability Upgrade Factors'!$F:$F,MATCH(SUBSTITUTE(Dashboard!$D717,"_group",Dashboard!$D$633),'Deliverability Upgrade Factors'!$B:$B,0))</f>
        <v>0</v>
      </c>
      <c r="AC717" s="10">
        <f>-AC425*INDEX('Deliverability Upgrade Factors'!$F:$F,MATCH(SUBSTITUTE(Dashboard!$D717,"_group",Dashboard!$D$633),'Deliverability Upgrade Factors'!$B:$B,0))</f>
        <v>0</v>
      </c>
      <c r="AD717" s="10">
        <f>-AD425*INDEX('Deliverability Upgrade Factors'!$F:$F,MATCH(SUBSTITUTE(Dashboard!$D717,"_group",Dashboard!$D$633),'Deliverability Upgrade Factors'!$B:$B,0))</f>
        <v>980</v>
      </c>
      <c r="AH717" s="34" t="s">
        <v>422</v>
      </c>
    </row>
    <row r="718" spans="4:34" outlineLevel="2" x14ac:dyDescent="0.2">
      <c r="D718" s="8" t="s">
        <v>275</v>
      </c>
      <c r="E718" s="10">
        <f>-E426*INDEX('Deliverability Upgrade Factors'!$F:$F,MATCH(SUBSTITUTE(Dashboard!$D718,"_group",Dashboard!$D$633),'Deliverability Upgrade Factors'!$B:$B,0))</f>
        <v>0</v>
      </c>
      <c r="F718" s="10">
        <f>-F426*INDEX('Deliverability Upgrade Factors'!$F:$F,MATCH(SUBSTITUTE(Dashboard!$D718,"_group",Dashboard!$D$633),'Deliverability Upgrade Factors'!$B:$B,0))</f>
        <v>0</v>
      </c>
      <c r="G718" s="10">
        <f>-G426*INDEX('Deliverability Upgrade Factors'!$F:$F,MATCH(SUBSTITUTE(Dashboard!$D718,"_group",Dashboard!$D$633),'Deliverability Upgrade Factors'!$B:$B,0))</f>
        <v>0</v>
      </c>
      <c r="H718" s="10">
        <f>-H426*INDEX('Deliverability Upgrade Factors'!$F:$F,MATCH(SUBSTITUTE(Dashboard!$D718,"_group",Dashboard!$D$633),'Deliverability Upgrade Factors'!$B:$B,0))</f>
        <v>0</v>
      </c>
      <c r="I718" s="10">
        <f>-I426*INDEX('Deliverability Upgrade Factors'!$F:$F,MATCH(SUBSTITUTE(Dashboard!$D718,"_group",Dashboard!$D$633),'Deliverability Upgrade Factors'!$B:$B,0))</f>
        <v>0</v>
      </c>
      <c r="J718" s="10">
        <f>-J426*INDEX('Deliverability Upgrade Factors'!$F:$F,MATCH(SUBSTITUTE(Dashboard!$D718,"_group",Dashboard!$D$633),'Deliverability Upgrade Factors'!$B:$B,0))</f>
        <v>0</v>
      </c>
      <c r="K718" s="10">
        <f>-K426*INDEX('Deliverability Upgrade Factors'!$F:$F,MATCH(SUBSTITUTE(Dashboard!$D718,"_group",Dashboard!$D$633),'Deliverability Upgrade Factors'!$B:$B,0))</f>
        <v>0</v>
      </c>
      <c r="L718" s="10">
        <f>-L426*INDEX('Deliverability Upgrade Factors'!$F:$F,MATCH(SUBSTITUTE(Dashboard!$D718,"_group",Dashboard!$D$633),'Deliverability Upgrade Factors'!$B:$B,0))</f>
        <v>0</v>
      </c>
      <c r="M718" s="10">
        <f>-M426*INDEX('Deliverability Upgrade Factors'!$F:$F,MATCH(SUBSTITUTE(Dashboard!$D718,"_group",Dashboard!$D$633),'Deliverability Upgrade Factors'!$B:$B,0))</f>
        <v>0</v>
      </c>
      <c r="N718" s="10">
        <f>-N426*INDEX('Deliverability Upgrade Factors'!$F:$F,MATCH(SUBSTITUTE(Dashboard!$D718,"_group",Dashboard!$D$633),'Deliverability Upgrade Factors'!$B:$B,0))</f>
        <v>0</v>
      </c>
      <c r="O718" s="10">
        <f>-O426*INDEX('Deliverability Upgrade Factors'!$F:$F,MATCH(SUBSTITUTE(Dashboard!$D718,"_group",Dashboard!$D$633),'Deliverability Upgrade Factors'!$B:$B,0))</f>
        <v>0</v>
      </c>
      <c r="P718" s="10">
        <f>-P426*INDEX('Deliverability Upgrade Factors'!$F:$F,MATCH(SUBSTITUTE(Dashboard!$D718,"_group",Dashboard!$D$633),'Deliverability Upgrade Factors'!$B:$B,0))</f>
        <v>0</v>
      </c>
      <c r="Q718" s="10">
        <f>-Q426*INDEX('Deliverability Upgrade Factors'!$F:$F,MATCH(SUBSTITUTE(Dashboard!$D718,"_group",Dashboard!$D$633),'Deliverability Upgrade Factors'!$B:$B,0))</f>
        <v>0</v>
      </c>
      <c r="R718" s="10">
        <f>-R426*INDEX('Deliverability Upgrade Factors'!$F:$F,MATCH(SUBSTITUTE(Dashboard!$D718,"_group",Dashboard!$D$633),'Deliverability Upgrade Factors'!$B:$B,0))</f>
        <v>0</v>
      </c>
      <c r="S718" s="10">
        <f>-S426*INDEX('Deliverability Upgrade Factors'!$F:$F,MATCH(SUBSTITUTE(Dashboard!$D718,"_group",Dashboard!$D$633),'Deliverability Upgrade Factors'!$B:$B,0))</f>
        <v>0</v>
      </c>
      <c r="T718" s="10">
        <f>-T426*INDEX('Deliverability Upgrade Factors'!$F:$F,MATCH(SUBSTITUTE(Dashboard!$D718,"_group",Dashboard!$D$633),'Deliverability Upgrade Factors'!$B:$B,0))</f>
        <v>0</v>
      </c>
      <c r="U718" s="10">
        <f>-U426*INDEX('Deliverability Upgrade Factors'!$F:$F,MATCH(SUBSTITUTE(Dashboard!$D718,"_group",Dashboard!$D$633),'Deliverability Upgrade Factors'!$B:$B,0))</f>
        <v>0</v>
      </c>
      <c r="V718" s="10">
        <f>-V426*INDEX('Deliverability Upgrade Factors'!$F:$F,MATCH(SUBSTITUTE(Dashboard!$D718,"_group",Dashboard!$D$633),'Deliverability Upgrade Factors'!$B:$B,0))</f>
        <v>0</v>
      </c>
      <c r="W718" s="10">
        <f>-W426*INDEX('Deliverability Upgrade Factors'!$F:$F,MATCH(SUBSTITUTE(Dashboard!$D718,"_group",Dashboard!$D$633),'Deliverability Upgrade Factors'!$B:$B,0))</f>
        <v>0</v>
      </c>
      <c r="X718" s="10">
        <f>-X426*INDEX('Deliverability Upgrade Factors'!$F:$F,MATCH(SUBSTITUTE(Dashboard!$D718,"_group",Dashboard!$D$633),'Deliverability Upgrade Factors'!$B:$B,0))</f>
        <v>0</v>
      </c>
      <c r="Y718" s="10">
        <f>-Y426*INDEX('Deliverability Upgrade Factors'!$F:$F,MATCH(SUBSTITUTE(Dashboard!$D718,"_group",Dashboard!$D$633),'Deliverability Upgrade Factors'!$B:$B,0))</f>
        <v>0</v>
      </c>
      <c r="Z718" s="10">
        <f>-Z426*INDEX('Deliverability Upgrade Factors'!$F:$F,MATCH(SUBSTITUTE(Dashboard!$D718,"_group",Dashboard!$D$633),'Deliverability Upgrade Factors'!$B:$B,0))</f>
        <v>0</v>
      </c>
      <c r="AA718" s="10">
        <f>-AA426*INDEX('Deliverability Upgrade Factors'!$F:$F,MATCH(SUBSTITUTE(Dashboard!$D718,"_group",Dashboard!$D$633),'Deliverability Upgrade Factors'!$B:$B,0))</f>
        <v>0</v>
      </c>
      <c r="AB718" s="10">
        <f>-AB426*INDEX('Deliverability Upgrade Factors'!$F:$F,MATCH(SUBSTITUTE(Dashboard!$D718,"_group",Dashboard!$D$633),'Deliverability Upgrade Factors'!$B:$B,0))</f>
        <v>0</v>
      </c>
      <c r="AC718" s="10">
        <f>-AC426*INDEX('Deliverability Upgrade Factors'!$F:$F,MATCH(SUBSTITUTE(Dashboard!$D718,"_group",Dashboard!$D$633),'Deliverability Upgrade Factors'!$B:$B,0))</f>
        <v>0</v>
      </c>
      <c r="AD718" s="10">
        <f>-AD426*INDEX('Deliverability Upgrade Factors'!$F:$F,MATCH(SUBSTITUTE(Dashboard!$D718,"_group",Dashboard!$D$633),'Deliverability Upgrade Factors'!$B:$B,0))</f>
        <v>0</v>
      </c>
      <c r="AH718" s="34" t="s">
        <v>422</v>
      </c>
    </row>
    <row r="719" spans="4:34" outlineLevel="2" x14ac:dyDescent="0.2">
      <c r="D719" s="8" t="s">
        <v>276</v>
      </c>
      <c r="E719" s="10">
        <f>-E427*INDEX('Deliverability Upgrade Factors'!$F:$F,MATCH(SUBSTITUTE(Dashboard!$D719,"_group",Dashboard!$D$633),'Deliverability Upgrade Factors'!$B:$B,0))</f>
        <v>0</v>
      </c>
      <c r="F719" s="10">
        <f>-F427*INDEX('Deliverability Upgrade Factors'!$F:$F,MATCH(SUBSTITUTE(Dashboard!$D719,"_group",Dashboard!$D$633),'Deliverability Upgrade Factors'!$B:$B,0))</f>
        <v>0</v>
      </c>
      <c r="G719" s="10">
        <f>-G427*INDEX('Deliverability Upgrade Factors'!$F:$F,MATCH(SUBSTITUTE(Dashboard!$D719,"_group",Dashboard!$D$633),'Deliverability Upgrade Factors'!$B:$B,0))</f>
        <v>0</v>
      </c>
      <c r="H719" s="10">
        <f>-H427*INDEX('Deliverability Upgrade Factors'!$F:$F,MATCH(SUBSTITUTE(Dashboard!$D719,"_group",Dashboard!$D$633),'Deliverability Upgrade Factors'!$B:$B,0))</f>
        <v>0</v>
      </c>
      <c r="I719" s="10">
        <f>-I427*INDEX('Deliverability Upgrade Factors'!$F:$F,MATCH(SUBSTITUTE(Dashboard!$D719,"_group",Dashboard!$D$633),'Deliverability Upgrade Factors'!$B:$B,0))</f>
        <v>0</v>
      </c>
      <c r="J719" s="10">
        <f>-J427*INDEX('Deliverability Upgrade Factors'!$F:$F,MATCH(SUBSTITUTE(Dashboard!$D719,"_group",Dashboard!$D$633),'Deliverability Upgrade Factors'!$B:$B,0))</f>
        <v>0</v>
      </c>
      <c r="K719" s="10">
        <f>-K427*INDEX('Deliverability Upgrade Factors'!$F:$F,MATCH(SUBSTITUTE(Dashboard!$D719,"_group",Dashboard!$D$633),'Deliverability Upgrade Factors'!$B:$B,0))</f>
        <v>0</v>
      </c>
      <c r="L719" s="10">
        <f>-L427*INDEX('Deliverability Upgrade Factors'!$F:$F,MATCH(SUBSTITUTE(Dashboard!$D719,"_group",Dashboard!$D$633),'Deliverability Upgrade Factors'!$B:$B,0))</f>
        <v>0</v>
      </c>
      <c r="M719" s="10">
        <f>-M427*INDEX('Deliverability Upgrade Factors'!$F:$F,MATCH(SUBSTITUTE(Dashboard!$D719,"_group",Dashboard!$D$633),'Deliverability Upgrade Factors'!$B:$B,0))</f>
        <v>0</v>
      </c>
      <c r="N719" s="10">
        <f>-N427*INDEX('Deliverability Upgrade Factors'!$F:$F,MATCH(SUBSTITUTE(Dashboard!$D719,"_group",Dashboard!$D$633),'Deliverability Upgrade Factors'!$B:$B,0))</f>
        <v>0</v>
      </c>
      <c r="O719" s="10">
        <f>-O427*INDEX('Deliverability Upgrade Factors'!$F:$F,MATCH(SUBSTITUTE(Dashboard!$D719,"_group",Dashboard!$D$633),'Deliverability Upgrade Factors'!$B:$B,0))</f>
        <v>0</v>
      </c>
      <c r="P719" s="10">
        <f>-P427*INDEX('Deliverability Upgrade Factors'!$F:$F,MATCH(SUBSTITUTE(Dashboard!$D719,"_group",Dashboard!$D$633),'Deliverability Upgrade Factors'!$B:$B,0))</f>
        <v>0</v>
      </c>
      <c r="Q719" s="10">
        <f>-Q427*INDEX('Deliverability Upgrade Factors'!$F:$F,MATCH(SUBSTITUTE(Dashboard!$D719,"_group",Dashboard!$D$633),'Deliverability Upgrade Factors'!$B:$B,0))</f>
        <v>0</v>
      </c>
      <c r="R719" s="10">
        <f>-R427*INDEX('Deliverability Upgrade Factors'!$F:$F,MATCH(SUBSTITUTE(Dashboard!$D719,"_group",Dashboard!$D$633),'Deliverability Upgrade Factors'!$B:$B,0))</f>
        <v>0</v>
      </c>
      <c r="S719" s="10">
        <f>-S427*INDEX('Deliverability Upgrade Factors'!$F:$F,MATCH(SUBSTITUTE(Dashboard!$D719,"_group",Dashboard!$D$633),'Deliverability Upgrade Factors'!$B:$B,0))</f>
        <v>0</v>
      </c>
      <c r="T719" s="10">
        <f>-T427*INDEX('Deliverability Upgrade Factors'!$F:$F,MATCH(SUBSTITUTE(Dashboard!$D719,"_group",Dashboard!$D$633),'Deliverability Upgrade Factors'!$B:$B,0))</f>
        <v>0</v>
      </c>
      <c r="U719" s="10">
        <f>-U427*INDEX('Deliverability Upgrade Factors'!$F:$F,MATCH(SUBSTITUTE(Dashboard!$D719,"_group",Dashboard!$D$633),'Deliverability Upgrade Factors'!$B:$B,0))</f>
        <v>0</v>
      </c>
      <c r="V719" s="10">
        <f>-V427*INDEX('Deliverability Upgrade Factors'!$F:$F,MATCH(SUBSTITUTE(Dashboard!$D719,"_group",Dashboard!$D$633),'Deliverability Upgrade Factors'!$B:$B,0))</f>
        <v>0</v>
      </c>
      <c r="W719" s="10">
        <f>-W427*INDEX('Deliverability Upgrade Factors'!$F:$F,MATCH(SUBSTITUTE(Dashboard!$D719,"_group",Dashboard!$D$633),'Deliverability Upgrade Factors'!$B:$B,0))</f>
        <v>0</v>
      </c>
      <c r="X719" s="10">
        <f>-X427*INDEX('Deliverability Upgrade Factors'!$F:$F,MATCH(SUBSTITUTE(Dashboard!$D719,"_group",Dashboard!$D$633),'Deliverability Upgrade Factors'!$B:$B,0))</f>
        <v>0</v>
      </c>
      <c r="Y719" s="10">
        <f>-Y427*INDEX('Deliverability Upgrade Factors'!$F:$F,MATCH(SUBSTITUTE(Dashboard!$D719,"_group",Dashboard!$D$633),'Deliverability Upgrade Factors'!$B:$B,0))</f>
        <v>0</v>
      </c>
      <c r="Z719" s="10">
        <f>-Z427*INDEX('Deliverability Upgrade Factors'!$F:$F,MATCH(SUBSTITUTE(Dashboard!$D719,"_group",Dashboard!$D$633),'Deliverability Upgrade Factors'!$B:$B,0))</f>
        <v>0</v>
      </c>
      <c r="AA719" s="10">
        <f>-AA427*INDEX('Deliverability Upgrade Factors'!$F:$F,MATCH(SUBSTITUTE(Dashboard!$D719,"_group",Dashboard!$D$633),'Deliverability Upgrade Factors'!$B:$B,0))</f>
        <v>0</v>
      </c>
      <c r="AB719" s="10">
        <f>-AB427*INDEX('Deliverability Upgrade Factors'!$F:$F,MATCH(SUBSTITUTE(Dashboard!$D719,"_group",Dashboard!$D$633),'Deliverability Upgrade Factors'!$B:$B,0))</f>
        <v>0</v>
      </c>
      <c r="AC719" s="10">
        <f>-AC427*INDEX('Deliverability Upgrade Factors'!$F:$F,MATCH(SUBSTITUTE(Dashboard!$D719,"_group",Dashboard!$D$633),'Deliverability Upgrade Factors'!$B:$B,0))</f>
        <v>0</v>
      </c>
      <c r="AD719" s="10">
        <f>-AD427*INDEX('Deliverability Upgrade Factors'!$F:$F,MATCH(SUBSTITUTE(Dashboard!$D719,"_group",Dashboard!$D$633),'Deliverability Upgrade Factors'!$B:$B,0))</f>
        <v>0</v>
      </c>
      <c r="AH719" s="34" t="s">
        <v>422</v>
      </c>
    </row>
    <row r="720" spans="4:34" outlineLevel="2" x14ac:dyDescent="0.2">
      <c r="D720" s="8" t="s">
        <v>277</v>
      </c>
      <c r="E720" s="10">
        <f>-E428*INDEX('Deliverability Upgrade Factors'!$F:$F,MATCH(SUBSTITUTE(Dashboard!$D720,"_group",Dashboard!$D$633),'Deliverability Upgrade Factors'!$B:$B,0))</f>
        <v>0</v>
      </c>
      <c r="F720" s="10">
        <f>-F428*INDEX('Deliverability Upgrade Factors'!$F:$F,MATCH(SUBSTITUTE(Dashboard!$D720,"_group",Dashboard!$D$633),'Deliverability Upgrade Factors'!$B:$B,0))</f>
        <v>0</v>
      </c>
      <c r="G720" s="10">
        <f>-G428*INDEX('Deliverability Upgrade Factors'!$F:$F,MATCH(SUBSTITUTE(Dashboard!$D720,"_group",Dashboard!$D$633),'Deliverability Upgrade Factors'!$B:$B,0))</f>
        <v>0</v>
      </c>
      <c r="H720" s="10">
        <f>-H428*INDEX('Deliverability Upgrade Factors'!$F:$F,MATCH(SUBSTITUTE(Dashboard!$D720,"_group",Dashboard!$D$633),'Deliverability Upgrade Factors'!$B:$B,0))</f>
        <v>0</v>
      </c>
      <c r="I720" s="10">
        <f>-I428*INDEX('Deliverability Upgrade Factors'!$F:$F,MATCH(SUBSTITUTE(Dashboard!$D720,"_group",Dashboard!$D$633),'Deliverability Upgrade Factors'!$B:$B,0))</f>
        <v>0</v>
      </c>
      <c r="J720" s="10">
        <f>-J428*INDEX('Deliverability Upgrade Factors'!$F:$F,MATCH(SUBSTITUTE(Dashboard!$D720,"_group",Dashboard!$D$633),'Deliverability Upgrade Factors'!$B:$B,0))</f>
        <v>0</v>
      </c>
      <c r="K720" s="10">
        <f>-K428*INDEX('Deliverability Upgrade Factors'!$F:$F,MATCH(SUBSTITUTE(Dashboard!$D720,"_group",Dashboard!$D$633),'Deliverability Upgrade Factors'!$B:$B,0))</f>
        <v>0</v>
      </c>
      <c r="L720" s="10">
        <f>-L428*INDEX('Deliverability Upgrade Factors'!$F:$F,MATCH(SUBSTITUTE(Dashboard!$D720,"_group",Dashboard!$D$633),'Deliverability Upgrade Factors'!$B:$B,0))</f>
        <v>0</v>
      </c>
      <c r="M720" s="10">
        <f>-M428*INDEX('Deliverability Upgrade Factors'!$F:$F,MATCH(SUBSTITUTE(Dashboard!$D720,"_group",Dashboard!$D$633),'Deliverability Upgrade Factors'!$B:$B,0))</f>
        <v>0</v>
      </c>
      <c r="N720" s="10">
        <f>-N428*INDEX('Deliverability Upgrade Factors'!$F:$F,MATCH(SUBSTITUTE(Dashboard!$D720,"_group",Dashboard!$D$633),'Deliverability Upgrade Factors'!$B:$B,0))</f>
        <v>0</v>
      </c>
      <c r="O720" s="10">
        <f>-O428*INDEX('Deliverability Upgrade Factors'!$F:$F,MATCH(SUBSTITUTE(Dashboard!$D720,"_group",Dashboard!$D$633),'Deliverability Upgrade Factors'!$B:$B,0))</f>
        <v>0</v>
      </c>
      <c r="P720" s="10">
        <f>-P428*INDEX('Deliverability Upgrade Factors'!$F:$F,MATCH(SUBSTITUTE(Dashboard!$D720,"_group",Dashboard!$D$633),'Deliverability Upgrade Factors'!$B:$B,0))</f>
        <v>0</v>
      </c>
      <c r="Q720" s="10">
        <f>-Q428*INDEX('Deliverability Upgrade Factors'!$F:$F,MATCH(SUBSTITUTE(Dashboard!$D720,"_group",Dashboard!$D$633),'Deliverability Upgrade Factors'!$B:$B,0))</f>
        <v>0</v>
      </c>
      <c r="R720" s="10">
        <f>-R428*INDEX('Deliverability Upgrade Factors'!$F:$F,MATCH(SUBSTITUTE(Dashboard!$D720,"_group",Dashboard!$D$633),'Deliverability Upgrade Factors'!$B:$B,0))</f>
        <v>0</v>
      </c>
      <c r="S720" s="10">
        <f>-S428*INDEX('Deliverability Upgrade Factors'!$F:$F,MATCH(SUBSTITUTE(Dashboard!$D720,"_group",Dashboard!$D$633),'Deliverability Upgrade Factors'!$B:$B,0))</f>
        <v>0</v>
      </c>
      <c r="T720" s="10">
        <f>-T428*INDEX('Deliverability Upgrade Factors'!$F:$F,MATCH(SUBSTITUTE(Dashboard!$D720,"_group",Dashboard!$D$633),'Deliverability Upgrade Factors'!$B:$B,0))</f>
        <v>0</v>
      </c>
      <c r="U720" s="10">
        <f>-U428*INDEX('Deliverability Upgrade Factors'!$F:$F,MATCH(SUBSTITUTE(Dashboard!$D720,"_group",Dashboard!$D$633),'Deliverability Upgrade Factors'!$B:$B,0))</f>
        <v>0</v>
      </c>
      <c r="V720" s="10">
        <f>-V428*INDEX('Deliverability Upgrade Factors'!$F:$F,MATCH(SUBSTITUTE(Dashboard!$D720,"_group",Dashboard!$D$633),'Deliverability Upgrade Factors'!$B:$B,0))</f>
        <v>0</v>
      </c>
      <c r="W720" s="10">
        <f>-W428*INDEX('Deliverability Upgrade Factors'!$F:$F,MATCH(SUBSTITUTE(Dashboard!$D720,"_group",Dashboard!$D$633),'Deliverability Upgrade Factors'!$B:$B,0))</f>
        <v>0</v>
      </c>
      <c r="X720" s="10">
        <f>-X428*INDEX('Deliverability Upgrade Factors'!$F:$F,MATCH(SUBSTITUTE(Dashboard!$D720,"_group",Dashboard!$D$633),'Deliverability Upgrade Factors'!$B:$B,0))</f>
        <v>0</v>
      </c>
      <c r="Y720" s="10">
        <f>-Y428*INDEX('Deliverability Upgrade Factors'!$F:$F,MATCH(SUBSTITUTE(Dashboard!$D720,"_group",Dashboard!$D$633),'Deliverability Upgrade Factors'!$B:$B,0))</f>
        <v>0</v>
      </c>
      <c r="Z720" s="10">
        <f>-Z428*INDEX('Deliverability Upgrade Factors'!$F:$F,MATCH(SUBSTITUTE(Dashboard!$D720,"_group",Dashboard!$D$633),'Deliverability Upgrade Factors'!$B:$B,0))</f>
        <v>0</v>
      </c>
      <c r="AA720" s="10">
        <f>-AA428*INDEX('Deliverability Upgrade Factors'!$F:$F,MATCH(SUBSTITUTE(Dashboard!$D720,"_group",Dashboard!$D$633),'Deliverability Upgrade Factors'!$B:$B,0))</f>
        <v>0</v>
      </c>
      <c r="AB720" s="10">
        <f>-AB428*INDEX('Deliverability Upgrade Factors'!$F:$F,MATCH(SUBSTITUTE(Dashboard!$D720,"_group",Dashboard!$D$633),'Deliverability Upgrade Factors'!$B:$B,0))</f>
        <v>0</v>
      </c>
      <c r="AC720" s="10">
        <f>-AC428*INDEX('Deliverability Upgrade Factors'!$F:$F,MATCH(SUBSTITUTE(Dashboard!$D720,"_group",Dashboard!$D$633),'Deliverability Upgrade Factors'!$B:$B,0))</f>
        <v>0</v>
      </c>
      <c r="AD720" s="10">
        <f>-AD428*INDEX('Deliverability Upgrade Factors'!$F:$F,MATCH(SUBSTITUTE(Dashboard!$D720,"_group",Dashboard!$D$633),'Deliverability Upgrade Factors'!$B:$B,0))</f>
        <v>0</v>
      </c>
      <c r="AH720" s="34" t="s">
        <v>422</v>
      </c>
    </row>
    <row r="721" spans="4:34" outlineLevel="2" x14ac:dyDescent="0.2">
      <c r="D721" s="8" t="s">
        <v>278</v>
      </c>
      <c r="E721" s="10">
        <f>-E429*INDEX('Deliverability Upgrade Factors'!$F:$F,MATCH(SUBSTITUTE(Dashboard!$D721,"_group",Dashboard!$D$633),'Deliverability Upgrade Factors'!$B:$B,0))</f>
        <v>0</v>
      </c>
      <c r="F721" s="10">
        <f>-F429*INDEX('Deliverability Upgrade Factors'!$F:$F,MATCH(SUBSTITUTE(Dashboard!$D721,"_group",Dashboard!$D$633),'Deliverability Upgrade Factors'!$B:$B,0))</f>
        <v>0</v>
      </c>
      <c r="G721" s="10">
        <f>-G429*INDEX('Deliverability Upgrade Factors'!$F:$F,MATCH(SUBSTITUTE(Dashboard!$D721,"_group",Dashboard!$D$633),'Deliverability Upgrade Factors'!$B:$B,0))</f>
        <v>0</v>
      </c>
      <c r="H721" s="10">
        <f>-H429*INDEX('Deliverability Upgrade Factors'!$F:$F,MATCH(SUBSTITUTE(Dashboard!$D721,"_group",Dashboard!$D$633),'Deliverability Upgrade Factors'!$B:$B,0))</f>
        <v>0</v>
      </c>
      <c r="I721" s="10">
        <f>-I429*INDEX('Deliverability Upgrade Factors'!$F:$F,MATCH(SUBSTITUTE(Dashboard!$D721,"_group",Dashboard!$D$633),'Deliverability Upgrade Factors'!$B:$B,0))</f>
        <v>0</v>
      </c>
      <c r="J721" s="10">
        <f>-J429*INDEX('Deliverability Upgrade Factors'!$F:$F,MATCH(SUBSTITUTE(Dashboard!$D721,"_group",Dashboard!$D$633),'Deliverability Upgrade Factors'!$B:$B,0))</f>
        <v>0</v>
      </c>
      <c r="K721" s="10">
        <f>-K429*INDEX('Deliverability Upgrade Factors'!$F:$F,MATCH(SUBSTITUTE(Dashboard!$D721,"_group",Dashboard!$D$633),'Deliverability Upgrade Factors'!$B:$B,0))</f>
        <v>0</v>
      </c>
      <c r="L721" s="10">
        <f>-L429*INDEX('Deliverability Upgrade Factors'!$F:$F,MATCH(SUBSTITUTE(Dashboard!$D721,"_group",Dashboard!$D$633),'Deliverability Upgrade Factors'!$B:$B,0))</f>
        <v>0</v>
      </c>
      <c r="M721" s="10">
        <f>-M429*INDEX('Deliverability Upgrade Factors'!$F:$F,MATCH(SUBSTITUTE(Dashboard!$D721,"_group",Dashboard!$D$633),'Deliverability Upgrade Factors'!$B:$B,0))</f>
        <v>0</v>
      </c>
      <c r="N721" s="10">
        <f>-N429*INDEX('Deliverability Upgrade Factors'!$F:$F,MATCH(SUBSTITUTE(Dashboard!$D721,"_group",Dashboard!$D$633),'Deliverability Upgrade Factors'!$B:$B,0))</f>
        <v>0</v>
      </c>
      <c r="O721" s="10">
        <f>-O429*INDEX('Deliverability Upgrade Factors'!$F:$F,MATCH(SUBSTITUTE(Dashboard!$D721,"_group",Dashboard!$D$633),'Deliverability Upgrade Factors'!$B:$B,0))</f>
        <v>0</v>
      </c>
      <c r="P721" s="10">
        <f>-P429*INDEX('Deliverability Upgrade Factors'!$F:$F,MATCH(SUBSTITUTE(Dashboard!$D721,"_group",Dashboard!$D$633),'Deliverability Upgrade Factors'!$B:$B,0))</f>
        <v>0</v>
      </c>
      <c r="Q721" s="10">
        <f>-Q429*INDEX('Deliverability Upgrade Factors'!$F:$F,MATCH(SUBSTITUTE(Dashboard!$D721,"_group",Dashboard!$D$633),'Deliverability Upgrade Factors'!$B:$B,0))</f>
        <v>0</v>
      </c>
      <c r="R721" s="10">
        <f>-R429*INDEX('Deliverability Upgrade Factors'!$F:$F,MATCH(SUBSTITUTE(Dashboard!$D721,"_group",Dashboard!$D$633),'Deliverability Upgrade Factors'!$B:$B,0))</f>
        <v>0</v>
      </c>
      <c r="S721" s="10">
        <f>-S429*INDEX('Deliverability Upgrade Factors'!$F:$F,MATCH(SUBSTITUTE(Dashboard!$D721,"_group",Dashboard!$D$633),'Deliverability Upgrade Factors'!$B:$B,0))</f>
        <v>0</v>
      </c>
      <c r="T721" s="10">
        <f>-T429*INDEX('Deliverability Upgrade Factors'!$F:$F,MATCH(SUBSTITUTE(Dashboard!$D721,"_group",Dashboard!$D$633),'Deliverability Upgrade Factors'!$B:$B,0))</f>
        <v>0</v>
      </c>
      <c r="U721" s="10">
        <f>-U429*INDEX('Deliverability Upgrade Factors'!$F:$F,MATCH(SUBSTITUTE(Dashboard!$D721,"_group",Dashboard!$D$633),'Deliverability Upgrade Factors'!$B:$B,0))</f>
        <v>0</v>
      </c>
      <c r="V721" s="10">
        <f>-V429*INDEX('Deliverability Upgrade Factors'!$F:$F,MATCH(SUBSTITUTE(Dashboard!$D721,"_group",Dashboard!$D$633),'Deliverability Upgrade Factors'!$B:$B,0))</f>
        <v>0</v>
      </c>
      <c r="W721" s="10">
        <f>-W429*INDEX('Deliverability Upgrade Factors'!$F:$F,MATCH(SUBSTITUTE(Dashboard!$D721,"_group",Dashboard!$D$633),'Deliverability Upgrade Factors'!$B:$B,0))</f>
        <v>0</v>
      </c>
      <c r="X721" s="10">
        <f>-X429*INDEX('Deliverability Upgrade Factors'!$F:$F,MATCH(SUBSTITUTE(Dashboard!$D721,"_group",Dashboard!$D$633),'Deliverability Upgrade Factors'!$B:$B,0))</f>
        <v>0</v>
      </c>
      <c r="Y721" s="10">
        <f>-Y429*INDEX('Deliverability Upgrade Factors'!$F:$F,MATCH(SUBSTITUTE(Dashboard!$D721,"_group",Dashboard!$D$633),'Deliverability Upgrade Factors'!$B:$B,0))</f>
        <v>0</v>
      </c>
      <c r="Z721" s="10">
        <f>-Z429*INDEX('Deliverability Upgrade Factors'!$F:$F,MATCH(SUBSTITUTE(Dashboard!$D721,"_group",Dashboard!$D$633),'Deliverability Upgrade Factors'!$B:$B,0))</f>
        <v>0</v>
      </c>
      <c r="AA721" s="10">
        <f>-AA429*INDEX('Deliverability Upgrade Factors'!$F:$F,MATCH(SUBSTITUTE(Dashboard!$D721,"_group",Dashboard!$D$633),'Deliverability Upgrade Factors'!$B:$B,0))</f>
        <v>0</v>
      </c>
      <c r="AB721" s="10">
        <f>-AB429*INDEX('Deliverability Upgrade Factors'!$F:$F,MATCH(SUBSTITUTE(Dashboard!$D721,"_group",Dashboard!$D$633),'Deliverability Upgrade Factors'!$B:$B,0))</f>
        <v>0</v>
      </c>
      <c r="AC721" s="10">
        <f>-AC429*INDEX('Deliverability Upgrade Factors'!$F:$F,MATCH(SUBSTITUTE(Dashboard!$D721,"_group",Dashboard!$D$633),'Deliverability Upgrade Factors'!$B:$B,0))</f>
        <v>0</v>
      </c>
      <c r="AD721" s="10">
        <f>-AD429*INDEX('Deliverability Upgrade Factors'!$F:$F,MATCH(SUBSTITUTE(Dashboard!$D721,"_group",Dashboard!$D$633),'Deliverability Upgrade Factors'!$B:$B,0))</f>
        <v>1153</v>
      </c>
      <c r="AH721" s="34" t="s">
        <v>422</v>
      </c>
    </row>
    <row r="722" spans="4:34" outlineLevel="2" x14ac:dyDescent="0.2">
      <c r="D722" s="8" t="s">
        <v>279</v>
      </c>
      <c r="E722" s="10">
        <f>-E430*INDEX('Deliverability Upgrade Factors'!$F:$F,MATCH(SUBSTITUTE(Dashboard!$D722,"_group",Dashboard!$D$633),'Deliverability Upgrade Factors'!$B:$B,0))</f>
        <v>0</v>
      </c>
      <c r="F722" s="10">
        <f>-F430*INDEX('Deliverability Upgrade Factors'!$F:$F,MATCH(SUBSTITUTE(Dashboard!$D722,"_group",Dashboard!$D$633),'Deliverability Upgrade Factors'!$B:$B,0))</f>
        <v>0</v>
      </c>
      <c r="G722" s="10">
        <f>-G430*INDEX('Deliverability Upgrade Factors'!$F:$F,MATCH(SUBSTITUTE(Dashboard!$D722,"_group",Dashboard!$D$633),'Deliverability Upgrade Factors'!$B:$B,0))</f>
        <v>0</v>
      </c>
      <c r="H722" s="10">
        <f>-H430*INDEX('Deliverability Upgrade Factors'!$F:$F,MATCH(SUBSTITUTE(Dashboard!$D722,"_group",Dashboard!$D$633),'Deliverability Upgrade Factors'!$B:$B,0))</f>
        <v>0</v>
      </c>
      <c r="I722" s="10">
        <f>-I430*INDEX('Deliverability Upgrade Factors'!$F:$F,MATCH(SUBSTITUTE(Dashboard!$D722,"_group",Dashboard!$D$633),'Deliverability Upgrade Factors'!$B:$B,0))</f>
        <v>0</v>
      </c>
      <c r="J722" s="10">
        <f>-J430*INDEX('Deliverability Upgrade Factors'!$F:$F,MATCH(SUBSTITUTE(Dashboard!$D722,"_group",Dashboard!$D$633),'Deliverability Upgrade Factors'!$B:$B,0))</f>
        <v>0</v>
      </c>
      <c r="K722" s="10">
        <f>-K430*INDEX('Deliverability Upgrade Factors'!$F:$F,MATCH(SUBSTITUTE(Dashboard!$D722,"_group",Dashboard!$D$633),'Deliverability Upgrade Factors'!$B:$B,0))</f>
        <v>0</v>
      </c>
      <c r="L722" s="10">
        <f>-L430*INDEX('Deliverability Upgrade Factors'!$F:$F,MATCH(SUBSTITUTE(Dashboard!$D722,"_group",Dashboard!$D$633),'Deliverability Upgrade Factors'!$B:$B,0))</f>
        <v>0</v>
      </c>
      <c r="M722" s="10">
        <f>-M430*INDEX('Deliverability Upgrade Factors'!$F:$F,MATCH(SUBSTITUTE(Dashboard!$D722,"_group",Dashboard!$D$633),'Deliverability Upgrade Factors'!$B:$B,0))</f>
        <v>0</v>
      </c>
      <c r="N722" s="10">
        <f>-N430*INDEX('Deliverability Upgrade Factors'!$F:$F,MATCH(SUBSTITUTE(Dashboard!$D722,"_group",Dashboard!$D$633),'Deliverability Upgrade Factors'!$B:$B,0))</f>
        <v>0</v>
      </c>
      <c r="O722" s="10">
        <f>-O430*INDEX('Deliverability Upgrade Factors'!$F:$F,MATCH(SUBSTITUTE(Dashboard!$D722,"_group",Dashboard!$D$633),'Deliverability Upgrade Factors'!$B:$B,0))</f>
        <v>0</v>
      </c>
      <c r="P722" s="10">
        <f>-P430*INDEX('Deliverability Upgrade Factors'!$F:$F,MATCH(SUBSTITUTE(Dashboard!$D722,"_group",Dashboard!$D$633),'Deliverability Upgrade Factors'!$B:$B,0))</f>
        <v>0</v>
      </c>
      <c r="Q722" s="10">
        <f>-Q430*INDEX('Deliverability Upgrade Factors'!$F:$F,MATCH(SUBSTITUTE(Dashboard!$D722,"_group",Dashboard!$D$633),'Deliverability Upgrade Factors'!$B:$B,0))</f>
        <v>0</v>
      </c>
      <c r="R722" s="10">
        <f>-R430*INDEX('Deliverability Upgrade Factors'!$F:$F,MATCH(SUBSTITUTE(Dashboard!$D722,"_group",Dashboard!$D$633),'Deliverability Upgrade Factors'!$B:$B,0))</f>
        <v>0</v>
      </c>
      <c r="S722" s="10">
        <f>-S430*INDEX('Deliverability Upgrade Factors'!$F:$F,MATCH(SUBSTITUTE(Dashboard!$D722,"_group",Dashboard!$D$633),'Deliverability Upgrade Factors'!$B:$B,0))</f>
        <v>0</v>
      </c>
      <c r="T722" s="10">
        <f>-T430*INDEX('Deliverability Upgrade Factors'!$F:$F,MATCH(SUBSTITUTE(Dashboard!$D722,"_group",Dashboard!$D$633),'Deliverability Upgrade Factors'!$B:$B,0))</f>
        <v>0</v>
      </c>
      <c r="U722" s="10">
        <f>-U430*INDEX('Deliverability Upgrade Factors'!$F:$F,MATCH(SUBSTITUTE(Dashboard!$D722,"_group",Dashboard!$D$633),'Deliverability Upgrade Factors'!$B:$B,0))</f>
        <v>0</v>
      </c>
      <c r="V722" s="10">
        <f>-V430*INDEX('Deliverability Upgrade Factors'!$F:$F,MATCH(SUBSTITUTE(Dashboard!$D722,"_group",Dashboard!$D$633),'Deliverability Upgrade Factors'!$B:$B,0))</f>
        <v>0</v>
      </c>
      <c r="W722" s="10">
        <f>-W430*INDEX('Deliverability Upgrade Factors'!$F:$F,MATCH(SUBSTITUTE(Dashboard!$D722,"_group",Dashboard!$D$633),'Deliverability Upgrade Factors'!$B:$B,0))</f>
        <v>0</v>
      </c>
      <c r="X722" s="10">
        <f>-X430*INDEX('Deliverability Upgrade Factors'!$F:$F,MATCH(SUBSTITUTE(Dashboard!$D722,"_group",Dashboard!$D$633),'Deliverability Upgrade Factors'!$B:$B,0))</f>
        <v>0</v>
      </c>
      <c r="Y722" s="10">
        <f>-Y430*INDEX('Deliverability Upgrade Factors'!$F:$F,MATCH(SUBSTITUTE(Dashboard!$D722,"_group",Dashboard!$D$633),'Deliverability Upgrade Factors'!$B:$B,0))</f>
        <v>0</v>
      </c>
      <c r="Z722" s="10">
        <f>-Z430*INDEX('Deliverability Upgrade Factors'!$F:$F,MATCH(SUBSTITUTE(Dashboard!$D722,"_group",Dashboard!$D$633),'Deliverability Upgrade Factors'!$B:$B,0))</f>
        <v>0</v>
      </c>
      <c r="AA722" s="10">
        <f>-AA430*INDEX('Deliverability Upgrade Factors'!$F:$F,MATCH(SUBSTITUTE(Dashboard!$D722,"_group",Dashboard!$D$633),'Deliverability Upgrade Factors'!$B:$B,0))</f>
        <v>0</v>
      </c>
      <c r="AB722" s="10">
        <f>-AB430*INDEX('Deliverability Upgrade Factors'!$F:$F,MATCH(SUBSTITUTE(Dashboard!$D722,"_group",Dashboard!$D$633),'Deliverability Upgrade Factors'!$B:$B,0))</f>
        <v>0</v>
      </c>
      <c r="AC722" s="10">
        <f>-AC430*INDEX('Deliverability Upgrade Factors'!$F:$F,MATCH(SUBSTITUTE(Dashboard!$D722,"_group",Dashboard!$D$633),'Deliverability Upgrade Factors'!$B:$B,0))</f>
        <v>0</v>
      </c>
      <c r="AD722" s="10">
        <f>-AD430*INDEX('Deliverability Upgrade Factors'!$F:$F,MATCH(SUBSTITUTE(Dashboard!$D722,"_group",Dashboard!$D$633),'Deliverability Upgrade Factors'!$B:$B,0))</f>
        <v>0</v>
      </c>
      <c r="AH722" s="34" t="s">
        <v>422</v>
      </c>
    </row>
    <row r="723" spans="4:34" outlineLevel="2" x14ac:dyDescent="0.2">
      <c r="D723" s="8" t="s">
        <v>280</v>
      </c>
      <c r="E723" s="10">
        <f>-E431*INDEX('Deliverability Upgrade Factors'!$F:$F,MATCH(SUBSTITUTE(Dashboard!$D723,"_group",Dashboard!$D$633),'Deliverability Upgrade Factors'!$B:$B,0))</f>
        <v>0</v>
      </c>
      <c r="F723" s="10">
        <f>-F431*INDEX('Deliverability Upgrade Factors'!$F:$F,MATCH(SUBSTITUTE(Dashboard!$D723,"_group",Dashboard!$D$633),'Deliverability Upgrade Factors'!$B:$B,0))</f>
        <v>0</v>
      </c>
      <c r="G723" s="10">
        <f>-G431*INDEX('Deliverability Upgrade Factors'!$F:$F,MATCH(SUBSTITUTE(Dashboard!$D723,"_group",Dashboard!$D$633),'Deliverability Upgrade Factors'!$B:$B,0))</f>
        <v>0</v>
      </c>
      <c r="H723" s="10">
        <f>-H431*INDEX('Deliverability Upgrade Factors'!$F:$F,MATCH(SUBSTITUTE(Dashboard!$D723,"_group",Dashboard!$D$633),'Deliverability Upgrade Factors'!$B:$B,0))</f>
        <v>0</v>
      </c>
      <c r="I723" s="10">
        <f>-I431*INDEX('Deliverability Upgrade Factors'!$F:$F,MATCH(SUBSTITUTE(Dashboard!$D723,"_group",Dashboard!$D$633),'Deliverability Upgrade Factors'!$B:$B,0))</f>
        <v>0</v>
      </c>
      <c r="J723" s="10">
        <f>-J431*INDEX('Deliverability Upgrade Factors'!$F:$F,MATCH(SUBSTITUTE(Dashboard!$D723,"_group",Dashboard!$D$633),'Deliverability Upgrade Factors'!$B:$B,0))</f>
        <v>0</v>
      </c>
      <c r="K723" s="10">
        <f>-K431*INDEX('Deliverability Upgrade Factors'!$F:$F,MATCH(SUBSTITUTE(Dashboard!$D723,"_group",Dashboard!$D$633),'Deliverability Upgrade Factors'!$B:$B,0))</f>
        <v>0</v>
      </c>
      <c r="L723" s="10">
        <f>-L431*INDEX('Deliverability Upgrade Factors'!$F:$F,MATCH(SUBSTITUTE(Dashboard!$D723,"_group",Dashboard!$D$633),'Deliverability Upgrade Factors'!$B:$B,0))</f>
        <v>0</v>
      </c>
      <c r="M723" s="10">
        <f>-M431*INDEX('Deliverability Upgrade Factors'!$F:$F,MATCH(SUBSTITUTE(Dashboard!$D723,"_group",Dashboard!$D$633),'Deliverability Upgrade Factors'!$B:$B,0))</f>
        <v>0</v>
      </c>
      <c r="N723" s="10">
        <f>-N431*INDEX('Deliverability Upgrade Factors'!$F:$F,MATCH(SUBSTITUTE(Dashboard!$D723,"_group",Dashboard!$D$633),'Deliverability Upgrade Factors'!$B:$B,0))</f>
        <v>0</v>
      </c>
      <c r="O723" s="10">
        <f>-O431*INDEX('Deliverability Upgrade Factors'!$F:$F,MATCH(SUBSTITUTE(Dashboard!$D723,"_group",Dashboard!$D$633),'Deliverability Upgrade Factors'!$B:$B,0))</f>
        <v>0</v>
      </c>
      <c r="P723" s="10">
        <f>-P431*INDEX('Deliverability Upgrade Factors'!$F:$F,MATCH(SUBSTITUTE(Dashboard!$D723,"_group",Dashboard!$D$633),'Deliverability Upgrade Factors'!$B:$B,0))</f>
        <v>0</v>
      </c>
      <c r="Q723" s="10">
        <f>-Q431*INDEX('Deliverability Upgrade Factors'!$F:$F,MATCH(SUBSTITUTE(Dashboard!$D723,"_group",Dashboard!$D$633),'Deliverability Upgrade Factors'!$B:$B,0))</f>
        <v>0</v>
      </c>
      <c r="R723" s="10">
        <f>-R431*INDEX('Deliverability Upgrade Factors'!$F:$F,MATCH(SUBSTITUTE(Dashboard!$D723,"_group",Dashboard!$D$633),'Deliverability Upgrade Factors'!$B:$B,0))</f>
        <v>0</v>
      </c>
      <c r="S723" s="10">
        <f>-S431*INDEX('Deliverability Upgrade Factors'!$F:$F,MATCH(SUBSTITUTE(Dashboard!$D723,"_group",Dashboard!$D$633),'Deliverability Upgrade Factors'!$B:$B,0))</f>
        <v>0</v>
      </c>
      <c r="T723" s="10">
        <f>-T431*INDEX('Deliverability Upgrade Factors'!$F:$F,MATCH(SUBSTITUTE(Dashboard!$D723,"_group",Dashboard!$D$633),'Deliverability Upgrade Factors'!$B:$B,0))</f>
        <v>0</v>
      </c>
      <c r="U723" s="10">
        <f>-U431*INDEX('Deliverability Upgrade Factors'!$F:$F,MATCH(SUBSTITUTE(Dashboard!$D723,"_group",Dashboard!$D$633),'Deliverability Upgrade Factors'!$B:$B,0))</f>
        <v>0</v>
      </c>
      <c r="V723" s="10">
        <f>-V431*INDEX('Deliverability Upgrade Factors'!$F:$F,MATCH(SUBSTITUTE(Dashboard!$D723,"_group",Dashboard!$D$633),'Deliverability Upgrade Factors'!$B:$B,0))</f>
        <v>0</v>
      </c>
      <c r="W723" s="10">
        <f>-W431*INDEX('Deliverability Upgrade Factors'!$F:$F,MATCH(SUBSTITUTE(Dashboard!$D723,"_group",Dashboard!$D$633),'Deliverability Upgrade Factors'!$B:$B,0))</f>
        <v>0</v>
      </c>
      <c r="X723" s="10">
        <f>-X431*INDEX('Deliverability Upgrade Factors'!$F:$F,MATCH(SUBSTITUTE(Dashboard!$D723,"_group",Dashboard!$D$633),'Deliverability Upgrade Factors'!$B:$B,0))</f>
        <v>0</v>
      </c>
      <c r="Y723" s="10">
        <f>-Y431*INDEX('Deliverability Upgrade Factors'!$F:$F,MATCH(SUBSTITUTE(Dashboard!$D723,"_group",Dashboard!$D$633),'Deliverability Upgrade Factors'!$B:$B,0))</f>
        <v>0</v>
      </c>
      <c r="Z723" s="10">
        <f>-Z431*INDEX('Deliverability Upgrade Factors'!$F:$F,MATCH(SUBSTITUTE(Dashboard!$D723,"_group",Dashboard!$D$633),'Deliverability Upgrade Factors'!$B:$B,0))</f>
        <v>0</v>
      </c>
      <c r="AA723" s="10">
        <f>-AA431*INDEX('Deliverability Upgrade Factors'!$F:$F,MATCH(SUBSTITUTE(Dashboard!$D723,"_group",Dashboard!$D$633),'Deliverability Upgrade Factors'!$B:$B,0))</f>
        <v>0</v>
      </c>
      <c r="AB723" s="10">
        <f>-AB431*INDEX('Deliverability Upgrade Factors'!$F:$F,MATCH(SUBSTITUTE(Dashboard!$D723,"_group",Dashboard!$D$633),'Deliverability Upgrade Factors'!$B:$B,0))</f>
        <v>0</v>
      </c>
      <c r="AC723" s="10">
        <f>-AC431*INDEX('Deliverability Upgrade Factors'!$F:$F,MATCH(SUBSTITUTE(Dashboard!$D723,"_group",Dashboard!$D$633),'Deliverability Upgrade Factors'!$B:$B,0))</f>
        <v>0</v>
      </c>
      <c r="AD723" s="10">
        <f>-AD431*INDEX('Deliverability Upgrade Factors'!$F:$F,MATCH(SUBSTITUTE(Dashboard!$D723,"_group",Dashboard!$D$633),'Deliverability Upgrade Factors'!$B:$B,0))</f>
        <v>1699</v>
      </c>
      <c r="AH723" s="34" t="s">
        <v>422</v>
      </c>
    </row>
    <row r="724" spans="4:34" outlineLevel="2" x14ac:dyDescent="0.2">
      <c r="D724" s="8" t="s">
        <v>281</v>
      </c>
      <c r="E724" s="10">
        <f>-E432*INDEX('Deliverability Upgrade Factors'!$F:$F,MATCH(SUBSTITUTE(Dashboard!$D724,"_group",Dashboard!$D$633),'Deliverability Upgrade Factors'!$B:$B,0))</f>
        <v>0</v>
      </c>
      <c r="F724" s="10">
        <f>-F432*INDEX('Deliverability Upgrade Factors'!$F:$F,MATCH(SUBSTITUTE(Dashboard!$D724,"_group",Dashboard!$D$633),'Deliverability Upgrade Factors'!$B:$B,0))</f>
        <v>0</v>
      </c>
      <c r="G724" s="10">
        <f>-G432*INDEX('Deliverability Upgrade Factors'!$F:$F,MATCH(SUBSTITUTE(Dashboard!$D724,"_group",Dashboard!$D$633),'Deliverability Upgrade Factors'!$B:$B,0))</f>
        <v>0</v>
      </c>
      <c r="H724" s="10">
        <f>-H432*INDEX('Deliverability Upgrade Factors'!$F:$F,MATCH(SUBSTITUTE(Dashboard!$D724,"_group",Dashboard!$D$633),'Deliverability Upgrade Factors'!$B:$B,0))</f>
        <v>0</v>
      </c>
      <c r="I724" s="10">
        <f>-I432*INDEX('Deliverability Upgrade Factors'!$F:$F,MATCH(SUBSTITUTE(Dashboard!$D724,"_group",Dashboard!$D$633),'Deliverability Upgrade Factors'!$B:$B,0))</f>
        <v>0</v>
      </c>
      <c r="J724" s="10">
        <f>-J432*INDEX('Deliverability Upgrade Factors'!$F:$F,MATCH(SUBSTITUTE(Dashboard!$D724,"_group",Dashboard!$D$633),'Deliverability Upgrade Factors'!$B:$B,0))</f>
        <v>0</v>
      </c>
      <c r="K724" s="10">
        <f>-K432*INDEX('Deliverability Upgrade Factors'!$F:$F,MATCH(SUBSTITUTE(Dashboard!$D724,"_group",Dashboard!$D$633),'Deliverability Upgrade Factors'!$B:$B,0))</f>
        <v>0</v>
      </c>
      <c r="L724" s="10">
        <f>-L432*INDEX('Deliverability Upgrade Factors'!$F:$F,MATCH(SUBSTITUTE(Dashboard!$D724,"_group",Dashboard!$D$633),'Deliverability Upgrade Factors'!$B:$B,0))</f>
        <v>0</v>
      </c>
      <c r="M724" s="10">
        <f>-M432*INDEX('Deliverability Upgrade Factors'!$F:$F,MATCH(SUBSTITUTE(Dashboard!$D724,"_group",Dashboard!$D$633),'Deliverability Upgrade Factors'!$B:$B,0))</f>
        <v>0</v>
      </c>
      <c r="N724" s="10">
        <f>-N432*INDEX('Deliverability Upgrade Factors'!$F:$F,MATCH(SUBSTITUTE(Dashboard!$D724,"_group",Dashboard!$D$633),'Deliverability Upgrade Factors'!$B:$B,0))</f>
        <v>0</v>
      </c>
      <c r="O724" s="10">
        <f>-O432*INDEX('Deliverability Upgrade Factors'!$F:$F,MATCH(SUBSTITUTE(Dashboard!$D724,"_group",Dashboard!$D$633),'Deliverability Upgrade Factors'!$B:$B,0))</f>
        <v>0</v>
      </c>
      <c r="P724" s="10">
        <f>-P432*INDEX('Deliverability Upgrade Factors'!$F:$F,MATCH(SUBSTITUTE(Dashboard!$D724,"_group",Dashboard!$D$633),'Deliverability Upgrade Factors'!$B:$B,0))</f>
        <v>0</v>
      </c>
      <c r="Q724" s="10">
        <f>-Q432*INDEX('Deliverability Upgrade Factors'!$F:$F,MATCH(SUBSTITUTE(Dashboard!$D724,"_group",Dashboard!$D$633),'Deliverability Upgrade Factors'!$B:$B,0))</f>
        <v>0</v>
      </c>
      <c r="R724" s="10">
        <f>-R432*INDEX('Deliverability Upgrade Factors'!$F:$F,MATCH(SUBSTITUTE(Dashboard!$D724,"_group",Dashboard!$D$633),'Deliverability Upgrade Factors'!$B:$B,0))</f>
        <v>0</v>
      </c>
      <c r="S724" s="10">
        <f>-S432*INDEX('Deliverability Upgrade Factors'!$F:$F,MATCH(SUBSTITUTE(Dashboard!$D724,"_group",Dashboard!$D$633),'Deliverability Upgrade Factors'!$B:$B,0))</f>
        <v>0</v>
      </c>
      <c r="T724" s="10">
        <f>-T432*INDEX('Deliverability Upgrade Factors'!$F:$F,MATCH(SUBSTITUTE(Dashboard!$D724,"_group",Dashboard!$D$633),'Deliverability Upgrade Factors'!$B:$B,0))</f>
        <v>0</v>
      </c>
      <c r="U724" s="10">
        <f>-U432*INDEX('Deliverability Upgrade Factors'!$F:$F,MATCH(SUBSTITUTE(Dashboard!$D724,"_group",Dashboard!$D$633),'Deliverability Upgrade Factors'!$B:$B,0))</f>
        <v>0</v>
      </c>
      <c r="V724" s="10">
        <f>-V432*INDEX('Deliverability Upgrade Factors'!$F:$F,MATCH(SUBSTITUTE(Dashboard!$D724,"_group",Dashboard!$D$633),'Deliverability Upgrade Factors'!$B:$B,0))</f>
        <v>0</v>
      </c>
      <c r="W724" s="10">
        <f>-W432*INDEX('Deliverability Upgrade Factors'!$F:$F,MATCH(SUBSTITUTE(Dashboard!$D724,"_group",Dashboard!$D$633),'Deliverability Upgrade Factors'!$B:$B,0))</f>
        <v>0</v>
      </c>
      <c r="X724" s="10">
        <f>-X432*INDEX('Deliverability Upgrade Factors'!$F:$F,MATCH(SUBSTITUTE(Dashboard!$D724,"_group",Dashboard!$D$633),'Deliverability Upgrade Factors'!$B:$B,0))</f>
        <v>0</v>
      </c>
      <c r="Y724" s="10">
        <f>-Y432*INDEX('Deliverability Upgrade Factors'!$F:$F,MATCH(SUBSTITUTE(Dashboard!$D724,"_group",Dashboard!$D$633),'Deliverability Upgrade Factors'!$B:$B,0))</f>
        <v>0</v>
      </c>
      <c r="Z724" s="10">
        <f>-Z432*INDEX('Deliverability Upgrade Factors'!$F:$F,MATCH(SUBSTITUTE(Dashboard!$D724,"_group",Dashboard!$D$633),'Deliverability Upgrade Factors'!$B:$B,0))</f>
        <v>0</v>
      </c>
      <c r="AA724" s="10">
        <f>-AA432*INDEX('Deliverability Upgrade Factors'!$F:$F,MATCH(SUBSTITUTE(Dashboard!$D724,"_group",Dashboard!$D$633),'Deliverability Upgrade Factors'!$B:$B,0))</f>
        <v>0</v>
      </c>
      <c r="AB724" s="10">
        <f>-AB432*INDEX('Deliverability Upgrade Factors'!$F:$F,MATCH(SUBSTITUTE(Dashboard!$D724,"_group",Dashboard!$D$633),'Deliverability Upgrade Factors'!$B:$B,0))</f>
        <v>0</v>
      </c>
      <c r="AC724" s="10">
        <f>-AC432*INDEX('Deliverability Upgrade Factors'!$F:$F,MATCH(SUBSTITUTE(Dashboard!$D724,"_group",Dashboard!$D$633),'Deliverability Upgrade Factors'!$B:$B,0))</f>
        <v>0</v>
      </c>
      <c r="AD724" s="10">
        <f>-AD432*INDEX('Deliverability Upgrade Factors'!$F:$F,MATCH(SUBSTITUTE(Dashboard!$D724,"_group",Dashboard!$D$633),'Deliverability Upgrade Factors'!$B:$B,0))</f>
        <v>0</v>
      </c>
      <c r="AH724" s="34" t="s">
        <v>422</v>
      </c>
    </row>
    <row r="725" spans="4:34" outlineLevel="2" x14ac:dyDescent="0.2">
      <c r="D725" s="8" t="s">
        <v>282</v>
      </c>
      <c r="E725" s="10">
        <f>-E433*INDEX('Deliverability Upgrade Factors'!$F:$F,MATCH(SUBSTITUTE(Dashboard!$D725,"_group",Dashboard!$D$633),'Deliverability Upgrade Factors'!$B:$B,0))</f>
        <v>0</v>
      </c>
      <c r="F725" s="10">
        <f>-F433*INDEX('Deliverability Upgrade Factors'!$F:$F,MATCH(SUBSTITUTE(Dashboard!$D725,"_group",Dashboard!$D$633),'Deliverability Upgrade Factors'!$B:$B,0))</f>
        <v>0</v>
      </c>
      <c r="G725" s="10">
        <f>-G433*INDEX('Deliverability Upgrade Factors'!$F:$F,MATCH(SUBSTITUTE(Dashboard!$D725,"_group",Dashboard!$D$633),'Deliverability Upgrade Factors'!$B:$B,0))</f>
        <v>0</v>
      </c>
      <c r="H725" s="10">
        <f>-H433*INDEX('Deliverability Upgrade Factors'!$F:$F,MATCH(SUBSTITUTE(Dashboard!$D725,"_group",Dashboard!$D$633),'Deliverability Upgrade Factors'!$B:$B,0))</f>
        <v>0</v>
      </c>
      <c r="I725" s="10">
        <f>-I433*INDEX('Deliverability Upgrade Factors'!$F:$F,MATCH(SUBSTITUTE(Dashboard!$D725,"_group",Dashboard!$D$633),'Deliverability Upgrade Factors'!$B:$B,0))</f>
        <v>0</v>
      </c>
      <c r="J725" s="10">
        <f>-J433*INDEX('Deliverability Upgrade Factors'!$F:$F,MATCH(SUBSTITUTE(Dashboard!$D725,"_group",Dashboard!$D$633),'Deliverability Upgrade Factors'!$B:$B,0))</f>
        <v>0</v>
      </c>
      <c r="K725" s="10">
        <f>-K433*INDEX('Deliverability Upgrade Factors'!$F:$F,MATCH(SUBSTITUTE(Dashboard!$D725,"_group",Dashboard!$D$633),'Deliverability Upgrade Factors'!$B:$B,0))</f>
        <v>0</v>
      </c>
      <c r="L725" s="10">
        <f>-L433*INDEX('Deliverability Upgrade Factors'!$F:$F,MATCH(SUBSTITUTE(Dashboard!$D725,"_group",Dashboard!$D$633),'Deliverability Upgrade Factors'!$B:$B,0))</f>
        <v>0</v>
      </c>
      <c r="M725" s="10">
        <f>-M433*INDEX('Deliverability Upgrade Factors'!$F:$F,MATCH(SUBSTITUTE(Dashboard!$D725,"_group",Dashboard!$D$633),'Deliverability Upgrade Factors'!$B:$B,0))</f>
        <v>0</v>
      </c>
      <c r="N725" s="10">
        <f>-N433*INDEX('Deliverability Upgrade Factors'!$F:$F,MATCH(SUBSTITUTE(Dashboard!$D725,"_group",Dashboard!$D$633),'Deliverability Upgrade Factors'!$B:$B,0))</f>
        <v>0</v>
      </c>
      <c r="O725" s="10">
        <f>-O433*INDEX('Deliverability Upgrade Factors'!$F:$F,MATCH(SUBSTITUTE(Dashboard!$D725,"_group",Dashboard!$D$633),'Deliverability Upgrade Factors'!$B:$B,0))</f>
        <v>0</v>
      </c>
      <c r="P725" s="10">
        <f>-P433*INDEX('Deliverability Upgrade Factors'!$F:$F,MATCH(SUBSTITUTE(Dashboard!$D725,"_group",Dashboard!$D$633),'Deliverability Upgrade Factors'!$B:$B,0))</f>
        <v>0</v>
      </c>
      <c r="Q725" s="10">
        <f>-Q433*INDEX('Deliverability Upgrade Factors'!$F:$F,MATCH(SUBSTITUTE(Dashboard!$D725,"_group",Dashboard!$D$633),'Deliverability Upgrade Factors'!$B:$B,0))</f>
        <v>0</v>
      </c>
      <c r="R725" s="10">
        <f>-R433*INDEX('Deliverability Upgrade Factors'!$F:$F,MATCH(SUBSTITUTE(Dashboard!$D725,"_group",Dashboard!$D$633),'Deliverability Upgrade Factors'!$B:$B,0))</f>
        <v>0</v>
      </c>
      <c r="S725" s="10">
        <f>-S433*INDEX('Deliverability Upgrade Factors'!$F:$F,MATCH(SUBSTITUTE(Dashboard!$D725,"_group",Dashboard!$D$633),'Deliverability Upgrade Factors'!$B:$B,0))</f>
        <v>0</v>
      </c>
      <c r="T725" s="10">
        <f>-T433*INDEX('Deliverability Upgrade Factors'!$F:$F,MATCH(SUBSTITUTE(Dashboard!$D725,"_group",Dashboard!$D$633),'Deliverability Upgrade Factors'!$B:$B,0))</f>
        <v>0</v>
      </c>
      <c r="U725" s="10">
        <f>-U433*INDEX('Deliverability Upgrade Factors'!$F:$F,MATCH(SUBSTITUTE(Dashboard!$D725,"_group",Dashboard!$D$633),'Deliverability Upgrade Factors'!$B:$B,0))</f>
        <v>0</v>
      </c>
      <c r="V725" s="10">
        <f>-V433*INDEX('Deliverability Upgrade Factors'!$F:$F,MATCH(SUBSTITUTE(Dashboard!$D725,"_group",Dashboard!$D$633),'Deliverability Upgrade Factors'!$B:$B,0))</f>
        <v>0</v>
      </c>
      <c r="W725" s="10">
        <f>-W433*INDEX('Deliverability Upgrade Factors'!$F:$F,MATCH(SUBSTITUTE(Dashboard!$D725,"_group",Dashboard!$D$633),'Deliverability Upgrade Factors'!$B:$B,0))</f>
        <v>0</v>
      </c>
      <c r="X725" s="10">
        <f>-X433*INDEX('Deliverability Upgrade Factors'!$F:$F,MATCH(SUBSTITUTE(Dashboard!$D725,"_group",Dashboard!$D$633),'Deliverability Upgrade Factors'!$B:$B,0))</f>
        <v>0</v>
      </c>
      <c r="Y725" s="10">
        <f>-Y433*INDEX('Deliverability Upgrade Factors'!$F:$F,MATCH(SUBSTITUTE(Dashboard!$D725,"_group",Dashboard!$D$633),'Deliverability Upgrade Factors'!$B:$B,0))</f>
        <v>0</v>
      </c>
      <c r="Z725" s="10">
        <f>-Z433*INDEX('Deliverability Upgrade Factors'!$F:$F,MATCH(SUBSTITUTE(Dashboard!$D725,"_group",Dashboard!$D$633),'Deliverability Upgrade Factors'!$B:$B,0))</f>
        <v>0</v>
      </c>
      <c r="AA725" s="10">
        <f>-AA433*INDEX('Deliverability Upgrade Factors'!$F:$F,MATCH(SUBSTITUTE(Dashboard!$D725,"_group",Dashboard!$D$633),'Deliverability Upgrade Factors'!$B:$B,0))</f>
        <v>0</v>
      </c>
      <c r="AB725" s="10">
        <f>-AB433*INDEX('Deliverability Upgrade Factors'!$F:$F,MATCH(SUBSTITUTE(Dashboard!$D725,"_group",Dashboard!$D$633),'Deliverability Upgrade Factors'!$B:$B,0))</f>
        <v>0</v>
      </c>
      <c r="AC725" s="10">
        <f>-AC433*INDEX('Deliverability Upgrade Factors'!$F:$F,MATCH(SUBSTITUTE(Dashboard!$D725,"_group",Dashboard!$D$633),'Deliverability Upgrade Factors'!$B:$B,0))</f>
        <v>0</v>
      </c>
      <c r="AD725" s="10">
        <f>-AD433*INDEX('Deliverability Upgrade Factors'!$F:$F,MATCH(SUBSTITUTE(Dashboard!$D725,"_group",Dashboard!$D$633),'Deliverability Upgrade Factors'!$B:$B,0))</f>
        <v>0</v>
      </c>
      <c r="AH725" s="34" t="s">
        <v>422</v>
      </c>
    </row>
    <row r="726" spans="4:34" outlineLevel="2" x14ac:dyDescent="0.2">
      <c r="D726" s="8" t="s">
        <v>283</v>
      </c>
      <c r="E726" s="10">
        <f>-E434*INDEX('Deliverability Upgrade Factors'!$F:$F,MATCH(SUBSTITUTE(Dashboard!$D726,"_group",Dashboard!$D$633),'Deliverability Upgrade Factors'!$B:$B,0))</f>
        <v>0</v>
      </c>
      <c r="F726" s="10">
        <f>-F434*INDEX('Deliverability Upgrade Factors'!$F:$F,MATCH(SUBSTITUTE(Dashboard!$D726,"_group",Dashboard!$D$633),'Deliverability Upgrade Factors'!$B:$B,0))</f>
        <v>0</v>
      </c>
      <c r="G726" s="10">
        <f>-G434*INDEX('Deliverability Upgrade Factors'!$F:$F,MATCH(SUBSTITUTE(Dashboard!$D726,"_group",Dashboard!$D$633),'Deliverability Upgrade Factors'!$B:$B,0))</f>
        <v>0</v>
      </c>
      <c r="H726" s="10">
        <f>-H434*INDEX('Deliverability Upgrade Factors'!$F:$F,MATCH(SUBSTITUTE(Dashboard!$D726,"_group",Dashboard!$D$633),'Deliverability Upgrade Factors'!$B:$B,0))</f>
        <v>0</v>
      </c>
      <c r="I726" s="10">
        <f>-I434*INDEX('Deliverability Upgrade Factors'!$F:$F,MATCH(SUBSTITUTE(Dashboard!$D726,"_group",Dashboard!$D$633),'Deliverability Upgrade Factors'!$B:$B,0))</f>
        <v>0</v>
      </c>
      <c r="J726" s="10">
        <f>-J434*INDEX('Deliverability Upgrade Factors'!$F:$F,MATCH(SUBSTITUTE(Dashboard!$D726,"_group",Dashboard!$D$633),'Deliverability Upgrade Factors'!$B:$B,0))</f>
        <v>0</v>
      </c>
      <c r="K726" s="10">
        <f>-K434*INDEX('Deliverability Upgrade Factors'!$F:$F,MATCH(SUBSTITUTE(Dashboard!$D726,"_group",Dashboard!$D$633),'Deliverability Upgrade Factors'!$B:$B,0))</f>
        <v>0</v>
      </c>
      <c r="L726" s="10">
        <f>-L434*INDEX('Deliverability Upgrade Factors'!$F:$F,MATCH(SUBSTITUTE(Dashboard!$D726,"_group",Dashboard!$D$633),'Deliverability Upgrade Factors'!$B:$B,0))</f>
        <v>0</v>
      </c>
      <c r="M726" s="10">
        <f>-M434*INDEX('Deliverability Upgrade Factors'!$F:$F,MATCH(SUBSTITUTE(Dashboard!$D726,"_group",Dashboard!$D$633),'Deliverability Upgrade Factors'!$B:$B,0))</f>
        <v>0</v>
      </c>
      <c r="N726" s="10">
        <f>-N434*INDEX('Deliverability Upgrade Factors'!$F:$F,MATCH(SUBSTITUTE(Dashboard!$D726,"_group",Dashboard!$D$633),'Deliverability Upgrade Factors'!$B:$B,0))</f>
        <v>0</v>
      </c>
      <c r="O726" s="10">
        <f>-O434*INDEX('Deliverability Upgrade Factors'!$F:$F,MATCH(SUBSTITUTE(Dashboard!$D726,"_group",Dashboard!$D$633),'Deliverability Upgrade Factors'!$B:$B,0))</f>
        <v>0</v>
      </c>
      <c r="P726" s="10">
        <f>-P434*INDEX('Deliverability Upgrade Factors'!$F:$F,MATCH(SUBSTITUTE(Dashboard!$D726,"_group",Dashboard!$D$633),'Deliverability Upgrade Factors'!$B:$B,0))</f>
        <v>0</v>
      </c>
      <c r="Q726" s="10">
        <f>-Q434*INDEX('Deliverability Upgrade Factors'!$F:$F,MATCH(SUBSTITUTE(Dashboard!$D726,"_group",Dashboard!$D$633),'Deliverability Upgrade Factors'!$B:$B,0))</f>
        <v>0</v>
      </c>
      <c r="R726" s="10">
        <f>-R434*INDEX('Deliverability Upgrade Factors'!$F:$F,MATCH(SUBSTITUTE(Dashboard!$D726,"_group",Dashboard!$D$633),'Deliverability Upgrade Factors'!$B:$B,0))</f>
        <v>0</v>
      </c>
      <c r="S726" s="10">
        <f>-S434*INDEX('Deliverability Upgrade Factors'!$F:$F,MATCH(SUBSTITUTE(Dashboard!$D726,"_group",Dashboard!$D$633),'Deliverability Upgrade Factors'!$B:$B,0))</f>
        <v>0</v>
      </c>
      <c r="T726" s="10">
        <f>-T434*INDEX('Deliverability Upgrade Factors'!$F:$F,MATCH(SUBSTITUTE(Dashboard!$D726,"_group",Dashboard!$D$633),'Deliverability Upgrade Factors'!$B:$B,0))</f>
        <v>0</v>
      </c>
      <c r="U726" s="10">
        <f>-U434*INDEX('Deliverability Upgrade Factors'!$F:$F,MATCH(SUBSTITUTE(Dashboard!$D726,"_group",Dashboard!$D$633),'Deliverability Upgrade Factors'!$B:$B,0))</f>
        <v>0</v>
      </c>
      <c r="V726" s="10">
        <f>-V434*INDEX('Deliverability Upgrade Factors'!$F:$F,MATCH(SUBSTITUTE(Dashboard!$D726,"_group",Dashboard!$D$633),'Deliverability Upgrade Factors'!$B:$B,0))</f>
        <v>0</v>
      </c>
      <c r="W726" s="10">
        <f>-W434*INDEX('Deliverability Upgrade Factors'!$F:$F,MATCH(SUBSTITUTE(Dashboard!$D726,"_group",Dashboard!$D$633),'Deliverability Upgrade Factors'!$B:$B,0))</f>
        <v>0</v>
      </c>
      <c r="X726" s="10">
        <f>-X434*INDEX('Deliverability Upgrade Factors'!$F:$F,MATCH(SUBSTITUTE(Dashboard!$D726,"_group",Dashboard!$D$633),'Deliverability Upgrade Factors'!$B:$B,0))</f>
        <v>0</v>
      </c>
      <c r="Y726" s="10">
        <f>-Y434*INDEX('Deliverability Upgrade Factors'!$F:$F,MATCH(SUBSTITUTE(Dashboard!$D726,"_group",Dashboard!$D$633),'Deliverability Upgrade Factors'!$B:$B,0))</f>
        <v>0</v>
      </c>
      <c r="Z726" s="10">
        <f>-Z434*INDEX('Deliverability Upgrade Factors'!$F:$F,MATCH(SUBSTITUTE(Dashboard!$D726,"_group",Dashboard!$D$633),'Deliverability Upgrade Factors'!$B:$B,0))</f>
        <v>0</v>
      </c>
      <c r="AA726" s="10">
        <f>-AA434*INDEX('Deliverability Upgrade Factors'!$F:$F,MATCH(SUBSTITUTE(Dashboard!$D726,"_group",Dashboard!$D$633),'Deliverability Upgrade Factors'!$B:$B,0))</f>
        <v>0</v>
      </c>
      <c r="AB726" s="10">
        <f>-AB434*INDEX('Deliverability Upgrade Factors'!$F:$F,MATCH(SUBSTITUTE(Dashboard!$D726,"_group",Dashboard!$D$633),'Deliverability Upgrade Factors'!$B:$B,0))</f>
        <v>0</v>
      </c>
      <c r="AC726" s="10">
        <f>-AC434*INDEX('Deliverability Upgrade Factors'!$F:$F,MATCH(SUBSTITUTE(Dashboard!$D726,"_group",Dashboard!$D$633),'Deliverability Upgrade Factors'!$B:$B,0))</f>
        <v>0</v>
      </c>
      <c r="AD726" s="10">
        <f>-AD434*INDEX('Deliverability Upgrade Factors'!$F:$F,MATCH(SUBSTITUTE(Dashboard!$D726,"_group",Dashboard!$D$633),'Deliverability Upgrade Factors'!$B:$B,0))</f>
        <v>2700</v>
      </c>
      <c r="AH726" s="34" t="s">
        <v>422</v>
      </c>
    </row>
    <row r="727" spans="4:34" outlineLevel="2" x14ac:dyDescent="0.2">
      <c r="D727" s="8" t="s">
        <v>284</v>
      </c>
      <c r="E727" s="10">
        <f>-E435*INDEX('Deliverability Upgrade Factors'!$F:$F,MATCH(SUBSTITUTE(Dashboard!$D727,"_group",Dashboard!$D$633),'Deliverability Upgrade Factors'!$B:$B,0))</f>
        <v>0</v>
      </c>
      <c r="F727" s="10">
        <f>-F435*INDEX('Deliverability Upgrade Factors'!$F:$F,MATCH(SUBSTITUTE(Dashboard!$D727,"_group",Dashboard!$D$633),'Deliverability Upgrade Factors'!$B:$B,0))</f>
        <v>0</v>
      </c>
      <c r="G727" s="10">
        <f>-G435*INDEX('Deliverability Upgrade Factors'!$F:$F,MATCH(SUBSTITUTE(Dashboard!$D727,"_group",Dashboard!$D$633),'Deliverability Upgrade Factors'!$B:$B,0))</f>
        <v>0</v>
      </c>
      <c r="H727" s="10">
        <f>-H435*INDEX('Deliverability Upgrade Factors'!$F:$F,MATCH(SUBSTITUTE(Dashboard!$D727,"_group",Dashboard!$D$633),'Deliverability Upgrade Factors'!$B:$B,0))</f>
        <v>0</v>
      </c>
      <c r="I727" s="10">
        <f>-I435*INDEX('Deliverability Upgrade Factors'!$F:$F,MATCH(SUBSTITUTE(Dashboard!$D727,"_group",Dashboard!$D$633),'Deliverability Upgrade Factors'!$B:$B,0))</f>
        <v>0</v>
      </c>
      <c r="J727" s="10">
        <f>-J435*INDEX('Deliverability Upgrade Factors'!$F:$F,MATCH(SUBSTITUTE(Dashboard!$D727,"_group",Dashboard!$D$633),'Deliverability Upgrade Factors'!$B:$B,0))</f>
        <v>0</v>
      </c>
      <c r="K727" s="10">
        <f>-K435*INDEX('Deliverability Upgrade Factors'!$F:$F,MATCH(SUBSTITUTE(Dashboard!$D727,"_group",Dashboard!$D$633),'Deliverability Upgrade Factors'!$B:$B,0))</f>
        <v>0</v>
      </c>
      <c r="L727" s="10">
        <f>-L435*INDEX('Deliverability Upgrade Factors'!$F:$F,MATCH(SUBSTITUTE(Dashboard!$D727,"_group",Dashboard!$D$633),'Deliverability Upgrade Factors'!$B:$B,0))</f>
        <v>0</v>
      </c>
      <c r="M727" s="10">
        <f>-M435*INDEX('Deliverability Upgrade Factors'!$F:$F,MATCH(SUBSTITUTE(Dashboard!$D727,"_group",Dashboard!$D$633),'Deliverability Upgrade Factors'!$B:$B,0))</f>
        <v>0</v>
      </c>
      <c r="N727" s="10">
        <f>-N435*INDEX('Deliverability Upgrade Factors'!$F:$F,MATCH(SUBSTITUTE(Dashboard!$D727,"_group",Dashboard!$D$633),'Deliverability Upgrade Factors'!$B:$B,0))</f>
        <v>0</v>
      </c>
      <c r="O727" s="10">
        <f>-O435*INDEX('Deliverability Upgrade Factors'!$F:$F,MATCH(SUBSTITUTE(Dashboard!$D727,"_group",Dashboard!$D$633),'Deliverability Upgrade Factors'!$B:$B,0))</f>
        <v>0</v>
      </c>
      <c r="P727" s="10">
        <f>-P435*INDEX('Deliverability Upgrade Factors'!$F:$F,MATCH(SUBSTITUTE(Dashboard!$D727,"_group",Dashboard!$D$633),'Deliverability Upgrade Factors'!$B:$B,0))</f>
        <v>0</v>
      </c>
      <c r="Q727" s="10">
        <f>-Q435*INDEX('Deliverability Upgrade Factors'!$F:$F,MATCH(SUBSTITUTE(Dashboard!$D727,"_group",Dashboard!$D$633),'Deliverability Upgrade Factors'!$B:$B,0))</f>
        <v>0</v>
      </c>
      <c r="R727" s="10">
        <f>-R435*INDEX('Deliverability Upgrade Factors'!$F:$F,MATCH(SUBSTITUTE(Dashboard!$D727,"_group",Dashboard!$D$633),'Deliverability Upgrade Factors'!$B:$B,0))</f>
        <v>0</v>
      </c>
      <c r="S727" s="10">
        <f>-S435*INDEX('Deliverability Upgrade Factors'!$F:$F,MATCH(SUBSTITUTE(Dashboard!$D727,"_group",Dashboard!$D$633),'Deliverability Upgrade Factors'!$B:$B,0))</f>
        <v>0</v>
      </c>
      <c r="T727" s="10">
        <f>-T435*INDEX('Deliverability Upgrade Factors'!$F:$F,MATCH(SUBSTITUTE(Dashboard!$D727,"_group",Dashboard!$D$633),'Deliverability Upgrade Factors'!$B:$B,0))</f>
        <v>0</v>
      </c>
      <c r="U727" s="10">
        <f>-U435*INDEX('Deliverability Upgrade Factors'!$F:$F,MATCH(SUBSTITUTE(Dashboard!$D727,"_group",Dashboard!$D$633),'Deliverability Upgrade Factors'!$B:$B,0))</f>
        <v>0</v>
      </c>
      <c r="V727" s="10">
        <f>-V435*INDEX('Deliverability Upgrade Factors'!$F:$F,MATCH(SUBSTITUTE(Dashboard!$D727,"_group",Dashboard!$D$633),'Deliverability Upgrade Factors'!$B:$B,0))</f>
        <v>0</v>
      </c>
      <c r="W727" s="10">
        <f>-W435*INDEX('Deliverability Upgrade Factors'!$F:$F,MATCH(SUBSTITUTE(Dashboard!$D727,"_group",Dashboard!$D$633),'Deliverability Upgrade Factors'!$B:$B,0))</f>
        <v>0</v>
      </c>
      <c r="X727" s="10">
        <f>-X435*INDEX('Deliverability Upgrade Factors'!$F:$F,MATCH(SUBSTITUTE(Dashboard!$D727,"_group",Dashboard!$D$633),'Deliverability Upgrade Factors'!$B:$B,0))</f>
        <v>0</v>
      </c>
      <c r="Y727" s="10">
        <f>-Y435*INDEX('Deliverability Upgrade Factors'!$F:$F,MATCH(SUBSTITUTE(Dashboard!$D727,"_group",Dashboard!$D$633),'Deliverability Upgrade Factors'!$B:$B,0))</f>
        <v>0</v>
      </c>
      <c r="Z727" s="10">
        <f>-Z435*INDEX('Deliverability Upgrade Factors'!$F:$F,MATCH(SUBSTITUTE(Dashboard!$D727,"_group",Dashboard!$D$633),'Deliverability Upgrade Factors'!$B:$B,0))</f>
        <v>0</v>
      </c>
      <c r="AA727" s="10">
        <f>-AA435*INDEX('Deliverability Upgrade Factors'!$F:$F,MATCH(SUBSTITUTE(Dashboard!$D727,"_group",Dashboard!$D$633),'Deliverability Upgrade Factors'!$B:$B,0))</f>
        <v>0</v>
      </c>
      <c r="AB727" s="10">
        <f>-AB435*INDEX('Deliverability Upgrade Factors'!$F:$F,MATCH(SUBSTITUTE(Dashboard!$D727,"_group",Dashboard!$D$633),'Deliverability Upgrade Factors'!$B:$B,0))</f>
        <v>0</v>
      </c>
      <c r="AC727" s="10">
        <f>-AC435*INDEX('Deliverability Upgrade Factors'!$F:$F,MATCH(SUBSTITUTE(Dashboard!$D727,"_group",Dashboard!$D$633),'Deliverability Upgrade Factors'!$B:$B,0))</f>
        <v>0</v>
      </c>
      <c r="AD727" s="10">
        <f>-AD435*INDEX('Deliverability Upgrade Factors'!$F:$F,MATCH(SUBSTITUTE(Dashboard!$D727,"_group",Dashboard!$D$633),'Deliverability Upgrade Factors'!$B:$B,0))</f>
        <v>0</v>
      </c>
      <c r="AH727" s="34" t="s">
        <v>422</v>
      </c>
    </row>
    <row r="728" spans="4:34" ht="12.6" outlineLevel="2" thickBot="1" x14ac:dyDescent="0.25">
      <c r="D728" s="9" t="s">
        <v>139</v>
      </c>
      <c r="E728" s="17">
        <f t="shared" ref="E728" si="853">SUM(E700:E727)</f>
        <v>0</v>
      </c>
      <c r="F728" s="17">
        <f t="shared" ref="F728:AD728" si="854">SUM(F700:F727)</f>
        <v>0</v>
      </c>
      <c r="G728" s="17">
        <f t="shared" si="854"/>
        <v>0</v>
      </c>
      <c r="H728" s="17">
        <f t="shared" si="854"/>
        <v>0</v>
      </c>
      <c r="I728" s="17">
        <f t="shared" si="854"/>
        <v>0</v>
      </c>
      <c r="J728" s="17">
        <f t="shared" si="854"/>
        <v>0</v>
      </c>
      <c r="K728" s="17">
        <f t="shared" si="854"/>
        <v>0</v>
      </c>
      <c r="L728" s="17">
        <f t="shared" si="854"/>
        <v>0</v>
      </c>
      <c r="M728" s="17">
        <f t="shared" si="854"/>
        <v>0</v>
      </c>
      <c r="N728" s="17">
        <f t="shared" si="854"/>
        <v>0</v>
      </c>
      <c r="O728" s="17">
        <f t="shared" si="854"/>
        <v>0</v>
      </c>
      <c r="P728" s="17">
        <f t="shared" si="854"/>
        <v>0</v>
      </c>
      <c r="Q728" s="17">
        <f t="shared" si="854"/>
        <v>0</v>
      </c>
      <c r="R728" s="17">
        <f t="shared" si="854"/>
        <v>0</v>
      </c>
      <c r="S728" s="17">
        <f t="shared" si="854"/>
        <v>0</v>
      </c>
      <c r="T728" s="17">
        <f t="shared" si="854"/>
        <v>0</v>
      </c>
      <c r="U728" s="17">
        <f t="shared" si="854"/>
        <v>0</v>
      </c>
      <c r="V728" s="17">
        <f t="shared" si="854"/>
        <v>0</v>
      </c>
      <c r="W728" s="17">
        <f t="shared" si="854"/>
        <v>0</v>
      </c>
      <c r="X728" s="17">
        <f t="shared" si="854"/>
        <v>0</v>
      </c>
      <c r="Y728" s="17">
        <f t="shared" si="854"/>
        <v>0</v>
      </c>
      <c r="Z728" s="17">
        <f t="shared" si="854"/>
        <v>0</v>
      </c>
      <c r="AA728" s="17">
        <f t="shared" si="854"/>
        <v>0</v>
      </c>
      <c r="AB728" s="17">
        <f t="shared" si="854"/>
        <v>0</v>
      </c>
      <c r="AC728" s="17">
        <f t="shared" si="854"/>
        <v>0</v>
      </c>
      <c r="AD728" s="17">
        <f t="shared" si="854"/>
        <v>8865</v>
      </c>
      <c r="AH728" s="34" t="s">
        <v>422</v>
      </c>
    </row>
    <row r="729" spans="4:34" ht="12" outlineLevel="2" thickTop="1" x14ac:dyDescent="0.2">
      <c r="AH729" s="34" t="s">
        <v>422</v>
      </c>
    </row>
    <row r="730" spans="4:34" ht="13.2" outlineLevel="2" x14ac:dyDescent="0.2">
      <c r="E730" s="2" t="s">
        <v>411</v>
      </c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H730" s="34" t="s">
        <v>422</v>
      </c>
    </row>
    <row r="731" spans="4:34" outlineLevel="2" x14ac:dyDescent="0.2">
      <c r="E731" s="7">
        <v>43831</v>
      </c>
      <c r="F731" s="7">
        <f t="shared" ref="F731" si="855">EDATE(E731,12)</f>
        <v>44197</v>
      </c>
      <c r="G731" s="7">
        <f t="shared" ref="G731" si="856">EDATE(F731,12)</f>
        <v>44562</v>
      </c>
      <c r="H731" s="7">
        <f t="shared" ref="H731" si="857">EDATE(G731,12)</f>
        <v>44927</v>
      </c>
      <c r="I731" s="7">
        <f t="shared" ref="I731" si="858">EDATE(H731,12)</f>
        <v>45292</v>
      </c>
      <c r="J731" s="7">
        <f t="shared" ref="J731" si="859">EDATE(I731,12)</f>
        <v>45658</v>
      </c>
      <c r="K731" s="7">
        <f t="shared" ref="K731" si="860">EDATE(J731,12)</f>
        <v>46023</v>
      </c>
      <c r="L731" s="7">
        <f t="shared" ref="L731" si="861">EDATE(K731,12)</f>
        <v>46388</v>
      </c>
      <c r="M731" s="7">
        <f t="shared" ref="M731" si="862">EDATE(L731,12)</f>
        <v>46753</v>
      </c>
      <c r="N731" s="7">
        <f t="shared" ref="N731" si="863">EDATE(M731,12)</f>
        <v>47119</v>
      </c>
      <c r="O731" s="7">
        <f t="shared" ref="O731" si="864">EDATE(N731,12)</f>
        <v>47484</v>
      </c>
      <c r="P731" s="7">
        <f t="shared" ref="P731" si="865">EDATE(O731,12)</f>
        <v>47849</v>
      </c>
      <c r="Q731" s="7">
        <f t="shared" ref="Q731" si="866">EDATE(P731,12)</f>
        <v>48214</v>
      </c>
      <c r="R731" s="7">
        <f t="shared" ref="R731" si="867">EDATE(Q731,12)</f>
        <v>48580</v>
      </c>
      <c r="S731" s="7">
        <f t="shared" ref="S731" si="868">EDATE(R731,12)</f>
        <v>48945</v>
      </c>
      <c r="T731" s="7">
        <f t="shared" ref="T731" si="869">EDATE(S731,12)</f>
        <v>49310</v>
      </c>
      <c r="U731" s="7">
        <f t="shared" ref="U731" si="870">EDATE(T731,12)</f>
        <v>49675</v>
      </c>
      <c r="V731" s="7">
        <f t="shared" ref="V731" si="871">EDATE(U731,12)</f>
        <v>50041</v>
      </c>
      <c r="W731" s="7">
        <f t="shared" ref="W731" si="872">EDATE(V731,12)</f>
        <v>50406</v>
      </c>
      <c r="X731" s="7">
        <f t="shared" ref="X731" si="873">EDATE(W731,12)</f>
        <v>50771</v>
      </c>
      <c r="Y731" s="7">
        <f t="shared" ref="Y731" si="874">EDATE(X731,12)</f>
        <v>51136</v>
      </c>
      <c r="Z731" s="7">
        <f t="shared" ref="Z731" si="875">EDATE(Y731,12)</f>
        <v>51502</v>
      </c>
      <c r="AA731" s="7">
        <f t="shared" ref="AA731" si="876">EDATE(Z731,12)</f>
        <v>51867</v>
      </c>
      <c r="AB731" s="7">
        <f t="shared" ref="AB731" si="877">EDATE(AA731,12)</f>
        <v>52232</v>
      </c>
      <c r="AC731" s="7">
        <f t="shared" ref="AC731" si="878">EDATE(AB731,12)</f>
        <v>52597</v>
      </c>
      <c r="AD731" s="7">
        <f>EDATE(AC731,12)</f>
        <v>52963</v>
      </c>
      <c r="AH731" s="34" t="s">
        <v>422</v>
      </c>
    </row>
    <row r="732" spans="4:34" outlineLevel="2" x14ac:dyDescent="0.2">
      <c r="D732" s="8" t="s">
        <v>257</v>
      </c>
      <c r="E732" s="10">
        <f>SUMIFS('Custom Constraints'!$C:$C,'Custom Constraints'!$A:$A,"caiso-deliverability_"&amp;SUBSTITUTE(Dashboard!$D732,"_group",Dashboard!$D$633)&amp;"."&amp;YEAR(Dashboard!E$537))+E700</f>
        <v>0</v>
      </c>
      <c r="F732" s="10">
        <f>SUMIFS('Custom Constraints'!$C:$C,'Custom Constraints'!$A:$A,"caiso-deliverability_"&amp;SUBSTITUTE(Dashboard!$D732,"_group",Dashboard!$D$633)&amp;"."&amp;YEAR(Dashboard!F$537))+F700</f>
        <v>0</v>
      </c>
      <c r="G732" s="10">
        <f>SUMIFS('Custom Constraints'!$C:$C,'Custom Constraints'!$A:$A,"caiso-deliverability_"&amp;SUBSTITUTE(Dashboard!$D732,"_group",Dashboard!$D$633)&amp;"."&amp;YEAR(Dashboard!G$537))+G700</f>
        <v>0</v>
      </c>
      <c r="H732" s="10">
        <f>SUMIFS('Custom Constraints'!$C:$C,'Custom Constraints'!$A:$A,"caiso-deliverability_"&amp;SUBSTITUTE(Dashboard!$D732,"_group",Dashboard!$D$633)&amp;"."&amp;YEAR(Dashboard!H$537))+H700</f>
        <v>0</v>
      </c>
      <c r="I732" s="10">
        <f>SUMIFS('Custom Constraints'!$C:$C,'Custom Constraints'!$A:$A,"caiso-deliverability_"&amp;SUBSTITUTE(Dashboard!$D732,"_group",Dashboard!$D$633)&amp;"."&amp;YEAR(Dashboard!I$537))+I700</f>
        <v>0</v>
      </c>
      <c r="J732" s="10">
        <f>SUMIFS('Custom Constraints'!$C:$C,'Custom Constraints'!$A:$A,"caiso-deliverability_"&amp;SUBSTITUTE(Dashboard!$D732,"_group",Dashboard!$D$633)&amp;"."&amp;YEAR(Dashboard!J$537))+J700</f>
        <v>0</v>
      </c>
      <c r="K732" s="10">
        <f>SUMIFS('Custom Constraints'!$C:$C,'Custom Constraints'!$A:$A,"caiso-deliverability_"&amp;SUBSTITUTE(Dashboard!$D732,"_group",Dashboard!$D$633)&amp;"."&amp;YEAR(Dashboard!K$537))+K700</f>
        <v>0</v>
      </c>
      <c r="L732" s="10">
        <f>SUMIFS('Custom Constraints'!$C:$C,'Custom Constraints'!$A:$A,"caiso-deliverability_"&amp;SUBSTITUTE(Dashboard!$D732,"_group",Dashboard!$D$633)&amp;"."&amp;YEAR(Dashboard!L$537))+L700</f>
        <v>0</v>
      </c>
      <c r="M732" s="10">
        <f>SUMIFS('Custom Constraints'!$C:$C,'Custom Constraints'!$A:$A,"caiso-deliverability_"&amp;SUBSTITUTE(Dashboard!$D732,"_group",Dashboard!$D$633)&amp;"."&amp;YEAR(Dashboard!M$537))+M700</f>
        <v>0</v>
      </c>
      <c r="N732" s="10">
        <f>SUMIFS('Custom Constraints'!$C:$C,'Custom Constraints'!$A:$A,"caiso-deliverability_"&amp;SUBSTITUTE(Dashboard!$D732,"_group",Dashboard!$D$633)&amp;"."&amp;YEAR(Dashboard!N$537))+N700</f>
        <v>0</v>
      </c>
      <c r="O732" s="10">
        <f>SUMIFS('Custom Constraints'!$C:$C,'Custom Constraints'!$A:$A,"caiso-deliverability_"&amp;SUBSTITUTE(Dashboard!$D732,"_group",Dashboard!$D$633)&amp;"."&amp;YEAR(Dashboard!O$537))+O700</f>
        <v>0</v>
      </c>
      <c r="P732" s="10">
        <f>SUMIFS('Custom Constraints'!$C:$C,'Custom Constraints'!$A:$A,"caiso-deliverability_"&amp;SUBSTITUTE(Dashboard!$D732,"_group",Dashboard!$D$633)&amp;"."&amp;YEAR(Dashboard!P$537))+P700</f>
        <v>0</v>
      </c>
      <c r="Q732" s="10">
        <f>SUMIFS('Custom Constraints'!$C:$C,'Custom Constraints'!$A:$A,"caiso-deliverability_"&amp;SUBSTITUTE(Dashboard!$D732,"_group",Dashboard!$D$633)&amp;"."&amp;YEAR(Dashboard!Q$537))+Q700</f>
        <v>0</v>
      </c>
      <c r="R732" s="10">
        <f>SUMIFS('Custom Constraints'!$C:$C,'Custom Constraints'!$A:$A,"caiso-deliverability_"&amp;SUBSTITUTE(Dashboard!$D732,"_group",Dashboard!$D$633)&amp;"."&amp;YEAR(Dashboard!R$537))+R700</f>
        <v>0</v>
      </c>
      <c r="S732" s="10">
        <f>SUMIFS('Custom Constraints'!$C:$C,'Custom Constraints'!$A:$A,"caiso-deliverability_"&amp;SUBSTITUTE(Dashboard!$D732,"_group",Dashboard!$D$633)&amp;"."&amp;YEAR(Dashboard!S$537))+S700</f>
        <v>0</v>
      </c>
      <c r="T732" s="10">
        <f>SUMIFS('Custom Constraints'!$C:$C,'Custom Constraints'!$A:$A,"caiso-deliverability_"&amp;SUBSTITUTE(Dashboard!$D732,"_group",Dashboard!$D$633)&amp;"."&amp;YEAR(Dashboard!T$537))+T700</f>
        <v>0</v>
      </c>
      <c r="U732" s="10">
        <f>SUMIFS('Custom Constraints'!$C:$C,'Custom Constraints'!$A:$A,"caiso-deliverability_"&amp;SUBSTITUTE(Dashboard!$D732,"_group",Dashboard!$D$633)&amp;"."&amp;YEAR(Dashboard!U$537))+U700</f>
        <v>0</v>
      </c>
      <c r="V732" s="10">
        <f>SUMIFS('Custom Constraints'!$C:$C,'Custom Constraints'!$A:$A,"caiso-deliverability_"&amp;SUBSTITUTE(Dashboard!$D732,"_group",Dashboard!$D$633)&amp;"."&amp;YEAR(Dashboard!V$537))+V700</f>
        <v>0</v>
      </c>
      <c r="W732" s="10">
        <f>SUMIFS('Custom Constraints'!$C:$C,'Custom Constraints'!$A:$A,"caiso-deliverability_"&amp;SUBSTITUTE(Dashboard!$D732,"_group",Dashboard!$D$633)&amp;"."&amp;YEAR(Dashboard!W$537))+W700</f>
        <v>0</v>
      </c>
      <c r="X732" s="10">
        <f>SUMIFS('Custom Constraints'!$C:$C,'Custom Constraints'!$A:$A,"caiso-deliverability_"&amp;SUBSTITUTE(Dashboard!$D732,"_group",Dashboard!$D$633)&amp;"."&amp;YEAR(Dashboard!X$537))+X700</f>
        <v>0</v>
      </c>
      <c r="Y732" s="10">
        <f>SUMIFS('Custom Constraints'!$C:$C,'Custom Constraints'!$A:$A,"caiso-deliverability_"&amp;SUBSTITUTE(Dashboard!$D732,"_group",Dashboard!$D$633)&amp;"."&amp;YEAR(Dashboard!Y$537))+Y700</f>
        <v>0</v>
      </c>
      <c r="Z732" s="10">
        <f>SUMIFS('Custom Constraints'!$C:$C,'Custom Constraints'!$A:$A,"caiso-deliverability_"&amp;SUBSTITUTE(Dashboard!$D732,"_group",Dashboard!$D$633)&amp;"."&amp;YEAR(Dashboard!Z$537))+Z700</f>
        <v>0</v>
      </c>
      <c r="AA732" s="10">
        <f>SUMIFS('Custom Constraints'!$C:$C,'Custom Constraints'!$A:$A,"caiso-deliverability_"&amp;SUBSTITUTE(Dashboard!$D732,"_group",Dashboard!$D$633)&amp;"."&amp;YEAR(Dashboard!AA$537))+AA700</f>
        <v>0</v>
      </c>
      <c r="AB732" s="10">
        <f>SUMIFS('Custom Constraints'!$C:$C,'Custom Constraints'!$A:$A,"caiso-deliverability_"&amp;SUBSTITUTE(Dashboard!$D732,"_group",Dashboard!$D$633)&amp;"."&amp;YEAR(Dashboard!AB$537))+AB700</f>
        <v>0</v>
      </c>
      <c r="AC732" s="10">
        <f>SUMIFS('Custom Constraints'!$C:$C,'Custom Constraints'!$A:$A,"caiso-deliverability_"&amp;SUBSTITUTE(Dashboard!$D732,"_group",Dashboard!$D$633)&amp;"."&amp;YEAR(Dashboard!AC$537))+AC700</f>
        <v>0</v>
      </c>
      <c r="AD732" s="10">
        <f>SUMIFS('Custom Constraints'!$C:$C,'Custom Constraints'!$A:$A,"caiso-deliverability_"&amp;SUBSTITUTE(Dashboard!$D732,"_group",Dashboard!$D$633)&amp;"."&amp;YEAR(Dashboard!AD$537))+AD700</f>
        <v>0</v>
      </c>
      <c r="AH732" s="34" t="s">
        <v>422</v>
      </c>
    </row>
    <row r="733" spans="4:34" outlineLevel="2" x14ac:dyDescent="0.2">
      <c r="D733" s="8" t="s">
        <v>258</v>
      </c>
      <c r="E733" s="10">
        <f>SUMIFS('Custom Constraints'!$C:$C,'Custom Constraints'!$A:$A,"caiso-deliverability_"&amp;SUBSTITUTE(Dashboard!$D733,"_group",Dashboard!$D$633)&amp;"."&amp;YEAR(Dashboard!E$537))+E701</f>
        <v>0</v>
      </c>
      <c r="F733" s="10">
        <f>SUMIFS('Custom Constraints'!$C:$C,'Custom Constraints'!$A:$A,"caiso-deliverability_"&amp;SUBSTITUTE(Dashboard!$D733,"_group",Dashboard!$D$633)&amp;"."&amp;YEAR(Dashboard!F$537))+F701</f>
        <v>0</v>
      </c>
      <c r="G733" s="10">
        <f>SUMIFS('Custom Constraints'!$C:$C,'Custom Constraints'!$A:$A,"caiso-deliverability_"&amp;SUBSTITUTE(Dashboard!$D733,"_group",Dashboard!$D$633)&amp;"."&amp;YEAR(Dashboard!G$537))+G701</f>
        <v>0</v>
      </c>
      <c r="H733" s="10">
        <f>SUMIFS('Custom Constraints'!$C:$C,'Custom Constraints'!$A:$A,"caiso-deliverability_"&amp;SUBSTITUTE(Dashboard!$D733,"_group",Dashboard!$D$633)&amp;"."&amp;YEAR(Dashboard!H$537))+H701</f>
        <v>0</v>
      </c>
      <c r="I733" s="10">
        <f>SUMIFS('Custom Constraints'!$C:$C,'Custom Constraints'!$A:$A,"caiso-deliverability_"&amp;SUBSTITUTE(Dashboard!$D733,"_group",Dashboard!$D$633)&amp;"."&amp;YEAR(Dashboard!I$537))+I701</f>
        <v>0</v>
      </c>
      <c r="J733" s="10">
        <f>SUMIFS('Custom Constraints'!$C:$C,'Custom Constraints'!$A:$A,"caiso-deliverability_"&amp;SUBSTITUTE(Dashboard!$D733,"_group",Dashboard!$D$633)&amp;"."&amp;YEAR(Dashboard!J$537))+J701</f>
        <v>0</v>
      </c>
      <c r="K733" s="10">
        <f>SUMIFS('Custom Constraints'!$C:$C,'Custom Constraints'!$A:$A,"caiso-deliverability_"&amp;SUBSTITUTE(Dashboard!$D733,"_group",Dashboard!$D$633)&amp;"."&amp;YEAR(Dashboard!K$537))+K701</f>
        <v>0</v>
      </c>
      <c r="L733" s="10">
        <f>SUMIFS('Custom Constraints'!$C:$C,'Custom Constraints'!$A:$A,"caiso-deliverability_"&amp;SUBSTITUTE(Dashboard!$D733,"_group",Dashboard!$D$633)&amp;"."&amp;YEAR(Dashboard!L$537))+L701</f>
        <v>0</v>
      </c>
      <c r="M733" s="10">
        <f>SUMIFS('Custom Constraints'!$C:$C,'Custom Constraints'!$A:$A,"caiso-deliverability_"&amp;SUBSTITUTE(Dashboard!$D733,"_group",Dashboard!$D$633)&amp;"."&amp;YEAR(Dashboard!M$537))+M701</f>
        <v>0</v>
      </c>
      <c r="N733" s="10">
        <f>SUMIFS('Custom Constraints'!$C:$C,'Custom Constraints'!$A:$A,"caiso-deliverability_"&amp;SUBSTITUTE(Dashboard!$D733,"_group",Dashboard!$D$633)&amp;"."&amp;YEAR(Dashboard!N$537))+N701</f>
        <v>0</v>
      </c>
      <c r="O733" s="10">
        <f>SUMIFS('Custom Constraints'!$C:$C,'Custom Constraints'!$A:$A,"caiso-deliverability_"&amp;SUBSTITUTE(Dashboard!$D733,"_group",Dashboard!$D$633)&amp;"."&amp;YEAR(Dashboard!O$537))+O701</f>
        <v>0</v>
      </c>
      <c r="P733" s="10">
        <f>SUMIFS('Custom Constraints'!$C:$C,'Custom Constraints'!$A:$A,"caiso-deliverability_"&amp;SUBSTITUTE(Dashboard!$D733,"_group",Dashboard!$D$633)&amp;"."&amp;YEAR(Dashboard!P$537))+P701</f>
        <v>0</v>
      </c>
      <c r="Q733" s="10">
        <f>SUMIFS('Custom Constraints'!$C:$C,'Custom Constraints'!$A:$A,"caiso-deliverability_"&amp;SUBSTITUTE(Dashboard!$D733,"_group",Dashboard!$D$633)&amp;"."&amp;YEAR(Dashboard!Q$537))+Q701</f>
        <v>0</v>
      </c>
      <c r="R733" s="10">
        <f>SUMIFS('Custom Constraints'!$C:$C,'Custom Constraints'!$A:$A,"caiso-deliverability_"&amp;SUBSTITUTE(Dashboard!$D733,"_group",Dashboard!$D$633)&amp;"."&amp;YEAR(Dashboard!R$537))+R701</f>
        <v>0</v>
      </c>
      <c r="S733" s="10">
        <f>SUMIFS('Custom Constraints'!$C:$C,'Custom Constraints'!$A:$A,"caiso-deliverability_"&amp;SUBSTITUTE(Dashboard!$D733,"_group",Dashboard!$D$633)&amp;"."&amp;YEAR(Dashboard!S$537))+S701</f>
        <v>0</v>
      </c>
      <c r="T733" s="10">
        <f>SUMIFS('Custom Constraints'!$C:$C,'Custom Constraints'!$A:$A,"caiso-deliverability_"&amp;SUBSTITUTE(Dashboard!$D733,"_group",Dashboard!$D$633)&amp;"."&amp;YEAR(Dashboard!T$537))+T701</f>
        <v>0</v>
      </c>
      <c r="U733" s="10">
        <f>SUMIFS('Custom Constraints'!$C:$C,'Custom Constraints'!$A:$A,"caiso-deliverability_"&amp;SUBSTITUTE(Dashboard!$D733,"_group",Dashboard!$D$633)&amp;"."&amp;YEAR(Dashboard!U$537))+U701</f>
        <v>0</v>
      </c>
      <c r="V733" s="10">
        <f>SUMIFS('Custom Constraints'!$C:$C,'Custom Constraints'!$A:$A,"caiso-deliverability_"&amp;SUBSTITUTE(Dashboard!$D733,"_group",Dashboard!$D$633)&amp;"."&amp;YEAR(Dashboard!V$537))+V701</f>
        <v>0</v>
      </c>
      <c r="W733" s="10">
        <f>SUMIFS('Custom Constraints'!$C:$C,'Custom Constraints'!$A:$A,"caiso-deliverability_"&amp;SUBSTITUTE(Dashboard!$D733,"_group",Dashboard!$D$633)&amp;"."&amp;YEAR(Dashboard!W$537))+W701</f>
        <v>0</v>
      </c>
      <c r="X733" s="10">
        <f>SUMIFS('Custom Constraints'!$C:$C,'Custom Constraints'!$A:$A,"caiso-deliverability_"&amp;SUBSTITUTE(Dashboard!$D733,"_group",Dashboard!$D$633)&amp;"."&amp;YEAR(Dashboard!X$537))+X701</f>
        <v>0</v>
      </c>
      <c r="Y733" s="10">
        <f>SUMIFS('Custom Constraints'!$C:$C,'Custom Constraints'!$A:$A,"caiso-deliverability_"&amp;SUBSTITUTE(Dashboard!$D733,"_group",Dashboard!$D$633)&amp;"."&amp;YEAR(Dashboard!Y$537))+Y701</f>
        <v>0</v>
      </c>
      <c r="Z733" s="10">
        <f>SUMIFS('Custom Constraints'!$C:$C,'Custom Constraints'!$A:$A,"caiso-deliverability_"&amp;SUBSTITUTE(Dashboard!$D733,"_group",Dashboard!$D$633)&amp;"."&amp;YEAR(Dashboard!Z$537))+Z701</f>
        <v>0</v>
      </c>
      <c r="AA733" s="10">
        <f>SUMIFS('Custom Constraints'!$C:$C,'Custom Constraints'!$A:$A,"caiso-deliverability_"&amp;SUBSTITUTE(Dashboard!$D733,"_group",Dashboard!$D$633)&amp;"."&amp;YEAR(Dashboard!AA$537))+AA701</f>
        <v>0</v>
      </c>
      <c r="AB733" s="10">
        <f>SUMIFS('Custom Constraints'!$C:$C,'Custom Constraints'!$A:$A,"caiso-deliverability_"&amp;SUBSTITUTE(Dashboard!$D733,"_group",Dashboard!$D$633)&amp;"."&amp;YEAR(Dashboard!AB$537))+AB701</f>
        <v>0</v>
      </c>
      <c r="AC733" s="10">
        <f>SUMIFS('Custom Constraints'!$C:$C,'Custom Constraints'!$A:$A,"caiso-deliverability_"&amp;SUBSTITUTE(Dashboard!$D733,"_group",Dashboard!$D$633)&amp;"."&amp;YEAR(Dashboard!AC$537))+AC701</f>
        <v>0</v>
      </c>
      <c r="AD733" s="10">
        <f>SUMIFS('Custom Constraints'!$C:$C,'Custom Constraints'!$A:$A,"caiso-deliverability_"&amp;SUBSTITUTE(Dashboard!$D733,"_group",Dashboard!$D$633)&amp;"."&amp;YEAR(Dashboard!AD$537))+AD701</f>
        <v>91.28</v>
      </c>
      <c r="AH733" s="34" t="s">
        <v>422</v>
      </c>
    </row>
    <row r="734" spans="4:34" outlineLevel="2" x14ac:dyDescent="0.2">
      <c r="D734" s="8" t="s">
        <v>259</v>
      </c>
      <c r="E734" s="10">
        <f>SUMIFS('Custom Constraints'!$C:$C,'Custom Constraints'!$A:$A,"caiso-deliverability_"&amp;SUBSTITUTE(Dashboard!$D734,"_group",Dashboard!$D$633)&amp;"."&amp;YEAR(Dashboard!E$537))+E702</f>
        <v>0</v>
      </c>
      <c r="F734" s="10">
        <f>SUMIFS('Custom Constraints'!$C:$C,'Custom Constraints'!$A:$A,"caiso-deliverability_"&amp;SUBSTITUTE(Dashboard!$D734,"_group",Dashboard!$D$633)&amp;"."&amp;YEAR(Dashboard!F$537))+F702</f>
        <v>0</v>
      </c>
      <c r="G734" s="10">
        <f>SUMIFS('Custom Constraints'!$C:$C,'Custom Constraints'!$A:$A,"caiso-deliverability_"&amp;SUBSTITUTE(Dashboard!$D734,"_group",Dashboard!$D$633)&amp;"."&amp;YEAR(Dashboard!G$537))+G702</f>
        <v>0</v>
      </c>
      <c r="H734" s="10">
        <f>SUMIFS('Custom Constraints'!$C:$C,'Custom Constraints'!$A:$A,"caiso-deliverability_"&amp;SUBSTITUTE(Dashboard!$D734,"_group",Dashboard!$D$633)&amp;"."&amp;YEAR(Dashboard!H$537))+H702</f>
        <v>0</v>
      </c>
      <c r="I734" s="10">
        <f>SUMIFS('Custom Constraints'!$C:$C,'Custom Constraints'!$A:$A,"caiso-deliverability_"&amp;SUBSTITUTE(Dashboard!$D734,"_group",Dashboard!$D$633)&amp;"."&amp;YEAR(Dashboard!I$537))+I702</f>
        <v>0</v>
      </c>
      <c r="J734" s="10">
        <f>SUMIFS('Custom Constraints'!$C:$C,'Custom Constraints'!$A:$A,"caiso-deliverability_"&amp;SUBSTITUTE(Dashboard!$D734,"_group",Dashboard!$D$633)&amp;"."&amp;YEAR(Dashboard!J$537))+J702</f>
        <v>0</v>
      </c>
      <c r="K734" s="10">
        <f>SUMIFS('Custom Constraints'!$C:$C,'Custom Constraints'!$A:$A,"caiso-deliverability_"&amp;SUBSTITUTE(Dashboard!$D734,"_group",Dashboard!$D$633)&amp;"."&amp;YEAR(Dashboard!K$537))+K702</f>
        <v>0</v>
      </c>
      <c r="L734" s="10">
        <f>SUMIFS('Custom Constraints'!$C:$C,'Custom Constraints'!$A:$A,"caiso-deliverability_"&amp;SUBSTITUTE(Dashboard!$D734,"_group",Dashboard!$D$633)&amp;"."&amp;YEAR(Dashboard!L$537))+L702</f>
        <v>0</v>
      </c>
      <c r="M734" s="10">
        <f>SUMIFS('Custom Constraints'!$C:$C,'Custom Constraints'!$A:$A,"caiso-deliverability_"&amp;SUBSTITUTE(Dashboard!$D734,"_group",Dashboard!$D$633)&amp;"."&amp;YEAR(Dashboard!M$537))+M702</f>
        <v>0</v>
      </c>
      <c r="N734" s="10">
        <f>SUMIFS('Custom Constraints'!$C:$C,'Custom Constraints'!$A:$A,"caiso-deliverability_"&amp;SUBSTITUTE(Dashboard!$D734,"_group",Dashboard!$D$633)&amp;"."&amp;YEAR(Dashboard!N$537))+N702</f>
        <v>0</v>
      </c>
      <c r="O734" s="10">
        <f>SUMIFS('Custom Constraints'!$C:$C,'Custom Constraints'!$A:$A,"caiso-deliverability_"&amp;SUBSTITUTE(Dashboard!$D734,"_group",Dashboard!$D$633)&amp;"."&amp;YEAR(Dashboard!O$537))+O702</f>
        <v>0</v>
      </c>
      <c r="P734" s="10">
        <f>SUMIFS('Custom Constraints'!$C:$C,'Custom Constraints'!$A:$A,"caiso-deliverability_"&amp;SUBSTITUTE(Dashboard!$D734,"_group",Dashboard!$D$633)&amp;"."&amp;YEAR(Dashboard!P$537))+P702</f>
        <v>0</v>
      </c>
      <c r="Q734" s="10">
        <f>SUMIFS('Custom Constraints'!$C:$C,'Custom Constraints'!$A:$A,"caiso-deliverability_"&amp;SUBSTITUTE(Dashboard!$D734,"_group",Dashboard!$D$633)&amp;"."&amp;YEAR(Dashboard!Q$537))+Q702</f>
        <v>0</v>
      </c>
      <c r="R734" s="10">
        <f>SUMIFS('Custom Constraints'!$C:$C,'Custom Constraints'!$A:$A,"caiso-deliverability_"&amp;SUBSTITUTE(Dashboard!$D734,"_group",Dashboard!$D$633)&amp;"."&amp;YEAR(Dashboard!R$537))+R702</f>
        <v>0</v>
      </c>
      <c r="S734" s="10">
        <f>SUMIFS('Custom Constraints'!$C:$C,'Custom Constraints'!$A:$A,"caiso-deliverability_"&amp;SUBSTITUTE(Dashboard!$D734,"_group",Dashboard!$D$633)&amp;"."&amp;YEAR(Dashboard!S$537))+S702</f>
        <v>0</v>
      </c>
      <c r="T734" s="10">
        <f>SUMIFS('Custom Constraints'!$C:$C,'Custom Constraints'!$A:$A,"caiso-deliverability_"&amp;SUBSTITUTE(Dashboard!$D734,"_group",Dashboard!$D$633)&amp;"."&amp;YEAR(Dashboard!T$537))+T702</f>
        <v>0</v>
      </c>
      <c r="U734" s="10">
        <f>SUMIFS('Custom Constraints'!$C:$C,'Custom Constraints'!$A:$A,"caiso-deliverability_"&amp;SUBSTITUTE(Dashboard!$D734,"_group",Dashboard!$D$633)&amp;"."&amp;YEAR(Dashboard!U$537))+U702</f>
        <v>0</v>
      </c>
      <c r="V734" s="10">
        <f>SUMIFS('Custom Constraints'!$C:$C,'Custom Constraints'!$A:$A,"caiso-deliverability_"&amp;SUBSTITUTE(Dashboard!$D734,"_group",Dashboard!$D$633)&amp;"."&amp;YEAR(Dashboard!V$537))+V702</f>
        <v>0</v>
      </c>
      <c r="W734" s="10">
        <f>SUMIFS('Custom Constraints'!$C:$C,'Custom Constraints'!$A:$A,"caiso-deliverability_"&amp;SUBSTITUTE(Dashboard!$D734,"_group",Dashboard!$D$633)&amp;"."&amp;YEAR(Dashboard!W$537))+W702</f>
        <v>0</v>
      </c>
      <c r="X734" s="10">
        <f>SUMIFS('Custom Constraints'!$C:$C,'Custom Constraints'!$A:$A,"caiso-deliverability_"&amp;SUBSTITUTE(Dashboard!$D734,"_group",Dashboard!$D$633)&amp;"."&amp;YEAR(Dashboard!X$537))+X702</f>
        <v>0</v>
      </c>
      <c r="Y734" s="10">
        <f>SUMIFS('Custom Constraints'!$C:$C,'Custom Constraints'!$A:$A,"caiso-deliverability_"&amp;SUBSTITUTE(Dashboard!$D734,"_group",Dashboard!$D$633)&amp;"."&amp;YEAR(Dashboard!Y$537))+Y702</f>
        <v>0</v>
      </c>
      <c r="Z734" s="10">
        <f>SUMIFS('Custom Constraints'!$C:$C,'Custom Constraints'!$A:$A,"caiso-deliverability_"&amp;SUBSTITUTE(Dashboard!$D734,"_group",Dashboard!$D$633)&amp;"."&amp;YEAR(Dashboard!Z$537))+Z702</f>
        <v>0</v>
      </c>
      <c r="AA734" s="10">
        <f>SUMIFS('Custom Constraints'!$C:$C,'Custom Constraints'!$A:$A,"caiso-deliverability_"&amp;SUBSTITUTE(Dashboard!$D734,"_group",Dashboard!$D$633)&amp;"."&amp;YEAR(Dashboard!AA$537))+AA702</f>
        <v>0</v>
      </c>
      <c r="AB734" s="10">
        <f>SUMIFS('Custom Constraints'!$C:$C,'Custom Constraints'!$A:$A,"caiso-deliverability_"&amp;SUBSTITUTE(Dashboard!$D734,"_group",Dashboard!$D$633)&amp;"."&amp;YEAR(Dashboard!AB$537))+AB702</f>
        <v>0</v>
      </c>
      <c r="AC734" s="10">
        <f>SUMIFS('Custom Constraints'!$C:$C,'Custom Constraints'!$A:$A,"caiso-deliverability_"&amp;SUBSTITUTE(Dashboard!$D734,"_group",Dashboard!$D$633)&amp;"."&amp;YEAR(Dashboard!AC$537))+AC702</f>
        <v>0</v>
      </c>
      <c r="AD734" s="10">
        <f>SUMIFS('Custom Constraints'!$C:$C,'Custom Constraints'!$A:$A,"caiso-deliverability_"&amp;SUBSTITUTE(Dashboard!$D734,"_group",Dashboard!$D$633)&amp;"."&amp;YEAR(Dashboard!AD$537))+AD702</f>
        <v>112.32865787912451</v>
      </c>
      <c r="AH734" s="34" t="s">
        <v>422</v>
      </c>
    </row>
    <row r="735" spans="4:34" outlineLevel="2" x14ac:dyDescent="0.2">
      <c r="D735" s="8" t="s">
        <v>260</v>
      </c>
      <c r="E735" s="10">
        <f>SUMIFS('Custom Constraints'!$C:$C,'Custom Constraints'!$A:$A,"caiso-deliverability_"&amp;SUBSTITUTE(Dashboard!$D735,"_group",Dashboard!$D$633)&amp;"."&amp;YEAR(Dashboard!E$537))+E703</f>
        <v>0</v>
      </c>
      <c r="F735" s="10">
        <f>SUMIFS('Custom Constraints'!$C:$C,'Custom Constraints'!$A:$A,"caiso-deliverability_"&amp;SUBSTITUTE(Dashboard!$D735,"_group",Dashboard!$D$633)&amp;"."&amp;YEAR(Dashboard!F$537))+F703</f>
        <v>0</v>
      </c>
      <c r="G735" s="10">
        <f>SUMIFS('Custom Constraints'!$C:$C,'Custom Constraints'!$A:$A,"caiso-deliverability_"&amp;SUBSTITUTE(Dashboard!$D735,"_group",Dashboard!$D$633)&amp;"."&amp;YEAR(Dashboard!G$537))+G703</f>
        <v>0</v>
      </c>
      <c r="H735" s="10">
        <f>SUMIFS('Custom Constraints'!$C:$C,'Custom Constraints'!$A:$A,"caiso-deliverability_"&amp;SUBSTITUTE(Dashboard!$D735,"_group",Dashboard!$D$633)&amp;"."&amp;YEAR(Dashboard!H$537))+H703</f>
        <v>0</v>
      </c>
      <c r="I735" s="10">
        <f>SUMIFS('Custom Constraints'!$C:$C,'Custom Constraints'!$A:$A,"caiso-deliverability_"&amp;SUBSTITUTE(Dashboard!$D735,"_group",Dashboard!$D$633)&amp;"."&amp;YEAR(Dashboard!I$537))+I703</f>
        <v>0</v>
      </c>
      <c r="J735" s="10">
        <f>SUMIFS('Custom Constraints'!$C:$C,'Custom Constraints'!$A:$A,"caiso-deliverability_"&amp;SUBSTITUTE(Dashboard!$D735,"_group",Dashboard!$D$633)&amp;"."&amp;YEAR(Dashboard!J$537))+J703</f>
        <v>0</v>
      </c>
      <c r="K735" s="10">
        <f>SUMIFS('Custom Constraints'!$C:$C,'Custom Constraints'!$A:$A,"caiso-deliverability_"&amp;SUBSTITUTE(Dashboard!$D735,"_group",Dashboard!$D$633)&amp;"."&amp;YEAR(Dashboard!K$537))+K703</f>
        <v>0</v>
      </c>
      <c r="L735" s="10">
        <f>SUMIFS('Custom Constraints'!$C:$C,'Custom Constraints'!$A:$A,"caiso-deliverability_"&amp;SUBSTITUTE(Dashboard!$D735,"_group",Dashboard!$D$633)&amp;"."&amp;YEAR(Dashboard!L$537))+L703</f>
        <v>0</v>
      </c>
      <c r="M735" s="10">
        <f>SUMIFS('Custom Constraints'!$C:$C,'Custom Constraints'!$A:$A,"caiso-deliverability_"&amp;SUBSTITUTE(Dashboard!$D735,"_group",Dashboard!$D$633)&amp;"."&amp;YEAR(Dashboard!M$537))+M703</f>
        <v>0</v>
      </c>
      <c r="N735" s="10">
        <f>SUMIFS('Custom Constraints'!$C:$C,'Custom Constraints'!$A:$A,"caiso-deliverability_"&amp;SUBSTITUTE(Dashboard!$D735,"_group",Dashboard!$D$633)&amp;"."&amp;YEAR(Dashboard!N$537))+N703</f>
        <v>0</v>
      </c>
      <c r="O735" s="10">
        <f>SUMIFS('Custom Constraints'!$C:$C,'Custom Constraints'!$A:$A,"caiso-deliverability_"&amp;SUBSTITUTE(Dashboard!$D735,"_group",Dashboard!$D$633)&amp;"."&amp;YEAR(Dashboard!O$537))+O703</f>
        <v>0</v>
      </c>
      <c r="P735" s="10">
        <f>SUMIFS('Custom Constraints'!$C:$C,'Custom Constraints'!$A:$A,"caiso-deliverability_"&amp;SUBSTITUTE(Dashboard!$D735,"_group",Dashboard!$D$633)&amp;"."&amp;YEAR(Dashboard!P$537))+P703</f>
        <v>0</v>
      </c>
      <c r="Q735" s="10">
        <f>SUMIFS('Custom Constraints'!$C:$C,'Custom Constraints'!$A:$A,"caiso-deliverability_"&amp;SUBSTITUTE(Dashboard!$D735,"_group",Dashboard!$D$633)&amp;"."&amp;YEAR(Dashboard!Q$537))+Q703</f>
        <v>0</v>
      </c>
      <c r="R735" s="10">
        <f>SUMIFS('Custom Constraints'!$C:$C,'Custom Constraints'!$A:$A,"caiso-deliverability_"&amp;SUBSTITUTE(Dashboard!$D735,"_group",Dashboard!$D$633)&amp;"."&amp;YEAR(Dashboard!R$537))+R703</f>
        <v>0</v>
      </c>
      <c r="S735" s="10">
        <f>SUMIFS('Custom Constraints'!$C:$C,'Custom Constraints'!$A:$A,"caiso-deliverability_"&amp;SUBSTITUTE(Dashboard!$D735,"_group",Dashboard!$D$633)&amp;"."&amp;YEAR(Dashboard!S$537))+S703</f>
        <v>0</v>
      </c>
      <c r="T735" s="10">
        <f>SUMIFS('Custom Constraints'!$C:$C,'Custom Constraints'!$A:$A,"caiso-deliverability_"&amp;SUBSTITUTE(Dashboard!$D735,"_group",Dashboard!$D$633)&amp;"."&amp;YEAR(Dashboard!T$537))+T703</f>
        <v>0</v>
      </c>
      <c r="U735" s="10">
        <f>SUMIFS('Custom Constraints'!$C:$C,'Custom Constraints'!$A:$A,"caiso-deliverability_"&amp;SUBSTITUTE(Dashboard!$D735,"_group",Dashboard!$D$633)&amp;"."&amp;YEAR(Dashboard!U$537))+U703</f>
        <v>0</v>
      </c>
      <c r="V735" s="10">
        <f>SUMIFS('Custom Constraints'!$C:$C,'Custom Constraints'!$A:$A,"caiso-deliverability_"&amp;SUBSTITUTE(Dashboard!$D735,"_group",Dashboard!$D$633)&amp;"."&amp;YEAR(Dashboard!V$537))+V703</f>
        <v>0</v>
      </c>
      <c r="W735" s="10">
        <f>SUMIFS('Custom Constraints'!$C:$C,'Custom Constraints'!$A:$A,"caiso-deliverability_"&amp;SUBSTITUTE(Dashboard!$D735,"_group",Dashboard!$D$633)&amp;"."&amp;YEAR(Dashboard!W$537))+W703</f>
        <v>0</v>
      </c>
      <c r="X735" s="10">
        <f>SUMIFS('Custom Constraints'!$C:$C,'Custom Constraints'!$A:$A,"caiso-deliverability_"&amp;SUBSTITUTE(Dashboard!$D735,"_group",Dashboard!$D$633)&amp;"."&amp;YEAR(Dashboard!X$537))+X703</f>
        <v>0</v>
      </c>
      <c r="Y735" s="10">
        <f>SUMIFS('Custom Constraints'!$C:$C,'Custom Constraints'!$A:$A,"caiso-deliverability_"&amp;SUBSTITUTE(Dashboard!$D735,"_group",Dashboard!$D$633)&amp;"."&amp;YEAR(Dashboard!Y$537))+Y703</f>
        <v>0</v>
      </c>
      <c r="Z735" s="10">
        <f>SUMIFS('Custom Constraints'!$C:$C,'Custom Constraints'!$A:$A,"caiso-deliverability_"&amp;SUBSTITUTE(Dashboard!$D735,"_group",Dashboard!$D$633)&amp;"."&amp;YEAR(Dashboard!Z$537))+Z703</f>
        <v>0</v>
      </c>
      <c r="AA735" s="10">
        <f>SUMIFS('Custom Constraints'!$C:$C,'Custom Constraints'!$A:$A,"caiso-deliverability_"&amp;SUBSTITUTE(Dashboard!$D735,"_group",Dashboard!$D$633)&amp;"."&amp;YEAR(Dashboard!AA$537))+AA703</f>
        <v>0</v>
      </c>
      <c r="AB735" s="10">
        <f>SUMIFS('Custom Constraints'!$C:$C,'Custom Constraints'!$A:$A,"caiso-deliverability_"&amp;SUBSTITUTE(Dashboard!$D735,"_group",Dashboard!$D$633)&amp;"."&amp;YEAR(Dashboard!AB$537))+AB703</f>
        <v>0</v>
      </c>
      <c r="AC735" s="10">
        <f>SUMIFS('Custom Constraints'!$C:$C,'Custom Constraints'!$A:$A,"caiso-deliverability_"&amp;SUBSTITUTE(Dashboard!$D735,"_group",Dashboard!$D$633)&amp;"."&amp;YEAR(Dashboard!AC$537))+AC703</f>
        <v>0</v>
      </c>
      <c r="AD735" s="10">
        <f>SUMIFS('Custom Constraints'!$C:$C,'Custom Constraints'!$A:$A,"caiso-deliverability_"&amp;SUBSTITUTE(Dashboard!$D735,"_group",Dashboard!$D$633)&amp;"."&amp;YEAR(Dashboard!AD$537))+AD703</f>
        <v>319.05048904200049</v>
      </c>
      <c r="AH735" s="34" t="s">
        <v>422</v>
      </c>
    </row>
    <row r="736" spans="4:34" outlineLevel="2" x14ac:dyDescent="0.2">
      <c r="D736" s="8" t="s">
        <v>261</v>
      </c>
      <c r="E736" s="10">
        <f>SUMIFS('Custom Constraints'!$C:$C,'Custom Constraints'!$A:$A,"caiso-deliverability_"&amp;SUBSTITUTE(Dashboard!$D736,"_group",Dashboard!$D$633)&amp;"."&amp;YEAR(Dashboard!E$537))+E704</f>
        <v>0</v>
      </c>
      <c r="F736" s="10">
        <f>SUMIFS('Custom Constraints'!$C:$C,'Custom Constraints'!$A:$A,"caiso-deliverability_"&amp;SUBSTITUTE(Dashboard!$D736,"_group",Dashboard!$D$633)&amp;"."&amp;YEAR(Dashboard!F$537))+F704</f>
        <v>0</v>
      </c>
      <c r="G736" s="10">
        <f>SUMIFS('Custom Constraints'!$C:$C,'Custom Constraints'!$A:$A,"caiso-deliverability_"&amp;SUBSTITUTE(Dashboard!$D736,"_group",Dashboard!$D$633)&amp;"."&amp;YEAR(Dashboard!G$537))+G704</f>
        <v>0</v>
      </c>
      <c r="H736" s="10">
        <f>SUMIFS('Custom Constraints'!$C:$C,'Custom Constraints'!$A:$A,"caiso-deliverability_"&amp;SUBSTITUTE(Dashboard!$D736,"_group",Dashboard!$D$633)&amp;"."&amp;YEAR(Dashboard!H$537))+H704</f>
        <v>0</v>
      </c>
      <c r="I736" s="10">
        <f>SUMIFS('Custom Constraints'!$C:$C,'Custom Constraints'!$A:$A,"caiso-deliverability_"&amp;SUBSTITUTE(Dashboard!$D736,"_group",Dashboard!$D$633)&amp;"."&amp;YEAR(Dashboard!I$537))+I704</f>
        <v>0</v>
      </c>
      <c r="J736" s="10">
        <f>SUMIFS('Custom Constraints'!$C:$C,'Custom Constraints'!$A:$A,"caiso-deliverability_"&amp;SUBSTITUTE(Dashboard!$D736,"_group",Dashboard!$D$633)&amp;"."&amp;YEAR(Dashboard!J$537))+J704</f>
        <v>0</v>
      </c>
      <c r="K736" s="10">
        <f>SUMIFS('Custom Constraints'!$C:$C,'Custom Constraints'!$A:$A,"caiso-deliverability_"&amp;SUBSTITUTE(Dashboard!$D736,"_group",Dashboard!$D$633)&amp;"."&amp;YEAR(Dashboard!K$537))+K704</f>
        <v>0</v>
      </c>
      <c r="L736" s="10">
        <f>SUMIFS('Custom Constraints'!$C:$C,'Custom Constraints'!$A:$A,"caiso-deliverability_"&amp;SUBSTITUTE(Dashboard!$D736,"_group",Dashboard!$D$633)&amp;"."&amp;YEAR(Dashboard!L$537))+L704</f>
        <v>0</v>
      </c>
      <c r="M736" s="10">
        <f>SUMIFS('Custom Constraints'!$C:$C,'Custom Constraints'!$A:$A,"caiso-deliverability_"&amp;SUBSTITUTE(Dashboard!$D736,"_group",Dashboard!$D$633)&amp;"."&amp;YEAR(Dashboard!M$537))+M704</f>
        <v>0</v>
      </c>
      <c r="N736" s="10">
        <f>SUMIFS('Custom Constraints'!$C:$C,'Custom Constraints'!$A:$A,"caiso-deliverability_"&amp;SUBSTITUTE(Dashboard!$D736,"_group",Dashboard!$D$633)&amp;"."&amp;YEAR(Dashboard!N$537))+N704</f>
        <v>0</v>
      </c>
      <c r="O736" s="10">
        <f>SUMIFS('Custom Constraints'!$C:$C,'Custom Constraints'!$A:$A,"caiso-deliverability_"&amp;SUBSTITUTE(Dashboard!$D736,"_group",Dashboard!$D$633)&amp;"."&amp;YEAR(Dashboard!O$537))+O704</f>
        <v>0</v>
      </c>
      <c r="P736" s="10">
        <f>SUMIFS('Custom Constraints'!$C:$C,'Custom Constraints'!$A:$A,"caiso-deliverability_"&amp;SUBSTITUTE(Dashboard!$D736,"_group",Dashboard!$D$633)&amp;"."&amp;YEAR(Dashboard!P$537))+P704</f>
        <v>0</v>
      </c>
      <c r="Q736" s="10">
        <f>SUMIFS('Custom Constraints'!$C:$C,'Custom Constraints'!$A:$A,"caiso-deliverability_"&amp;SUBSTITUTE(Dashboard!$D736,"_group",Dashboard!$D$633)&amp;"."&amp;YEAR(Dashboard!Q$537))+Q704</f>
        <v>0</v>
      </c>
      <c r="R736" s="10">
        <f>SUMIFS('Custom Constraints'!$C:$C,'Custom Constraints'!$A:$A,"caiso-deliverability_"&amp;SUBSTITUTE(Dashboard!$D736,"_group",Dashboard!$D$633)&amp;"."&amp;YEAR(Dashboard!R$537))+R704</f>
        <v>0</v>
      </c>
      <c r="S736" s="10">
        <f>SUMIFS('Custom Constraints'!$C:$C,'Custom Constraints'!$A:$A,"caiso-deliverability_"&amp;SUBSTITUTE(Dashboard!$D736,"_group",Dashboard!$D$633)&amp;"."&amp;YEAR(Dashboard!S$537))+S704</f>
        <v>0</v>
      </c>
      <c r="T736" s="10">
        <f>SUMIFS('Custom Constraints'!$C:$C,'Custom Constraints'!$A:$A,"caiso-deliverability_"&amp;SUBSTITUTE(Dashboard!$D736,"_group",Dashboard!$D$633)&amp;"."&amp;YEAR(Dashboard!T$537))+T704</f>
        <v>0</v>
      </c>
      <c r="U736" s="10">
        <f>SUMIFS('Custom Constraints'!$C:$C,'Custom Constraints'!$A:$A,"caiso-deliverability_"&amp;SUBSTITUTE(Dashboard!$D736,"_group",Dashboard!$D$633)&amp;"."&amp;YEAR(Dashboard!U$537))+U704</f>
        <v>0</v>
      </c>
      <c r="V736" s="10">
        <f>SUMIFS('Custom Constraints'!$C:$C,'Custom Constraints'!$A:$A,"caiso-deliverability_"&amp;SUBSTITUTE(Dashboard!$D736,"_group",Dashboard!$D$633)&amp;"."&amp;YEAR(Dashboard!V$537))+V704</f>
        <v>0</v>
      </c>
      <c r="W736" s="10">
        <f>SUMIFS('Custom Constraints'!$C:$C,'Custom Constraints'!$A:$A,"caiso-deliverability_"&amp;SUBSTITUTE(Dashboard!$D736,"_group",Dashboard!$D$633)&amp;"."&amp;YEAR(Dashboard!W$537))+W704</f>
        <v>0</v>
      </c>
      <c r="X736" s="10">
        <f>SUMIFS('Custom Constraints'!$C:$C,'Custom Constraints'!$A:$A,"caiso-deliverability_"&amp;SUBSTITUTE(Dashboard!$D736,"_group",Dashboard!$D$633)&amp;"."&amp;YEAR(Dashboard!X$537))+X704</f>
        <v>0</v>
      </c>
      <c r="Y736" s="10">
        <f>SUMIFS('Custom Constraints'!$C:$C,'Custom Constraints'!$A:$A,"caiso-deliverability_"&amp;SUBSTITUTE(Dashboard!$D736,"_group",Dashboard!$D$633)&amp;"."&amp;YEAR(Dashboard!Y$537))+Y704</f>
        <v>0</v>
      </c>
      <c r="Z736" s="10">
        <f>SUMIFS('Custom Constraints'!$C:$C,'Custom Constraints'!$A:$A,"caiso-deliverability_"&amp;SUBSTITUTE(Dashboard!$D736,"_group",Dashboard!$D$633)&amp;"."&amp;YEAR(Dashboard!Z$537))+Z704</f>
        <v>0</v>
      </c>
      <c r="AA736" s="10">
        <f>SUMIFS('Custom Constraints'!$C:$C,'Custom Constraints'!$A:$A,"caiso-deliverability_"&amp;SUBSTITUTE(Dashboard!$D736,"_group",Dashboard!$D$633)&amp;"."&amp;YEAR(Dashboard!AA$537))+AA704</f>
        <v>0</v>
      </c>
      <c r="AB736" s="10">
        <f>SUMIFS('Custom Constraints'!$C:$C,'Custom Constraints'!$A:$A,"caiso-deliverability_"&amp;SUBSTITUTE(Dashboard!$D736,"_group",Dashboard!$D$633)&amp;"."&amp;YEAR(Dashboard!AB$537))+AB704</f>
        <v>0</v>
      </c>
      <c r="AC736" s="10">
        <f>SUMIFS('Custom Constraints'!$C:$C,'Custom Constraints'!$A:$A,"caiso-deliverability_"&amp;SUBSTITUTE(Dashboard!$D736,"_group",Dashboard!$D$633)&amp;"."&amp;YEAR(Dashboard!AC$537))+AC704</f>
        <v>0</v>
      </c>
      <c r="AD736" s="10">
        <f>SUMIFS('Custom Constraints'!$C:$C,'Custom Constraints'!$A:$A,"caiso-deliverability_"&amp;SUBSTITUTE(Dashboard!$D736,"_group",Dashboard!$D$633)&amp;"."&amp;YEAR(Dashboard!AD$537))+AD704</f>
        <v>488.55094767000003</v>
      </c>
      <c r="AH736" s="34" t="s">
        <v>422</v>
      </c>
    </row>
    <row r="737" spans="4:34" outlineLevel="2" x14ac:dyDescent="0.2">
      <c r="D737" s="8" t="s">
        <v>262</v>
      </c>
      <c r="E737" s="10">
        <f>SUMIFS('Custom Constraints'!$C:$C,'Custom Constraints'!$A:$A,"caiso-deliverability_"&amp;SUBSTITUTE(Dashboard!$D737,"_group",Dashboard!$D$633)&amp;"."&amp;YEAR(Dashboard!E$537))+E705</f>
        <v>0</v>
      </c>
      <c r="F737" s="10">
        <f>SUMIFS('Custom Constraints'!$C:$C,'Custom Constraints'!$A:$A,"caiso-deliverability_"&amp;SUBSTITUTE(Dashboard!$D737,"_group",Dashboard!$D$633)&amp;"."&amp;YEAR(Dashboard!F$537))+F705</f>
        <v>0</v>
      </c>
      <c r="G737" s="10">
        <f>SUMIFS('Custom Constraints'!$C:$C,'Custom Constraints'!$A:$A,"caiso-deliverability_"&amp;SUBSTITUTE(Dashboard!$D737,"_group",Dashboard!$D$633)&amp;"."&amp;YEAR(Dashboard!G$537))+G705</f>
        <v>0</v>
      </c>
      <c r="H737" s="10">
        <f>SUMIFS('Custom Constraints'!$C:$C,'Custom Constraints'!$A:$A,"caiso-deliverability_"&amp;SUBSTITUTE(Dashboard!$D737,"_group",Dashboard!$D$633)&amp;"."&amp;YEAR(Dashboard!H$537))+H705</f>
        <v>0</v>
      </c>
      <c r="I737" s="10">
        <f>SUMIFS('Custom Constraints'!$C:$C,'Custom Constraints'!$A:$A,"caiso-deliverability_"&amp;SUBSTITUTE(Dashboard!$D737,"_group",Dashboard!$D$633)&amp;"."&amp;YEAR(Dashboard!I$537))+I705</f>
        <v>0</v>
      </c>
      <c r="J737" s="10">
        <f>SUMIFS('Custom Constraints'!$C:$C,'Custom Constraints'!$A:$A,"caiso-deliverability_"&amp;SUBSTITUTE(Dashboard!$D737,"_group",Dashboard!$D$633)&amp;"."&amp;YEAR(Dashboard!J$537))+J705</f>
        <v>0</v>
      </c>
      <c r="K737" s="10">
        <f>SUMIFS('Custom Constraints'!$C:$C,'Custom Constraints'!$A:$A,"caiso-deliverability_"&amp;SUBSTITUTE(Dashboard!$D737,"_group",Dashboard!$D$633)&amp;"."&amp;YEAR(Dashboard!K$537))+K705</f>
        <v>0</v>
      </c>
      <c r="L737" s="10">
        <f>SUMIFS('Custom Constraints'!$C:$C,'Custom Constraints'!$A:$A,"caiso-deliverability_"&amp;SUBSTITUTE(Dashboard!$D737,"_group",Dashboard!$D$633)&amp;"."&amp;YEAR(Dashboard!L$537))+L705</f>
        <v>0</v>
      </c>
      <c r="M737" s="10">
        <f>SUMIFS('Custom Constraints'!$C:$C,'Custom Constraints'!$A:$A,"caiso-deliverability_"&amp;SUBSTITUTE(Dashboard!$D737,"_group",Dashboard!$D$633)&amp;"."&amp;YEAR(Dashboard!M$537))+M705</f>
        <v>0</v>
      </c>
      <c r="N737" s="10">
        <f>SUMIFS('Custom Constraints'!$C:$C,'Custom Constraints'!$A:$A,"caiso-deliverability_"&amp;SUBSTITUTE(Dashboard!$D737,"_group",Dashboard!$D$633)&amp;"."&amp;YEAR(Dashboard!N$537))+N705</f>
        <v>0</v>
      </c>
      <c r="O737" s="10">
        <f>SUMIFS('Custom Constraints'!$C:$C,'Custom Constraints'!$A:$A,"caiso-deliverability_"&amp;SUBSTITUTE(Dashboard!$D737,"_group",Dashboard!$D$633)&amp;"."&amp;YEAR(Dashboard!O$537))+O705</f>
        <v>0</v>
      </c>
      <c r="P737" s="10">
        <f>SUMIFS('Custom Constraints'!$C:$C,'Custom Constraints'!$A:$A,"caiso-deliverability_"&amp;SUBSTITUTE(Dashboard!$D737,"_group",Dashboard!$D$633)&amp;"."&amp;YEAR(Dashboard!P$537))+P705</f>
        <v>0</v>
      </c>
      <c r="Q737" s="10">
        <f>SUMIFS('Custom Constraints'!$C:$C,'Custom Constraints'!$A:$A,"caiso-deliverability_"&amp;SUBSTITUTE(Dashboard!$D737,"_group",Dashboard!$D$633)&amp;"."&amp;YEAR(Dashboard!Q$537))+Q705</f>
        <v>0</v>
      </c>
      <c r="R737" s="10">
        <f>SUMIFS('Custom Constraints'!$C:$C,'Custom Constraints'!$A:$A,"caiso-deliverability_"&amp;SUBSTITUTE(Dashboard!$D737,"_group",Dashboard!$D$633)&amp;"."&amp;YEAR(Dashboard!R$537))+R705</f>
        <v>0</v>
      </c>
      <c r="S737" s="10">
        <f>SUMIFS('Custom Constraints'!$C:$C,'Custom Constraints'!$A:$A,"caiso-deliverability_"&amp;SUBSTITUTE(Dashboard!$D737,"_group",Dashboard!$D$633)&amp;"."&amp;YEAR(Dashboard!S$537))+S705</f>
        <v>0</v>
      </c>
      <c r="T737" s="10">
        <f>SUMIFS('Custom Constraints'!$C:$C,'Custom Constraints'!$A:$A,"caiso-deliverability_"&amp;SUBSTITUTE(Dashboard!$D737,"_group",Dashboard!$D$633)&amp;"."&amp;YEAR(Dashboard!T$537))+T705</f>
        <v>0</v>
      </c>
      <c r="U737" s="10">
        <f>SUMIFS('Custom Constraints'!$C:$C,'Custom Constraints'!$A:$A,"caiso-deliverability_"&amp;SUBSTITUTE(Dashboard!$D737,"_group",Dashboard!$D$633)&amp;"."&amp;YEAR(Dashboard!U$537))+U705</f>
        <v>0</v>
      </c>
      <c r="V737" s="10">
        <f>SUMIFS('Custom Constraints'!$C:$C,'Custom Constraints'!$A:$A,"caiso-deliverability_"&amp;SUBSTITUTE(Dashboard!$D737,"_group",Dashboard!$D$633)&amp;"."&amp;YEAR(Dashboard!V$537))+V705</f>
        <v>0</v>
      </c>
      <c r="W737" s="10">
        <f>SUMIFS('Custom Constraints'!$C:$C,'Custom Constraints'!$A:$A,"caiso-deliverability_"&amp;SUBSTITUTE(Dashboard!$D737,"_group",Dashboard!$D$633)&amp;"."&amp;YEAR(Dashboard!W$537))+W705</f>
        <v>0</v>
      </c>
      <c r="X737" s="10">
        <f>SUMIFS('Custom Constraints'!$C:$C,'Custom Constraints'!$A:$A,"caiso-deliverability_"&amp;SUBSTITUTE(Dashboard!$D737,"_group",Dashboard!$D$633)&amp;"."&amp;YEAR(Dashboard!X$537))+X705</f>
        <v>0</v>
      </c>
      <c r="Y737" s="10">
        <f>SUMIFS('Custom Constraints'!$C:$C,'Custom Constraints'!$A:$A,"caiso-deliverability_"&amp;SUBSTITUTE(Dashboard!$D737,"_group",Dashboard!$D$633)&amp;"."&amp;YEAR(Dashboard!Y$537))+Y705</f>
        <v>0</v>
      </c>
      <c r="Z737" s="10">
        <f>SUMIFS('Custom Constraints'!$C:$C,'Custom Constraints'!$A:$A,"caiso-deliverability_"&amp;SUBSTITUTE(Dashboard!$D737,"_group",Dashboard!$D$633)&amp;"."&amp;YEAR(Dashboard!Z$537))+Z705</f>
        <v>0</v>
      </c>
      <c r="AA737" s="10">
        <f>SUMIFS('Custom Constraints'!$C:$C,'Custom Constraints'!$A:$A,"caiso-deliverability_"&amp;SUBSTITUTE(Dashboard!$D737,"_group",Dashboard!$D$633)&amp;"."&amp;YEAR(Dashboard!AA$537))+AA705</f>
        <v>0</v>
      </c>
      <c r="AB737" s="10">
        <f>SUMIFS('Custom Constraints'!$C:$C,'Custom Constraints'!$A:$A,"caiso-deliverability_"&amp;SUBSTITUTE(Dashboard!$D737,"_group",Dashboard!$D$633)&amp;"."&amp;YEAR(Dashboard!AB$537))+AB705</f>
        <v>0</v>
      </c>
      <c r="AC737" s="10">
        <f>SUMIFS('Custom Constraints'!$C:$C,'Custom Constraints'!$A:$A,"caiso-deliverability_"&amp;SUBSTITUTE(Dashboard!$D737,"_group",Dashboard!$D$633)&amp;"."&amp;YEAR(Dashboard!AC$537))+AC705</f>
        <v>0</v>
      </c>
      <c r="AD737" s="10">
        <f>SUMIFS('Custom Constraints'!$C:$C,'Custom Constraints'!$A:$A,"caiso-deliverability_"&amp;SUBSTITUTE(Dashboard!$D737,"_group",Dashboard!$D$633)&amp;"."&amp;YEAR(Dashboard!AD$537))+AD705</f>
        <v>3698.2269999999999</v>
      </c>
      <c r="AH737" s="34" t="s">
        <v>422</v>
      </c>
    </row>
    <row r="738" spans="4:34" outlineLevel="2" x14ac:dyDescent="0.2">
      <c r="D738" s="8" t="s">
        <v>263</v>
      </c>
      <c r="E738" s="10">
        <f>SUMIFS('Custom Constraints'!$C:$C,'Custom Constraints'!$A:$A,"caiso-deliverability_"&amp;SUBSTITUTE(Dashboard!$D738,"_group",Dashboard!$D$633)&amp;"."&amp;YEAR(Dashboard!E$537))+E706</f>
        <v>0</v>
      </c>
      <c r="F738" s="10">
        <f>SUMIFS('Custom Constraints'!$C:$C,'Custom Constraints'!$A:$A,"caiso-deliverability_"&amp;SUBSTITUTE(Dashboard!$D738,"_group",Dashboard!$D$633)&amp;"."&amp;YEAR(Dashboard!F$537))+F706</f>
        <v>0</v>
      </c>
      <c r="G738" s="10">
        <f>SUMIFS('Custom Constraints'!$C:$C,'Custom Constraints'!$A:$A,"caiso-deliverability_"&amp;SUBSTITUTE(Dashboard!$D738,"_group",Dashboard!$D$633)&amp;"."&amp;YEAR(Dashboard!G$537))+G706</f>
        <v>0</v>
      </c>
      <c r="H738" s="10">
        <f>SUMIFS('Custom Constraints'!$C:$C,'Custom Constraints'!$A:$A,"caiso-deliverability_"&amp;SUBSTITUTE(Dashboard!$D738,"_group",Dashboard!$D$633)&amp;"."&amp;YEAR(Dashboard!H$537))+H706</f>
        <v>0</v>
      </c>
      <c r="I738" s="10">
        <f>SUMIFS('Custom Constraints'!$C:$C,'Custom Constraints'!$A:$A,"caiso-deliverability_"&amp;SUBSTITUTE(Dashboard!$D738,"_group",Dashboard!$D$633)&amp;"."&amp;YEAR(Dashboard!I$537))+I706</f>
        <v>0</v>
      </c>
      <c r="J738" s="10">
        <f>SUMIFS('Custom Constraints'!$C:$C,'Custom Constraints'!$A:$A,"caiso-deliverability_"&amp;SUBSTITUTE(Dashboard!$D738,"_group",Dashboard!$D$633)&amp;"."&amp;YEAR(Dashboard!J$537))+J706</f>
        <v>0</v>
      </c>
      <c r="K738" s="10">
        <f>SUMIFS('Custom Constraints'!$C:$C,'Custom Constraints'!$A:$A,"caiso-deliverability_"&amp;SUBSTITUTE(Dashboard!$D738,"_group",Dashboard!$D$633)&amp;"."&amp;YEAR(Dashboard!K$537))+K706</f>
        <v>0</v>
      </c>
      <c r="L738" s="10">
        <f>SUMIFS('Custom Constraints'!$C:$C,'Custom Constraints'!$A:$A,"caiso-deliverability_"&amp;SUBSTITUTE(Dashboard!$D738,"_group",Dashboard!$D$633)&amp;"."&amp;YEAR(Dashboard!L$537))+L706</f>
        <v>0</v>
      </c>
      <c r="M738" s="10">
        <f>SUMIFS('Custom Constraints'!$C:$C,'Custom Constraints'!$A:$A,"caiso-deliverability_"&amp;SUBSTITUTE(Dashboard!$D738,"_group",Dashboard!$D$633)&amp;"."&amp;YEAR(Dashboard!M$537))+M706</f>
        <v>0</v>
      </c>
      <c r="N738" s="10">
        <f>SUMIFS('Custom Constraints'!$C:$C,'Custom Constraints'!$A:$A,"caiso-deliverability_"&amp;SUBSTITUTE(Dashboard!$D738,"_group",Dashboard!$D$633)&amp;"."&amp;YEAR(Dashboard!N$537))+N706</f>
        <v>0</v>
      </c>
      <c r="O738" s="10">
        <f>SUMIFS('Custom Constraints'!$C:$C,'Custom Constraints'!$A:$A,"caiso-deliverability_"&amp;SUBSTITUTE(Dashboard!$D738,"_group",Dashboard!$D$633)&amp;"."&amp;YEAR(Dashboard!O$537))+O706</f>
        <v>0</v>
      </c>
      <c r="P738" s="10">
        <f>SUMIFS('Custom Constraints'!$C:$C,'Custom Constraints'!$A:$A,"caiso-deliverability_"&amp;SUBSTITUTE(Dashboard!$D738,"_group",Dashboard!$D$633)&amp;"."&amp;YEAR(Dashboard!P$537))+P706</f>
        <v>0</v>
      </c>
      <c r="Q738" s="10">
        <f>SUMIFS('Custom Constraints'!$C:$C,'Custom Constraints'!$A:$A,"caiso-deliverability_"&amp;SUBSTITUTE(Dashboard!$D738,"_group",Dashboard!$D$633)&amp;"."&amp;YEAR(Dashboard!Q$537))+Q706</f>
        <v>0</v>
      </c>
      <c r="R738" s="10">
        <f>SUMIFS('Custom Constraints'!$C:$C,'Custom Constraints'!$A:$A,"caiso-deliverability_"&amp;SUBSTITUTE(Dashboard!$D738,"_group",Dashboard!$D$633)&amp;"."&amp;YEAR(Dashboard!R$537))+R706</f>
        <v>0</v>
      </c>
      <c r="S738" s="10">
        <f>SUMIFS('Custom Constraints'!$C:$C,'Custom Constraints'!$A:$A,"caiso-deliverability_"&amp;SUBSTITUTE(Dashboard!$D738,"_group",Dashboard!$D$633)&amp;"."&amp;YEAR(Dashboard!S$537))+S706</f>
        <v>0</v>
      </c>
      <c r="T738" s="10">
        <f>SUMIFS('Custom Constraints'!$C:$C,'Custom Constraints'!$A:$A,"caiso-deliverability_"&amp;SUBSTITUTE(Dashboard!$D738,"_group",Dashboard!$D$633)&amp;"."&amp;YEAR(Dashboard!T$537))+T706</f>
        <v>0</v>
      </c>
      <c r="U738" s="10">
        <f>SUMIFS('Custom Constraints'!$C:$C,'Custom Constraints'!$A:$A,"caiso-deliverability_"&amp;SUBSTITUTE(Dashboard!$D738,"_group",Dashboard!$D$633)&amp;"."&amp;YEAR(Dashboard!U$537))+U706</f>
        <v>0</v>
      </c>
      <c r="V738" s="10">
        <f>SUMIFS('Custom Constraints'!$C:$C,'Custom Constraints'!$A:$A,"caiso-deliverability_"&amp;SUBSTITUTE(Dashboard!$D738,"_group",Dashboard!$D$633)&amp;"."&amp;YEAR(Dashboard!V$537))+V706</f>
        <v>0</v>
      </c>
      <c r="W738" s="10">
        <f>SUMIFS('Custom Constraints'!$C:$C,'Custom Constraints'!$A:$A,"caiso-deliverability_"&amp;SUBSTITUTE(Dashboard!$D738,"_group",Dashboard!$D$633)&amp;"."&amp;YEAR(Dashboard!W$537))+W706</f>
        <v>0</v>
      </c>
      <c r="X738" s="10">
        <f>SUMIFS('Custom Constraints'!$C:$C,'Custom Constraints'!$A:$A,"caiso-deliverability_"&amp;SUBSTITUTE(Dashboard!$D738,"_group",Dashboard!$D$633)&amp;"."&amp;YEAR(Dashboard!X$537))+X706</f>
        <v>0</v>
      </c>
      <c r="Y738" s="10">
        <f>SUMIFS('Custom Constraints'!$C:$C,'Custom Constraints'!$A:$A,"caiso-deliverability_"&amp;SUBSTITUTE(Dashboard!$D738,"_group",Dashboard!$D$633)&amp;"."&amp;YEAR(Dashboard!Y$537))+Y706</f>
        <v>0</v>
      </c>
      <c r="Z738" s="10">
        <f>SUMIFS('Custom Constraints'!$C:$C,'Custom Constraints'!$A:$A,"caiso-deliverability_"&amp;SUBSTITUTE(Dashboard!$D738,"_group",Dashboard!$D$633)&amp;"."&amp;YEAR(Dashboard!Z$537))+Z706</f>
        <v>0</v>
      </c>
      <c r="AA738" s="10">
        <f>SUMIFS('Custom Constraints'!$C:$C,'Custom Constraints'!$A:$A,"caiso-deliverability_"&amp;SUBSTITUTE(Dashboard!$D738,"_group",Dashboard!$D$633)&amp;"."&amp;YEAR(Dashboard!AA$537))+AA706</f>
        <v>0</v>
      </c>
      <c r="AB738" s="10">
        <f>SUMIFS('Custom Constraints'!$C:$C,'Custom Constraints'!$A:$A,"caiso-deliverability_"&amp;SUBSTITUTE(Dashboard!$D738,"_group",Dashboard!$D$633)&amp;"."&amp;YEAR(Dashboard!AB$537))+AB706</f>
        <v>0</v>
      </c>
      <c r="AC738" s="10">
        <f>SUMIFS('Custom Constraints'!$C:$C,'Custom Constraints'!$A:$A,"caiso-deliverability_"&amp;SUBSTITUTE(Dashboard!$D738,"_group",Dashboard!$D$633)&amp;"."&amp;YEAR(Dashboard!AC$537))+AC706</f>
        <v>0</v>
      </c>
      <c r="AD738" s="10">
        <f>SUMIFS('Custom Constraints'!$C:$C,'Custom Constraints'!$A:$A,"caiso-deliverability_"&amp;SUBSTITUTE(Dashboard!$D738,"_group",Dashboard!$D$633)&amp;"."&amp;YEAR(Dashboard!AD$537))+AD706</f>
        <v>2766</v>
      </c>
      <c r="AH738" s="34" t="s">
        <v>422</v>
      </c>
    </row>
    <row r="739" spans="4:34" outlineLevel="2" x14ac:dyDescent="0.2">
      <c r="D739" s="8" t="s">
        <v>264</v>
      </c>
      <c r="E739" s="10">
        <f>SUMIFS('Custom Constraints'!$C:$C,'Custom Constraints'!$A:$A,"caiso-deliverability_"&amp;SUBSTITUTE(Dashboard!$D739,"_group",Dashboard!$D$633)&amp;"."&amp;YEAR(Dashboard!E$537))+E707</f>
        <v>0</v>
      </c>
      <c r="F739" s="10">
        <f>SUMIFS('Custom Constraints'!$C:$C,'Custom Constraints'!$A:$A,"caiso-deliverability_"&amp;SUBSTITUTE(Dashboard!$D739,"_group",Dashboard!$D$633)&amp;"."&amp;YEAR(Dashboard!F$537))+F707</f>
        <v>0</v>
      </c>
      <c r="G739" s="10">
        <f>SUMIFS('Custom Constraints'!$C:$C,'Custom Constraints'!$A:$A,"caiso-deliverability_"&amp;SUBSTITUTE(Dashboard!$D739,"_group",Dashboard!$D$633)&amp;"."&amp;YEAR(Dashboard!G$537))+G707</f>
        <v>0</v>
      </c>
      <c r="H739" s="10">
        <f>SUMIFS('Custom Constraints'!$C:$C,'Custom Constraints'!$A:$A,"caiso-deliverability_"&amp;SUBSTITUTE(Dashboard!$D739,"_group",Dashboard!$D$633)&amp;"."&amp;YEAR(Dashboard!H$537))+H707</f>
        <v>0</v>
      </c>
      <c r="I739" s="10">
        <f>SUMIFS('Custom Constraints'!$C:$C,'Custom Constraints'!$A:$A,"caiso-deliverability_"&amp;SUBSTITUTE(Dashboard!$D739,"_group",Dashboard!$D$633)&amp;"."&amp;YEAR(Dashboard!I$537))+I707</f>
        <v>0</v>
      </c>
      <c r="J739" s="10">
        <f>SUMIFS('Custom Constraints'!$C:$C,'Custom Constraints'!$A:$A,"caiso-deliverability_"&amp;SUBSTITUTE(Dashboard!$D739,"_group",Dashboard!$D$633)&amp;"."&amp;YEAR(Dashboard!J$537))+J707</f>
        <v>0</v>
      </c>
      <c r="K739" s="10">
        <f>SUMIFS('Custom Constraints'!$C:$C,'Custom Constraints'!$A:$A,"caiso-deliverability_"&amp;SUBSTITUTE(Dashboard!$D739,"_group",Dashboard!$D$633)&amp;"."&amp;YEAR(Dashboard!K$537))+K707</f>
        <v>0</v>
      </c>
      <c r="L739" s="10">
        <f>SUMIFS('Custom Constraints'!$C:$C,'Custom Constraints'!$A:$A,"caiso-deliverability_"&amp;SUBSTITUTE(Dashboard!$D739,"_group",Dashboard!$D$633)&amp;"."&amp;YEAR(Dashboard!L$537))+L707</f>
        <v>0</v>
      </c>
      <c r="M739" s="10">
        <f>SUMIFS('Custom Constraints'!$C:$C,'Custom Constraints'!$A:$A,"caiso-deliverability_"&amp;SUBSTITUTE(Dashboard!$D739,"_group",Dashboard!$D$633)&amp;"."&amp;YEAR(Dashboard!M$537))+M707</f>
        <v>0</v>
      </c>
      <c r="N739" s="10">
        <f>SUMIFS('Custom Constraints'!$C:$C,'Custom Constraints'!$A:$A,"caiso-deliverability_"&amp;SUBSTITUTE(Dashboard!$D739,"_group",Dashboard!$D$633)&amp;"."&amp;YEAR(Dashboard!N$537))+N707</f>
        <v>0</v>
      </c>
      <c r="O739" s="10">
        <f>SUMIFS('Custom Constraints'!$C:$C,'Custom Constraints'!$A:$A,"caiso-deliverability_"&amp;SUBSTITUTE(Dashboard!$D739,"_group",Dashboard!$D$633)&amp;"."&amp;YEAR(Dashboard!O$537))+O707</f>
        <v>0</v>
      </c>
      <c r="P739" s="10">
        <f>SUMIFS('Custom Constraints'!$C:$C,'Custom Constraints'!$A:$A,"caiso-deliverability_"&amp;SUBSTITUTE(Dashboard!$D739,"_group",Dashboard!$D$633)&amp;"."&amp;YEAR(Dashboard!P$537))+P707</f>
        <v>0</v>
      </c>
      <c r="Q739" s="10">
        <f>SUMIFS('Custom Constraints'!$C:$C,'Custom Constraints'!$A:$A,"caiso-deliverability_"&amp;SUBSTITUTE(Dashboard!$D739,"_group",Dashboard!$D$633)&amp;"."&amp;YEAR(Dashboard!Q$537))+Q707</f>
        <v>0</v>
      </c>
      <c r="R739" s="10">
        <f>SUMIFS('Custom Constraints'!$C:$C,'Custom Constraints'!$A:$A,"caiso-deliverability_"&amp;SUBSTITUTE(Dashboard!$D739,"_group",Dashboard!$D$633)&amp;"."&amp;YEAR(Dashboard!R$537))+R707</f>
        <v>0</v>
      </c>
      <c r="S739" s="10">
        <f>SUMIFS('Custom Constraints'!$C:$C,'Custom Constraints'!$A:$A,"caiso-deliverability_"&amp;SUBSTITUTE(Dashboard!$D739,"_group",Dashboard!$D$633)&amp;"."&amp;YEAR(Dashboard!S$537))+S707</f>
        <v>0</v>
      </c>
      <c r="T739" s="10">
        <f>SUMIFS('Custom Constraints'!$C:$C,'Custom Constraints'!$A:$A,"caiso-deliverability_"&amp;SUBSTITUTE(Dashboard!$D739,"_group",Dashboard!$D$633)&amp;"."&amp;YEAR(Dashboard!T$537))+T707</f>
        <v>0</v>
      </c>
      <c r="U739" s="10">
        <f>SUMIFS('Custom Constraints'!$C:$C,'Custom Constraints'!$A:$A,"caiso-deliverability_"&amp;SUBSTITUTE(Dashboard!$D739,"_group",Dashboard!$D$633)&amp;"."&amp;YEAR(Dashboard!U$537))+U707</f>
        <v>0</v>
      </c>
      <c r="V739" s="10">
        <f>SUMIFS('Custom Constraints'!$C:$C,'Custom Constraints'!$A:$A,"caiso-deliverability_"&amp;SUBSTITUTE(Dashboard!$D739,"_group",Dashboard!$D$633)&amp;"."&amp;YEAR(Dashboard!V$537))+V707</f>
        <v>0</v>
      </c>
      <c r="W739" s="10">
        <f>SUMIFS('Custom Constraints'!$C:$C,'Custom Constraints'!$A:$A,"caiso-deliverability_"&amp;SUBSTITUTE(Dashboard!$D739,"_group",Dashboard!$D$633)&amp;"."&amp;YEAR(Dashboard!W$537))+W707</f>
        <v>0</v>
      </c>
      <c r="X739" s="10">
        <f>SUMIFS('Custom Constraints'!$C:$C,'Custom Constraints'!$A:$A,"caiso-deliverability_"&amp;SUBSTITUTE(Dashboard!$D739,"_group",Dashboard!$D$633)&amp;"."&amp;YEAR(Dashboard!X$537))+X707</f>
        <v>0</v>
      </c>
      <c r="Y739" s="10">
        <f>SUMIFS('Custom Constraints'!$C:$C,'Custom Constraints'!$A:$A,"caiso-deliverability_"&amp;SUBSTITUTE(Dashboard!$D739,"_group",Dashboard!$D$633)&amp;"."&amp;YEAR(Dashboard!Y$537))+Y707</f>
        <v>0</v>
      </c>
      <c r="Z739" s="10">
        <f>SUMIFS('Custom Constraints'!$C:$C,'Custom Constraints'!$A:$A,"caiso-deliverability_"&amp;SUBSTITUTE(Dashboard!$D739,"_group",Dashboard!$D$633)&amp;"."&amp;YEAR(Dashboard!Z$537))+Z707</f>
        <v>0</v>
      </c>
      <c r="AA739" s="10">
        <f>SUMIFS('Custom Constraints'!$C:$C,'Custom Constraints'!$A:$A,"caiso-deliverability_"&amp;SUBSTITUTE(Dashboard!$D739,"_group",Dashboard!$D$633)&amp;"."&amp;YEAR(Dashboard!AA$537))+AA707</f>
        <v>0</v>
      </c>
      <c r="AB739" s="10">
        <f>SUMIFS('Custom Constraints'!$C:$C,'Custom Constraints'!$A:$A,"caiso-deliverability_"&amp;SUBSTITUTE(Dashboard!$D739,"_group",Dashboard!$D$633)&amp;"."&amp;YEAR(Dashboard!AB$537))+AB707</f>
        <v>0</v>
      </c>
      <c r="AC739" s="10">
        <f>SUMIFS('Custom Constraints'!$C:$C,'Custom Constraints'!$A:$A,"caiso-deliverability_"&amp;SUBSTITUTE(Dashboard!$D739,"_group",Dashboard!$D$633)&amp;"."&amp;YEAR(Dashboard!AC$537))+AC707</f>
        <v>0</v>
      </c>
      <c r="AD739" s="10">
        <f>SUMIFS('Custom Constraints'!$C:$C,'Custom Constraints'!$A:$A,"caiso-deliverability_"&amp;SUBSTITUTE(Dashboard!$D739,"_group",Dashboard!$D$633)&amp;"."&amp;YEAR(Dashboard!AD$537))+AD707</f>
        <v>103.981549675</v>
      </c>
      <c r="AH739" s="34" t="s">
        <v>422</v>
      </c>
    </row>
    <row r="740" spans="4:34" outlineLevel="2" x14ac:dyDescent="0.2">
      <c r="D740" s="8" t="s">
        <v>265</v>
      </c>
      <c r="E740" s="10">
        <f>SUMIFS('Custom Constraints'!$C:$C,'Custom Constraints'!$A:$A,"caiso-deliverability_"&amp;SUBSTITUTE(Dashboard!$D740,"_group",Dashboard!$D$633)&amp;"."&amp;YEAR(Dashboard!E$537))+E708</f>
        <v>0</v>
      </c>
      <c r="F740" s="10">
        <f>SUMIFS('Custom Constraints'!$C:$C,'Custom Constraints'!$A:$A,"caiso-deliverability_"&amp;SUBSTITUTE(Dashboard!$D740,"_group",Dashboard!$D$633)&amp;"."&amp;YEAR(Dashboard!F$537))+F708</f>
        <v>0</v>
      </c>
      <c r="G740" s="10">
        <f>SUMIFS('Custom Constraints'!$C:$C,'Custom Constraints'!$A:$A,"caiso-deliverability_"&amp;SUBSTITUTE(Dashboard!$D740,"_group",Dashboard!$D$633)&amp;"."&amp;YEAR(Dashboard!G$537))+G708</f>
        <v>0</v>
      </c>
      <c r="H740" s="10">
        <f>SUMIFS('Custom Constraints'!$C:$C,'Custom Constraints'!$A:$A,"caiso-deliverability_"&amp;SUBSTITUTE(Dashboard!$D740,"_group",Dashboard!$D$633)&amp;"."&amp;YEAR(Dashboard!H$537))+H708</f>
        <v>0</v>
      </c>
      <c r="I740" s="10">
        <f>SUMIFS('Custom Constraints'!$C:$C,'Custom Constraints'!$A:$A,"caiso-deliverability_"&amp;SUBSTITUTE(Dashboard!$D740,"_group",Dashboard!$D$633)&amp;"."&amp;YEAR(Dashboard!I$537))+I708</f>
        <v>0</v>
      </c>
      <c r="J740" s="10">
        <f>SUMIFS('Custom Constraints'!$C:$C,'Custom Constraints'!$A:$A,"caiso-deliverability_"&amp;SUBSTITUTE(Dashboard!$D740,"_group",Dashboard!$D$633)&amp;"."&amp;YEAR(Dashboard!J$537))+J708</f>
        <v>0</v>
      </c>
      <c r="K740" s="10">
        <f>SUMIFS('Custom Constraints'!$C:$C,'Custom Constraints'!$A:$A,"caiso-deliverability_"&amp;SUBSTITUTE(Dashboard!$D740,"_group",Dashboard!$D$633)&amp;"."&amp;YEAR(Dashboard!K$537))+K708</f>
        <v>0</v>
      </c>
      <c r="L740" s="10">
        <f>SUMIFS('Custom Constraints'!$C:$C,'Custom Constraints'!$A:$A,"caiso-deliverability_"&amp;SUBSTITUTE(Dashboard!$D740,"_group",Dashboard!$D$633)&amp;"."&amp;YEAR(Dashboard!L$537))+L708</f>
        <v>0</v>
      </c>
      <c r="M740" s="10">
        <f>SUMIFS('Custom Constraints'!$C:$C,'Custom Constraints'!$A:$A,"caiso-deliverability_"&amp;SUBSTITUTE(Dashboard!$D740,"_group",Dashboard!$D$633)&amp;"."&amp;YEAR(Dashboard!M$537))+M708</f>
        <v>0</v>
      </c>
      <c r="N740" s="10">
        <f>SUMIFS('Custom Constraints'!$C:$C,'Custom Constraints'!$A:$A,"caiso-deliverability_"&amp;SUBSTITUTE(Dashboard!$D740,"_group",Dashboard!$D$633)&amp;"."&amp;YEAR(Dashboard!N$537))+N708</f>
        <v>0</v>
      </c>
      <c r="O740" s="10">
        <f>SUMIFS('Custom Constraints'!$C:$C,'Custom Constraints'!$A:$A,"caiso-deliverability_"&amp;SUBSTITUTE(Dashboard!$D740,"_group",Dashboard!$D$633)&amp;"."&amp;YEAR(Dashboard!O$537))+O708</f>
        <v>0</v>
      </c>
      <c r="P740" s="10">
        <f>SUMIFS('Custom Constraints'!$C:$C,'Custom Constraints'!$A:$A,"caiso-deliverability_"&amp;SUBSTITUTE(Dashboard!$D740,"_group",Dashboard!$D$633)&amp;"."&amp;YEAR(Dashboard!P$537))+P708</f>
        <v>0</v>
      </c>
      <c r="Q740" s="10">
        <f>SUMIFS('Custom Constraints'!$C:$C,'Custom Constraints'!$A:$A,"caiso-deliverability_"&amp;SUBSTITUTE(Dashboard!$D740,"_group",Dashboard!$D$633)&amp;"."&amp;YEAR(Dashboard!Q$537))+Q708</f>
        <v>0</v>
      </c>
      <c r="R740" s="10">
        <f>SUMIFS('Custom Constraints'!$C:$C,'Custom Constraints'!$A:$A,"caiso-deliverability_"&amp;SUBSTITUTE(Dashboard!$D740,"_group",Dashboard!$D$633)&amp;"."&amp;YEAR(Dashboard!R$537))+R708</f>
        <v>0</v>
      </c>
      <c r="S740" s="10">
        <f>SUMIFS('Custom Constraints'!$C:$C,'Custom Constraints'!$A:$A,"caiso-deliverability_"&amp;SUBSTITUTE(Dashboard!$D740,"_group",Dashboard!$D$633)&amp;"."&amp;YEAR(Dashboard!S$537))+S708</f>
        <v>0</v>
      </c>
      <c r="T740" s="10">
        <f>SUMIFS('Custom Constraints'!$C:$C,'Custom Constraints'!$A:$A,"caiso-deliverability_"&amp;SUBSTITUTE(Dashboard!$D740,"_group",Dashboard!$D$633)&amp;"."&amp;YEAR(Dashboard!T$537))+T708</f>
        <v>0</v>
      </c>
      <c r="U740" s="10">
        <f>SUMIFS('Custom Constraints'!$C:$C,'Custom Constraints'!$A:$A,"caiso-deliverability_"&amp;SUBSTITUTE(Dashboard!$D740,"_group",Dashboard!$D$633)&amp;"."&amp;YEAR(Dashboard!U$537))+U708</f>
        <v>0</v>
      </c>
      <c r="V740" s="10">
        <f>SUMIFS('Custom Constraints'!$C:$C,'Custom Constraints'!$A:$A,"caiso-deliverability_"&amp;SUBSTITUTE(Dashboard!$D740,"_group",Dashboard!$D$633)&amp;"."&amp;YEAR(Dashboard!V$537))+V708</f>
        <v>0</v>
      </c>
      <c r="W740" s="10">
        <f>SUMIFS('Custom Constraints'!$C:$C,'Custom Constraints'!$A:$A,"caiso-deliverability_"&amp;SUBSTITUTE(Dashboard!$D740,"_group",Dashboard!$D$633)&amp;"."&amp;YEAR(Dashboard!W$537))+W708</f>
        <v>0</v>
      </c>
      <c r="X740" s="10">
        <f>SUMIFS('Custom Constraints'!$C:$C,'Custom Constraints'!$A:$A,"caiso-deliverability_"&amp;SUBSTITUTE(Dashboard!$D740,"_group",Dashboard!$D$633)&amp;"."&amp;YEAR(Dashboard!X$537))+X708</f>
        <v>0</v>
      </c>
      <c r="Y740" s="10">
        <f>SUMIFS('Custom Constraints'!$C:$C,'Custom Constraints'!$A:$A,"caiso-deliverability_"&amp;SUBSTITUTE(Dashboard!$D740,"_group",Dashboard!$D$633)&amp;"."&amp;YEAR(Dashboard!Y$537))+Y708</f>
        <v>0</v>
      </c>
      <c r="Z740" s="10">
        <f>SUMIFS('Custom Constraints'!$C:$C,'Custom Constraints'!$A:$A,"caiso-deliverability_"&amp;SUBSTITUTE(Dashboard!$D740,"_group",Dashboard!$D$633)&amp;"."&amp;YEAR(Dashboard!Z$537))+Z708</f>
        <v>0</v>
      </c>
      <c r="AA740" s="10">
        <f>SUMIFS('Custom Constraints'!$C:$C,'Custom Constraints'!$A:$A,"caiso-deliverability_"&amp;SUBSTITUTE(Dashboard!$D740,"_group",Dashboard!$D$633)&amp;"."&amp;YEAR(Dashboard!AA$537))+AA708</f>
        <v>0</v>
      </c>
      <c r="AB740" s="10">
        <f>SUMIFS('Custom Constraints'!$C:$C,'Custom Constraints'!$A:$A,"caiso-deliverability_"&amp;SUBSTITUTE(Dashboard!$D740,"_group",Dashboard!$D$633)&amp;"."&amp;YEAR(Dashboard!AB$537))+AB708</f>
        <v>0</v>
      </c>
      <c r="AC740" s="10">
        <f>SUMIFS('Custom Constraints'!$C:$C,'Custom Constraints'!$A:$A,"caiso-deliverability_"&amp;SUBSTITUTE(Dashboard!$D740,"_group",Dashboard!$D$633)&amp;"."&amp;YEAR(Dashboard!AC$537))+AC708</f>
        <v>0</v>
      </c>
      <c r="AD740" s="10">
        <f>SUMIFS('Custom Constraints'!$C:$C,'Custom Constraints'!$A:$A,"caiso-deliverability_"&amp;SUBSTITUTE(Dashboard!$D740,"_group",Dashboard!$D$633)&amp;"."&amp;YEAR(Dashboard!AD$537))+AD708</f>
        <v>75.782549674999999</v>
      </c>
      <c r="AH740" s="34" t="s">
        <v>422</v>
      </c>
    </row>
    <row r="741" spans="4:34" outlineLevel="2" x14ac:dyDescent="0.2">
      <c r="D741" s="8" t="s">
        <v>266</v>
      </c>
      <c r="E741" s="10">
        <f>SUMIFS('Custom Constraints'!$C:$C,'Custom Constraints'!$A:$A,"caiso-deliverability_"&amp;SUBSTITUTE(Dashboard!$D741,"_group",Dashboard!$D$633)&amp;"."&amp;YEAR(Dashboard!E$537))+E709</f>
        <v>0</v>
      </c>
      <c r="F741" s="10">
        <f>SUMIFS('Custom Constraints'!$C:$C,'Custom Constraints'!$A:$A,"caiso-deliverability_"&amp;SUBSTITUTE(Dashboard!$D741,"_group",Dashboard!$D$633)&amp;"."&amp;YEAR(Dashboard!F$537))+F709</f>
        <v>0</v>
      </c>
      <c r="G741" s="10">
        <f>SUMIFS('Custom Constraints'!$C:$C,'Custom Constraints'!$A:$A,"caiso-deliverability_"&amp;SUBSTITUTE(Dashboard!$D741,"_group",Dashboard!$D$633)&amp;"."&amp;YEAR(Dashboard!G$537))+G709</f>
        <v>0</v>
      </c>
      <c r="H741" s="10">
        <f>SUMIFS('Custom Constraints'!$C:$C,'Custom Constraints'!$A:$A,"caiso-deliverability_"&amp;SUBSTITUTE(Dashboard!$D741,"_group",Dashboard!$D$633)&amp;"."&amp;YEAR(Dashboard!H$537))+H709</f>
        <v>0</v>
      </c>
      <c r="I741" s="10">
        <f>SUMIFS('Custom Constraints'!$C:$C,'Custom Constraints'!$A:$A,"caiso-deliverability_"&amp;SUBSTITUTE(Dashboard!$D741,"_group",Dashboard!$D$633)&amp;"."&amp;YEAR(Dashboard!I$537))+I709</f>
        <v>0</v>
      </c>
      <c r="J741" s="10">
        <f>SUMIFS('Custom Constraints'!$C:$C,'Custom Constraints'!$A:$A,"caiso-deliverability_"&amp;SUBSTITUTE(Dashboard!$D741,"_group",Dashboard!$D$633)&amp;"."&amp;YEAR(Dashboard!J$537))+J709</f>
        <v>0</v>
      </c>
      <c r="K741" s="10">
        <f>SUMIFS('Custom Constraints'!$C:$C,'Custom Constraints'!$A:$A,"caiso-deliverability_"&amp;SUBSTITUTE(Dashboard!$D741,"_group",Dashboard!$D$633)&amp;"."&amp;YEAR(Dashboard!K$537))+K709</f>
        <v>0</v>
      </c>
      <c r="L741" s="10">
        <f>SUMIFS('Custom Constraints'!$C:$C,'Custom Constraints'!$A:$A,"caiso-deliverability_"&amp;SUBSTITUTE(Dashboard!$D741,"_group",Dashboard!$D$633)&amp;"."&amp;YEAR(Dashboard!L$537))+L709</f>
        <v>0</v>
      </c>
      <c r="M741" s="10">
        <f>SUMIFS('Custom Constraints'!$C:$C,'Custom Constraints'!$A:$A,"caiso-deliverability_"&amp;SUBSTITUTE(Dashboard!$D741,"_group",Dashboard!$D$633)&amp;"."&amp;YEAR(Dashboard!M$537))+M709</f>
        <v>0</v>
      </c>
      <c r="N741" s="10">
        <f>SUMIFS('Custom Constraints'!$C:$C,'Custom Constraints'!$A:$A,"caiso-deliverability_"&amp;SUBSTITUTE(Dashboard!$D741,"_group",Dashboard!$D$633)&amp;"."&amp;YEAR(Dashboard!N$537))+N709</f>
        <v>0</v>
      </c>
      <c r="O741" s="10">
        <f>SUMIFS('Custom Constraints'!$C:$C,'Custom Constraints'!$A:$A,"caiso-deliverability_"&amp;SUBSTITUTE(Dashboard!$D741,"_group",Dashboard!$D$633)&amp;"."&amp;YEAR(Dashboard!O$537))+O709</f>
        <v>0</v>
      </c>
      <c r="P741" s="10">
        <f>SUMIFS('Custom Constraints'!$C:$C,'Custom Constraints'!$A:$A,"caiso-deliverability_"&amp;SUBSTITUTE(Dashboard!$D741,"_group",Dashboard!$D$633)&amp;"."&amp;YEAR(Dashboard!P$537))+P709</f>
        <v>0</v>
      </c>
      <c r="Q741" s="10">
        <f>SUMIFS('Custom Constraints'!$C:$C,'Custom Constraints'!$A:$A,"caiso-deliverability_"&amp;SUBSTITUTE(Dashboard!$D741,"_group",Dashboard!$D$633)&amp;"."&amp;YEAR(Dashboard!Q$537))+Q709</f>
        <v>0</v>
      </c>
      <c r="R741" s="10">
        <f>SUMIFS('Custom Constraints'!$C:$C,'Custom Constraints'!$A:$A,"caiso-deliverability_"&amp;SUBSTITUTE(Dashboard!$D741,"_group",Dashboard!$D$633)&amp;"."&amp;YEAR(Dashboard!R$537))+R709</f>
        <v>0</v>
      </c>
      <c r="S741" s="10">
        <f>SUMIFS('Custom Constraints'!$C:$C,'Custom Constraints'!$A:$A,"caiso-deliverability_"&amp;SUBSTITUTE(Dashboard!$D741,"_group",Dashboard!$D$633)&amp;"."&amp;YEAR(Dashboard!S$537))+S709</f>
        <v>0</v>
      </c>
      <c r="T741" s="10">
        <f>SUMIFS('Custom Constraints'!$C:$C,'Custom Constraints'!$A:$A,"caiso-deliverability_"&amp;SUBSTITUTE(Dashboard!$D741,"_group",Dashboard!$D$633)&amp;"."&amp;YEAR(Dashboard!T$537))+T709</f>
        <v>0</v>
      </c>
      <c r="U741" s="10">
        <f>SUMIFS('Custom Constraints'!$C:$C,'Custom Constraints'!$A:$A,"caiso-deliverability_"&amp;SUBSTITUTE(Dashboard!$D741,"_group",Dashboard!$D$633)&amp;"."&amp;YEAR(Dashboard!U$537))+U709</f>
        <v>0</v>
      </c>
      <c r="V741" s="10">
        <f>SUMIFS('Custom Constraints'!$C:$C,'Custom Constraints'!$A:$A,"caiso-deliverability_"&amp;SUBSTITUTE(Dashboard!$D741,"_group",Dashboard!$D$633)&amp;"."&amp;YEAR(Dashboard!V$537))+V709</f>
        <v>0</v>
      </c>
      <c r="W741" s="10">
        <f>SUMIFS('Custom Constraints'!$C:$C,'Custom Constraints'!$A:$A,"caiso-deliverability_"&amp;SUBSTITUTE(Dashboard!$D741,"_group",Dashboard!$D$633)&amp;"."&amp;YEAR(Dashboard!W$537))+W709</f>
        <v>0</v>
      </c>
      <c r="X741" s="10">
        <f>SUMIFS('Custom Constraints'!$C:$C,'Custom Constraints'!$A:$A,"caiso-deliverability_"&amp;SUBSTITUTE(Dashboard!$D741,"_group",Dashboard!$D$633)&amp;"."&amp;YEAR(Dashboard!X$537))+X709</f>
        <v>0</v>
      </c>
      <c r="Y741" s="10">
        <f>SUMIFS('Custom Constraints'!$C:$C,'Custom Constraints'!$A:$A,"caiso-deliverability_"&amp;SUBSTITUTE(Dashboard!$D741,"_group",Dashboard!$D$633)&amp;"."&amp;YEAR(Dashboard!Y$537))+Y709</f>
        <v>0</v>
      </c>
      <c r="Z741" s="10">
        <f>SUMIFS('Custom Constraints'!$C:$C,'Custom Constraints'!$A:$A,"caiso-deliverability_"&amp;SUBSTITUTE(Dashboard!$D741,"_group",Dashboard!$D$633)&amp;"."&amp;YEAR(Dashboard!Z$537))+Z709</f>
        <v>0</v>
      </c>
      <c r="AA741" s="10">
        <f>SUMIFS('Custom Constraints'!$C:$C,'Custom Constraints'!$A:$A,"caiso-deliverability_"&amp;SUBSTITUTE(Dashboard!$D741,"_group",Dashboard!$D$633)&amp;"."&amp;YEAR(Dashboard!AA$537))+AA709</f>
        <v>0</v>
      </c>
      <c r="AB741" s="10">
        <f>SUMIFS('Custom Constraints'!$C:$C,'Custom Constraints'!$A:$A,"caiso-deliverability_"&amp;SUBSTITUTE(Dashboard!$D741,"_group",Dashboard!$D$633)&amp;"."&amp;YEAR(Dashboard!AB$537))+AB709</f>
        <v>0</v>
      </c>
      <c r="AC741" s="10">
        <f>SUMIFS('Custom Constraints'!$C:$C,'Custom Constraints'!$A:$A,"caiso-deliverability_"&amp;SUBSTITUTE(Dashboard!$D741,"_group",Dashboard!$D$633)&amp;"."&amp;YEAR(Dashboard!AC$537))+AC709</f>
        <v>0</v>
      </c>
      <c r="AD741" s="10">
        <f>SUMIFS('Custom Constraints'!$C:$C,'Custom Constraints'!$A:$A,"caiso-deliverability_"&amp;SUBSTITUTE(Dashboard!$D741,"_group",Dashboard!$D$633)&amp;"."&amp;YEAR(Dashboard!AD$537))+AD709</f>
        <v>10830</v>
      </c>
      <c r="AH741" s="34" t="s">
        <v>422</v>
      </c>
    </row>
    <row r="742" spans="4:34" outlineLevel="2" x14ac:dyDescent="0.2">
      <c r="D742" s="8" t="s">
        <v>267</v>
      </c>
      <c r="E742" s="10">
        <f>SUMIFS('Custom Constraints'!$C:$C,'Custom Constraints'!$A:$A,"caiso-deliverability_"&amp;SUBSTITUTE(Dashboard!$D742,"_group",Dashboard!$D$633)&amp;"."&amp;YEAR(Dashboard!E$537))+E710</f>
        <v>0</v>
      </c>
      <c r="F742" s="10">
        <f>SUMIFS('Custom Constraints'!$C:$C,'Custom Constraints'!$A:$A,"caiso-deliverability_"&amp;SUBSTITUTE(Dashboard!$D742,"_group",Dashboard!$D$633)&amp;"."&amp;YEAR(Dashboard!F$537))+F710</f>
        <v>0</v>
      </c>
      <c r="G742" s="10">
        <f>SUMIFS('Custom Constraints'!$C:$C,'Custom Constraints'!$A:$A,"caiso-deliverability_"&amp;SUBSTITUTE(Dashboard!$D742,"_group",Dashboard!$D$633)&amp;"."&amp;YEAR(Dashboard!G$537))+G710</f>
        <v>0</v>
      </c>
      <c r="H742" s="10">
        <f>SUMIFS('Custom Constraints'!$C:$C,'Custom Constraints'!$A:$A,"caiso-deliverability_"&amp;SUBSTITUTE(Dashboard!$D742,"_group",Dashboard!$D$633)&amp;"."&amp;YEAR(Dashboard!H$537))+H710</f>
        <v>0</v>
      </c>
      <c r="I742" s="10">
        <f>SUMIFS('Custom Constraints'!$C:$C,'Custom Constraints'!$A:$A,"caiso-deliverability_"&amp;SUBSTITUTE(Dashboard!$D742,"_group",Dashboard!$D$633)&amp;"."&amp;YEAR(Dashboard!I$537))+I710</f>
        <v>0</v>
      </c>
      <c r="J742" s="10">
        <f>SUMIFS('Custom Constraints'!$C:$C,'Custom Constraints'!$A:$A,"caiso-deliverability_"&amp;SUBSTITUTE(Dashboard!$D742,"_group",Dashboard!$D$633)&amp;"."&amp;YEAR(Dashboard!J$537))+J710</f>
        <v>0</v>
      </c>
      <c r="K742" s="10">
        <f>SUMIFS('Custom Constraints'!$C:$C,'Custom Constraints'!$A:$A,"caiso-deliverability_"&amp;SUBSTITUTE(Dashboard!$D742,"_group",Dashboard!$D$633)&amp;"."&amp;YEAR(Dashboard!K$537))+K710</f>
        <v>0</v>
      </c>
      <c r="L742" s="10">
        <f>SUMIFS('Custom Constraints'!$C:$C,'Custom Constraints'!$A:$A,"caiso-deliverability_"&amp;SUBSTITUTE(Dashboard!$D742,"_group",Dashboard!$D$633)&amp;"."&amp;YEAR(Dashboard!L$537))+L710</f>
        <v>0</v>
      </c>
      <c r="M742" s="10">
        <f>SUMIFS('Custom Constraints'!$C:$C,'Custom Constraints'!$A:$A,"caiso-deliverability_"&amp;SUBSTITUTE(Dashboard!$D742,"_group",Dashboard!$D$633)&amp;"."&amp;YEAR(Dashboard!M$537))+M710</f>
        <v>0</v>
      </c>
      <c r="N742" s="10">
        <f>SUMIFS('Custom Constraints'!$C:$C,'Custom Constraints'!$A:$A,"caiso-deliverability_"&amp;SUBSTITUTE(Dashboard!$D742,"_group",Dashboard!$D$633)&amp;"."&amp;YEAR(Dashboard!N$537))+N710</f>
        <v>0</v>
      </c>
      <c r="O742" s="10">
        <f>SUMIFS('Custom Constraints'!$C:$C,'Custom Constraints'!$A:$A,"caiso-deliverability_"&amp;SUBSTITUTE(Dashboard!$D742,"_group",Dashboard!$D$633)&amp;"."&amp;YEAR(Dashboard!O$537))+O710</f>
        <v>0</v>
      </c>
      <c r="P742" s="10">
        <f>SUMIFS('Custom Constraints'!$C:$C,'Custom Constraints'!$A:$A,"caiso-deliverability_"&amp;SUBSTITUTE(Dashboard!$D742,"_group",Dashboard!$D$633)&amp;"."&amp;YEAR(Dashboard!P$537))+P710</f>
        <v>0</v>
      </c>
      <c r="Q742" s="10">
        <f>SUMIFS('Custom Constraints'!$C:$C,'Custom Constraints'!$A:$A,"caiso-deliverability_"&amp;SUBSTITUTE(Dashboard!$D742,"_group",Dashboard!$D$633)&amp;"."&amp;YEAR(Dashboard!Q$537))+Q710</f>
        <v>0</v>
      </c>
      <c r="R742" s="10">
        <f>SUMIFS('Custom Constraints'!$C:$C,'Custom Constraints'!$A:$A,"caiso-deliverability_"&amp;SUBSTITUTE(Dashboard!$D742,"_group",Dashboard!$D$633)&amp;"."&amp;YEAR(Dashboard!R$537))+R710</f>
        <v>0</v>
      </c>
      <c r="S742" s="10">
        <f>SUMIFS('Custom Constraints'!$C:$C,'Custom Constraints'!$A:$A,"caiso-deliverability_"&amp;SUBSTITUTE(Dashboard!$D742,"_group",Dashboard!$D$633)&amp;"."&amp;YEAR(Dashboard!S$537))+S710</f>
        <v>0</v>
      </c>
      <c r="T742" s="10">
        <f>SUMIFS('Custom Constraints'!$C:$C,'Custom Constraints'!$A:$A,"caiso-deliverability_"&amp;SUBSTITUTE(Dashboard!$D742,"_group",Dashboard!$D$633)&amp;"."&amp;YEAR(Dashboard!T$537))+T710</f>
        <v>0</v>
      </c>
      <c r="U742" s="10">
        <f>SUMIFS('Custom Constraints'!$C:$C,'Custom Constraints'!$A:$A,"caiso-deliverability_"&amp;SUBSTITUTE(Dashboard!$D742,"_group",Dashboard!$D$633)&amp;"."&amp;YEAR(Dashboard!U$537))+U710</f>
        <v>0</v>
      </c>
      <c r="V742" s="10">
        <f>SUMIFS('Custom Constraints'!$C:$C,'Custom Constraints'!$A:$A,"caiso-deliverability_"&amp;SUBSTITUTE(Dashboard!$D742,"_group",Dashboard!$D$633)&amp;"."&amp;YEAR(Dashboard!V$537))+V710</f>
        <v>0</v>
      </c>
      <c r="W742" s="10">
        <f>SUMIFS('Custom Constraints'!$C:$C,'Custom Constraints'!$A:$A,"caiso-deliverability_"&amp;SUBSTITUTE(Dashboard!$D742,"_group",Dashboard!$D$633)&amp;"."&amp;YEAR(Dashboard!W$537))+W710</f>
        <v>0</v>
      </c>
      <c r="X742" s="10">
        <f>SUMIFS('Custom Constraints'!$C:$C,'Custom Constraints'!$A:$A,"caiso-deliverability_"&amp;SUBSTITUTE(Dashboard!$D742,"_group",Dashboard!$D$633)&amp;"."&amp;YEAR(Dashboard!X$537))+X710</f>
        <v>0</v>
      </c>
      <c r="Y742" s="10">
        <f>SUMIFS('Custom Constraints'!$C:$C,'Custom Constraints'!$A:$A,"caiso-deliverability_"&amp;SUBSTITUTE(Dashboard!$D742,"_group",Dashboard!$D$633)&amp;"."&amp;YEAR(Dashboard!Y$537))+Y710</f>
        <v>0</v>
      </c>
      <c r="Z742" s="10">
        <f>SUMIFS('Custom Constraints'!$C:$C,'Custom Constraints'!$A:$A,"caiso-deliverability_"&amp;SUBSTITUTE(Dashboard!$D742,"_group",Dashboard!$D$633)&amp;"."&amp;YEAR(Dashboard!Z$537))+Z710</f>
        <v>0</v>
      </c>
      <c r="AA742" s="10">
        <f>SUMIFS('Custom Constraints'!$C:$C,'Custom Constraints'!$A:$A,"caiso-deliverability_"&amp;SUBSTITUTE(Dashboard!$D742,"_group",Dashboard!$D$633)&amp;"."&amp;YEAR(Dashboard!AA$537))+AA710</f>
        <v>0</v>
      </c>
      <c r="AB742" s="10">
        <f>SUMIFS('Custom Constraints'!$C:$C,'Custom Constraints'!$A:$A,"caiso-deliverability_"&amp;SUBSTITUTE(Dashboard!$D742,"_group",Dashboard!$D$633)&amp;"."&amp;YEAR(Dashboard!AB$537))+AB710</f>
        <v>0</v>
      </c>
      <c r="AC742" s="10">
        <f>SUMIFS('Custom Constraints'!$C:$C,'Custom Constraints'!$A:$A,"caiso-deliverability_"&amp;SUBSTITUTE(Dashboard!$D742,"_group",Dashboard!$D$633)&amp;"."&amp;YEAR(Dashboard!AC$537))+AC710</f>
        <v>0</v>
      </c>
      <c r="AD742" s="10">
        <f>SUMIFS('Custom Constraints'!$C:$C,'Custom Constraints'!$A:$A,"caiso-deliverability_"&amp;SUBSTITUTE(Dashboard!$D742,"_group",Dashboard!$D$633)&amp;"."&amp;YEAR(Dashboard!AD$537))+AD710</f>
        <v>36.816000000000003</v>
      </c>
      <c r="AH742" s="34" t="s">
        <v>422</v>
      </c>
    </row>
    <row r="743" spans="4:34" outlineLevel="2" x14ac:dyDescent="0.2">
      <c r="D743" s="8" t="s">
        <v>268</v>
      </c>
      <c r="E743" s="10">
        <f>SUMIFS('Custom Constraints'!$C:$C,'Custom Constraints'!$A:$A,"caiso-deliverability_"&amp;SUBSTITUTE(Dashboard!$D743,"_group",Dashboard!$D$633)&amp;"."&amp;YEAR(Dashboard!E$537))+E711</f>
        <v>0</v>
      </c>
      <c r="F743" s="10">
        <f>SUMIFS('Custom Constraints'!$C:$C,'Custom Constraints'!$A:$A,"caiso-deliverability_"&amp;SUBSTITUTE(Dashboard!$D743,"_group",Dashboard!$D$633)&amp;"."&amp;YEAR(Dashboard!F$537))+F711</f>
        <v>0</v>
      </c>
      <c r="G743" s="10">
        <f>SUMIFS('Custom Constraints'!$C:$C,'Custom Constraints'!$A:$A,"caiso-deliverability_"&amp;SUBSTITUTE(Dashboard!$D743,"_group",Dashboard!$D$633)&amp;"."&amp;YEAR(Dashboard!G$537))+G711</f>
        <v>0</v>
      </c>
      <c r="H743" s="10">
        <f>SUMIFS('Custom Constraints'!$C:$C,'Custom Constraints'!$A:$A,"caiso-deliverability_"&amp;SUBSTITUTE(Dashboard!$D743,"_group",Dashboard!$D$633)&amp;"."&amp;YEAR(Dashboard!H$537))+H711</f>
        <v>0</v>
      </c>
      <c r="I743" s="10">
        <f>SUMIFS('Custom Constraints'!$C:$C,'Custom Constraints'!$A:$A,"caiso-deliverability_"&amp;SUBSTITUTE(Dashboard!$D743,"_group",Dashboard!$D$633)&amp;"."&amp;YEAR(Dashboard!I$537))+I711</f>
        <v>0</v>
      </c>
      <c r="J743" s="10">
        <f>SUMIFS('Custom Constraints'!$C:$C,'Custom Constraints'!$A:$A,"caiso-deliverability_"&amp;SUBSTITUTE(Dashboard!$D743,"_group",Dashboard!$D$633)&amp;"."&amp;YEAR(Dashboard!J$537))+J711</f>
        <v>0</v>
      </c>
      <c r="K743" s="10">
        <f>SUMIFS('Custom Constraints'!$C:$C,'Custom Constraints'!$A:$A,"caiso-deliverability_"&amp;SUBSTITUTE(Dashboard!$D743,"_group",Dashboard!$D$633)&amp;"."&amp;YEAR(Dashboard!K$537))+K711</f>
        <v>0</v>
      </c>
      <c r="L743" s="10">
        <f>SUMIFS('Custom Constraints'!$C:$C,'Custom Constraints'!$A:$A,"caiso-deliverability_"&amp;SUBSTITUTE(Dashboard!$D743,"_group",Dashboard!$D$633)&amp;"."&amp;YEAR(Dashboard!L$537))+L711</f>
        <v>0</v>
      </c>
      <c r="M743" s="10">
        <f>SUMIFS('Custom Constraints'!$C:$C,'Custom Constraints'!$A:$A,"caiso-deliverability_"&amp;SUBSTITUTE(Dashboard!$D743,"_group",Dashboard!$D$633)&amp;"."&amp;YEAR(Dashboard!M$537))+M711</f>
        <v>0</v>
      </c>
      <c r="N743" s="10">
        <f>SUMIFS('Custom Constraints'!$C:$C,'Custom Constraints'!$A:$A,"caiso-deliverability_"&amp;SUBSTITUTE(Dashboard!$D743,"_group",Dashboard!$D$633)&amp;"."&amp;YEAR(Dashboard!N$537))+N711</f>
        <v>0</v>
      </c>
      <c r="O743" s="10">
        <f>SUMIFS('Custom Constraints'!$C:$C,'Custom Constraints'!$A:$A,"caiso-deliverability_"&amp;SUBSTITUTE(Dashboard!$D743,"_group",Dashboard!$D$633)&amp;"."&amp;YEAR(Dashboard!O$537))+O711</f>
        <v>0</v>
      </c>
      <c r="P743" s="10">
        <f>SUMIFS('Custom Constraints'!$C:$C,'Custom Constraints'!$A:$A,"caiso-deliverability_"&amp;SUBSTITUTE(Dashboard!$D743,"_group",Dashboard!$D$633)&amp;"."&amp;YEAR(Dashboard!P$537))+P711</f>
        <v>0</v>
      </c>
      <c r="Q743" s="10">
        <f>SUMIFS('Custom Constraints'!$C:$C,'Custom Constraints'!$A:$A,"caiso-deliverability_"&amp;SUBSTITUTE(Dashboard!$D743,"_group",Dashboard!$D$633)&amp;"."&amp;YEAR(Dashboard!Q$537))+Q711</f>
        <v>0</v>
      </c>
      <c r="R743" s="10">
        <f>SUMIFS('Custom Constraints'!$C:$C,'Custom Constraints'!$A:$A,"caiso-deliverability_"&amp;SUBSTITUTE(Dashboard!$D743,"_group",Dashboard!$D$633)&amp;"."&amp;YEAR(Dashboard!R$537))+R711</f>
        <v>0</v>
      </c>
      <c r="S743" s="10">
        <f>SUMIFS('Custom Constraints'!$C:$C,'Custom Constraints'!$A:$A,"caiso-deliverability_"&amp;SUBSTITUTE(Dashboard!$D743,"_group",Dashboard!$D$633)&amp;"."&amp;YEAR(Dashboard!S$537))+S711</f>
        <v>0</v>
      </c>
      <c r="T743" s="10">
        <f>SUMIFS('Custom Constraints'!$C:$C,'Custom Constraints'!$A:$A,"caiso-deliverability_"&amp;SUBSTITUTE(Dashboard!$D743,"_group",Dashboard!$D$633)&amp;"."&amp;YEAR(Dashboard!T$537))+T711</f>
        <v>0</v>
      </c>
      <c r="U743" s="10">
        <f>SUMIFS('Custom Constraints'!$C:$C,'Custom Constraints'!$A:$A,"caiso-deliverability_"&amp;SUBSTITUTE(Dashboard!$D743,"_group",Dashboard!$D$633)&amp;"."&amp;YEAR(Dashboard!U$537))+U711</f>
        <v>0</v>
      </c>
      <c r="V743" s="10">
        <f>SUMIFS('Custom Constraints'!$C:$C,'Custom Constraints'!$A:$A,"caiso-deliverability_"&amp;SUBSTITUTE(Dashboard!$D743,"_group",Dashboard!$D$633)&amp;"."&amp;YEAR(Dashboard!V$537))+V711</f>
        <v>0</v>
      </c>
      <c r="W743" s="10">
        <f>SUMIFS('Custom Constraints'!$C:$C,'Custom Constraints'!$A:$A,"caiso-deliverability_"&amp;SUBSTITUTE(Dashboard!$D743,"_group",Dashboard!$D$633)&amp;"."&amp;YEAR(Dashboard!W$537))+W711</f>
        <v>0</v>
      </c>
      <c r="X743" s="10">
        <f>SUMIFS('Custom Constraints'!$C:$C,'Custom Constraints'!$A:$A,"caiso-deliverability_"&amp;SUBSTITUTE(Dashboard!$D743,"_group",Dashboard!$D$633)&amp;"."&amp;YEAR(Dashboard!X$537))+X711</f>
        <v>0</v>
      </c>
      <c r="Y743" s="10">
        <f>SUMIFS('Custom Constraints'!$C:$C,'Custom Constraints'!$A:$A,"caiso-deliverability_"&amp;SUBSTITUTE(Dashboard!$D743,"_group",Dashboard!$D$633)&amp;"."&amp;YEAR(Dashboard!Y$537))+Y711</f>
        <v>0</v>
      </c>
      <c r="Z743" s="10">
        <f>SUMIFS('Custom Constraints'!$C:$C,'Custom Constraints'!$A:$A,"caiso-deliverability_"&amp;SUBSTITUTE(Dashboard!$D743,"_group",Dashboard!$D$633)&amp;"."&amp;YEAR(Dashboard!Z$537))+Z711</f>
        <v>0</v>
      </c>
      <c r="AA743" s="10">
        <f>SUMIFS('Custom Constraints'!$C:$C,'Custom Constraints'!$A:$A,"caiso-deliverability_"&amp;SUBSTITUTE(Dashboard!$D743,"_group",Dashboard!$D$633)&amp;"."&amp;YEAR(Dashboard!AA$537))+AA711</f>
        <v>0</v>
      </c>
      <c r="AB743" s="10">
        <f>SUMIFS('Custom Constraints'!$C:$C,'Custom Constraints'!$A:$A,"caiso-deliverability_"&amp;SUBSTITUTE(Dashboard!$D743,"_group",Dashboard!$D$633)&amp;"."&amp;YEAR(Dashboard!AB$537))+AB711</f>
        <v>0</v>
      </c>
      <c r="AC743" s="10">
        <f>SUMIFS('Custom Constraints'!$C:$C,'Custom Constraints'!$A:$A,"caiso-deliverability_"&amp;SUBSTITUTE(Dashboard!$D743,"_group",Dashboard!$D$633)&amp;"."&amp;YEAR(Dashboard!AC$537))+AC711</f>
        <v>0</v>
      </c>
      <c r="AD743" s="10">
        <f>SUMIFS('Custom Constraints'!$C:$C,'Custom Constraints'!$A:$A,"caiso-deliverability_"&amp;SUBSTITUTE(Dashboard!$D743,"_group",Dashboard!$D$633)&amp;"."&amp;YEAR(Dashboard!AD$537))+AD711</f>
        <v>7241</v>
      </c>
      <c r="AH743" s="34" t="s">
        <v>422</v>
      </c>
    </row>
    <row r="744" spans="4:34" outlineLevel="2" x14ac:dyDescent="0.2">
      <c r="D744" s="8" t="s">
        <v>269</v>
      </c>
      <c r="E744" s="10">
        <f>SUMIFS('Custom Constraints'!$C:$C,'Custom Constraints'!$A:$A,"caiso-deliverability_"&amp;SUBSTITUTE(Dashboard!$D744,"_group",Dashboard!$D$633)&amp;"."&amp;YEAR(Dashboard!E$537))+E712</f>
        <v>0</v>
      </c>
      <c r="F744" s="10">
        <f>SUMIFS('Custom Constraints'!$C:$C,'Custom Constraints'!$A:$A,"caiso-deliverability_"&amp;SUBSTITUTE(Dashboard!$D744,"_group",Dashboard!$D$633)&amp;"."&amp;YEAR(Dashboard!F$537))+F712</f>
        <v>0</v>
      </c>
      <c r="G744" s="10">
        <f>SUMIFS('Custom Constraints'!$C:$C,'Custom Constraints'!$A:$A,"caiso-deliverability_"&amp;SUBSTITUTE(Dashboard!$D744,"_group",Dashboard!$D$633)&amp;"."&amp;YEAR(Dashboard!G$537))+G712</f>
        <v>0</v>
      </c>
      <c r="H744" s="10">
        <f>SUMIFS('Custom Constraints'!$C:$C,'Custom Constraints'!$A:$A,"caiso-deliverability_"&amp;SUBSTITUTE(Dashboard!$D744,"_group",Dashboard!$D$633)&amp;"."&amp;YEAR(Dashboard!H$537))+H712</f>
        <v>0</v>
      </c>
      <c r="I744" s="10">
        <f>SUMIFS('Custom Constraints'!$C:$C,'Custom Constraints'!$A:$A,"caiso-deliverability_"&amp;SUBSTITUTE(Dashboard!$D744,"_group",Dashboard!$D$633)&amp;"."&amp;YEAR(Dashboard!I$537))+I712</f>
        <v>0</v>
      </c>
      <c r="J744" s="10">
        <f>SUMIFS('Custom Constraints'!$C:$C,'Custom Constraints'!$A:$A,"caiso-deliverability_"&amp;SUBSTITUTE(Dashboard!$D744,"_group",Dashboard!$D$633)&amp;"."&amp;YEAR(Dashboard!J$537))+J712</f>
        <v>0</v>
      </c>
      <c r="K744" s="10">
        <f>SUMIFS('Custom Constraints'!$C:$C,'Custom Constraints'!$A:$A,"caiso-deliverability_"&amp;SUBSTITUTE(Dashboard!$D744,"_group",Dashboard!$D$633)&amp;"."&amp;YEAR(Dashboard!K$537))+K712</f>
        <v>0</v>
      </c>
      <c r="L744" s="10">
        <f>SUMIFS('Custom Constraints'!$C:$C,'Custom Constraints'!$A:$A,"caiso-deliverability_"&amp;SUBSTITUTE(Dashboard!$D744,"_group",Dashboard!$D$633)&amp;"."&amp;YEAR(Dashboard!L$537))+L712</f>
        <v>0</v>
      </c>
      <c r="M744" s="10">
        <f>SUMIFS('Custom Constraints'!$C:$C,'Custom Constraints'!$A:$A,"caiso-deliverability_"&amp;SUBSTITUTE(Dashboard!$D744,"_group",Dashboard!$D$633)&amp;"."&amp;YEAR(Dashboard!M$537))+M712</f>
        <v>0</v>
      </c>
      <c r="N744" s="10">
        <f>SUMIFS('Custom Constraints'!$C:$C,'Custom Constraints'!$A:$A,"caiso-deliverability_"&amp;SUBSTITUTE(Dashboard!$D744,"_group",Dashboard!$D$633)&amp;"."&amp;YEAR(Dashboard!N$537))+N712</f>
        <v>0</v>
      </c>
      <c r="O744" s="10">
        <f>SUMIFS('Custom Constraints'!$C:$C,'Custom Constraints'!$A:$A,"caiso-deliverability_"&amp;SUBSTITUTE(Dashboard!$D744,"_group",Dashboard!$D$633)&amp;"."&amp;YEAR(Dashboard!O$537))+O712</f>
        <v>0</v>
      </c>
      <c r="P744" s="10">
        <f>SUMIFS('Custom Constraints'!$C:$C,'Custom Constraints'!$A:$A,"caiso-deliverability_"&amp;SUBSTITUTE(Dashboard!$D744,"_group",Dashboard!$D$633)&amp;"."&amp;YEAR(Dashboard!P$537))+P712</f>
        <v>0</v>
      </c>
      <c r="Q744" s="10">
        <f>SUMIFS('Custom Constraints'!$C:$C,'Custom Constraints'!$A:$A,"caiso-deliverability_"&amp;SUBSTITUTE(Dashboard!$D744,"_group",Dashboard!$D$633)&amp;"."&amp;YEAR(Dashboard!Q$537))+Q712</f>
        <v>0</v>
      </c>
      <c r="R744" s="10">
        <f>SUMIFS('Custom Constraints'!$C:$C,'Custom Constraints'!$A:$A,"caiso-deliverability_"&amp;SUBSTITUTE(Dashboard!$D744,"_group",Dashboard!$D$633)&amp;"."&amp;YEAR(Dashboard!R$537))+R712</f>
        <v>0</v>
      </c>
      <c r="S744" s="10">
        <f>SUMIFS('Custom Constraints'!$C:$C,'Custom Constraints'!$A:$A,"caiso-deliverability_"&amp;SUBSTITUTE(Dashboard!$D744,"_group",Dashboard!$D$633)&amp;"."&amp;YEAR(Dashboard!S$537))+S712</f>
        <v>0</v>
      </c>
      <c r="T744" s="10">
        <f>SUMIFS('Custom Constraints'!$C:$C,'Custom Constraints'!$A:$A,"caiso-deliverability_"&amp;SUBSTITUTE(Dashboard!$D744,"_group",Dashboard!$D$633)&amp;"."&amp;YEAR(Dashboard!T$537))+T712</f>
        <v>0</v>
      </c>
      <c r="U744" s="10">
        <f>SUMIFS('Custom Constraints'!$C:$C,'Custom Constraints'!$A:$A,"caiso-deliverability_"&amp;SUBSTITUTE(Dashboard!$D744,"_group",Dashboard!$D$633)&amp;"."&amp;YEAR(Dashboard!U$537))+U712</f>
        <v>0</v>
      </c>
      <c r="V744" s="10">
        <f>SUMIFS('Custom Constraints'!$C:$C,'Custom Constraints'!$A:$A,"caiso-deliverability_"&amp;SUBSTITUTE(Dashboard!$D744,"_group",Dashboard!$D$633)&amp;"."&amp;YEAR(Dashboard!V$537))+V712</f>
        <v>0</v>
      </c>
      <c r="W744" s="10">
        <f>SUMIFS('Custom Constraints'!$C:$C,'Custom Constraints'!$A:$A,"caiso-deliverability_"&amp;SUBSTITUTE(Dashboard!$D744,"_group",Dashboard!$D$633)&amp;"."&amp;YEAR(Dashboard!W$537))+W712</f>
        <v>0</v>
      </c>
      <c r="X744" s="10">
        <f>SUMIFS('Custom Constraints'!$C:$C,'Custom Constraints'!$A:$A,"caiso-deliverability_"&amp;SUBSTITUTE(Dashboard!$D744,"_group",Dashboard!$D$633)&amp;"."&amp;YEAR(Dashboard!X$537))+X712</f>
        <v>0</v>
      </c>
      <c r="Y744" s="10">
        <f>SUMIFS('Custom Constraints'!$C:$C,'Custom Constraints'!$A:$A,"caiso-deliverability_"&amp;SUBSTITUTE(Dashboard!$D744,"_group",Dashboard!$D$633)&amp;"."&amp;YEAR(Dashboard!Y$537))+Y712</f>
        <v>0</v>
      </c>
      <c r="Z744" s="10">
        <f>SUMIFS('Custom Constraints'!$C:$C,'Custom Constraints'!$A:$A,"caiso-deliverability_"&amp;SUBSTITUTE(Dashboard!$D744,"_group",Dashboard!$D$633)&amp;"."&amp;YEAR(Dashboard!Z$537))+Z712</f>
        <v>0</v>
      </c>
      <c r="AA744" s="10">
        <f>SUMIFS('Custom Constraints'!$C:$C,'Custom Constraints'!$A:$A,"caiso-deliverability_"&amp;SUBSTITUTE(Dashboard!$D744,"_group",Dashboard!$D$633)&amp;"."&amp;YEAR(Dashboard!AA$537))+AA712</f>
        <v>0</v>
      </c>
      <c r="AB744" s="10">
        <f>SUMIFS('Custom Constraints'!$C:$C,'Custom Constraints'!$A:$A,"caiso-deliverability_"&amp;SUBSTITUTE(Dashboard!$D744,"_group",Dashboard!$D$633)&amp;"."&amp;YEAR(Dashboard!AB$537))+AB712</f>
        <v>0</v>
      </c>
      <c r="AC744" s="10">
        <f>SUMIFS('Custom Constraints'!$C:$C,'Custom Constraints'!$A:$A,"caiso-deliverability_"&amp;SUBSTITUTE(Dashboard!$D744,"_group",Dashboard!$D$633)&amp;"."&amp;YEAR(Dashboard!AC$537))+AC712</f>
        <v>0</v>
      </c>
      <c r="AD744" s="10">
        <f>SUMIFS('Custom Constraints'!$C:$C,'Custom Constraints'!$A:$A,"caiso-deliverability_"&amp;SUBSTITUTE(Dashboard!$D744,"_group",Dashboard!$D$633)&amp;"."&amp;YEAR(Dashboard!AD$537))+AD712</f>
        <v>6.0771691573199993</v>
      </c>
      <c r="AH744" s="34" t="s">
        <v>422</v>
      </c>
    </row>
    <row r="745" spans="4:34" outlineLevel="2" x14ac:dyDescent="0.2">
      <c r="D745" s="8" t="s">
        <v>270</v>
      </c>
      <c r="E745" s="10">
        <f>SUMIFS('Custom Constraints'!$C:$C,'Custom Constraints'!$A:$A,"caiso-deliverability_"&amp;SUBSTITUTE(Dashboard!$D745,"_group",Dashboard!$D$633)&amp;"."&amp;YEAR(Dashboard!E$537))+E713</f>
        <v>0</v>
      </c>
      <c r="F745" s="10">
        <f>SUMIFS('Custom Constraints'!$C:$C,'Custom Constraints'!$A:$A,"caiso-deliverability_"&amp;SUBSTITUTE(Dashboard!$D745,"_group",Dashboard!$D$633)&amp;"."&amp;YEAR(Dashboard!F$537))+F713</f>
        <v>0</v>
      </c>
      <c r="G745" s="10">
        <f>SUMIFS('Custom Constraints'!$C:$C,'Custom Constraints'!$A:$A,"caiso-deliverability_"&amp;SUBSTITUTE(Dashboard!$D745,"_group",Dashboard!$D$633)&amp;"."&amp;YEAR(Dashboard!G$537))+G713</f>
        <v>0</v>
      </c>
      <c r="H745" s="10">
        <f>SUMIFS('Custom Constraints'!$C:$C,'Custom Constraints'!$A:$A,"caiso-deliverability_"&amp;SUBSTITUTE(Dashboard!$D745,"_group",Dashboard!$D$633)&amp;"."&amp;YEAR(Dashboard!H$537))+H713</f>
        <v>0</v>
      </c>
      <c r="I745" s="10">
        <f>SUMIFS('Custom Constraints'!$C:$C,'Custom Constraints'!$A:$A,"caiso-deliverability_"&amp;SUBSTITUTE(Dashboard!$D745,"_group",Dashboard!$D$633)&amp;"."&amp;YEAR(Dashboard!I$537))+I713</f>
        <v>0</v>
      </c>
      <c r="J745" s="10">
        <f>SUMIFS('Custom Constraints'!$C:$C,'Custom Constraints'!$A:$A,"caiso-deliverability_"&amp;SUBSTITUTE(Dashboard!$D745,"_group",Dashboard!$D$633)&amp;"."&amp;YEAR(Dashboard!J$537))+J713</f>
        <v>0</v>
      </c>
      <c r="K745" s="10">
        <f>SUMIFS('Custom Constraints'!$C:$C,'Custom Constraints'!$A:$A,"caiso-deliverability_"&amp;SUBSTITUTE(Dashboard!$D745,"_group",Dashboard!$D$633)&amp;"."&amp;YEAR(Dashboard!K$537))+K713</f>
        <v>0</v>
      </c>
      <c r="L745" s="10">
        <f>SUMIFS('Custom Constraints'!$C:$C,'Custom Constraints'!$A:$A,"caiso-deliverability_"&amp;SUBSTITUTE(Dashboard!$D745,"_group",Dashboard!$D$633)&amp;"."&amp;YEAR(Dashboard!L$537))+L713</f>
        <v>0</v>
      </c>
      <c r="M745" s="10">
        <f>SUMIFS('Custom Constraints'!$C:$C,'Custom Constraints'!$A:$A,"caiso-deliverability_"&amp;SUBSTITUTE(Dashboard!$D745,"_group",Dashboard!$D$633)&amp;"."&amp;YEAR(Dashboard!M$537))+M713</f>
        <v>0</v>
      </c>
      <c r="N745" s="10">
        <f>SUMIFS('Custom Constraints'!$C:$C,'Custom Constraints'!$A:$A,"caiso-deliverability_"&amp;SUBSTITUTE(Dashboard!$D745,"_group",Dashboard!$D$633)&amp;"."&amp;YEAR(Dashboard!N$537))+N713</f>
        <v>0</v>
      </c>
      <c r="O745" s="10">
        <f>SUMIFS('Custom Constraints'!$C:$C,'Custom Constraints'!$A:$A,"caiso-deliverability_"&amp;SUBSTITUTE(Dashboard!$D745,"_group",Dashboard!$D$633)&amp;"."&amp;YEAR(Dashboard!O$537))+O713</f>
        <v>0</v>
      </c>
      <c r="P745" s="10">
        <f>SUMIFS('Custom Constraints'!$C:$C,'Custom Constraints'!$A:$A,"caiso-deliverability_"&amp;SUBSTITUTE(Dashboard!$D745,"_group",Dashboard!$D$633)&amp;"."&amp;YEAR(Dashboard!P$537))+P713</f>
        <v>0</v>
      </c>
      <c r="Q745" s="10">
        <f>SUMIFS('Custom Constraints'!$C:$C,'Custom Constraints'!$A:$A,"caiso-deliverability_"&amp;SUBSTITUTE(Dashboard!$D745,"_group",Dashboard!$D$633)&amp;"."&amp;YEAR(Dashboard!Q$537))+Q713</f>
        <v>0</v>
      </c>
      <c r="R745" s="10">
        <f>SUMIFS('Custom Constraints'!$C:$C,'Custom Constraints'!$A:$A,"caiso-deliverability_"&amp;SUBSTITUTE(Dashboard!$D745,"_group",Dashboard!$D$633)&amp;"."&amp;YEAR(Dashboard!R$537))+R713</f>
        <v>0</v>
      </c>
      <c r="S745" s="10">
        <f>SUMIFS('Custom Constraints'!$C:$C,'Custom Constraints'!$A:$A,"caiso-deliverability_"&amp;SUBSTITUTE(Dashboard!$D745,"_group",Dashboard!$D$633)&amp;"."&amp;YEAR(Dashboard!S$537))+S713</f>
        <v>0</v>
      </c>
      <c r="T745" s="10">
        <f>SUMIFS('Custom Constraints'!$C:$C,'Custom Constraints'!$A:$A,"caiso-deliverability_"&amp;SUBSTITUTE(Dashboard!$D745,"_group",Dashboard!$D$633)&amp;"."&amp;YEAR(Dashboard!T$537))+T713</f>
        <v>0</v>
      </c>
      <c r="U745" s="10">
        <f>SUMIFS('Custom Constraints'!$C:$C,'Custom Constraints'!$A:$A,"caiso-deliverability_"&amp;SUBSTITUTE(Dashboard!$D745,"_group",Dashboard!$D$633)&amp;"."&amp;YEAR(Dashboard!U$537))+U713</f>
        <v>0</v>
      </c>
      <c r="V745" s="10">
        <f>SUMIFS('Custom Constraints'!$C:$C,'Custom Constraints'!$A:$A,"caiso-deliverability_"&amp;SUBSTITUTE(Dashboard!$D745,"_group",Dashboard!$D$633)&amp;"."&amp;YEAR(Dashboard!V$537))+V713</f>
        <v>0</v>
      </c>
      <c r="W745" s="10">
        <f>SUMIFS('Custom Constraints'!$C:$C,'Custom Constraints'!$A:$A,"caiso-deliverability_"&amp;SUBSTITUTE(Dashboard!$D745,"_group",Dashboard!$D$633)&amp;"."&amp;YEAR(Dashboard!W$537))+W713</f>
        <v>0</v>
      </c>
      <c r="X745" s="10">
        <f>SUMIFS('Custom Constraints'!$C:$C,'Custom Constraints'!$A:$A,"caiso-deliverability_"&amp;SUBSTITUTE(Dashboard!$D745,"_group",Dashboard!$D$633)&amp;"."&amp;YEAR(Dashboard!X$537))+X713</f>
        <v>0</v>
      </c>
      <c r="Y745" s="10">
        <f>SUMIFS('Custom Constraints'!$C:$C,'Custom Constraints'!$A:$A,"caiso-deliverability_"&amp;SUBSTITUTE(Dashboard!$D745,"_group",Dashboard!$D$633)&amp;"."&amp;YEAR(Dashboard!Y$537))+Y713</f>
        <v>0</v>
      </c>
      <c r="Z745" s="10">
        <f>SUMIFS('Custom Constraints'!$C:$C,'Custom Constraints'!$A:$A,"caiso-deliverability_"&amp;SUBSTITUTE(Dashboard!$D745,"_group",Dashboard!$D$633)&amp;"."&amp;YEAR(Dashboard!Z$537))+Z713</f>
        <v>0</v>
      </c>
      <c r="AA745" s="10">
        <f>SUMIFS('Custom Constraints'!$C:$C,'Custom Constraints'!$A:$A,"caiso-deliverability_"&amp;SUBSTITUTE(Dashboard!$D745,"_group",Dashboard!$D$633)&amp;"."&amp;YEAR(Dashboard!AA$537))+AA713</f>
        <v>0</v>
      </c>
      <c r="AB745" s="10">
        <f>SUMIFS('Custom Constraints'!$C:$C,'Custom Constraints'!$A:$A,"caiso-deliverability_"&amp;SUBSTITUTE(Dashboard!$D745,"_group",Dashboard!$D$633)&amp;"."&amp;YEAR(Dashboard!AB$537))+AB713</f>
        <v>0</v>
      </c>
      <c r="AC745" s="10">
        <f>SUMIFS('Custom Constraints'!$C:$C,'Custom Constraints'!$A:$A,"caiso-deliverability_"&amp;SUBSTITUTE(Dashboard!$D745,"_group",Dashboard!$D$633)&amp;"."&amp;YEAR(Dashboard!AC$537))+AC713</f>
        <v>0</v>
      </c>
      <c r="AD745" s="10">
        <f>SUMIFS('Custom Constraints'!$C:$C,'Custom Constraints'!$A:$A,"caiso-deliverability_"&amp;SUBSTITUTE(Dashboard!$D745,"_group",Dashboard!$D$633)&amp;"."&amp;YEAR(Dashboard!AD$537))+AD713</f>
        <v>102.30045862799945</v>
      </c>
      <c r="AH745" s="34" t="s">
        <v>422</v>
      </c>
    </row>
    <row r="746" spans="4:34" outlineLevel="2" x14ac:dyDescent="0.2">
      <c r="D746" s="8" t="s">
        <v>271</v>
      </c>
      <c r="E746" s="10">
        <f>SUMIFS('Custom Constraints'!$C:$C,'Custom Constraints'!$A:$A,"caiso-deliverability_"&amp;SUBSTITUTE(Dashboard!$D746,"_group",Dashboard!$D$633)&amp;"."&amp;YEAR(Dashboard!E$537))+E714</f>
        <v>0</v>
      </c>
      <c r="F746" s="10">
        <f>SUMIFS('Custom Constraints'!$C:$C,'Custom Constraints'!$A:$A,"caiso-deliverability_"&amp;SUBSTITUTE(Dashboard!$D746,"_group",Dashboard!$D$633)&amp;"."&amp;YEAR(Dashboard!F$537))+F714</f>
        <v>0</v>
      </c>
      <c r="G746" s="10">
        <f>SUMIFS('Custom Constraints'!$C:$C,'Custom Constraints'!$A:$A,"caiso-deliverability_"&amp;SUBSTITUTE(Dashboard!$D746,"_group",Dashboard!$D$633)&amp;"."&amp;YEAR(Dashboard!G$537))+G714</f>
        <v>0</v>
      </c>
      <c r="H746" s="10">
        <f>SUMIFS('Custom Constraints'!$C:$C,'Custom Constraints'!$A:$A,"caiso-deliverability_"&amp;SUBSTITUTE(Dashboard!$D746,"_group",Dashboard!$D$633)&amp;"."&amp;YEAR(Dashboard!H$537))+H714</f>
        <v>0</v>
      </c>
      <c r="I746" s="10">
        <f>SUMIFS('Custom Constraints'!$C:$C,'Custom Constraints'!$A:$A,"caiso-deliverability_"&amp;SUBSTITUTE(Dashboard!$D746,"_group",Dashboard!$D$633)&amp;"."&amp;YEAR(Dashboard!I$537))+I714</f>
        <v>0</v>
      </c>
      <c r="J746" s="10">
        <f>SUMIFS('Custom Constraints'!$C:$C,'Custom Constraints'!$A:$A,"caiso-deliverability_"&amp;SUBSTITUTE(Dashboard!$D746,"_group",Dashboard!$D$633)&amp;"."&amp;YEAR(Dashboard!J$537))+J714</f>
        <v>0</v>
      </c>
      <c r="K746" s="10">
        <f>SUMIFS('Custom Constraints'!$C:$C,'Custom Constraints'!$A:$A,"caiso-deliverability_"&amp;SUBSTITUTE(Dashboard!$D746,"_group",Dashboard!$D$633)&amp;"."&amp;YEAR(Dashboard!K$537))+K714</f>
        <v>0</v>
      </c>
      <c r="L746" s="10">
        <f>SUMIFS('Custom Constraints'!$C:$C,'Custom Constraints'!$A:$A,"caiso-deliverability_"&amp;SUBSTITUTE(Dashboard!$D746,"_group",Dashboard!$D$633)&amp;"."&amp;YEAR(Dashboard!L$537))+L714</f>
        <v>0</v>
      </c>
      <c r="M746" s="10">
        <f>SUMIFS('Custom Constraints'!$C:$C,'Custom Constraints'!$A:$A,"caiso-deliverability_"&amp;SUBSTITUTE(Dashboard!$D746,"_group",Dashboard!$D$633)&amp;"."&amp;YEAR(Dashboard!M$537))+M714</f>
        <v>0</v>
      </c>
      <c r="N746" s="10">
        <f>SUMIFS('Custom Constraints'!$C:$C,'Custom Constraints'!$A:$A,"caiso-deliverability_"&amp;SUBSTITUTE(Dashboard!$D746,"_group",Dashboard!$D$633)&amp;"."&amp;YEAR(Dashboard!N$537))+N714</f>
        <v>0</v>
      </c>
      <c r="O746" s="10">
        <f>SUMIFS('Custom Constraints'!$C:$C,'Custom Constraints'!$A:$A,"caiso-deliverability_"&amp;SUBSTITUTE(Dashboard!$D746,"_group",Dashboard!$D$633)&amp;"."&amp;YEAR(Dashboard!O$537))+O714</f>
        <v>0</v>
      </c>
      <c r="P746" s="10">
        <f>SUMIFS('Custom Constraints'!$C:$C,'Custom Constraints'!$A:$A,"caiso-deliverability_"&amp;SUBSTITUTE(Dashboard!$D746,"_group",Dashboard!$D$633)&amp;"."&amp;YEAR(Dashboard!P$537))+P714</f>
        <v>0</v>
      </c>
      <c r="Q746" s="10">
        <f>SUMIFS('Custom Constraints'!$C:$C,'Custom Constraints'!$A:$A,"caiso-deliverability_"&amp;SUBSTITUTE(Dashboard!$D746,"_group",Dashboard!$D$633)&amp;"."&amp;YEAR(Dashboard!Q$537))+Q714</f>
        <v>0</v>
      </c>
      <c r="R746" s="10">
        <f>SUMIFS('Custom Constraints'!$C:$C,'Custom Constraints'!$A:$A,"caiso-deliverability_"&amp;SUBSTITUTE(Dashboard!$D746,"_group",Dashboard!$D$633)&amp;"."&amp;YEAR(Dashboard!R$537))+R714</f>
        <v>0</v>
      </c>
      <c r="S746" s="10">
        <f>SUMIFS('Custom Constraints'!$C:$C,'Custom Constraints'!$A:$A,"caiso-deliverability_"&amp;SUBSTITUTE(Dashboard!$D746,"_group",Dashboard!$D$633)&amp;"."&amp;YEAR(Dashboard!S$537))+S714</f>
        <v>0</v>
      </c>
      <c r="T746" s="10">
        <f>SUMIFS('Custom Constraints'!$C:$C,'Custom Constraints'!$A:$A,"caiso-deliverability_"&amp;SUBSTITUTE(Dashboard!$D746,"_group",Dashboard!$D$633)&amp;"."&amp;YEAR(Dashboard!T$537))+T714</f>
        <v>0</v>
      </c>
      <c r="U746" s="10">
        <f>SUMIFS('Custom Constraints'!$C:$C,'Custom Constraints'!$A:$A,"caiso-deliverability_"&amp;SUBSTITUTE(Dashboard!$D746,"_group",Dashboard!$D$633)&amp;"."&amp;YEAR(Dashboard!U$537))+U714</f>
        <v>0</v>
      </c>
      <c r="V746" s="10">
        <f>SUMIFS('Custom Constraints'!$C:$C,'Custom Constraints'!$A:$A,"caiso-deliverability_"&amp;SUBSTITUTE(Dashboard!$D746,"_group",Dashboard!$D$633)&amp;"."&amp;YEAR(Dashboard!V$537))+V714</f>
        <v>0</v>
      </c>
      <c r="W746" s="10">
        <f>SUMIFS('Custom Constraints'!$C:$C,'Custom Constraints'!$A:$A,"caiso-deliverability_"&amp;SUBSTITUTE(Dashboard!$D746,"_group",Dashboard!$D$633)&amp;"."&amp;YEAR(Dashboard!W$537))+W714</f>
        <v>0</v>
      </c>
      <c r="X746" s="10">
        <f>SUMIFS('Custom Constraints'!$C:$C,'Custom Constraints'!$A:$A,"caiso-deliverability_"&amp;SUBSTITUTE(Dashboard!$D746,"_group",Dashboard!$D$633)&amp;"."&amp;YEAR(Dashboard!X$537))+X714</f>
        <v>0</v>
      </c>
      <c r="Y746" s="10">
        <f>SUMIFS('Custom Constraints'!$C:$C,'Custom Constraints'!$A:$A,"caiso-deliverability_"&amp;SUBSTITUTE(Dashboard!$D746,"_group",Dashboard!$D$633)&amp;"."&amp;YEAR(Dashboard!Y$537))+Y714</f>
        <v>0</v>
      </c>
      <c r="Z746" s="10">
        <f>SUMIFS('Custom Constraints'!$C:$C,'Custom Constraints'!$A:$A,"caiso-deliverability_"&amp;SUBSTITUTE(Dashboard!$D746,"_group",Dashboard!$D$633)&amp;"."&amp;YEAR(Dashboard!Z$537))+Z714</f>
        <v>0</v>
      </c>
      <c r="AA746" s="10">
        <f>SUMIFS('Custom Constraints'!$C:$C,'Custom Constraints'!$A:$A,"caiso-deliverability_"&amp;SUBSTITUTE(Dashboard!$D746,"_group",Dashboard!$D$633)&amp;"."&amp;YEAR(Dashboard!AA$537))+AA714</f>
        <v>0</v>
      </c>
      <c r="AB746" s="10">
        <f>SUMIFS('Custom Constraints'!$C:$C,'Custom Constraints'!$A:$A,"caiso-deliverability_"&amp;SUBSTITUTE(Dashboard!$D746,"_group",Dashboard!$D$633)&amp;"."&amp;YEAR(Dashboard!AB$537))+AB714</f>
        <v>0</v>
      </c>
      <c r="AC746" s="10">
        <f>SUMIFS('Custom Constraints'!$C:$C,'Custom Constraints'!$A:$A,"caiso-deliverability_"&amp;SUBSTITUTE(Dashboard!$D746,"_group",Dashboard!$D$633)&amp;"."&amp;YEAR(Dashboard!AC$537))+AC714</f>
        <v>0</v>
      </c>
      <c r="AD746" s="10">
        <f>SUMIFS('Custom Constraints'!$C:$C,'Custom Constraints'!$A:$A,"caiso-deliverability_"&amp;SUBSTITUTE(Dashboard!$D746,"_group",Dashboard!$D$633)&amp;"."&amp;YEAR(Dashboard!AD$537))+AD714</f>
        <v>2766</v>
      </c>
      <c r="AH746" s="34" t="s">
        <v>422</v>
      </c>
    </row>
    <row r="747" spans="4:34" outlineLevel="2" x14ac:dyDescent="0.2">
      <c r="D747" s="8" t="s">
        <v>272</v>
      </c>
      <c r="E747" s="10">
        <f>SUMIFS('Custom Constraints'!$C:$C,'Custom Constraints'!$A:$A,"caiso-deliverability_"&amp;SUBSTITUTE(Dashboard!$D747,"_group",Dashboard!$D$633)&amp;"."&amp;YEAR(Dashboard!E$537))+E715</f>
        <v>0</v>
      </c>
      <c r="F747" s="10">
        <f>SUMIFS('Custom Constraints'!$C:$C,'Custom Constraints'!$A:$A,"caiso-deliverability_"&amp;SUBSTITUTE(Dashboard!$D747,"_group",Dashboard!$D$633)&amp;"."&amp;YEAR(Dashboard!F$537))+F715</f>
        <v>0</v>
      </c>
      <c r="G747" s="10">
        <f>SUMIFS('Custom Constraints'!$C:$C,'Custom Constraints'!$A:$A,"caiso-deliverability_"&amp;SUBSTITUTE(Dashboard!$D747,"_group",Dashboard!$D$633)&amp;"."&amp;YEAR(Dashboard!G$537))+G715</f>
        <v>0</v>
      </c>
      <c r="H747" s="10">
        <f>SUMIFS('Custom Constraints'!$C:$C,'Custom Constraints'!$A:$A,"caiso-deliverability_"&amp;SUBSTITUTE(Dashboard!$D747,"_group",Dashboard!$D$633)&amp;"."&amp;YEAR(Dashboard!H$537))+H715</f>
        <v>0</v>
      </c>
      <c r="I747" s="10">
        <f>SUMIFS('Custom Constraints'!$C:$C,'Custom Constraints'!$A:$A,"caiso-deliverability_"&amp;SUBSTITUTE(Dashboard!$D747,"_group",Dashboard!$D$633)&amp;"."&amp;YEAR(Dashboard!I$537))+I715</f>
        <v>0</v>
      </c>
      <c r="J747" s="10">
        <f>SUMIFS('Custom Constraints'!$C:$C,'Custom Constraints'!$A:$A,"caiso-deliverability_"&amp;SUBSTITUTE(Dashboard!$D747,"_group",Dashboard!$D$633)&amp;"."&amp;YEAR(Dashboard!J$537))+J715</f>
        <v>0</v>
      </c>
      <c r="K747" s="10">
        <f>SUMIFS('Custom Constraints'!$C:$C,'Custom Constraints'!$A:$A,"caiso-deliverability_"&amp;SUBSTITUTE(Dashboard!$D747,"_group",Dashboard!$D$633)&amp;"."&amp;YEAR(Dashboard!K$537))+K715</f>
        <v>0</v>
      </c>
      <c r="L747" s="10">
        <f>SUMIFS('Custom Constraints'!$C:$C,'Custom Constraints'!$A:$A,"caiso-deliverability_"&amp;SUBSTITUTE(Dashboard!$D747,"_group",Dashboard!$D$633)&amp;"."&amp;YEAR(Dashboard!L$537))+L715</f>
        <v>0</v>
      </c>
      <c r="M747" s="10">
        <f>SUMIFS('Custom Constraints'!$C:$C,'Custom Constraints'!$A:$A,"caiso-deliverability_"&amp;SUBSTITUTE(Dashboard!$D747,"_group",Dashboard!$D$633)&amp;"."&amp;YEAR(Dashboard!M$537))+M715</f>
        <v>0</v>
      </c>
      <c r="N747" s="10">
        <f>SUMIFS('Custom Constraints'!$C:$C,'Custom Constraints'!$A:$A,"caiso-deliverability_"&amp;SUBSTITUTE(Dashboard!$D747,"_group",Dashboard!$D$633)&amp;"."&amp;YEAR(Dashboard!N$537))+N715</f>
        <v>0</v>
      </c>
      <c r="O747" s="10">
        <f>SUMIFS('Custom Constraints'!$C:$C,'Custom Constraints'!$A:$A,"caiso-deliverability_"&amp;SUBSTITUTE(Dashboard!$D747,"_group",Dashboard!$D$633)&amp;"."&amp;YEAR(Dashboard!O$537))+O715</f>
        <v>0</v>
      </c>
      <c r="P747" s="10">
        <f>SUMIFS('Custom Constraints'!$C:$C,'Custom Constraints'!$A:$A,"caiso-deliverability_"&amp;SUBSTITUTE(Dashboard!$D747,"_group",Dashboard!$D$633)&amp;"."&amp;YEAR(Dashboard!P$537))+P715</f>
        <v>0</v>
      </c>
      <c r="Q747" s="10">
        <f>SUMIFS('Custom Constraints'!$C:$C,'Custom Constraints'!$A:$A,"caiso-deliverability_"&amp;SUBSTITUTE(Dashboard!$D747,"_group",Dashboard!$D$633)&amp;"."&amp;YEAR(Dashboard!Q$537))+Q715</f>
        <v>0</v>
      </c>
      <c r="R747" s="10">
        <f>SUMIFS('Custom Constraints'!$C:$C,'Custom Constraints'!$A:$A,"caiso-deliverability_"&amp;SUBSTITUTE(Dashboard!$D747,"_group",Dashboard!$D$633)&amp;"."&amp;YEAR(Dashboard!R$537))+R715</f>
        <v>0</v>
      </c>
      <c r="S747" s="10">
        <f>SUMIFS('Custom Constraints'!$C:$C,'Custom Constraints'!$A:$A,"caiso-deliverability_"&amp;SUBSTITUTE(Dashboard!$D747,"_group",Dashboard!$D$633)&amp;"."&amp;YEAR(Dashboard!S$537))+S715</f>
        <v>0</v>
      </c>
      <c r="T747" s="10">
        <f>SUMIFS('Custom Constraints'!$C:$C,'Custom Constraints'!$A:$A,"caiso-deliverability_"&amp;SUBSTITUTE(Dashboard!$D747,"_group",Dashboard!$D$633)&amp;"."&amp;YEAR(Dashboard!T$537))+T715</f>
        <v>0</v>
      </c>
      <c r="U747" s="10">
        <f>SUMIFS('Custom Constraints'!$C:$C,'Custom Constraints'!$A:$A,"caiso-deliverability_"&amp;SUBSTITUTE(Dashboard!$D747,"_group",Dashboard!$D$633)&amp;"."&amp;YEAR(Dashboard!U$537))+U715</f>
        <v>0</v>
      </c>
      <c r="V747" s="10">
        <f>SUMIFS('Custom Constraints'!$C:$C,'Custom Constraints'!$A:$A,"caiso-deliverability_"&amp;SUBSTITUTE(Dashboard!$D747,"_group",Dashboard!$D$633)&amp;"."&amp;YEAR(Dashboard!V$537))+V715</f>
        <v>0</v>
      </c>
      <c r="W747" s="10">
        <f>SUMIFS('Custom Constraints'!$C:$C,'Custom Constraints'!$A:$A,"caiso-deliverability_"&amp;SUBSTITUTE(Dashboard!$D747,"_group",Dashboard!$D$633)&amp;"."&amp;YEAR(Dashboard!W$537))+W715</f>
        <v>0</v>
      </c>
      <c r="X747" s="10">
        <f>SUMIFS('Custom Constraints'!$C:$C,'Custom Constraints'!$A:$A,"caiso-deliverability_"&amp;SUBSTITUTE(Dashboard!$D747,"_group",Dashboard!$D$633)&amp;"."&amp;YEAR(Dashboard!X$537))+X715</f>
        <v>0</v>
      </c>
      <c r="Y747" s="10">
        <f>SUMIFS('Custom Constraints'!$C:$C,'Custom Constraints'!$A:$A,"caiso-deliverability_"&amp;SUBSTITUTE(Dashboard!$D747,"_group",Dashboard!$D$633)&amp;"."&amp;YEAR(Dashboard!Y$537))+Y715</f>
        <v>0</v>
      </c>
      <c r="Z747" s="10">
        <f>SUMIFS('Custom Constraints'!$C:$C,'Custom Constraints'!$A:$A,"caiso-deliverability_"&amp;SUBSTITUTE(Dashboard!$D747,"_group",Dashboard!$D$633)&amp;"."&amp;YEAR(Dashboard!Z$537))+Z715</f>
        <v>0</v>
      </c>
      <c r="AA747" s="10">
        <f>SUMIFS('Custom Constraints'!$C:$C,'Custom Constraints'!$A:$A,"caiso-deliverability_"&amp;SUBSTITUTE(Dashboard!$D747,"_group",Dashboard!$D$633)&amp;"."&amp;YEAR(Dashboard!AA$537))+AA715</f>
        <v>0</v>
      </c>
      <c r="AB747" s="10">
        <f>SUMIFS('Custom Constraints'!$C:$C,'Custom Constraints'!$A:$A,"caiso-deliverability_"&amp;SUBSTITUTE(Dashboard!$D747,"_group",Dashboard!$D$633)&amp;"."&amp;YEAR(Dashboard!AB$537))+AB715</f>
        <v>0</v>
      </c>
      <c r="AC747" s="10">
        <f>SUMIFS('Custom Constraints'!$C:$C,'Custom Constraints'!$A:$A,"caiso-deliverability_"&amp;SUBSTITUTE(Dashboard!$D747,"_group",Dashboard!$D$633)&amp;"."&amp;YEAR(Dashboard!AC$537))+AC715</f>
        <v>0</v>
      </c>
      <c r="AD747" s="10">
        <f>SUMIFS('Custom Constraints'!$C:$C,'Custom Constraints'!$A:$A,"caiso-deliverability_"&amp;SUBSTITUTE(Dashboard!$D747,"_group",Dashboard!$D$633)&amp;"."&amp;YEAR(Dashboard!AD$537))+AD715</f>
        <v>28.199000000000002</v>
      </c>
      <c r="AH747" s="34" t="s">
        <v>422</v>
      </c>
    </row>
    <row r="748" spans="4:34" outlineLevel="2" x14ac:dyDescent="0.2">
      <c r="D748" s="8" t="s">
        <v>273</v>
      </c>
      <c r="E748" s="10">
        <f>SUMIFS('Custom Constraints'!$C:$C,'Custom Constraints'!$A:$A,"caiso-deliverability_"&amp;SUBSTITUTE(Dashboard!$D748,"_group",Dashboard!$D$633)&amp;"."&amp;YEAR(Dashboard!E$537))+E716</f>
        <v>0</v>
      </c>
      <c r="F748" s="10">
        <f>SUMIFS('Custom Constraints'!$C:$C,'Custom Constraints'!$A:$A,"caiso-deliverability_"&amp;SUBSTITUTE(Dashboard!$D748,"_group",Dashboard!$D$633)&amp;"."&amp;YEAR(Dashboard!F$537))+F716</f>
        <v>0</v>
      </c>
      <c r="G748" s="10">
        <f>SUMIFS('Custom Constraints'!$C:$C,'Custom Constraints'!$A:$A,"caiso-deliverability_"&amp;SUBSTITUTE(Dashboard!$D748,"_group",Dashboard!$D$633)&amp;"."&amp;YEAR(Dashboard!G$537))+G716</f>
        <v>0</v>
      </c>
      <c r="H748" s="10">
        <f>SUMIFS('Custom Constraints'!$C:$C,'Custom Constraints'!$A:$A,"caiso-deliverability_"&amp;SUBSTITUTE(Dashboard!$D748,"_group",Dashboard!$D$633)&amp;"."&amp;YEAR(Dashboard!H$537))+H716</f>
        <v>0</v>
      </c>
      <c r="I748" s="10">
        <f>SUMIFS('Custom Constraints'!$C:$C,'Custom Constraints'!$A:$A,"caiso-deliverability_"&amp;SUBSTITUTE(Dashboard!$D748,"_group",Dashboard!$D$633)&amp;"."&amp;YEAR(Dashboard!I$537))+I716</f>
        <v>0</v>
      </c>
      <c r="J748" s="10">
        <f>SUMIFS('Custom Constraints'!$C:$C,'Custom Constraints'!$A:$A,"caiso-deliverability_"&amp;SUBSTITUTE(Dashboard!$D748,"_group",Dashboard!$D$633)&amp;"."&amp;YEAR(Dashboard!J$537))+J716</f>
        <v>0</v>
      </c>
      <c r="K748" s="10">
        <f>SUMIFS('Custom Constraints'!$C:$C,'Custom Constraints'!$A:$A,"caiso-deliverability_"&amp;SUBSTITUTE(Dashboard!$D748,"_group",Dashboard!$D$633)&amp;"."&amp;YEAR(Dashboard!K$537))+K716</f>
        <v>0</v>
      </c>
      <c r="L748" s="10">
        <f>SUMIFS('Custom Constraints'!$C:$C,'Custom Constraints'!$A:$A,"caiso-deliverability_"&amp;SUBSTITUTE(Dashboard!$D748,"_group",Dashboard!$D$633)&amp;"."&amp;YEAR(Dashboard!L$537))+L716</f>
        <v>0</v>
      </c>
      <c r="M748" s="10">
        <f>SUMIFS('Custom Constraints'!$C:$C,'Custom Constraints'!$A:$A,"caiso-deliverability_"&amp;SUBSTITUTE(Dashboard!$D748,"_group",Dashboard!$D$633)&amp;"."&amp;YEAR(Dashboard!M$537))+M716</f>
        <v>0</v>
      </c>
      <c r="N748" s="10">
        <f>SUMIFS('Custom Constraints'!$C:$C,'Custom Constraints'!$A:$A,"caiso-deliverability_"&amp;SUBSTITUTE(Dashboard!$D748,"_group",Dashboard!$D$633)&amp;"."&amp;YEAR(Dashboard!N$537))+N716</f>
        <v>0</v>
      </c>
      <c r="O748" s="10">
        <f>SUMIFS('Custom Constraints'!$C:$C,'Custom Constraints'!$A:$A,"caiso-deliverability_"&amp;SUBSTITUTE(Dashboard!$D748,"_group",Dashboard!$D$633)&amp;"."&amp;YEAR(Dashboard!O$537))+O716</f>
        <v>0</v>
      </c>
      <c r="P748" s="10">
        <f>SUMIFS('Custom Constraints'!$C:$C,'Custom Constraints'!$A:$A,"caiso-deliverability_"&amp;SUBSTITUTE(Dashboard!$D748,"_group",Dashboard!$D$633)&amp;"."&amp;YEAR(Dashboard!P$537))+P716</f>
        <v>0</v>
      </c>
      <c r="Q748" s="10">
        <f>SUMIFS('Custom Constraints'!$C:$C,'Custom Constraints'!$A:$A,"caiso-deliverability_"&amp;SUBSTITUTE(Dashboard!$D748,"_group",Dashboard!$D$633)&amp;"."&amp;YEAR(Dashboard!Q$537))+Q716</f>
        <v>0</v>
      </c>
      <c r="R748" s="10">
        <f>SUMIFS('Custom Constraints'!$C:$C,'Custom Constraints'!$A:$A,"caiso-deliverability_"&amp;SUBSTITUTE(Dashboard!$D748,"_group",Dashboard!$D$633)&amp;"."&amp;YEAR(Dashboard!R$537))+R716</f>
        <v>0</v>
      </c>
      <c r="S748" s="10">
        <f>SUMIFS('Custom Constraints'!$C:$C,'Custom Constraints'!$A:$A,"caiso-deliverability_"&amp;SUBSTITUTE(Dashboard!$D748,"_group",Dashboard!$D$633)&amp;"."&amp;YEAR(Dashboard!S$537))+S716</f>
        <v>0</v>
      </c>
      <c r="T748" s="10">
        <f>SUMIFS('Custom Constraints'!$C:$C,'Custom Constraints'!$A:$A,"caiso-deliverability_"&amp;SUBSTITUTE(Dashboard!$D748,"_group",Dashboard!$D$633)&amp;"."&amp;YEAR(Dashboard!T$537))+T716</f>
        <v>0</v>
      </c>
      <c r="U748" s="10">
        <f>SUMIFS('Custom Constraints'!$C:$C,'Custom Constraints'!$A:$A,"caiso-deliverability_"&amp;SUBSTITUTE(Dashboard!$D748,"_group",Dashboard!$D$633)&amp;"."&amp;YEAR(Dashboard!U$537))+U716</f>
        <v>0</v>
      </c>
      <c r="V748" s="10">
        <f>SUMIFS('Custom Constraints'!$C:$C,'Custom Constraints'!$A:$A,"caiso-deliverability_"&amp;SUBSTITUTE(Dashboard!$D748,"_group",Dashboard!$D$633)&amp;"."&amp;YEAR(Dashboard!V$537))+V716</f>
        <v>0</v>
      </c>
      <c r="W748" s="10">
        <f>SUMIFS('Custom Constraints'!$C:$C,'Custom Constraints'!$A:$A,"caiso-deliverability_"&amp;SUBSTITUTE(Dashboard!$D748,"_group",Dashboard!$D$633)&amp;"."&amp;YEAR(Dashboard!W$537))+W716</f>
        <v>0</v>
      </c>
      <c r="X748" s="10">
        <f>SUMIFS('Custom Constraints'!$C:$C,'Custom Constraints'!$A:$A,"caiso-deliverability_"&amp;SUBSTITUTE(Dashboard!$D748,"_group",Dashboard!$D$633)&amp;"."&amp;YEAR(Dashboard!X$537))+X716</f>
        <v>0</v>
      </c>
      <c r="Y748" s="10">
        <f>SUMIFS('Custom Constraints'!$C:$C,'Custom Constraints'!$A:$A,"caiso-deliverability_"&amp;SUBSTITUTE(Dashboard!$D748,"_group",Dashboard!$D$633)&amp;"."&amp;YEAR(Dashboard!Y$537))+Y716</f>
        <v>0</v>
      </c>
      <c r="Z748" s="10">
        <f>SUMIFS('Custom Constraints'!$C:$C,'Custom Constraints'!$A:$A,"caiso-deliverability_"&amp;SUBSTITUTE(Dashboard!$D748,"_group",Dashboard!$D$633)&amp;"."&amp;YEAR(Dashboard!Z$537))+Z716</f>
        <v>0</v>
      </c>
      <c r="AA748" s="10">
        <f>SUMIFS('Custom Constraints'!$C:$C,'Custom Constraints'!$A:$A,"caiso-deliverability_"&amp;SUBSTITUTE(Dashboard!$D748,"_group",Dashboard!$D$633)&amp;"."&amp;YEAR(Dashboard!AA$537))+AA716</f>
        <v>0</v>
      </c>
      <c r="AB748" s="10">
        <f>SUMIFS('Custom Constraints'!$C:$C,'Custom Constraints'!$A:$A,"caiso-deliverability_"&amp;SUBSTITUTE(Dashboard!$D748,"_group",Dashboard!$D$633)&amp;"."&amp;YEAR(Dashboard!AB$537))+AB716</f>
        <v>0</v>
      </c>
      <c r="AC748" s="10">
        <f>SUMIFS('Custom Constraints'!$C:$C,'Custom Constraints'!$A:$A,"caiso-deliverability_"&amp;SUBSTITUTE(Dashboard!$D748,"_group",Dashboard!$D$633)&amp;"."&amp;YEAR(Dashboard!AC$537))+AC716</f>
        <v>0</v>
      </c>
      <c r="AD748" s="10">
        <f>SUMIFS('Custom Constraints'!$C:$C,'Custom Constraints'!$A:$A,"caiso-deliverability_"&amp;SUBSTITUTE(Dashboard!$D748,"_group",Dashboard!$D$633)&amp;"."&amp;YEAR(Dashboard!AD$537))+AD716</f>
        <v>56.561</v>
      </c>
      <c r="AH748" s="34" t="s">
        <v>422</v>
      </c>
    </row>
    <row r="749" spans="4:34" outlineLevel="2" x14ac:dyDescent="0.2">
      <c r="D749" s="8" t="s">
        <v>274</v>
      </c>
      <c r="E749" s="10">
        <f>SUMIFS('Custom Constraints'!$C:$C,'Custom Constraints'!$A:$A,"caiso-deliverability_"&amp;SUBSTITUTE(Dashboard!$D749,"_group",Dashboard!$D$633)&amp;"."&amp;YEAR(Dashboard!E$537))+E717</f>
        <v>0</v>
      </c>
      <c r="F749" s="10">
        <f>SUMIFS('Custom Constraints'!$C:$C,'Custom Constraints'!$A:$A,"caiso-deliverability_"&amp;SUBSTITUTE(Dashboard!$D749,"_group",Dashboard!$D$633)&amp;"."&amp;YEAR(Dashboard!F$537))+F717</f>
        <v>0</v>
      </c>
      <c r="G749" s="10">
        <f>SUMIFS('Custom Constraints'!$C:$C,'Custom Constraints'!$A:$A,"caiso-deliverability_"&amp;SUBSTITUTE(Dashboard!$D749,"_group",Dashboard!$D$633)&amp;"."&amp;YEAR(Dashboard!G$537))+G717</f>
        <v>0</v>
      </c>
      <c r="H749" s="10">
        <f>SUMIFS('Custom Constraints'!$C:$C,'Custom Constraints'!$A:$A,"caiso-deliverability_"&amp;SUBSTITUTE(Dashboard!$D749,"_group",Dashboard!$D$633)&amp;"."&amp;YEAR(Dashboard!H$537))+H717</f>
        <v>0</v>
      </c>
      <c r="I749" s="10">
        <f>SUMIFS('Custom Constraints'!$C:$C,'Custom Constraints'!$A:$A,"caiso-deliverability_"&amp;SUBSTITUTE(Dashboard!$D749,"_group",Dashboard!$D$633)&amp;"."&amp;YEAR(Dashboard!I$537))+I717</f>
        <v>0</v>
      </c>
      <c r="J749" s="10">
        <f>SUMIFS('Custom Constraints'!$C:$C,'Custom Constraints'!$A:$A,"caiso-deliverability_"&amp;SUBSTITUTE(Dashboard!$D749,"_group",Dashboard!$D$633)&amp;"."&amp;YEAR(Dashboard!J$537))+J717</f>
        <v>0</v>
      </c>
      <c r="K749" s="10">
        <f>SUMIFS('Custom Constraints'!$C:$C,'Custom Constraints'!$A:$A,"caiso-deliverability_"&amp;SUBSTITUTE(Dashboard!$D749,"_group",Dashboard!$D$633)&amp;"."&amp;YEAR(Dashboard!K$537))+K717</f>
        <v>0</v>
      </c>
      <c r="L749" s="10">
        <f>SUMIFS('Custom Constraints'!$C:$C,'Custom Constraints'!$A:$A,"caiso-deliverability_"&amp;SUBSTITUTE(Dashboard!$D749,"_group",Dashboard!$D$633)&amp;"."&amp;YEAR(Dashboard!L$537))+L717</f>
        <v>0</v>
      </c>
      <c r="M749" s="10">
        <f>SUMIFS('Custom Constraints'!$C:$C,'Custom Constraints'!$A:$A,"caiso-deliverability_"&amp;SUBSTITUTE(Dashboard!$D749,"_group",Dashboard!$D$633)&amp;"."&amp;YEAR(Dashboard!M$537))+M717</f>
        <v>0</v>
      </c>
      <c r="N749" s="10">
        <f>SUMIFS('Custom Constraints'!$C:$C,'Custom Constraints'!$A:$A,"caiso-deliverability_"&amp;SUBSTITUTE(Dashboard!$D749,"_group",Dashboard!$D$633)&amp;"."&amp;YEAR(Dashboard!N$537))+N717</f>
        <v>0</v>
      </c>
      <c r="O749" s="10">
        <f>SUMIFS('Custom Constraints'!$C:$C,'Custom Constraints'!$A:$A,"caiso-deliverability_"&amp;SUBSTITUTE(Dashboard!$D749,"_group",Dashboard!$D$633)&amp;"."&amp;YEAR(Dashboard!O$537))+O717</f>
        <v>0</v>
      </c>
      <c r="P749" s="10">
        <f>SUMIFS('Custom Constraints'!$C:$C,'Custom Constraints'!$A:$A,"caiso-deliverability_"&amp;SUBSTITUTE(Dashboard!$D749,"_group",Dashboard!$D$633)&amp;"."&amp;YEAR(Dashboard!P$537))+P717</f>
        <v>0</v>
      </c>
      <c r="Q749" s="10">
        <f>SUMIFS('Custom Constraints'!$C:$C,'Custom Constraints'!$A:$A,"caiso-deliverability_"&amp;SUBSTITUTE(Dashboard!$D749,"_group",Dashboard!$D$633)&amp;"."&amp;YEAR(Dashboard!Q$537))+Q717</f>
        <v>0</v>
      </c>
      <c r="R749" s="10">
        <f>SUMIFS('Custom Constraints'!$C:$C,'Custom Constraints'!$A:$A,"caiso-deliverability_"&amp;SUBSTITUTE(Dashboard!$D749,"_group",Dashboard!$D$633)&amp;"."&amp;YEAR(Dashboard!R$537))+R717</f>
        <v>0</v>
      </c>
      <c r="S749" s="10">
        <f>SUMIFS('Custom Constraints'!$C:$C,'Custom Constraints'!$A:$A,"caiso-deliverability_"&amp;SUBSTITUTE(Dashboard!$D749,"_group",Dashboard!$D$633)&amp;"."&amp;YEAR(Dashboard!S$537))+S717</f>
        <v>0</v>
      </c>
      <c r="T749" s="10">
        <f>SUMIFS('Custom Constraints'!$C:$C,'Custom Constraints'!$A:$A,"caiso-deliverability_"&amp;SUBSTITUTE(Dashboard!$D749,"_group",Dashboard!$D$633)&amp;"."&amp;YEAR(Dashboard!T$537))+T717</f>
        <v>0</v>
      </c>
      <c r="U749" s="10">
        <f>SUMIFS('Custom Constraints'!$C:$C,'Custom Constraints'!$A:$A,"caiso-deliverability_"&amp;SUBSTITUTE(Dashboard!$D749,"_group",Dashboard!$D$633)&amp;"."&amp;YEAR(Dashboard!U$537))+U717</f>
        <v>0</v>
      </c>
      <c r="V749" s="10">
        <f>SUMIFS('Custom Constraints'!$C:$C,'Custom Constraints'!$A:$A,"caiso-deliverability_"&amp;SUBSTITUTE(Dashboard!$D749,"_group",Dashboard!$D$633)&amp;"."&amp;YEAR(Dashboard!V$537))+V717</f>
        <v>0</v>
      </c>
      <c r="W749" s="10">
        <f>SUMIFS('Custom Constraints'!$C:$C,'Custom Constraints'!$A:$A,"caiso-deliverability_"&amp;SUBSTITUTE(Dashboard!$D749,"_group",Dashboard!$D$633)&amp;"."&amp;YEAR(Dashboard!W$537))+W717</f>
        <v>0</v>
      </c>
      <c r="X749" s="10">
        <f>SUMIFS('Custom Constraints'!$C:$C,'Custom Constraints'!$A:$A,"caiso-deliverability_"&amp;SUBSTITUTE(Dashboard!$D749,"_group",Dashboard!$D$633)&amp;"."&amp;YEAR(Dashboard!X$537))+X717</f>
        <v>0</v>
      </c>
      <c r="Y749" s="10">
        <f>SUMIFS('Custom Constraints'!$C:$C,'Custom Constraints'!$A:$A,"caiso-deliverability_"&amp;SUBSTITUTE(Dashboard!$D749,"_group",Dashboard!$D$633)&amp;"."&amp;YEAR(Dashboard!Y$537))+Y717</f>
        <v>0</v>
      </c>
      <c r="Z749" s="10">
        <f>SUMIFS('Custom Constraints'!$C:$C,'Custom Constraints'!$A:$A,"caiso-deliverability_"&amp;SUBSTITUTE(Dashboard!$D749,"_group",Dashboard!$D$633)&amp;"."&amp;YEAR(Dashboard!Z$537))+Z717</f>
        <v>0</v>
      </c>
      <c r="AA749" s="10">
        <f>SUMIFS('Custom Constraints'!$C:$C,'Custom Constraints'!$A:$A,"caiso-deliverability_"&amp;SUBSTITUTE(Dashboard!$D749,"_group",Dashboard!$D$633)&amp;"."&amp;YEAR(Dashboard!AA$537))+AA717</f>
        <v>0</v>
      </c>
      <c r="AB749" s="10">
        <f>SUMIFS('Custom Constraints'!$C:$C,'Custom Constraints'!$A:$A,"caiso-deliverability_"&amp;SUBSTITUTE(Dashboard!$D749,"_group",Dashboard!$D$633)&amp;"."&amp;YEAR(Dashboard!AB$537))+AB717</f>
        <v>0</v>
      </c>
      <c r="AC749" s="10">
        <f>SUMIFS('Custom Constraints'!$C:$C,'Custom Constraints'!$A:$A,"caiso-deliverability_"&amp;SUBSTITUTE(Dashboard!$D749,"_group",Dashboard!$D$633)&amp;"."&amp;YEAR(Dashboard!AC$537))+AC717</f>
        <v>0</v>
      </c>
      <c r="AD749" s="10">
        <f>SUMIFS('Custom Constraints'!$C:$C,'Custom Constraints'!$A:$A,"caiso-deliverability_"&amp;SUBSTITUTE(Dashboard!$D749,"_group",Dashboard!$D$633)&amp;"."&amp;YEAR(Dashboard!AD$537))+AD717</f>
        <v>2556</v>
      </c>
      <c r="AH749" s="34" t="s">
        <v>422</v>
      </c>
    </row>
    <row r="750" spans="4:34" outlineLevel="2" x14ac:dyDescent="0.2">
      <c r="D750" s="8" t="s">
        <v>275</v>
      </c>
      <c r="E750" s="10">
        <f>SUMIFS('Custom Constraints'!$C:$C,'Custom Constraints'!$A:$A,"caiso-deliverability_"&amp;SUBSTITUTE(Dashboard!$D750,"_group",Dashboard!$D$633)&amp;"."&amp;YEAR(Dashboard!E$537))+E718</f>
        <v>0</v>
      </c>
      <c r="F750" s="10">
        <f>SUMIFS('Custom Constraints'!$C:$C,'Custom Constraints'!$A:$A,"caiso-deliverability_"&amp;SUBSTITUTE(Dashboard!$D750,"_group",Dashboard!$D$633)&amp;"."&amp;YEAR(Dashboard!F$537))+F718</f>
        <v>0</v>
      </c>
      <c r="G750" s="10">
        <f>SUMIFS('Custom Constraints'!$C:$C,'Custom Constraints'!$A:$A,"caiso-deliverability_"&amp;SUBSTITUTE(Dashboard!$D750,"_group",Dashboard!$D$633)&amp;"."&amp;YEAR(Dashboard!G$537))+G718</f>
        <v>0</v>
      </c>
      <c r="H750" s="10">
        <f>SUMIFS('Custom Constraints'!$C:$C,'Custom Constraints'!$A:$A,"caiso-deliverability_"&amp;SUBSTITUTE(Dashboard!$D750,"_group",Dashboard!$D$633)&amp;"."&amp;YEAR(Dashboard!H$537))+H718</f>
        <v>0</v>
      </c>
      <c r="I750" s="10">
        <f>SUMIFS('Custom Constraints'!$C:$C,'Custom Constraints'!$A:$A,"caiso-deliverability_"&amp;SUBSTITUTE(Dashboard!$D750,"_group",Dashboard!$D$633)&amp;"."&amp;YEAR(Dashboard!I$537))+I718</f>
        <v>0</v>
      </c>
      <c r="J750" s="10">
        <f>SUMIFS('Custom Constraints'!$C:$C,'Custom Constraints'!$A:$A,"caiso-deliverability_"&amp;SUBSTITUTE(Dashboard!$D750,"_group",Dashboard!$D$633)&amp;"."&amp;YEAR(Dashboard!J$537))+J718</f>
        <v>0</v>
      </c>
      <c r="K750" s="10">
        <f>SUMIFS('Custom Constraints'!$C:$C,'Custom Constraints'!$A:$A,"caiso-deliverability_"&amp;SUBSTITUTE(Dashboard!$D750,"_group",Dashboard!$D$633)&amp;"."&amp;YEAR(Dashboard!K$537))+K718</f>
        <v>0</v>
      </c>
      <c r="L750" s="10">
        <f>SUMIFS('Custom Constraints'!$C:$C,'Custom Constraints'!$A:$A,"caiso-deliverability_"&amp;SUBSTITUTE(Dashboard!$D750,"_group",Dashboard!$D$633)&amp;"."&amp;YEAR(Dashboard!L$537))+L718</f>
        <v>0</v>
      </c>
      <c r="M750" s="10">
        <f>SUMIFS('Custom Constraints'!$C:$C,'Custom Constraints'!$A:$A,"caiso-deliverability_"&amp;SUBSTITUTE(Dashboard!$D750,"_group",Dashboard!$D$633)&amp;"."&amp;YEAR(Dashboard!M$537))+M718</f>
        <v>0</v>
      </c>
      <c r="N750" s="10">
        <f>SUMIFS('Custom Constraints'!$C:$C,'Custom Constraints'!$A:$A,"caiso-deliverability_"&amp;SUBSTITUTE(Dashboard!$D750,"_group",Dashboard!$D$633)&amp;"."&amp;YEAR(Dashboard!N$537))+N718</f>
        <v>0</v>
      </c>
      <c r="O750" s="10">
        <f>SUMIFS('Custom Constraints'!$C:$C,'Custom Constraints'!$A:$A,"caiso-deliverability_"&amp;SUBSTITUTE(Dashboard!$D750,"_group",Dashboard!$D$633)&amp;"."&amp;YEAR(Dashboard!O$537))+O718</f>
        <v>0</v>
      </c>
      <c r="P750" s="10">
        <f>SUMIFS('Custom Constraints'!$C:$C,'Custom Constraints'!$A:$A,"caiso-deliverability_"&amp;SUBSTITUTE(Dashboard!$D750,"_group",Dashboard!$D$633)&amp;"."&amp;YEAR(Dashboard!P$537))+P718</f>
        <v>0</v>
      </c>
      <c r="Q750" s="10">
        <f>SUMIFS('Custom Constraints'!$C:$C,'Custom Constraints'!$A:$A,"caiso-deliverability_"&amp;SUBSTITUTE(Dashboard!$D750,"_group",Dashboard!$D$633)&amp;"."&amp;YEAR(Dashboard!Q$537))+Q718</f>
        <v>0</v>
      </c>
      <c r="R750" s="10">
        <f>SUMIFS('Custom Constraints'!$C:$C,'Custom Constraints'!$A:$A,"caiso-deliverability_"&amp;SUBSTITUTE(Dashboard!$D750,"_group",Dashboard!$D$633)&amp;"."&amp;YEAR(Dashboard!R$537))+R718</f>
        <v>0</v>
      </c>
      <c r="S750" s="10">
        <f>SUMIFS('Custom Constraints'!$C:$C,'Custom Constraints'!$A:$A,"caiso-deliverability_"&amp;SUBSTITUTE(Dashboard!$D750,"_group",Dashboard!$D$633)&amp;"."&amp;YEAR(Dashboard!S$537))+S718</f>
        <v>0</v>
      </c>
      <c r="T750" s="10">
        <f>SUMIFS('Custom Constraints'!$C:$C,'Custom Constraints'!$A:$A,"caiso-deliverability_"&amp;SUBSTITUTE(Dashboard!$D750,"_group",Dashboard!$D$633)&amp;"."&amp;YEAR(Dashboard!T$537))+T718</f>
        <v>0</v>
      </c>
      <c r="U750" s="10">
        <f>SUMIFS('Custom Constraints'!$C:$C,'Custom Constraints'!$A:$A,"caiso-deliverability_"&amp;SUBSTITUTE(Dashboard!$D750,"_group",Dashboard!$D$633)&amp;"."&amp;YEAR(Dashboard!U$537))+U718</f>
        <v>0</v>
      </c>
      <c r="V750" s="10">
        <f>SUMIFS('Custom Constraints'!$C:$C,'Custom Constraints'!$A:$A,"caiso-deliverability_"&amp;SUBSTITUTE(Dashboard!$D750,"_group",Dashboard!$D$633)&amp;"."&amp;YEAR(Dashboard!V$537))+V718</f>
        <v>0</v>
      </c>
      <c r="W750" s="10">
        <f>SUMIFS('Custom Constraints'!$C:$C,'Custom Constraints'!$A:$A,"caiso-deliverability_"&amp;SUBSTITUTE(Dashboard!$D750,"_group",Dashboard!$D$633)&amp;"."&amp;YEAR(Dashboard!W$537))+W718</f>
        <v>0</v>
      </c>
      <c r="X750" s="10">
        <f>SUMIFS('Custom Constraints'!$C:$C,'Custom Constraints'!$A:$A,"caiso-deliverability_"&amp;SUBSTITUTE(Dashboard!$D750,"_group",Dashboard!$D$633)&amp;"."&amp;YEAR(Dashboard!X$537))+X718</f>
        <v>0</v>
      </c>
      <c r="Y750" s="10">
        <f>SUMIFS('Custom Constraints'!$C:$C,'Custom Constraints'!$A:$A,"caiso-deliverability_"&amp;SUBSTITUTE(Dashboard!$D750,"_group",Dashboard!$D$633)&amp;"."&amp;YEAR(Dashboard!Y$537))+Y718</f>
        <v>0</v>
      </c>
      <c r="Z750" s="10">
        <f>SUMIFS('Custom Constraints'!$C:$C,'Custom Constraints'!$A:$A,"caiso-deliverability_"&amp;SUBSTITUTE(Dashboard!$D750,"_group",Dashboard!$D$633)&amp;"."&amp;YEAR(Dashboard!Z$537))+Z718</f>
        <v>0</v>
      </c>
      <c r="AA750" s="10">
        <f>SUMIFS('Custom Constraints'!$C:$C,'Custom Constraints'!$A:$A,"caiso-deliverability_"&amp;SUBSTITUTE(Dashboard!$D750,"_group",Dashboard!$D$633)&amp;"."&amp;YEAR(Dashboard!AA$537))+AA718</f>
        <v>0</v>
      </c>
      <c r="AB750" s="10">
        <f>SUMIFS('Custom Constraints'!$C:$C,'Custom Constraints'!$A:$A,"caiso-deliverability_"&amp;SUBSTITUTE(Dashboard!$D750,"_group",Dashboard!$D$633)&amp;"."&amp;YEAR(Dashboard!AB$537))+AB718</f>
        <v>0</v>
      </c>
      <c r="AC750" s="10">
        <f>SUMIFS('Custom Constraints'!$C:$C,'Custom Constraints'!$A:$A,"caiso-deliverability_"&amp;SUBSTITUTE(Dashboard!$D750,"_group",Dashboard!$D$633)&amp;"."&amp;YEAR(Dashboard!AC$537))+AC718</f>
        <v>0</v>
      </c>
      <c r="AD750" s="10">
        <f>SUMIFS('Custom Constraints'!$C:$C,'Custom Constraints'!$A:$A,"caiso-deliverability_"&amp;SUBSTITUTE(Dashboard!$D750,"_group",Dashboard!$D$633)&amp;"."&amp;YEAR(Dashboard!AD$537))+AD718</f>
        <v>582.54937273025666</v>
      </c>
      <c r="AH750" s="34" t="s">
        <v>422</v>
      </c>
    </row>
    <row r="751" spans="4:34" outlineLevel="2" x14ac:dyDescent="0.2">
      <c r="D751" s="8" t="s">
        <v>276</v>
      </c>
      <c r="E751" s="10">
        <f>SUMIFS('Custom Constraints'!$C:$C,'Custom Constraints'!$A:$A,"caiso-deliverability_"&amp;SUBSTITUTE(Dashboard!$D751,"_group",Dashboard!$D$633)&amp;"."&amp;YEAR(Dashboard!E$537))+E719</f>
        <v>0</v>
      </c>
      <c r="F751" s="10">
        <f>SUMIFS('Custom Constraints'!$C:$C,'Custom Constraints'!$A:$A,"caiso-deliverability_"&amp;SUBSTITUTE(Dashboard!$D751,"_group",Dashboard!$D$633)&amp;"."&amp;YEAR(Dashboard!F$537))+F719</f>
        <v>0</v>
      </c>
      <c r="G751" s="10">
        <f>SUMIFS('Custom Constraints'!$C:$C,'Custom Constraints'!$A:$A,"caiso-deliverability_"&amp;SUBSTITUTE(Dashboard!$D751,"_group",Dashboard!$D$633)&amp;"."&amp;YEAR(Dashboard!G$537))+G719</f>
        <v>0</v>
      </c>
      <c r="H751" s="10">
        <f>SUMIFS('Custom Constraints'!$C:$C,'Custom Constraints'!$A:$A,"caiso-deliverability_"&amp;SUBSTITUTE(Dashboard!$D751,"_group",Dashboard!$D$633)&amp;"."&amp;YEAR(Dashboard!H$537))+H719</f>
        <v>0</v>
      </c>
      <c r="I751" s="10">
        <f>SUMIFS('Custom Constraints'!$C:$C,'Custom Constraints'!$A:$A,"caiso-deliverability_"&amp;SUBSTITUTE(Dashboard!$D751,"_group",Dashboard!$D$633)&amp;"."&amp;YEAR(Dashboard!I$537))+I719</f>
        <v>0</v>
      </c>
      <c r="J751" s="10">
        <f>SUMIFS('Custom Constraints'!$C:$C,'Custom Constraints'!$A:$A,"caiso-deliverability_"&amp;SUBSTITUTE(Dashboard!$D751,"_group",Dashboard!$D$633)&amp;"."&amp;YEAR(Dashboard!J$537))+J719</f>
        <v>0</v>
      </c>
      <c r="K751" s="10">
        <f>SUMIFS('Custom Constraints'!$C:$C,'Custom Constraints'!$A:$A,"caiso-deliverability_"&amp;SUBSTITUTE(Dashboard!$D751,"_group",Dashboard!$D$633)&amp;"."&amp;YEAR(Dashboard!K$537))+K719</f>
        <v>0</v>
      </c>
      <c r="L751" s="10">
        <f>SUMIFS('Custom Constraints'!$C:$C,'Custom Constraints'!$A:$A,"caiso-deliverability_"&amp;SUBSTITUTE(Dashboard!$D751,"_group",Dashboard!$D$633)&amp;"."&amp;YEAR(Dashboard!L$537))+L719</f>
        <v>0</v>
      </c>
      <c r="M751" s="10">
        <f>SUMIFS('Custom Constraints'!$C:$C,'Custom Constraints'!$A:$A,"caiso-deliverability_"&amp;SUBSTITUTE(Dashboard!$D751,"_group",Dashboard!$D$633)&amp;"."&amp;YEAR(Dashboard!M$537))+M719</f>
        <v>0</v>
      </c>
      <c r="N751" s="10">
        <f>SUMIFS('Custom Constraints'!$C:$C,'Custom Constraints'!$A:$A,"caiso-deliverability_"&amp;SUBSTITUTE(Dashboard!$D751,"_group",Dashboard!$D$633)&amp;"."&amp;YEAR(Dashboard!N$537))+N719</f>
        <v>0</v>
      </c>
      <c r="O751" s="10">
        <f>SUMIFS('Custom Constraints'!$C:$C,'Custom Constraints'!$A:$A,"caiso-deliverability_"&amp;SUBSTITUTE(Dashboard!$D751,"_group",Dashboard!$D$633)&amp;"."&amp;YEAR(Dashboard!O$537))+O719</f>
        <v>0</v>
      </c>
      <c r="P751" s="10">
        <f>SUMIFS('Custom Constraints'!$C:$C,'Custom Constraints'!$A:$A,"caiso-deliverability_"&amp;SUBSTITUTE(Dashboard!$D751,"_group",Dashboard!$D$633)&amp;"."&amp;YEAR(Dashboard!P$537))+P719</f>
        <v>0</v>
      </c>
      <c r="Q751" s="10">
        <f>SUMIFS('Custom Constraints'!$C:$C,'Custom Constraints'!$A:$A,"caiso-deliverability_"&amp;SUBSTITUTE(Dashboard!$D751,"_group",Dashboard!$D$633)&amp;"."&amp;YEAR(Dashboard!Q$537))+Q719</f>
        <v>0</v>
      </c>
      <c r="R751" s="10">
        <f>SUMIFS('Custom Constraints'!$C:$C,'Custom Constraints'!$A:$A,"caiso-deliverability_"&amp;SUBSTITUTE(Dashboard!$D751,"_group",Dashboard!$D$633)&amp;"."&amp;YEAR(Dashboard!R$537))+R719</f>
        <v>0</v>
      </c>
      <c r="S751" s="10">
        <f>SUMIFS('Custom Constraints'!$C:$C,'Custom Constraints'!$A:$A,"caiso-deliverability_"&amp;SUBSTITUTE(Dashboard!$D751,"_group",Dashboard!$D$633)&amp;"."&amp;YEAR(Dashboard!S$537))+S719</f>
        <v>0</v>
      </c>
      <c r="T751" s="10">
        <f>SUMIFS('Custom Constraints'!$C:$C,'Custom Constraints'!$A:$A,"caiso-deliverability_"&amp;SUBSTITUTE(Dashboard!$D751,"_group",Dashboard!$D$633)&amp;"."&amp;YEAR(Dashboard!T$537))+T719</f>
        <v>0</v>
      </c>
      <c r="U751" s="10">
        <f>SUMIFS('Custom Constraints'!$C:$C,'Custom Constraints'!$A:$A,"caiso-deliverability_"&amp;SUBSTITUTE(Dashboard!$D751,"_group",Dashboard!$D$633)&amp;"."&amp;YEAR(Dashboard!U$537))+U719</f>
        <v>0</v>
      </c>
      <c r="V751" s="10">
        <f>SUMIFS('Custom Constraints'!$C:$C,'Custom Constraints'!$A:$A,"caiso-deliverability_"&amp;SUBSTITUTE(Dashboard!$D751,"_group",Dashboard!$D$633)&amp;"."&amp;YEAR(Dashboard!V$537))+V719</f>
        <v>0</v>
      </c>
      <c r="W751" s="10">
        <f>SUMIFS('Custom Constraints'!$C:$C,'Custom Constraints'!$A:$A,"caiso-deliverability_"&amp;SUBSTITUTE(Dashboard!$D751,"_group",Dashboard!$D$633)&amp;"."&amp;YEAR(Dashboard!W$537))+W719</f>
        <v>0</v>
      </c>
      <c r="X751" s="10">
        <f>SUMIFS('Custom Constraints'!$C:$C,'Custom Constraints'!$A:$A,"caiso-deliverability_"&amp;SUBSTITUTE(Dashboard!$D751,"_group",Dashboard!$D$633)&amp;"."&amp;YEAR(Dashboard!X$537))+X719</f>
        <v>0</v>
      </c>
      <c r="Y751" s="10">
        <f>SUMIFS('Custom Constraints'!$C:$C,'Custom Constraints'!$A:$A,"caiso-deliverability_"&amp;SUBSTITUTE(Dashboard!$D751,"_group",Dashboard!$D$633)&amp;"."&amp;YEAR(Dashboard!Y$537))+Y719</f>
        <v>0</v>
      </c>
      <c r="Z751" s="10">
        <f>SUMIFS('Custom Constraints'!$C:$C,'Custom Constraints'!$A:$A,"caiso-deliverability_"&amp;SUBSTITUTE(Dashboard!$D751,"_group",Dashboard!$D$633)&amp;"."&amp;YEAR(Dashboard!Z$537))+Z719</f>
        <v>0</v>
      </c>
      <c r="AA751" s="10">
        <f>SUMIFS('Custom Constraints'!$C:$C,'Custom Constraints'!$A:$A,"caiso-deliverability_"&amp;SUBSTITUTE(Dashboard!$D751,"_group",Dashboard!$D$633)&amp;"."&amp;YEAR(Dashboard!AA$537))+AA719</f>
        <v>0</v>
      </c>
      <c r="AB751" s="10">
        <f>SUMIFS('Custom Constraints'!$C:$C,'Custom Constraints'!$A:$A,"caiso-deliverability_"&amp;SUBSTITUTE(Dashboard!$D751,"_group",Dashboard!$D$633)&amp;"."&amp;YEAR(Dashboard!AB$537))+AB719</f>
        <v>0</v>
      </c>
      <c r="AC751" s="10">
        <f>SUMIFS('Custom Constraints'!$C:$C,'Custom Constraints'!$A:$A,"caiso-deliverability_"&amp;SUBSTITUTE(Dashboard!$D751,"_group",Dashboard!$D$633)&amp;"."&amp;YEAR(Dashboard!AC$537))+AC719</f>
        <v>0</v>
      </c>
      <c r="AD751" s="10">
        <f>SUMIFS('Custom Constraints'!$C:$C,'Custom Constraints'!$A:$A,"caiso-deliverability_"&amp;SUBSTITUTE(Dashboard!$D751,"_group",Dashboard!$D$633)&amp;"."&amp;YEAR(Dashboard!AD$537))+AD719</f>
        <v>103.981549675</v>
      </c>
      <c r="AH751" s="34" t="s">
        <v>422</v>
      </c>
    </row>
    <row r="752" spans="4:34" outlineLevel="2" x14ac:dyDescent="0.2">
      <c r="D752" s="8" t="s">
        <v>277</v>
      </c>
      <c r="E752" s="10">
        <f>SUMIFS('Custom Constraints'!$C:$C,'Custom Constraints'!$A:$A,"caiso-deliverability_"&amp;SUBSTITUTE(Dashboard!$D752,"_group",Dashboard!$D$633)&amp;"."&amp;YEAR(Dashboard!E$537))+E720</f>
        <v>0</v>
      </c>
      <c r="F752" s="10">
        <f>SUMIFS('Custom Constraints'!$C:$C,'Custom Constraints'!$A:$A,"caiso-deliverability_"&amp;SUBSTITUTE(Dashboard!$D752,"_group",Dashboard!$D$633)&amp;"."&amp;YEAR(Dashboard!F$537))+F720</f>
        <v>0</v>
      </c>
      <c r="G752" s="10">
        <f>SUMIFS('Custom Constraints'!$C:$C,'Custom Constraints'!$A:$A,"caiso-deliverability_"&amp;SUBSTITUTE(Dashboard!$D752,"_group",Dashboard!$D$633)&amp;"."&amp;YEAR(Dashboard!G$537))+G720</f>
        <v>0</v>
      </c>
      <c r="H752" s="10">
        <f>SUMIFS('Custom Constraints'!$C:$C,'Custom Constraints'!$A:$A,"caiso-deliverability_"&amp;SUBSTITUTE(Dashboard!$D752,"_group",Dashboard!$D$633)&amp;"."&amp;YEAR(Dashboard!H$537))+H720</f>
        <v>0</v>
      </c>
      <c r="I752" s="10">
        <f>SUMIFS('Custom Constraints'!$C:$C,'Custom Constraints'!$A:$A,"caiso-deliverability_"&amp;SUBSTITUTE(Dashboard!$D752,"_group",Dashboard!$D$633)&amp;"."&amp;YEAR(Dashboard!I$537))+I720</f>
        <v>0</v>
      </c>
      <c r="J752" s="10">
        <f>SUMIFS('Custom Constraints'!$C:$C,'Custom Constraints'!$A:$A,"caiso-deliverability_"&amp;SUBSTITUTE(Dashboard!$D752,"_group",Dashboard!$D$633)&amp;"."&amp;YEAR(Dashboard!J$537))+J720</f>
        <v>0</v>
      </c>
      <c r="K752" s="10">
        <f>SUMIFS('Custom Constraints'!$C:$C,'Custom Constraints'!$A:$A,"caiso-deliverability_"&amp;SUBSTITUTE(Dashboard!$D752,"_group",Dashboard!$D$633)&amp;"."&amp;YEAR(Dashboard!K$537))+K720</f>
        <v>0</v>
      </c>
      <c r="L752" s="10">
        <f>SUMIFS('Custom Constraints'!$C:$C,'Custom Constraints'!$A:$A,"caiso-deliverability_"&amp;SUBSTITUTE(Dashboard!$D752,"_group",Dashboard!$D$633)&amp;"."&amp;YEAR(Dashboard!L$537))+L720</f>
        <v>0</v>
      </c>
      <c r="M752" s="10">
        <f>SUMIFS('Custom Constraints'!$C:$C,'Custom Constraints'!$A:$A,"caiso-deliverability_"&amp;SUBSTITUTE(Dashboard!$D752,"_group",Dashboard!$D$633)&amp;"."&amp;YEAR(Dashboard!M$537))+M720</f>
        <v>0</v>
      </c>
      <c r="N752" s="10">
        <f>SUMIFS('Custom Constraints'!$C:$C,'Custom Constraints'!$A:$A,"caiso-deliverability_"&amp;SUBSTITUTE(Dashboard!$D752,"_group",Dashboard!$D$633)&amp;"."&amp;YEAR(Dashboard!N$537))+N720</f>
        <v>0</v>
      </c>
      <c r="O752" s="10">
        <f>SUMIFS('Custom Constraints'!$C:$C,'Custom Constraints'!$A:$A,"caiso-deliverability_"&amp;SUBSTITUTE(Dashboard!$D752,"_group",Dashboard!$D$633)&amp;"."&amp;YEAR(Dashboard!O$537))+O720</f>
        <v>0</v>
      </c>
      <c r="P752" s="10">
        <f>SUMIFS('Custom Constraints'!$C:$C,'Custom Constraints'!$A:$A,"caiso-deliverability_"&amp;SUBSTITUTE(Dashboard!$D752,"_group",Dashboard!$D$633)&amp;"."&amp;YEAR(Dashboard!P$537))+P720</f>
        <v>0</v>
      </c>
      <c r="Q752" s="10">
        <f>SUMIFS('Custom Constraints'!$C:$C,'Custom Constraints'!$A:$A,"caiso-deliverability_"&amp;SUBSTITUTE(Dashboard!$D752,"_group",Dashboard!$D$633)&amp;"."&amp;YEAR(Dashboard!Q$537))+Q720</f>
        <v>0</v>
      </c>
      <c r="R752" s="10">
        <f>SUMIFS('Custom Constraints'!$C:$C,'Custom Constraints'!$A:$A,"caiso-deliverability_"&amp;SUBSTITUTE(Dashboard!$D752,"_group",Dashboard!$D$633)&amp;"."&amp;YEAR(Dashboard!R$537))+R720</f>
        <v>0</v>
      </c>
      <c r="S752" s="10">
        <f>SUMIFS('Custom Constraints'!$C:$C,'Custom Constraints'!$A:$A,"caiso-deliverability_"&amp;SUBSTITUTE(Dashboard!$D752,"_group",Dashboard!$D$633)&amp;"."&amp;YEAR(Dashboard!S$537))+S720</f>
        <v>0</v>
      </c>
      <c r="T752" s="10">
        <f>SUMIFS('Custom Constraints'!$C:$C,'Custom Constraints'!$A:$A,"caiso-deliverability_"&amp;SUBSTITUTE(Dashboard!$D752,"_group",Dashboard!$D$633)&amp;"."&amp;YEAR(Dashboard!T$537))+T720</f>
        <v>0</v>
      </c>
      <c r="U752" s="10">
        <f>SUMIFS('Custom Constraints'!$C:$C,'Custom Constraints'!$A:$A,"caiso-deliverability_"&amp;SUBSTITUTE(Dashboard!$D752,"_group",Dashboard!$D$633)&amp;"."&amp;YEAR(Dashboard!U$537))+U720</f>
        <v>0</v>
      </c>
      <c r="V752" s="10">
        <f>SUMIFS('Custom Constraints'!$C:$C,'Custom Constraints'!$A:$A,"caiso-deliverability_"&amp;SUBSTITUTE(Dashboard!$D752,"_group",Dashboard!$D$633)&amp;"."&amp;YEAR(Dashboard!V$537))+V720</f>
        <v>0</v>
      </c>
      <c r="W752" s="10">
        <f>SUMIFS('Custom Constraints'!$C:$C,'Custom Constraints'!$A:$A,"caiso-deliverability_"&amp;SUBSTITUTE(Dashboard!$D752,"_group",Dashboard!$D$633)&amp;"."&amp;YEAR(Dashboard!W$537))+W720</f>
        <v>0</v>
      </c>
      <c r="X752" s="10">
        <f>SUMIFS('Custom Constraints'!$C:$C,'Custom Constraints'!$A:$A,"caiso-deliverability_"&amp;SUBSTITUTE(Dashboard!$D752,"_group",Dashboard!$D$633)&amp;"."&amp;YEAR(Dashboard!X$537))+X720</f>
        <v>0</v>
      </c>
      <c r="Y752" s="10">
        <f>SUMIFS('Custom Constraints'!$C:$C,'Custom Constraints'!$A:$A,"caiso-deliverability_"&amp;SUBSTITUTE(Dashboard!$D752,"_group",Dashboard!$D$633)&amp;"."&amp;YEAR(Dashboard!Y$537))+Y720</f>
        <v>0</v>
      </c>
      <c r="Z752" s="10">
        <f>SUMIFS('Custom Constraints'!$C:$C,'Custom Constraints'!$A:$A,"caiso-deliverability_"&amp;SUBSTITUTE(Dashboard!$D752,"_group",Dashboard!$D$633)&amp;"."&amp;YEAR(Dashboard!Z$537))+Z720</f>
        <v>0</v>
      </c>
      <c r="AA752" s="10">
        <f>SUMIFS('Custom Constraints'!$C:$C,'Custom Constraints'!$A:$A,"caiso-deliverability_"&amp;SUBSTITUTE(Dashboard!$D752,"_group",Dashboard!$D$633)&amp;"."&amp;YEAR(Dashboard!AA$537))+AA720</f>
        <v>0</v>
      </c>
      <c r="AB752" s="10">
        <f>SUMIFS('Custom Constraints'!$C:$C,'Custom Constraints'!$A:$A,"caiso-deliverability_"&amp;SUBSTITUTE(Dashboard!$D752,"_group",Dashboard!$D$633)&amp;"."&amp;YEAR(Dashboard!AB$537))+AB720</f>
        <v>0</v>
      </c>
      <c r="AC752" s="10">
        <f>SUMIFS('Custom Constraints'!$C:$C,'Custom Constraints'!$A:$A,"caiso-deliverability_"&amp;SUBSTITUTE(Dashboard!$D752,"_group",Dashboard!$D$633)&amp;"."&amp;YEAR(Dashboard!AC$537))+AC720</f>
        <v>0</v>
      </c>
      <c r="AD752" s="10">
        <f>SUMIFS('Custom Constraints'!$C:$C,'Custom Constraints'!$A:$A,"caiso-deliverability_"&amp;SUBSTITUTE(Dashboard!$D752,"_group",Dashboard!$D$633)&amp;"."&amp;YEAR(Dashboard!AD$537))+AD720</f>
        <v>84.76</v>
      </c>
      <c r="AH752" s="34" t="s">
        <v>422</v>
      </c>
    </row>
    <row r="753" spans="3:34" outlineLevel="2" x14ac:dyDescent="0.2">
      <c r="D753" s="8" t="s">
        <v>278</v>
      </c>
      <c r="E753" s="10">
        <f>SUMIFS('Custom Constraints'!$C:$C,'Custom Constraints'!$A:$A,"caiso-deliverability_"&amp;SUBSTITUTE(Dashboard!$D753,"_group",Dashboard!$D$633)&amp;"."&amp;YEAR(Dashboard!E$537))+E721</f>
        <v>0</v>
      </c>
      <c r="F753" s="10">
        <f>SUMIFS('Custom Constraints'!$C:$C,'Custom Constraints'!$A:$A,"caiso-deliverability_"&amp;SUBSTITUTE(Dashboard!$D753,"_group",Dashboard!$D$633)&amp;"."&amp;YEAR(Dashboard!F$537))+F721</f>
        <v>0</v>
      </c>
      <c r="G753" s="10">
        <f>SUMIFS('Custom Constraints'!$C:$C,'Custom Constraints'!$A:$A,"caiso-deliverability_"&amp;SUBSTITUTE(Dashboard!$D753,"_group",Dashboard!$D$633)&amp;"."&amp;YEAR(Dashboard!G$537))+G721</f>
        <v>0</v>
      </c>
      <c r="H753" s="10">
        <f>SUMIFS('Custom Constraints'!$C:$C,'Custom Constraints'!$A:$A,"caiso-deliverability_"&amp;SUBSTITUTE(Dashboard!$D753,"_group",Dashboard!$D$633)&amp;"."&amp;YEAR(Dashboard!H$537))+H721</f>
        <v>0</v>
      </c>
      <c r="I753" s="10">
        <f>SUMIFS('Custom Constraints'!$C:$C,'Custom Constraints'!$A:$A,"caiso-deliverability_"&amp;SUBSTITUTE(Dashboard!$D753,"_group",Dashboard!$D$633)&amp;"."&amp;YEAR(Dashboard!I$537))+I721</f>
        <v>0</v>
      </c>
      <c r="J753" s="10">
        <f>SUMIFS('Custom Constraints'!$C:$C,'Custom Constraints'!$A:$A,"caiso-deliverability_"&amp;SUBSTITUTE(Dashboard!$D753,"_group",Dashboard!$D$633)&amp;"."&amp;YEAR(Dashboard!J$537))+J721</f>
        <v>0</v>
      </c>
      <c r="K753" s="10">
        <f>SUMIFS('Custom Constraints'!$C:$C,'Custom Constraints'!$A:$A,"caiso-deliverability_"&amp;SUBSTITUTE(Dashboard!$D753,"_group",Dashboard!$D$633)&amp;"."&amp;YEAR(Dashboard!K$537))+K721</f>
        <v>0</v>
      </c>
      <c r="L753" s="10">
        <f>SUMIFS('Custom Constraints'!$C:$C,'Custom Constraints'!$A:$A,"caiso-deliverability_"&amp;SUBSTITUTE(Dashboard!$D753,"_group",Dashboard!$D$633)&amp;"."&amp;YEAR(Dashboard!L$537))+L721</f>
        <v>0</v>
      </c>
      <c r="M753" s="10">
        <f>SUMIFS('Custom Constraints'!$C:$C,'Custom Constraints'!$A:$A,"caiso-deliverability_"&amp;SUBSTITUTE(Dashboard!$D753,"_group",Dashboard!$D$633)&amp;"."&amp;YEAR(Dashboard!M$537))+M721</f>
        <v>0</v>
      </c>
      <c r="N753" s="10">
        <f>SUMIFS('Custom Constraints'!$C:$C,'Custom Constraints'!$A:$A,"caiso-deliverability_"&amp;SUBSTITUTE(Dashboard!$D753,"_group",Dashboard!$D$633)&amp;"."&amp;YEAR(Dashboard!N$537))+N721</f>
        <v>0</v>
      </c>
      <c r="O753" s="10">
        <f>SUMIFS('Custom Constraints'!$C:$C,'Custom Constraints'!$A:$A,"caiso-deliverability_"&amp;SUBSTITUTE(Dashboard!$D753,"_group",Dashboard!$D$633)&amp;"."&amp;YEAR(Dashboard!O$537))+O721</f>
        <v>0</v>
      </c>
      <c r="P753" s="10">
        <f>SUMIFS('Custom Constraints'!$C:$C,'Custom Constraints'!$A:$A,"caiso-deliverability_"&amp;SUBSTITUTE(Dashboard!$D753,"_group",Dashboard!$D$633)&amp;"."&amp;YEAR(Dashboard!P$537))+P721</f>
        <v>0</v>
      </c>
      <c r="Q753" s="10">
        <f>SUMIFS('Custom Constraints'!$C:$C,'Custom Constraints'!$A:$A,"caiso-deliverability_"&amp;SUBSTITUTE(Dashboard!$D753,"_group",Dashboard!$D$633)&amp;"."&amp;YEAR(Dashboard!Q$537))+Q721</f>
        <v>0</v>
      </c>
      <c r="R753" s="10">
        <f>SUMIFS('Custom Constraints'!$C:$C,'Custom Constraints'!$A:$A,"caiso-deliverability_"&amp;SUBSTITUTE(Dashboard!$D753,"_group",Dashboard!$D$633)&amp;"."&amp;YEAR(Dashboard!R$537))+R721</f>
        <v>0</v>
      </c>
      <c r="S753" s="10">
        <f>SUMIFS('Custom Constraints'!$C:$C,'Custom Constraints'!$A:$A,"caiso-deliverability_"&amp;SUBSTITUTE(Dashboard!$D753,"_group",Dashboard!$D$633)&amp;"."&amp;YEAR(Dashboard!S$537))+S721</f>
        <v>0</v>
      </c>
      <c r="T753" s="10">
        <f>SUMIFS('Custom Constraints'!$C:$C,'Custom Constraints'!$A:$A,"caiso-deliverability_"&amp;SUBSTITUTE(Dashboard!$D753,"_group",Dashboard!$D$633)&amp;"."&amp;YEAR(Dashboard!T$537))+T721</f>
        <v>0</v>
      </c>
      <c r="U753" s="10">
        <f>SUMIFS('Custom Constraints'!$C:$C,'Custom Constraints'!$A:$A,"caiso-deliverability_"&amp;SUBSTITUTE(Dashboard!$D753,"_group",Dashboard!$D$633)&amp;"."&amp;YEAR(Dashboard!U$537))+U721</f>
        <v>0</v>
      </c>
      <c r="V753" s="10">
        <f>SUMIFS('Custom Constraints'!$C:$C,'Custom Constraints'!$A:$A,"caiso-deliverability_"&amp;SUBSTITUTE(Dashboard!$D753,"_group",Dashboard!$D$633)&amp;"."&amp;YEAR(Dashboard!V$537))+V721</f>
        <v>0</v>
      </c>
      <c r="W753" s="10">
        <f>SUMIFS('Custom Constraints'!$C:$C,'Custom Constraints'!$A:$A,"caiso-deliverability_"&amp;SUBSTITUTE(Dashboard!$D753,"_group",Dashboard!$D$633)&amp;"."&amp;YEAR(Dashboard!W$537))+W721</f>
        <v>0</v>
      </c>
      <c r="X753" s="10">
        <f>SUMIFS('Custom Constraints'!$C:$C,'Custom Constraints'!$A:$A,"caiso-deliverability_"&amp;SUBSTITUTE(Dashboard!$D753,"_group",Dashboard!$D$633)&amp;"."&amp;YEAR(Dashboard!X$537))+X721</f>
        <v>0</v>
      </c>
      <c r="Y753" s="10">
        <f>SUMIFS('Custom Constraints'!$C:$C,'Custom Constraints'!$A:$A,"caiso-deliverability_"&amp;SUBSTITUTE(Dashboard!$D753,"_group",Dashboard!$D$633)&amp;"."&amp;YEAR(Dashboard!Y$537))+Y721</f>
        <v>0</v>
      </c>
      <c r="Z753" s="10">
        <f>SUMIFS('Custom Constraints'!$C:$C,'Custom Constraints'!$A:$A,"caiso-deliverability_"&amp;SUBSTITUTE(Dashboard!$D753,"_group",Dashboard!$D$633)&amp;"."&amp;YEAR(Dashboard!Z$537))+Z721</f>
        <v>0</v>
      </c>
      <c r="AA753" s="10">
        <f>SUMIFS('Custom Constraints'!$C:$C,'Custom Constraints'!$A:$A,"caiso-deliverability_"&amp;SUBSTITUTE(Dashboard!$D753,"_group",Dashboard!$D$633)&amp;"."&amp;YEAR(Dashboard!AA$537))+AA721</f>
        <v>0</v>
      </c>
      <c r="AB753" s="10">
        <f>SUMIFS('Custom Constraints'!$C:$C,'Custom Constraints'!$A:$A,"caiso-deliverability_"&amp;SUBSTITUTE(Dashboard!$D753,"_group",Dashboard!$D$633)&amp;"."&amp;YEAR(Dashboard!AB$537))+AB721</f>
        <v>0</v>
      </c>
      <c r="AC753" s="10">
        <f>SUMIFS('Custom Constraints'!$C:$C,'Custom Constraints'!$A:$A,"caiso-deliverability_"&amp;SUBSTITUTE(Dashboard!$D753,"_group",Dashboard!$D$633)&amp;"."&amp;YEAR(Dashboard!AC$537))+AC721</f>
        <v>0</v>
      </c>
      <c r="AD753" s="10">
        <f>SUMIFS('Custom Constraints'!$C:$C,'Custom Constraints'!$A:$A,"caiso-deliverability_"&amp;SUBSTITUTE(Dashboard!$D753,"_group",Dashboard!$D$633)&amp;"."&amp;YEAR(Dashboard!AD$537))+AD721</f>
        <v>2766.0000000000005</v>
      </c>
      <c r="AH753" s="34" t="s">
        <v>422</v>
      </c>
    </row>
    <row r="754" spans="3:34" outlineLevel="2" x14ac:dyDescent="0.2">
      <c r="D754" s="8" t="s">
        <v>279</v>
      </c>
      <c r="E754" s="10">
        <f>SUMIFS('Custom Constraints'!$C:$C,'Custom Constraints'!$A:$A,"caiso-deliverability_"&amp;SUBSTITUTE(Dashboard!$D754,"_group",Dashboard!$D$633)&amp;"."&amp;YEAR(Dashboard!E$537))+E722</f>
        <v>0</v>
      </c>
      <c r="F754" s="10">
        <f>SUMIFS('Custom Constraints'!$C:$C,'Custom Constraints'!$A:$A,"caiso-deliverability_"&amp;SUBSTITUTE(Dashboard!$D754,"_group",Dashboard!$D$633)&amp;"."&amp;YEAR(Dashboard!F$537))+F722</f>
        <v>0</v>
      </c>
      <c r="G754" s="10">
        <f>SUMIFS('Custom Constraints'!$C:$C,'Custom Constraints'!$A:$A,"caiso-deliverability_"&amp;SUBSTITUTE(Dashboard!$D754,"_group",Dashboard!$D$633)&amp;"."&amp;YEAR(Dashboard!G$537))+G722</f>
        <v>0</v>
      </c>
      <c r="H754" s="10">
        <f>SUMIFS('Custom Constraints'!$C:$C,'Custom Constraints'!$A:$A,"caiso-deliverability_"&amp;SUBSTITUTE(Dashboard!$D754,"_group",Dashboard!$D$633)&amp;"."&amp;YEAR(Dashboard!H$537))+H722</f>
        <v>0</v>
      </c>
      <c r="I754" s="10">
        <f>SUMIFS('Custom Constraints'!$C:$C,'Custom Constraints'!$A:$A,"caiso-deliverability_"&amp;SUBSTITUTE(Dashboard!$D754,"_group",Dashboard!$D$633)&amp;"."&amp;YEAR(Dashboard!I$537))+I722</f>
        <v>0</v>
      </c>
      <c r="J754" s="10">
        <f>SUMIFS('Custom Constraints'!$C:$C,'Custom Constraints'!$A:$A,"caiso-deliverability_"&amp;SUBSTITUTE(Dashboard!$D754,"_group",Dashboard!$D$633)&amp;"."&amp;YEAR(Dashboard!J$537))+J722</f>
        <v>0</v>
      </c>
      <c r="K754" s="10">
        <f>SUMIFS('Custom Constraints'!$C:$C,'Custom Constraints'!$A:$A,"caiso-deliverability_"&amp;SUBSTITUTE(Dashboard!$D754,"_group",Dashboard!$D$633)&amp;"."&amp;YEAR(Dashboard!K$537))+K722</f>
        <v>0</v>
      </c>
      <c r="L754" s="10">
        <f>SUMIFS('Custom Constraints'!$C:$C,'Custom Constraints'!$A:$A,"caiso-deliverability_"&amp;SUBSTITUTE(Dashboard!$D754,"_group",Dashboard!$D$633)&amp;"."&amp;YEAR(Dashboard!L$537))+L722</f>
        <v>0</v>
      </c>
      <c r="M754" s="10">
        <f>SUMIFS('Custom Constraints'!$C:$C,'Custom Constraints'!$A:$A,"caiso-deliverability_"&amp;SUBSTITUTE(Dashboard!$D754,"_group",Dashboard!$D$633)&amp;"."&amp;YEAR(Dashboard!M$537))+M722</f>
        <v>0</v>
      </c>
      <c r="N754" s="10">
        <f>SUMIFS('Custom Constraints'!$C:$C,'Custom Constraints'!$A:$A,"caiso-deliverability_"&amp;SUBSTITUTE(Dashboard!$D754,"_group",Dashboard!$D$633)&amp;"."&amp;YEAR(Dashboard!N$537))+N722</f>
        <v>0</v>
      </c>
      <c r="O754" s="10">
        <f>SUMIFS('Custom Constraints'!$C:$C,'Custom Constraints'!$A:$A,"caiso-deliverability_"&amp;SUBSTITUTE(Dashboard!$D754,"_group",Dashboard!$D$633)&amp;"."&amp;YEAR(Dashboard!O$537))+O722</f>
        <v>0</v>
      </c>
      <c r="P754" s="10">
        <f>SUMIFS('Custom Constraints'!$C:$C,'Custom Constraints'!$A:$A,"caiso-deliverability_"&amp;SUBSTITUTE(Dashboard!$D754,"_group",Dashboard!$D$633)&amp;"."&amp;YEAR(Dashboard!P$537))+P722</f>
        <v>0</v>
      </c>
      <c r="Q754" s="10">
        <f>SUMIFS('Custom Constraints'!$C:$C,'Custom Constraints'!$A:$A,"caiso-deliverability_"&amp;SUBSTITUTE(Dashboard!$D754,"_group",Dashboard!$D$633)&amp;"."&amp;YEAR(Dashboard!Q$537))+Q722</f>
        <v>0</v>
      </c>
      <c r="R754" s="10">
        <f>SUMIFS('Custom Constraints'!$C:$C,'Custom Constraints'!$A:$A,"caiso-deliverability_"&amp;SUBSTITUTE(Dashboard!$D754,"_group",Dashboard!$D$633)&amp;"."&amp;YEAR(Dashboard!R$537))+R722</f>
        <v>0</v>
      </c>
      <c r="S754" s="10">
        <f>SUMIFS('Custom Constraints'!$C:$C,'Custom Constraints'!$A:$A,"caiso-deliverability_"&amp;SUBSTITUTE(Dashboard!$D754,"_group",Dashboard!$D$633)&amp;"."&amp;YEAR(Dashboard!S$537))+S722</f>
        <v>0</v>
      </c>
      <c r="T754" s="10">
        <f>SUMIFS('Custom Constraints'!$C:$C,'Custom Constraints'!$A:$A,"caiso-deliverability_"&amp;SUBSTITUTE(Dashboard!$D754,"_group",Dashboard!$D$633)&amp;"."&amp;YEAR(Dashboard!T$537))+T722</f>
        <v>0</v>
      </c>
      <c r="U754" s="10">
        <f>SUMIFS('Custom Constraints'!$C:$C,'Custom Constraints'!$A:$A,"caiso-deliverability_"&amp;SUBSTITUTE(Dashboard!$D754,"_group",Dashboard!$D$633)&amp;"."&amp;YEAR(Dashboard!U$537))+U722</f>
        <v>0</v>
      </c>
      <c r="V754" s="10">
        <f>SUMIFS('Custom Constraints'!$C:$C,'Custom Constraints'!$A:$A,"caiso-deliverability_"&amp;SUBSTITUTE(Dashboard!$D754,"_group",Dashboard!$D$633)&amp;"."&amp;YEAR(Dashboard!V$537))+V722</f>
        <v>0</v>
      </c>
      <c r="W754" s="10">
        <f>SUMIFS('Custom Constraints'!$C:$C,'Custom Constraints'!$A:$A,"caiso-deliverability_"&amp;SUBSTITUTE(Dashboard!$D754,"_group",Dashboard!$D$633)&amp;"."&amp;YEAR(Dashboard!W$537))+W722</f>
        <v>0</v>
      </c>
      <c r="X754" s="10">
        <f>SUMIFS('Custom Constraints'!$C:$C,'Custom Constraints'!$A:$A,"caiso-deliverability_"&amp;SUBSTITUTE(Dashboard!$D754,"_group",Dashboard!$D$633)&amp;"."&amp;YEAR(Dashboard!X$537))+X722</f>
        <v>0</v>
      </c>
      <c r="Y754" s="10">
        <f>SUMIFS('Custom Constraints'!$C:$C,'Custom Constraints'!$A:$A,"caiso-deliverability_"&amp;SUBSTITUTE(Dashboard!$D754,"_group",Dashboard!$D$633)&amp;"."&amp;YEAR(Dashboard!Y$537))+Y722</f>
        <v>0</v>
      </c>
      <c r="Z754" s="10">
        <f>SUMIFS('Custom Constraints'!$C:$C,'Custom Constraints'!$A:$A,"caiso-deliverability_"&amp;SUBSTITUTE(Dashboard!$D754,"_group",Dashboard!$D$633)&amp;"."&amp;YEAR(Dashboard!Z$537))+Z722</f>
        <v>0</v>
      </c>
      <c r="AA754" s="10">
        <f>SUMIFS('Custom Constraints'!$C:$C,'Custom Constraints'!$A:$A,"caiso-deliverability_"&amp;SUBSTITUTE(Dashboard!$D754,"_group",Dashboard!$D$633)&amp;"."&amp;YEAR(Dashboard!AA$537))+AA722</f>
        <v>0</v>
      </c>
      <c r="AB754" s="10">
        <f>SUMIFS('Custom Constraints'!$C:$C,'Custom Constraints'!$A:$A,"caiso-deliverability_"&amp;SUBSTITUTE(Dashboard!$D754,"_group",Dashboard!$D$633)&amp;"."&amp;YEAR(Dashboard!AB$537))+AB722</f>
        <v>0</v>
      </c>
      <c r="AC754" s="10">
        <f>SUMIFS('Custom Constraints'!$C:$C,'Custom Constraints'!$A:$A,"caiso-deliverability_"&amp;SUBSTITUTE(Dashboard!$D754,"_group",Dashboard!$D$633)&amp;"."&amp;YEAR(Dashboard!AC$537))+AC722</f>
        <v>0</v>
      </c>
      <c r="AD754" s="10">
        <f>SUMIFS('Custom Constraints'!$C:$C,'Custom Constraints'!$A:$A,"caiso-deliverability_"&amp;SUBSTITUTE(Dashboard!$D754,"_group",Dashboard!$D$633)&amp;"."&amp;YEAR(Dashboard!AD$537))+AD722</f>
        <v>5592.5509476699999</v>
      </c>
      <c r="AH754" s="34" t="s">
        <v>422</v>
      </c>
    </row>
    <row r="755" spans="3:34" outlineLevel="2" x14ac:dyDescent="0.2">
      <c r="D755" s="8" t="s">
        <v>280</v>
      </c>
      <c r="E755" s="10">
        <f>SUMIFS('Custom Constraints'!$C:$C,'Custom Constraints'!$A:$A,"caiso-deliverability_"&amp;SUBSTITUTE(Dashboard!$D755,"_group",Dashboard!$D$633)&amp;"."&amp;YEAR(Dashboard!E$537))+E723</f>
        <v>0</v>
      </c>
      <c r="F755" s="10">
        <f>SUMIFS('Custom Constraints'!$C:$C,'Custom Constraints'!$A:$A,"caiso-deliverability_"&amp;SUBSTITUTE(Dashboard!$D755,"_group",Dashboard!$D$633)&amp;"."&amp;YEAR(Dashboard!F$537))+F723</f>
        <v>0</v>
      </c>
      <c r="G755" s="10">
        <f>SUMIFS('Custom Constraints'!$C:$C,'Custom Constraints'!$A:$A,"caiso-deliverability_"&amp;SUBSTITUTE(Dashboard!$D755,"_group",Dashboard!$D$633)&amp;"."&amp;YEAR(Dashboard!G$537))+G723</f>
        <v>0</v>
      </c>
      <c r="H755" s="10">
        <f>SUMIFS('Custom Constraints'!$C:$C,'Custom Constraints'!$A:$A,"caiso-deliverability_"&amp;SUBSTITUTE(Dashboard!$D755,"_group",Dashboard!$D$633)&amp;"."&amp;YEAR(Dashboard!H$537))+H723</f>
        <v>0</v>
      </c>
      <c r="I755" s="10">
        <f>SUMIFS('Custom Constraints'!$C:$C,'Custom Constraints'!$A:$A,"caiso-deliverability_"&amp;SUBSTITUTE(Dashboard!$D755,"_group",Dashboard!$D$633)&amp;"."&amp;YEAR(Dashboard!I$537))+I723</f>
        <v>0</v>
      </c>
      <c r="J755" s="10">
        <f>SUMIFS('Custom Constraints'!$C:$C,'Custom Constraints'!$A:$A,"caiso-deliverability_"&amp;SUBSTITUTE(Dashboard!$D755,"_group",Dashboard!$D$633)&amp;"."&amp;YEAR(Dashboard!J$537))+J723</f>
        <v>0</v>
      </c>
      <c r="K755" s="10">
        <f>SUMIFS('Custom Constraints'!$C:$C,'Custom Constraints'!$A:$A,"caiso-deliverability_"&amp;SUBSTITUTE(Dashboard!$D755,"_group",Dashboard!$D$633)&amp;"."&amp;YEAR(Dashboard!K$537))+K723</f>
        <v>0</v>
      </c>
      <c r="L755" s="10">
        <f>SUMIFS('Custom Constraints'!$C:$C,'Custom Constraints'!$A:$A,"caiso-deliverability_"&amp;SUBSTITUTE(Dashboard!$D755,"_group",Dashboard!$D$633)&amp;"."&amp;YEAR(Dashboard!L$537))+L723</f>
        <v>0</v>
      </c>
      <c r="M755" s="10">
        <f>SUMIFS('Custom Constraints'!$C:$C,'Custom Constraints'!$A:$A,"caiso-deliverability_"&amp;SUBSTITUTE(Dashboard!$D755,"_group",Dashboard!$D$633)&amp;"."&amp;YEAR(Dashboard!M$537))+M723</f>
        <v>0</v>
      </c>
      <c r="N755" s="10">
        <f>SUMIFS('Custom Constraints'!$C:$C,'Custom Constraints'!$A:$A,"caiso-deliverability_"&amp;SUBSTITUTE(Dashboard!$D755,"_group",Dashboard!$D$633)&amp;"."&amp;YEAR(Dashboard!N$537))+N723</f>
        <v>0</v>
      </c>
      <c r="O755" s="10">
        <f>SUMIFS('Custom Constraints'!$C:$C,'Custom Constraints'!$A:$A,"caiso-deliverability_"&amp;SUBSTITUTE(Dashboard!$D755,"_group",Dashboard!$D$633)&amp;"."&amp;YEAR(Dashboard!O$537))+O723</f>
        <v>0</v>
      </c>
      <c r="P755" s="10">
        <f>SUMIFS('Custom Constraints'!$C:$C,'Custom Constraints'!$A:$A,"caiso-deliverability_"&amp;SUBSTITUTE(Dashboard!$D755,"_group",Dashboard!$D$633)&amp;"."&amp;YEAR(Dashboard!P$537))+P723</f>
        <v>0</v>
      </c>
      <c r="Q755" s="10">
        <f>SUMIFS('Custom Constraints'!$C:$C,'Custom Constraints'!$A:$A,"caiso-deliverability_"&amp;SUBSTITUTE(Dashboard!$D755,"_group",Dashboard!$D$633)&amp;"."&amp;YEAR(Dashboard!Q$537))+Q723</f>
        <v>0</v>
      </c>
      <c r="R755" s="10">
        <f>SUMIFS('Custom Constraints'!$C:$C,'Custom Constraints'!$A:$A,"caiso-deliverability_"&amp;SUBSTITUTE(Dashboard!$D755,"_group",Dashboard!$D$633)&amp;"."&amp;YEAR(Dashboard!R$537))+R723</f>
        <v>0</v>
      </c>
      <c r="S755" s="10">
        <f>SUMIFS('Custom Constraints'!$C:$C,'Custom Constraints'!$A:$A,"caiso-deliverability_"&amp;SUBSTITUTE(Dashboard!$D755,"_group",Dashboard!$D$633)&amp;"."&amp;YEAR(Dashboard!S$537))+S723</f>
        <v>0</v>
      </c>
      <c r="T755" s="10">
        <f>SUMIFS('Custom Constraints'!$C:$C,'Custom Constraints'!$A:$A,"caiso-deliverability_"&amp;SUBSTITUTE(Dashboard!$D755,"_group",Dashboard!$D$633)&amp;"."&amp;YEAR(Dashboard!T$537))+T723</f>
        <v>0</v>
      </c>
      <c r="U755" s="10">
        <f>SUMIFS('Custom Constraints'!$C:$C,'Custom Constraints'!$A:$A,"caiso-deliverability_"&amp;SUBSTITUTE(Dashboard!$D755,"_group",Dashboard!$D$633)&amp;"."&amp;YEAR(Dashboard!U$537))+U723</f>
        <v>0</v>
      </c>
      <c r="V755" s="10">
        <f>SUMIFS('Custom Constraints'!$C:$C,'Custom Constraints'!$A:$A,"caiso-deliverability_"&amp;SUBSTITUTE(Dashboard!$D755,"_group",Dashboard!$D$633)&amp;"."&amp;YEAR(Dashboard!V$537))+V723</f>
        <v>0</v>
      </c>
      <c r="W755" s="10">
        <f>SUMIFS('Custom Constraints'!$C:$C,'Custom Constraints'!$A:$A,"caiso-deliverability_"&amp;SUBSTITUTE(Dashboard!$D755,"_group",Dashboard!$D$633)&amp;"."&amp;YEAR(Dashboard!W$537))+W723</f>
        <v>0</v>
      </c>
      <c r="X755" s="10">
        <f>SUMIFS('Custom Constraints'!$C:$C,'Custom Constraints'!$A:$A,"caiso-deliverability_"&amp;SUBSTITUTE(Dashboard!$D755,"_group",Dashboard!$D$633)&amp;"."&amp;YEAR(Dashboard!X$537))+X723</f>
        <v>0</v>
      </c>
      <c r="Y755" s="10">
        <f>SUMIFS('Custom Constraints'!$C:$C,'Custom Constraints'!$A:$A,"caiso-deliverability_"&amp;SUBSTITUTE(Dashboard!$D755,"_group",Dashboard!$D$633)&amp;"."&amp;YEAR(Dashboard!Y$537))+Y723</f>
        <v>0</v>
      </c>
      <c r="Z755" s="10">
        <f>SUMIFS('Custom Constraints'!$C:$C,'Custom Constraints'!$A:$A,"caiso-deliverability_"&amp;SUBSTITUTE(Dashboard!$D755,"_group",Dashboard!$D$633)&amp;"."&amp;YEAR(Dashboard!Z$537))+Z723</f>
        <v>0</v>
      </c>
      <c r="AA755" s="10">
        <f>SUMIFS('Custom Constraints'!$C:$C,'Custom Constraints'!$A:$A,"caiso-deliverability_"&amp;SUBSTITUTE(Dashboard!$D755,"_group",Dashboard!$D$633)&amp;"."&amp;YEAR(Dashboard!AA$537))+AA723</f>
        <v>0</v>
      </c>
      <c r="AB755" s="10">
        <f>SUMIFS('Custom Constraints'!$C:$C,'Custom Constraints'!$A:$A,"caiso-deliverability_"&amp;SUBSTITUTE(Dashboard!$D755,"_group",Dashboard!$D$633)&amp;"."&amp;YEAR(Dashboard!AB$537))+AB723</f>
        <v>0</v>
      </c>
      <c r="AC755" s="10">
        <f>SUMIFS('Custom Constraints'!$C:$C,'Custom Constraints'!$A:$A,"caiso-deliverability_"&amp;SUBSTITUTE(Dashboard!$D755,"_group",Dashboard!$D$633)&amp;"."&amp;YEAR(Dashboard!AC$537))+AC723</f>
        <v>0</v>
      </c>
      <c r="AD755" s="10">
        <f>SUMIFS('Custom Constraints'!$C:$C,'Custom Constraints'!$A:$A,"caiso-deliverability_"&amp;SUBSTITUTE(Dashboard!$D755,"_group",Dashboard!$D$633)&amp;"."&amp;YEAR(Dashboard!AD$537))+AD723</f>
        <v>2766.0000000000005</v>
      </c>
      <c r="AH755" s="34" t="s">
        <v>422</v>
      </c>
    </row>
    <row r="756" spans="3:34" outlineLevel="2" x14ac:dyDescent="0.2">
      <c r="D756" s="8" t="s">
        <v>281</v>
      </c>
      <c r="E756" s="10">
        <f>SUMIFS('Custom Constraints'!$C:$C,'Custom Constraints'!$A:$A,"caiso-deliverability_"&amp;SUBSTITUTE(Dashboard!$D756,"_group",Dashboard!$D$633)&amp;"."&amp;YEAR(Dashboard!E$537))+E724</f>
        <v>0</v>
      </c>
      <c r="F756" s="10">
        <f>SUMIFS('Custom Constraints'!$C:$C,'Custom Constraints'!$A:$A,"caiso-deliverability_"&amp;SUBSTITUTE(Dashboard!$D756,"_group",Dashboard!$D$633)&amp;"."&amp;YEAR(Dashboard!F$537))+F724</f>
        <v>0</v>
      </c>
      <c r="G756" s="10">
        <f>SUMIFS('Custom Constraints'!$C:$C,'Custom Constraints'!$A:$A,"caiso-deliverability_"&amp;SUBSTITUTE(Dashboard!$D756,"_group",Dashboard!$D$633)&amp;"."&amp;YEAR(Dashboard!G$537))+G724</f>
        <v>0</v>
      </c>
      <c r="H756" s="10">
        <f>SUMIFS('Custom Constraints'!$C:$C,'Custom Constraints'!$A:$A,"caiso-deliverability_"&amp;SUBSTITUTE(Dashboard!$D756,"_group",Dashboard!$D$633)&amp;"."&amp;YEAR(Dashboard!H$537))+H724</f>
        <v>0</v>
      </c>
      <c r="I756" s="10">
        <f>SUMIFS('Custom Constraints'!$C:$C,'Custom Constraints'!$A:$A,"caiso-deliverability_"&amp;SUBSTITUTE(Dashboard!$D756,"_group",Dashboard!$D$633)&amp;"."&amp;YEAR(Dashboard!I$537))+I724</f>
        <v>0</v>
      </c>
      <c r="J756" s="10">
        <f>SUMIFS('Custom Constraints'!$C:$C,'Custom Constraints'!$A:$A,"caiso-deliverability_"&amp;SUBSTITUTE(Dashboard!$D756,"_group",Dashboard!$D$633)&amp;"."&amp;YEAR(Dashboard!J$537))+J724</f>
        <v>0</v>
      </c>
      <c r="K756" s="10">
        <f>SUMIFS('Custom Constraints'!$C:$C,'Custom Constraints'!$A:$A,"caiso-deliverability_"&amp;SUBSTITUTE(Dashboard!$D756,"_group",Dashboard!$D$633)&amp;"."&amp;YEAR(Dashboard!K$537))+K724</f>
        <v>0</v>
      </c>
      <c r="L756" s="10">
        <f>SUMIFS('Custom Constraints'!$C:$C,'Custom Constraints'!$A:$A,"caiso-deliverability_"&amp;SUBSTITUTE(Dashboard!$D756,"_group",Dashboard!$D$633)&amp;"."&amp;YEAR(Dashboard!L$537))+L724</f>
        <v>0</v>
      </c>
      <c r="M756" s="10">
        <f>SUMIFS('Custom Constraints'!$C:$C,'Custom Constraints'!$A:$A,"caiso-deliverability_"&amp;SUBSTITUTE(Dashboard!$D756,"_group",Dashboard!$D$633)&amp;"."&amp;YEAR(Dashboard!M$537))+M724</f>
        <v>0</v>
      </c>
      <c r="N756" s="10">
        <f>SUMIFS('Custom Constraints'!$C:$C,'Custom Constraints'!$A:$A,"caiso-deliverability_"&amp;SUBSTITUTE(Dashboard!$D756,"_group",Dashboard!$D$633)&amp;"."&amp;YEAR(Dashboard!N$537))+N724</f>
        <v>0</v>
      </c>
      <c r="O756" s="10">
        <f>SUMIFS('Custom Constraints'!$C:$C,'Custom Constraints'!$A:$A,"caiso-deliverability_"&amp;SUBSTITUTE(Dashboard!$D756,"_group",Dashboard!$D$633)&amp;"."&amp;YEAR(Dashboard!O$537))+O724</f>
        <v>0</v>
      </c>
      <c r="P756" s="10">
        <f>SUMIFS('Custom Constraints'!$C:$C,'Custom Constraints'!$A:$A,"caiso-deliverability_"&amp;SUBSTITUTE(Dashboard!$D756,"_group",Dashboard!$D$633)&amp;"."&amp;YEAR(Dashboard!P$537))+P724</f>
        <v>0</v>
      </c>
      <c r="Q756" s="10">
        <f>SUMIFS('Custom Constraints'!$C:$C,'Custom Constraints'!$A:$A,"caiso-deliverability_"&amp;SUBSTITUTE(Dashboard!$D756,"_group",Dashboard!$D$633)&amp;"."&amp;YEAR(Dashboard!Q$537))+Q724</f>
        <v>0</v>
      </c>
      <c r="R756" s="10">
        <f>SUMIFS('Custom Constraints'!$C:$C,'Custom Constraints'!$A:$A,"caiso-deliverability_"&amp;SUBSTITUTE(Dashboard!$D756,"_group",Dashboard!$D$633)&amp;"."&amp;YEAR(Dashboard!R$537))+R724</f>
        <v>0</v>
      </c>
      <c r="S756" s="10">
        <f>SUMIFS('Custom Constraints'!$C:$C,'Custom Constraints'!$A:$A,"caiso-deliverability_"&amp;SUBSTITUTE(Dashboard!$D756,"_group",Dashboard!$D$633)&amp;"."&amp;YEAR(Dashboard!S$537))+S724</f>
        <v>0</v>
      </c>
      <c r="T756" s="10">
        <f>SUMIFS('Custom Constraints'!$C:$C,'Custom Constraints'!$A:$A,"caiso-deliverability_"&amp;SUBSTITUTE(Dashboard!$D756,"_group",Dashboard!$D$633)&amp;"."&amp;YEAR(Dashboard!T$537))+T724</f>
        <v>0</v>
      </c>
      <c r="U756" s="10">
        <f>SUMIFS('Custom Constraints'!$C:$C,'Custom Constraints'!$A:$A,"caiso-deliverability_"&amp;SUBSTITUTE(Dashboard!$D756,"_group",Dashboard!$D$633)&amp;"."&amp;YEAR(Dashboard!U$537))+U724</f>
        <v>0</v>
      </c>
      <c r="V756" s="10">
        <f>SUMIFS('Custom Constraints'!$C:$C,'Custom Constraints'!$A:$A,"caiso-deliverability_"&amp;SUBSTITUTE(Dashboard!$D756,"_group",Dashboard!$D$633)&amp;"."&amp;YEAR(Dashboard!V$537))+V724</f>
        <v>0</v>
      </c>
      <c r="W756" s="10">
        <f>SUMIFS('Custom Constraints'!$C:$C,'Custom Constraints'!$A:$A,"caiso-deliverability_"&amp;SUBSTITUTE(Dashboard!$D756,"_group",Dashboard!$D$633)&amp;"."&amp;YEAR(Dashboard!W$537))+W724</f>
        <v>0</v>
      </c>
      <c r="X756" s="10">
        <f>SUMIFS('Custom Constraints'!$C:$C,'Custom Constraints'!$A:$A,"caiso-deliverability_"&amp;SUBSTITUTE(Dashboard!$D756,"_group",Dashboard!$D$633)&amp;"."&amp;YEAR(Dashboard!X$537))+X724</f>
        <v>0</v>
      </c>
      <c r="Y756" s="10">
        <f>SUMIFS('Custom Constraints'!$C:$C,'Custom Constraints'!$A:$A,"caiso-deliverability_"&amp;SUBSTITUTE(Dashboard!$D756,"_group",Dashboard!$D$633)&amp;"."&amp;YEAR(Dashboard!Y$537))+Y724</f>
        <v>0</v>
      </c>
      <c r="Z756" s="10">
        <f>SUMIFS('Custom Constraints'!$C:$C,'Custom Constraints'!$A:$A,"caiso-deliverability_"&amp;SUBSTITUTE(Dashboard!$D756,"_group",Dashboard!$D$633)&amp;"."&amp;YEAR(Dashboard!Z$537))+Z724</f>
        <v>0</v>
      </c>
      <c r="AA756" s="10">
        <f>SUMIFS('Custom Constraints'!$C:$C,'Custom Constraints'!$A:$A,"caiso-deliverability_"&amp;SUBSTITUTE(Dashboard!$D756,"_group",Dashboard!$D$633)&amp;"."&amp;YEAR(Dashboard!AA$537))+AA724</f>
        <v>0</v>
      </c>
      <c r="AB756" s="10">
        <f>SUMIFS('Custom Constraints'!$C:$C,'Custom Constraints'!$A:$A,"caiso-deliverability_"&amp;SUBSTITUTE(Dashboard!$D756,"_group",Dashboard!$D$633)&amp;"."&amp;YEAR(Dashboard!AB$537))+AB724</f>
        <v>0</v>
      </c>
      <c r="AC756" s="10">
        <f>SUMIFS('Custom Constraints'!$C:$C,'Custom Constraints'!$A:$A,"caiso-deliverability_"&amp;SUBSTITUTE(Dashboard!$D756,"_group",Dashboard!$D$633)&amp;"."&amp;YEAR(Dashboard!AC$537))+AC724</f>
        <v>0</v>
      </c>
      <c r="AD756" s="10">
        <f>SUMIFS('Custom Constraints'!$C:$C,'Custom Constraints'!$A:$A,"caiso-deliverability_"&amp;SUBSTITUTE(Dashboard!$D756,"_group",Dashboard!$D$633)&amp;"."&amp;YEAR(Dashboard!AD$537))+AD724</f>
        <v>0</v>
      </c>
      <c r="AH756" s="34" t="s">
        <v>422</v>
      </c>
    </row>
    <row r="757" spans="3:34" outlineLevel="2" x14ac:dyDescent="0.2">
      <c r="D757" s="8" t="s">
        <v>282</v>
      </c>
      <c r="E757" s="10">
        <f>SUMIFS('Custom Constraints'!$C:$C,'Custom Constraints'!$A:$A,"caiso-deliverability_"&amp;SUBSTITUTE(Dashboard!$D757,"_group",Dashboard!$D$633)&amp;"."&amp;YEAR(Dashboard!E$537))+E725</f>
        <v>0</v>
      </c>
      <c r="F757" s="10">
        <f>SUMIFS('Custom Constraints'!$C:$C,'Custom Constraints'!$A:$A,"caiso-deliverability_"&amp;SUBSTITUTE(Dashboard!$D757,"_group",Dashboard!$D$633)&amp;"."&amp;YEAR(Dashboard!F$537))+F725</f>
        <v>0</v>
      </c>
      <c r="G757" s="10">
        <f>SUMIFS('Custom Constraints'!$C:$C,'Custom Constraints'!$A:$A,"caiso-deliverability_"&amp;SUBSTITUTE(Dashboard!$D757,"_group",Dashboard!$D$633)&amp;"."&amp;YEAR(Dashboard!G$537))+G725</f>
        <v>0</v>
      </c>
      <c r="H757" s="10">
        <f>SUMIFS('Custom Constraints'!$C:$C,'Custom Constraints'!$A:$A,"caiso-deliverability_"&amp;SUBSTITUTE(Dashboard!$D757,"_group",Dashboard!$D$633)&amp;"."&amp;YEAR(Dashboard!H$537))+H725</f>
        <v>0</v>
      </c>
      <c r="I757" s="10">
        <f>SUMIFS('Custom Constraints'!$C:$C,'Custom Constraints'!$A:$A,"caiso-deliverability_"&amp;SUBSTITUTE(Dashboard!$D757,"_group",Dashboard!$D$633)&amp;"."&amp;YEAR(Dashboard!I$537))+I725</f>
        <v>0</v>
      </c>
      <c r="J757" s="10">
        <f>SUMIFS('Custom Constraints'!$C:$C,'Custom Constraints'!$A:$A,"caiso-deliverability_"&amp;SUBSTITUTE(Dashboard!$D757,"_group",Dashboard!$D$633)&amp;"."&amp;YEAR(Dashboard!J$537))+J725</f>
        <v>0</v>
      </c>
      <c r="K757" s="10">
        <f>SUMIFS('Custom Constraints'!$C:$C,'Custom Constraints'!$A:$A,"caiso-deliverability_"&amp;SUBSTITUTE(Dashboard!$D757,"_group",Dashboard!$D$633)&amp;"."&amp;YEAR(Dashboard!K$537))+K725</f>
        <v>0</v>
      </c>
      <c r="L757" s="10">
        <f>SUMIFS('Custom Constraints'!$C:$C,'Custom Constraints'!$A:$A,"caiso-deliverability_"&amp;SUBSTITUTE(Dashboard!$D757,"_group",Dashboard!$D$633)&amp;"."&amp;YEAR(Dashboard!L$537))+L725</f>
        <v>0</v>
      </c>
      <c r="M757" s="10">
        <f>SUMIFS('Custom Constraints'!$C:$C,'Custom Constraints'!$A:$A,"caiso-deliverability_"&amp;SUBSTITUTE(Dashboard!$D757,"_group",Dashboard!$D$633)&amp;"."&amp;YEAR(Dashboard!M$537))+M725</f>
        <v>0</v>
      </c>
      <c r="N757" s="10">
        <f>SUMIFS('Custom Constraints'!$C:$C,'Custom Constraints'!$A:$A,"caiso-deliverability_"&amp;SUBSTITUTE(Dashboard!$D757,"_group",Dashboard!$D$633)&amp;"."&amp;YEAR(Dashboard!N$537))+N725</f>
        <v>0</v>
      </c>
      <c r="O757" s="10">
        <f>SUMIFS('Custom Constraints'!$C:$C,'Custom Constraints'!$A:$A,"caiso-deliverability_"&amp;SUBSTITUTE(Dashboard!$D757,"_group",Dashboard!$D$633)&amp;"."&amp;YEAR(Dashboard!O$537))+O725</f>
        <v>0</v>
      </c>
      <c r="P757" s="10">
        <f>SUMIFS('Custom Constraints'!$C:$C,'Custom Constraints'!$A:$A,"caiso-deliverability_"&amp;SUBSTITUTE(Dashboard!$D757,"_group",Dashboard!$D$633)&amp;"."&amp;YEAR(Dashboard!P$537))+P725</f>
        <v>0</v>
      </c>
      <c r="Q757" s="10">
        <f>SUMIFS('Custom Constraints'!$C:$C,'Custom Constraints'!$A:$A,"caiso-deliverability_"&amp;SUBSTITUTE(Dashboard!$D757,"_group",Dashboard!$D$633)&amp;"."&amp;YEAR(Dashboard!Q$537))+Q725</f>
        <v>0</v>
      </c>
      <c r="R757" s="10">
        <f>SUMIFS('Custom Constraints'!$C:$C,'Custom Constraints'!$A:$A,"caiso-deliverability_"&amp;SUBSTITUTE(Dashboard!$D757,"_group",Dashboard!$D$633)&amp;"."&amp;YEAR(Dashboard!R$537))+R725</f>
        <v>0</v>
      </c>
      <c r="S757" s="10">
        <f>SUMIFS('Custom Constraints'!$C:$C,'Custom Constraints'!$A:$A,"caiso-deliverability_"&amp;SUBSTITUTE(Dashboard!$D757,"_group",Dashboard!$D$633)&amp;"."&amp;YEAR(Dashboard!S$537))+S725</f>
        <v>0</v>
      </c>
      <c r="T757" s="10">
        <f>SUMIFS('Custom Constraints'!$C:$C,'Custom Constraints'!$A:$A,"caiso-deliverability_"&amp;SUBSTITUTE(Dashboard!$D757,"_group",Dashboard!$D$633)&amp;"."&amp;YEAR(Dashboard!T$537))+T725</f>
        <v>0</v>
      </c>
      <c r="U757" s="10">
        <f>SUMIFS('Custom Constraints'!$C:$C,'Custom Constraints'!$A:$A,"caiso-deliverability_"&amp;SUBSTITUTE(Dashboard!$D757,"_group",Dashboard!$D$633)&amp;"."&amp;YEAR(Dashboard!U$537))+U725</f>
        <v>0</v>
      </c>
      <c r="V757" s="10">
        <f>SUMIFS('Custom Constraints'!$C:$C,'Custom Constraints'!$A:$A,"caiso-deliverability_"&amp;SUBSTITUTE(Dashboard!$D757,"_group",Dashboard!$D$633)&amp;"."&amp;YEAR(Dashboard!V$537))+V725</f>
        <v>0</v>
      </c>
      <c r="W757" s="10">
        <f>SUMIFS('Custom Constraints'!$C:$C,'Custom Constraints'!$A:$A,"caiso-deliverability_"&amp;SUBSTITUTE(Dashboard!$D757,"_group",Dashboard!$D$633)&amp;"."&amp;YEAR(Dashboard!W$537))+W725</f>
        <v>0</v>
      </c>
      <c r="X757" s="10">
        <f>SUMIFS('Custom Constraints'!$C:$C,'Custom Constraints'!$A:$A,"caiso-deliverability_"&amp;SUBSTITUTE(Dashboard!$D757,"_group",Dashboard!$D$633)&amp;"."&amp;YEAR(Dashboard!X$537))+X725</f>
        <v>0</v>
      </c>
      <c r="Y757" s="10">
        <f>SUMIFS('Custom Constraints'!$C:$C,'Custom Constraints'!$A:$A,"caiso-deliverability_"&amp;SUBSTITUTE(Dashboard!$D757,"_group",Dashboard!$D$633)&amp;"."&amp;YEAR(Dashboard!Y$537))+Y725</f>
        <v>0</v>
      </c>
      <c r="Z757" s="10">
        <f>SUMIFS('Custom Constraints'!$C:$C,'Custom Constraints'!$A:$A,"caiso-deliverability_"&amp;SUBSTITUTE(Dashboard!$D757,"_group",Dashboard!$D$633)&amp;"."&amp;YEAR(Dashboard!Z$537))+Z725</f>
        <v>0</v>
      </c>
      <c r="AA757" s="10">
        <f>SUMIFS('Custom Constraints'!$C:$C,'Custom Constraints'!$A:$A,"caiso-deliverability_"&amp;SUBSTITUTE(Dashboard!$D757,"_group",Dashboard!$D$633)&amp;"."&amp;YEAR(Dashboard!AA$537))+AA725</f>
        <v>0</v>
      </c>
      <c r="AB757" s="10">
        <f>SUMIFS('Custom Constraints'!$C:$C,'Custom Constraints'!$A:$A,"caiso-deliverability_"&amp;SUBSTITUTE(Dashboard!$D757,"_group",Dashboard!$D$633)&amp;"."&amp;YEAR(Dashboard!AB$537))+AB725</f>
        <v>0</v>
      </c>
      <c r="AC757" s="10">
        <f>SUMIFS('Custom Constraints'!$C:$C,'Custom Constraints'!$A:$A,"caiso-deliverability_"&amp;SUBSTITUTE(Dashboard!$D757,"_group",Dashboard!$D$633)&amp;"."&amp;YEAR(Dashboard!AC$537))+AC725</f>
        <v>0</v>
      </c>
      <c r="AD757" s="10">
        <f>SUMIFS('Custom Constraints'!$C:$C,'Custom Constraints'!$A:$A,"caiso-deliverability_"&amp;SUBSTITUTE(Dashboard!$D757,"_group",Dashboard!$D$633)&amp;"."&amp;YEAR(Dashboard!AD$537))+AD725</f>
        <v>0</v>
      </c>
      <c r="AH757" s="34" t="s">
        <v>422</v>
      </c>
    </row>
    <row r="758" spans="3:34" outlineLevel="2" x14ac:dyDescent="0.2">
      <c r="D758" s="8" t="s">
        <v>283</v>
      </c>
      <c r="E758" s="10">
        <f>SUMIFS('Custom Constraints'!$C:$C,'Custom Constraints'!$A:$A,"caiso-deliverability_"&amp;SUBSTITUTE(Dashboard!$D758,"_group",Dashboard!$D$633)&amp;"."&amp;YEAR(Dashboard!E$537))+E726</f>
        <v>0</v>
      </c>
      <c r="F758" s="10">
        <f>SUMIFS('Custom Constraints'!$C:$C,'Custom Constraints'!$A:$A,"caiso-deliverability_"&amp;SUBSTITUTE(Dashboard!$D758,"_group",Dashboard!$D$633)&amp;"."&amp;YEAR(Dashboard!F$537))+F726</f>
        <v>0</v>
      </c>
      <c r="G758" s="10">
        <f>SUMIFS('Custom Constraints'!$C:$C,'Custom Constraints'!$A:$A,"caiso-deliverability_"&amp;SUBSTITUTE(Dashboard!$D758,"_group",Dashboard!$D$633)&amp;"."&amp;YEAR(Dashboard!G$537))+G726</f>
        <v>0</v>
      </c>
      <c r="H758" s="10">
        <f>SUMIFS('Custom Constraints'!$C:$C,'Custom Constraints'!$A:$A,"caiso-deliverability_"&amp;SUBSTITUTE(Dashboard!$D758,"_group",Dashboard!$D$633)&amp;"."&amp;YEAR(Dashboard!H$537))+H726</f>
        <v>0</v>
      </c>
      <c r="I758" s="10">
        <f>SUMIFS('Custom Constraints'!$C:$C,'Custom Constraints'!$A:$A,"caiso-deliverability_"&amp;SUBSTITUTE(Dashboard!$D758,"_group",Dashboard!$D$633)&amp;"."&amp;YEAR(Dashboard!I$537))+I726</f>
        <v>0</v>
      </c>
      <c r="J758" s="10">
        <f>SUMIFS('Custom Constraints'!$C:$C,'Custom Constraints'!$A:$A,"caiso-deliverability_"&amp;SUBSTITUTE(Dashboard!$D758,"_group",Dashboard!$D$633)&amp;"."&amp;YEAR(Dashboard!J$537))+J726</f>
        <v>0</v>
      </c>
      <c r="K758" s="10">
        <f>SUMIFS('Custom Constraints'!$C:$C,'Custom Constraints'!$A:$A,"caiso-deliverability_"&amp;SUBSTITUTE(Dashboard!$D758,"_group",Dashboard!$D$633)&amp;"."&amp;YEAR(Dashboard!K$537))+K726</f>
        <v>0</v>
      </c>
      <c r="L758" s="10">
        <f>SUMIFS('Custom Constraints'!$C:$C,'Custom Constraints'!$A:$A,"caiso-deliverability_"&amp;SUBSTITUTE(Dashboard!$D758,"_group",Dashboard!$D$633)&amp;"."&amp;YEAR(Dashboard!L$537))+L726</f>
        <v>0</v>
      </c>
      <c r="M758" s="10">
        <f>SUMIFS('Custom Constraints'!$C:$C,'Custom Constraints'!$A:$A,"caiso-deliverability_"&amp;SUBSTITUTE(Dashboard!$D758,"_group",Dashboard!$D$633)&amp;"."&amp;YEAR(Dashboard!M$537))+M726</f>
        <v>0</v>
      </c>
      <c r="N758" s="10">
        <f>SUMIFS('Custom Constraints'!$C:$C,'Custom Constraints'!$A:$A,"caiso-deliverability_"&amp;SUBSTITUTE(Dashboard!$D758,"_group",Dashboard!$D$633)&amp;"."&amp;YEAR(Dashboard!N$537))+N726</f>
        <v>0</v>
      </c>
      <c r="O758" s="10">
        <f>SUMIFS('Custom Constraints'!$C:$C,'Custom Constraints'!$A:$A,"caiso-deliverability_"&amp;SUBSTITUTE(Dashboard!$D758,"_group",Dashboard!$D$633)&amp;"."&amp;YEAR(Dashboard!O$537))+O726</f>
        <v>0</v>
      </c>
      <c r="P758" s="10">
        <f>SUMIFS('Custom Constraints'!$C:$C,'Custom Constraints'!$A:$A,"caiso-deliverability_"&amp;SUBSTITUTE(Dashboard!$D758,"_group",Dashboard!$D$633)&amp;"."&amp;YEAR(Dashboard!P$537))+P726</f>
        <v>0</v>
      </c>
      <c r="Q758" s="10">
        <f>SUMIFS('Custom Constraints'!$C:$C,'Custom Constraints'!$A:$A,"caiso-deliverability_"&amp;SUBSTITUTE(Dashboard!$D758,"_group",Dashboard!$D$633)&amp;"."&amp;YEAR(Dashboard!Q$537))+Q726</f>
        <v>0</v>
      </c>
      <c r="R758" s="10">
        <f>SUMIFS('Custom Constraints'!$C:$C,'Custom Constraints'!$A:$A,"caiso-deliverability_"&amp;SUBSTITUTE(Dashboard!$D758,"_group",Dashboard!$D$633)&amp;"."&amp;YEAR(Dashboard!R$537))+R726</f>
        <v>0</v>
      </c>
      <c r="S758" s="10">
        <f>SUMIFS('Custom Constraints'!$C:$C,'Custom Constraints'!$A:$A,"caiso-deliverability_"&amp;SUBSTITUTE(Dashboard!$D758,"_group",Dashboard!$D$633)&amp;"."&amp;YEAR(Dashboard!S$537))+S726</f>
        <v>0</v>
      </c>
      <c r="T758" s="10">
        <f>SUMIFS('Custom Constraints'!$C:$C,'Custom Constraints'!$A:$A,"caiso-deliverability_"&amp;SUBSTITUTE(Dashboard!$D758,"_group",Dashboard!$D$633)&amp;"."&amp;YEAR(Dashboard!T$537))+T726</f>
        <v>0</v>
      </c>
      <c r="U758" s="10">
        <f>SUMIFS('Custom Constraints'!$C:$C,'Custom Constraints'!$A:$A,"caiso-deliverability_"&amp;SUBSTITUTE(Dashboard!$D758,"_group",Dashboard!$D$633)&amp;"."&amp;YEAR(Dashboard!U$537))+U726</f>
        <v>0</v>
      </c>
      <c r="V758" s="10">
        <f>SUMIFS('Custom Constraints'!$C:$C,'Custom Constraints'!$A:$A,"caiso-deliverability_"&amp;SUBSTITUTE(Dashboard!$D758,"_group",Dashboard!$D$633)&amp;"."&amp;YEAR(Dashboard!V$537))+V726</f>
        <v>0</v>
      </c>
      <c r="W758" s="10">
        <f>SUMIFS('Custom Constraints'!$C:$C,'Custom Constraints'!$A:$A,"caiso-deliverability_"&amp;SUBSTITUTE(Dashboard!$D758,"_group",Dashboard!$D$633)&amp;"."&amp;YEAR(Dashboard!W$537))+W726</f>
        <v>0</v>
      </c>
      <c r="X758" s="10">
        <f>SUMIFS('Custom Constraints'!$C:$C,'Custom Constraints'!$A:$A,"caiso-deliverability_"&amp;SUBSTITUTE(Dashboard!$D758,"_group",Dashboard!$D$633)&amp;"."&amp;YEAR(Dashboard!X$537))+X726</f>
        <v>0</v>
      </c>
      <c r="Y758" s="10">
        <f>SUMIFS('Custom Constraints'!$C:$C,'Custom Constraints'!$A:$A,"caiso-deliverability_"&amp;SUBSTITUTE(Dashboard!$D758,"_group",Dashboard!$D$633)&amp;"."&amp;YEAR(Dashboard!Y$537))+Y726</f>
        <v>0</v>
      </c>
      <c r="Z758" s="10">
        <f>SUMIFS('Custom Constraints'!$C:$C,'Custom Constraints'!$A:$A,"caiso-deliverability_"&amp;SUBSTITUTE(Dashboard!$D758,"_group",Dashboard!$D$633)&amp;"."&amp;YEAR(Dashboard!Z$537))+Z726</f>
        <v>0</v>
      </c>
      <c r="AA758" s="10">
        <f>SUMIFS('Custom Constraints'!$C:$C,'Custom Constraints'!$A:$A,"caiso-deliverability_"&amp;SUBSTITUTE(Dashboard!$D758,"_group",Dashboard!$D$633)&amp;"."&amp;YEAR(Dashboard!AA$537))+AA726</f>
        <v>0</v>
      </c>
      <c r="AB758" s="10">
        <f>SUMIFS('Custom Constraints'!$C:$C,'Custom Constraints'!$A:$A,"caiso-deliverability_"&amp;SUBSTITUTE(Dashboard!$D758,"_group",Dashboard!$D$633)&amp;"."&amp;YEAR(Dashboard!AB$537))+AB726</f>
        <v>0</v>
      </c>
      <c r="AC758" s="10">
        <f>SUMIFS('Custom Constraints'!$C:$C,'Custom Constraints'!$A:$A,"caiso-deliverability_"&amp;SUBSTITUTE(Dashboard!$D758,"_group",Dashboard!$D$633)&amp;"."&amp;YEAR(Dashboard!AC$537))+AC726</f>
        <v>0</v>
      </c>
      <c r="AD758" s="10">
        <f>SUMIFS('Custom Constraints'!$C:$C,'Custom Constraints'!$A:$A,"caiso-deliverability_"&amp;SUBSTITUTE(Dashboard!$D758,"_group",Dashboard!$D$633)&amp;"."&amp;YEAR(Dashboard!AD$537))+AD726</f>
        <v>6740</v>
      </c>
      <c r="AH758" s="34" t="s">
        <v>422</v>
      </c>
    </row>
    <row r="759" spans="3:34" outlineLevel="2" x14ac:dyDescent="0.2">
      <c r="D759" s="8" t="s">
        <v>284</v>
      </c>
      <c r="E759" s="10">
        <f>SUMIFS('Custom Constraints'!$C:$C,'Custom Constraints'!$A:$A,"caiso-deliverability_"&amp;SUBSTITUTE(Dashboard!$D759,"_group",Dashboard!$D$633)&amp;"."&amp;YEAR(Dashboard!E$537))+E727</f>
        <v>0</v>
      </c>
      <c r="F759" s="10">
        <f>SUMIFS('Custom Constraints'!$C:$C,'Custom Constraints'!$A:$A,"caiso-deliverability_"&amp;SUBSTITUTE(Dashboard!$D759,"_group",Dashboard!$D$633)&amp;"."&amp;YEAR(Dashboard!F$537))+F727</f>
        <v>0</v>
      </c>
      <c r="G759" s="10">
        <f>SUMIFS('Custom Constraints'!$C:$C,'Custom Constraints'!$A:$A,"caiso-deliverability_"&amp;SUBSTITUTE(Dashboard!$D759,"_group",Dashboard!$D$633)&amp;"."&amp;YEAR(Dashboard!G$537))+G727</f>
        <v>0</v>
      </c>
      <c r="H759" s="10">
        <f>SUMIFS('Custom Constraints'!$C:$C,'Custom Constraints'!$A:$A,"caiso-deliverability_"&amp;SUBSTITUTE(Dashboard!$D759,"_group",Dashboard!$D$633)&amp;"."&amp;YEAR(Dashboard!H$537))+H727</f>
        <v>0</v>
      </c>
      <c r="I759" s="10">
        <f>SUMIFS('Custom Constraints'!$C:$C,'Custom Constraints'!$A:$A,"caiso-deliverability_"&amp;SUBSTITUTE(Dashboard!$D759,"_group",Dashboard!$D$633)&amp;"."&amp;YEAR(Dashboard!I$537))+I727</f>
        <v>0</v>
      </c>
      <c r="J759" s="10">
        <f>SUMIFS('Custom Constraints'!$C:$C,'Custom Constraints'!$A:$A,"caiso-deliverability_"&amp;SUBSTITUTE(Dashboard!$D759,"_group",Dashboard!$D$633)&amp;"."&amp;YEAR(Dashboard!J$537))+J727</f>
        <v>0</v>
      </c>
      <c r="K759" s="10">
        <f>SUMIFS('Custom Constraints'!$C:$C,'Custom Constraints'!$A:$A,"caiso-deliverability_"&amp;SUBSTITUTE(Dashboard!$D759,"_group",Dashboard!$D$633)&amp;"."&amp;YEAR(Dashboard!K$537))+K727</f>
        <v>0</v>
      </c>
      <c r="L759" s="10">
        <f>SUMIFS('Custom Constraints'!$C:$C,'Custom Constraints'!$A:$A,"caiso-deliverability_"&amp;SUBSTITUTE(Dashboard!$D759,"_group",Dashboard!$D$633)&amp;"."&amp;YEAR(Dashboard!L$537))+L727</f>
        <v>0</v>
      </c>
      <c r="M759" s="10">
        <f>SUMIFS('Custom Constraints'!$C:$C,'Custom Constraints'!$A:$A,"caiso-deliverability_"&amp;SUBSTITUTE(Dashboard!$D759,"_group",Dashboard!$D$633)&amp;"."&amp;YEAR(Dashboard!M$537))+M727</f>
        <v>0</v>
      </c>
      <c r="N759" s="10">
        <f>SUMIFS('Custom Constraints'!$C:$C,'Custom Constraints'!$A:$A,"caiso-deliverability_"&amp;SUBSTITUTE(Dashboard!$D759,"_group",Dashboard!$D$633)&amp;"."&amp;YEAR(Dashboard!N$537))+N727</f>
        <v>0</v>
      </c>
      <c r="O759" s="10">
        <f>SUMIFS('Custom Constraints'!$C:$C,'Custom Constraints'!$A:$A,"caiso-deliverability_"&amp;SUBSTITUTE(Dashboard!$D759,"_group",Dashboard!$D$633)&amp;"."&amp;YEAR(Dashboard!O$537))+O727</f>
        <v>0</v>
      </c>
      <c r="P759" s="10">
        <f>SUMIFS('Custom Constraints'!$C:$C,'Custom Constraints'!$A:$A,"caiso-deliverability_"&amp;SUBSTITUTE(Dashboard!$D759,"_group",Dashboard!$D$633)&amp;"."&amp;YEAR(Dashboard!P$537))+P727</f>
        <v>0</v>
      </c>
      <c r="Q759" s="10">
        <f>SUMIFS('Custom Constraints'!$C:$C,'Custom Constraints'!$A:$A,"caiso-deliverability_"&amp;SUBSTITUTE(Dashboard!$D759,"_group",Dashboard!$D$633)&amp;"."&amp;YEAR(Dashboard!Q$537))+Q727</f>
        <v>0</v>
      </c>
      <c r="R759" s="10">
        <f>SUMIFS('Custom Constraints'!$C:$C,'Custom Constraints'!$A:$A,"caiso-deliverability_"&amp;SUBSTITUTE(Dashboard!$D759,"_group",Dashboard!$D$633)&amp;"."&amp;YEAR(Dashboard!R$537))+R727</f>
        <v>0</v>
      </c>
      <c r="S759" s="10">
        <f>SUMIFS('Custom Constraints'!$C:$C,'Custom Constraints'!$A:$A,"caiso-deliverability_"&amp;SUBSTITUTE(Dashboard!$D759,"_group",Dashboard!$D$633)&amp;"."&amp;YEAR(Dashboard!S$537))+S727</f>
        <v>0</v>
      </c>
      <c r="T759" s="10">
        <f>SUMIFS('Custom Constraints'!$C:$C,'Custom Constraints'!$A:$A,"caiso-deliverability_"&amp;SUBSTITUTE(Dashboard!$D759,"_group",Dashboard!$D$633)&amp;"."&amp;YEAR(Dashboard!T$537))+T727</f>
        <v>0</v>
      </c>
      <c r="U759" s="10">
        <f>SUMIFS('Custom Constraints'!$C:$C,'Custom Constraints'!$A:$A,"caiso-deliverability_"&amp;SUBSTITUTE(Dashboard!$D759,"_group",Dashboard!$D$633)&amp;"."&amp;YEAR(Dashboard!U$537))+U727</f>
        <v>0</v>
      </c>
      <c r="V759" s="10">
        <f>SUMIFS('Custom Constraints'!$C:$C,'Custom Constraints'!$A:$A,"caiso-deliverability_"&amp;SUBSTITUTE(Dashboard!$D759,"_group",Dashboard!$D$633)&amp;"."&amp;YEAR(Dashboard!V$537))+V727</f>
        <v>0</v>
      </c>
      <c r="W759" s="10">
        <f>SUMIFS('Custom Constraints'!$C:$C,'Custom Constraints'!$A:$A,"caiso-deliverability_"&amp;SUBSTITUTE(Dashboard!$D759,"_group",Dashboard!$D$633)&amp;"."&amp;YEAR(Dashboard!W$537))+W727</f>
        <v>0</v>
      </c>
      <c r="X759" s="10">
        <f>SUMIFS('Custom Constraints'!$C:$C,'Custom Constraints'!$A:$A,"caiso-deliverability_"&amp;SUBSTITUTE(Dashboard!$D759,"_group",Dashboard!$D$633)&amp;"."&amp;YEAR(Dashboard!X$537))+X727</f>
        <v>0</v>
      </c>
      <c r="Y759" s="10">
        <f>SUMIFS('Custom Constraints'!$C:$C,'Custom Constraints'!$A:$A,"caiso-deliverability_"&amp;SUBSTITUTE(Dashboard!$D759,"_group",Dashboard!$D$633)&amp;"."&amp;YEAR(Dashboard!Y$537))+Y727</f>
        <v>0</v>
      </c>
      <c r="Z759" s="10">
        <f>SUMIFS('Custom Constraints'!$C:$C,'Custom Constraints'!$A:$A,"caiso-deliverability_"&amp;SUBSTITUTE(Dashboard!$D759,"_group",Dashboard!$D$633)&amp;"."&amp;YEAR(Dashboard!Z$537))+Z727</f>
        <v>0</v>
      </c>
      <c r="AA759" s="10">
        <f>SUMIFS('Custom Constraints'!$C:$C,'Custom Constraints'!$A:$A,"caiso-deliverability_"&amp;SUBSTITUTE(Dashboard!$D759,"_group",Dashboard!$D$633)&amp;"."&amp;YEAR(Dashboard!AA$537))+AA727</f>
        <v>0</v>
      </c>
      <c r="AB759" s="10">
        <f>SUMIFS('Custom Constraints'!$C:$C,'Custom Constraints'!$A:$A,"caiso-deliverability_"&amp;SUBSTITUTE(Dashboard!$D759,"_group",Dashboard!$D$633)&amp;"."&amp;YEAR(Dashboard!AB$537))+AB727</f>
        <v>0</v>
      </c>
      <c r="AC759" s="10">
        <f>SUMIFS('Custom Constraints'!$C:$C,'Custom Constraints'!$A:$A,"caiso-deliverability_"&amp;SUBSTITUTE(Dashboard!$D759,"_group",Dashboard!$D$633)&amp;"."&amp;YEAR(Dashboard!AC$537))+AC727</f>
        <v>0</v>
      </c>
      <c r="AD759" s="10">
        <f>SUMIFS('Custom Constraints'!$C:$C,'Custom Constraints'!$A:$A,"caiso-deliverability_"&amp;SUBSTITUTE(Dashboard!$D759,"_group",Dashboard!$D$633)&amp;"."&amp;YEAR(Dashboard!AD$537))+AD727</f>
        <v>28.199000000000002</v>
      </c>
      <c r="AH759" s="34" t="s">
        <v>422</v>
      </c>
    </row>
    <row r="760" spans="3:34" ht="12.6" outlineLevel="2" thickBot="1" x14ac:dyDescent="0.25">
      <c r="D760" s="9" t="s">
        <v>139</v>
      </c>
      <c r="E760" s="17">
        <f t="shared" ref="E760:AD760" si="879">SUM(E732:E759)</f>
        <v>0</v>
      </c>
      <c r="F760" s="17">
        <f t="shared" si="879"/>
        <v>0</v>
      </c>
      <c r="G760" s="17">
        <f t="shared" si="879"/>
        <v>0</v>
      </c>
      <c r="H760" s="17">
        <f t="shared" si="879"/>
        <v>0</v>
      </c>
      <c r="I760" s="17">
        <f t="shared" si="879"/>
        <v>0</v>
      </c>
      <c r="J760" s="17">
        <f t="shared" si="879"/>
        <v>0</v>
      </c>
      <c r="K760" s="17">
        <f t="shared" si="879"/>
        <v>0</v>
      </c>
      <c r="L760" s="17">
        <f t="shared" si="879"/>
        <v>0</v>
      </c>
      <c r="M760" s="17">
        <f t="shared" si="879"/>
        <v>0</v>
      </c>
      <c r="N760" s="17">
        <f t="shared" si="879"/>
        <v>0</v>
      </c>
      <c r="O760" s="17">
        <f t="shared" si="879"/>
        <v>0</v>
      </c>
      <c r="P760" s="17">
        <f t="shared" si="879"/>
        <v>0</v>
      </c>
      <c r="Q760" s="17">
        <f t="shared" si="879"/>
        <v>0</v>
      </c>
      <c r="R760" s="17">
        <f t="shared" si="879"/>
        <v>0</v>
      </c>
      <c r="S760" s="17">
        <f t="shared" si="879"/>
        <v>0</v>
      </c>
      <c r="T760" s="17">
        <f t="shared" si="879"/>
        <v>0</v>
      </c>
      <c r="U760" s="17">
        <f t="shared" si="879"/>
        <v>0</v>
      </c>
      <c r="V760" s="17">
        <f t="shared" si="879"/>
        <v>0</v>
      </c>
      <c r="W760" s="17">
        <f t="shared" si="879"/>
        <v>0</v>
      </c>
      <c r="X760" s="17">
        <f t="shared" si="879"/>
        <v>0</v>
      </c>
      <c r="Y760" s="17">
        <f t="shared" si="879"/>
        <v>0</v>
      </c>
      <c r="Z760" s="17">
        <f t="shared" si="879"/>
        <v>0</v>
      </c>
      <c r="AA760" s="17">
        <f t="shared" si="879"/>
        <v>0</v>
      </c>
      <c r="AB760" s="17">
        <f t="shared" si="879"/>
        <v>0</v>
      </c>
      <c r="AC760" s="17">
        <f t="shared" si="879"/>
        <v>0</v>
      </c>
      <c r="AD760" s="17">
        <f t="shared" si="879"/>
        <v>49942.195691801709</v>
      </c>
      <c r="AH760" s="34" t="s">
        <v>422</v>
      </c>
    </row>
    <row r="761" spans="3:34" ht="12" outlineLevel="1" thickTop="1" x14ac:dyDescent="0.2">
      <c r="AH761" s="34" t="s">
        <v>422</v>
      </c>
    </row>
    <row r="762" spans="3:34" ht="17.399999999999999" outlineLevel="1" thickBot="1" x14ac:dyDescent="0.25">
      <c r="C762" s="12" t="s">
        <v>409</v>
      </c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  <c r="AA762" s="12"/>
      <c r="AB762" s="12"/>
      <c r="AC762" s="12"/>
      <c r="AD762" s="12"/>
      <c r="AE762" s="12"/>
      <c r="AF762" s="12"/>
      <c r="AH762" s="34" t="s">
        <v>422</v>
      </c>
    </row>
    <row r="763" spans="3:34" outlineLevel="2" x14ac:dyDescent="0.2">
      <c r="D763" s="15" t="s">
        <v>410</v>
      </c>
      <c r="AH763" s="34" t="s">
        <v>422</v>
      </c>
    </row>
    <row r="764" spans="3:34" ht="13.2" outlineLevel="2" x14ac:dyDescent="0.2">
      <c r="E764" s="2" t="s">
        <v>312</v>
      </c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H764" s="34" t="s">
        <v>422</v>
      </c>
    </row>
    <row r="765" spans="3:34" outlineLevel="2" x14ac:dyDescent="0.2">
      <c r="E765" s="7">
        <v>43831</v>
      </c>
      <c r="F765" s="7">
        <f t="shared" ref="F765" si="880">EDATE(E765,12)</f>
        <v>44197</v>
      </c>
      <c r="G765" s="7">
        <f t="shared" ref="G765" si="881">EDATE(F765,12)</f>
        <v>44562</v>
      </c>
      <c r="H765" s="7">
        <f t="shared" ref="H765" si="882">EDATE(G765,12)</f>
        <v>44927</v>
      </c>
      <c r="I765" s="7">
        <f t="shared" ref="I765" si="883">EDATE(H765,12)</f>
        <v>45292</v>
      </c>
      <c r="J765" s="7">
        <f t="shared" ref="J765" si="884">EDATE(I765,12)</f>
        <v>45658</v>
      </c>
      <c r="K765" s="7">
        <f t="shared" ref="K765" si="885">EDATE(J765,12)</f>
        <v>46023</v>
      </c>
      <c r="L765" s="7">
        <f t="shared" ref="L765" si="886">EDATE(K765,12)</f>
        <v>46388</v>
      </c>
      <c r="M765" s="7">
        <f t="shared" ref="M765" si="887">EDATE(L765,12)</f>
        <v>46753</v>
      </c>
      <c r="N765" s="7">
        <f t="shared" ref="N765" si="888">EDATE(M765,12)</f>
        <v>47119</v>
      </c>
      <c r="O765" s="7">
        <f t="shared" ref="O765" si="889">EDATE(N765,12)</f>
        <v>47484</v>
      </c>
      <c r="P765" s="7">
        <f t="shared" ref="P765" si="890">EDATE(O765,12)</f>
        <v>47849</v>
      </c>
      <c r="Q765" s="7">
        <f t="shared" ref="Q765" si="891">EDATE(P765,12)</f>
        <v>48214</v>
      </c>
      <c r="R765" s="7">
        <f t="shared" ref="R765" si="892">EDATE(Q765,12)</f>
        <v>48580</v>
      </c>
      <c r="S765" s="7">
        <f t="shared" ref="S765" si="893">EDATE(R765,12)</f>
        <v>48945</v>
      </c>
      <c r="T765" s="7">
        <f t="shared" ref="T765" si="894">EDATE(S765,12)</f>
        <v>49310</v>
      </c>
      <c r="U765" s="7">
        <f t="shared" ref="U765" si="895">EDATE(T765,12)</f>
        <v>49675</v>
      </c>
      <c r="V765" s="7">
        <f t="shared" ref="V765" si="896">EDATE(U765,12)</f>
        <v>50041</v>
      </c>
      <c r="W765" s="7">
        <f t="shared" ref="W765" si="897">EDATE(V765,12)</f>
        <v>50406</v>
      </c>
      <c r="X765" s="7">
        <f t="shared" ref="X765" si="898">EDATE(W765,12)</f>
        <v>50771</v>
      </c>
      <c r="Y765" s="7">
        <f t="shared" ref="Y765" si="899">EDATE(X765,12)</f>
        <v>51136</v>
      </c>
      <c r="Z765" s="7">
        <f t="shared" ref="Z765" si="900">EDATE(Y765,12)</f>
        <v>51502</v>
      </c>
      <c r="AA765" s="7">
        <f t="shared" ref="AA765" si="901">EDATE(Z765,12)</f>
        <v>51867</v>
      </c>
      <c r="AB765" s="7">
        <f t="shared" ref="AB765" si="902">EDATE(AA765,12)</f>
        <v>52232</v>
      </c>
      <c r="AC765" s="7">
        <f t="shared" ref="AC765" si="903">EDATE(AB765,12)</f>
        <v>52597</v>
      </c>
      <c r="AD765" s="7">
        <f>EDATE(AC765,12)</f>
        <v>52963</v>
      </c>
      <c r="AH765" s="34" t="s">
        <v>422</v>
      </c>
    </row>
    <row r="766" spans="3:34" outlineLevel="2" x14ac:dyDescent="0.2">
      <c r="D766" s="8" t="s">
        <v>257</v>
      </c>
      <c r="E766" s="10">
        <f t="shared" ref="E766:AD766" si="904">E798+E830</f>
        <v>0</v>
      </c>
      <c r="F766" s="10">
        <f t="shared" si="904"/>
        <v>0</v>
      </c>
      <c r="G766" s="10">
        <f t="shared" si="904"/>
        <v>0</v>
      </c>
      <c r="H766" s="10">
        <f t="shared" si="904"/>
        <v>0</v>
      </c>
      <c r="I766" s="10">
        <f t="shared" si="904"/>
        <v>0</v>
      </c>
      <c r="J766" s="10">
        <f t="shared" si="904"/>
        <v>0</v>
      </c>
      <c r="K766" s="10">
        <f t="shared" si="904"/>
        <v>0</v>
      </c>
      <c r="L766" s="10">
        <f t="shared" si="904"/>
        <v>0</v>
      </c>
      <c r="M766" s="10">
        <f t="shared" si="904"/>
        <v>0</v>
      </c>
      <c r="N766" s="10">
        <f t="shared" si="904"/>
        <v>0</v>
      </c>
      <c r="O766" s="10">
        <f t="shared" si="904"/>
        <v>0</v>
      </c>
      <c r="P766" s="10">
        <f t="shared" si="904"/>
        <v>0</v>
      </c>
      <c r="Q766" s="10">
        <f t="shared" si="904"/>
        <v>0</v>
      </c>
      <c r="R766" s="10">
        <f t="shared" si="904"/>
        <v>0</v>
      </c>
      <c r="S766" s="10">
        <f t="shared" si="904"/>
        <v>0</v>
      </c>
      <c r="T766" s="10">
        <f t="shared" si="904"/>
        <v>0</v>
      </c>
      <c r="U766" s="10">
        <f t="shared" si="904"/>
        <v>0</v>
      </c>
      <c r="V766" s="10">
        <f t="shared" si="904"/>
        <v>0</v>
      </c>
      <c r="W766" s="10">
        <f t="shared" si="904"/>
        <v>0</v>
      </c>
      <c r="X766" s="10">
        <f t="shared" si="904"/>
        <v>0</v>
      </c>
      <c r="Y766" s="10">
        <f t="shared" si="904"/>
        <v>0</v>
      </c>
      <c r="Z766" s="10">
        <f t="shared" si="904"/>
        <v>0</v>
      </c>
      <c r="AA766" s="10">
        <f t="shared" si="904"/>
        <v>0</v>
      </c>
      <c r="AB766" s="10">
        <f t="shared" si="904"/>
        <v>0</v>
      </c>
      <c r="AC766" s="10">
        <f t="shared" si="904"/>
        <v>0</v>
      </c>
      <c r="AD766" s="10">
        <f t="shared" si="904"/>
        <v>1739</v>
      </c>
      <c r="AH766" s="34" t="s">
        <v>422</v>
      </c>
    </row>
    <row r="767" spans="3:34" outlineLevel="2" x14ac:dyDescent="0.2">
      <c r="D767" s="8" t="s">
        <v>258</v>
      </c>
      <c r="E767" s="10">
        <f t="shared" ref="E767:AD767" si="905">E799+E831</f>
        <v>0</v>
      </c>
      <c r="F767" s="10">
        <f t="shared" si="905"/>
        <v>0</v>
      </c>
      <c r="G767" s="10">
        <f t="shared" si="905"/>
        <v>0</v>
      </c>
      <c r="H767" s="10">
        <f t="shared" si="905"/>
        <v>0</v>
      </c>
      <c r="I767" s="10">
        <f t="shared" si="905"/>
        <v>0</v>
      </c>
      <c r="J767" s="10">
        <f t="shared" si="905"/>
        <v>0</v>
      </c>
      <c r="K767" s="10">
        <f t="shared" si="905"/>
        <v>0</v>
      </c>
      <c r="L767" s="10">
        <f t="shared" si="905"/>
        <v>0</v>
      </c>
      <c r="M767" s="10">
        <f t="shared" si="905"/>
        <v>0</v>
      </c>
      <c r="N767" s="10">
        <f t="shared" si="905"/>
        <v>0</v>
      </c>
      <c r="O767" s="10">
        <f t="shared" si="905"/>
        <v>0</v>
      </c>
      <c r="P767" s="10">
        <f t="shared" si="905"/>
        <v>0</v>
      </c>
      <c r="Q767" s="10">
        <f t="shared" si="905"/>
        <v>0</v>
      </c>
      <c r="R767" s="10">
        <f t="shared" si="905"/>
        <v>0</v>
      </c>
      <c r="S767" s="10">
        <f t="shared" si="905"/>
        <v>0</v>
      </c>
      <c r="T767" s="10">
        <f t="shared" si="905"/>
        <v>0</v>
      </c>
      <c r="U767" s="10">
        <f t="shared" si="905"/>
        <v>0</v>
      </c>
      <c r="V767" s="10">
        <f t="shared" si="905"/>
        <v>0</v>
      </c>
      <c r="W767" s="10">
        <f t="shared" si="905"/>
        <v>0</v>
      </c>
      <c r="X767" s="10">
        <f t="shared" si="905"/>
        <v>0</v>
      </c>
      <c r="Y767" s="10">
        <f t="shared" si="905"/>
        <v>0</v>
      </c>
      <c r="Z767" s="10">
        <f t="shared" si="905"/>
        <v>0</v>
      </c>
      <c r="AA767" s="10">
        <f t="shared" si="905"/>
        <v>0</v>
      </c>
      <c r="AB767" s="10">
        <f t="shared" si="905"/>
        <v>0</v>
      </c>
      <c r="AC767" s="10">
        <f t="shared" si="905"/>
        <v>0</v>
      </c>
      <c r="AD767" s="10">
        <f t="shared" si="905"/>
        <v>1523</v>
      </c>
      <c r="AH767" s="34" t="s">
        <v>422</v>
      </c>
    </row>
    <row r="768" spans="3:34" outlineLevel="2" x14ac:dyDescent="0.2">
      <c r="D768" s="8" t="s">
        <v>259</v>
      </c>
      <c r="E768" s="10">
        <f t="shared" ref="E768:AD768" si="906">E800+E832</f>
        <v>0</v>
      </c>
      <c r="F768" s="10">
        <f t="shared" si="906"/>
        <v>0</v>
      </c>
      <c r="G768" s="10">
        <f t="shared" si="906"/>
        <v>0</v>
      </c>
      <c r="H768" s="10">
        <f t="shared" si="906"/>
        <v>0</v>
      </c>
      <c r="I768" s="10">
        <f t="shared" si="906"/>
        <v>0</v>
      </c>
      <c r="J768" s="10">
        <f t="shared" si="906"/>
        <v>0</v>
      </c>
      <c r="K768" s="10">
        <f t="shared" si="906"/>
        <v>0</v>
      </c>
      <c r="L768" s="10">
        <f t="shared" si="906"/>
        <v>0</v>
      </c>
      <c r="M768" s="10">
        <f t="shared" si="906"/>
        <v>0</v>
      </c>
      <c r="N768" s="10">
        <f t="shared" si="906"/>
        <v>0</v>
      </c>
      <c r="O768" s="10">
        <f t="shared" si="906"/>
        <v>0</v>
      </c>
      <c r="P768" s="10">
        <f t="shared" si="906"/>
        <v>0</v>
      </c>
      <c r="Q768" s="10">
        <f t="shared" si="906"/>
        <v>0</v>
      </c>
      <c r="R768" s="10">
        <f t="shared" si="906"/>
        <v>0</v>
      </c>
      <c r="S768" s="10">
        <f t="shared" si="906"/>
        <v>0</v>
      </c>
      <c r="T768" s="10">
        <f t="shared" si="906"/>
        <v>0</v>
      </c>
      <c r="U768" s="10">
        <f t="shared" si="906"/>
        <v>0</v>
      </c>
      <c r="V768" s="10">
        <f t="shared" si="906"/>
        <v>0</v>
      </c>
      <c r="W768" s="10">
        <f t="shared" si="906"/>
        <v>0</v>
      </c>
      <c r="X768" s="10">
        <f t="shared" si="906"/>
        <v>0</v>
      </c>
      <c r="Y768" s="10">
        <f t="shared" si="906"/>
        <v>0</v>
      </c>
      <c r="Z768" s="10">
        <f t="shared" si="906"/>
        <v>0</v>
      </c>
      <c r="AA768" s="10">
        <f t="shared" si="906"/>
        <v>0</v>
      </c>
      <c r="AB768" s="10">
        <f t="shared" si="906"/>
        <v>0</v>
      </c>
      <c r="AC768" s="10">
        <f t="shared" si="906"/>
        <v>0</v>
      </c>
      <c r="AD768" s="10">
        <f t="shared" si="906"/>
        <v>795</v>
      </c>
      <c r="AH768" s="34" t="s">
        <v>422</v>
      </c>
    </row>
    <row r="769" spans="4:34" outlineLevel="2" x14ac:dyDescent="0.2">
      <c r="D769" s="8" t="s">
        <v>260</v>
      </c>
      <c r="E769" s="10">
        <f t="shared" ref="E769:AD769" si="907">E801+E833</f>
        <v>0</v>
      </c>
      <c r="F769" s="10">
        <f t="shared" si="907"/>
        <v>0</v>
      </c>
      <c r="G769" s="10">
        <f t="shared" si="907"/>
        <v>0</v>
      </c>
      <c r="H769" s="10">
        <f t="shared" si="907"/>
        <v>0</v>
      </c>
      <c r="I769" s="10">
        <f t="shared" si="907"/>
        <v>0</v>
      </c>
      <c r="J769" s="10">
        <f t="shared" si="907"/>
        <v>0</v>
      </c>
      <c r="K769" s="10">
        <f t="shared" si="907"/>
        <v>0</v>
      </c>
      <c r="L769" s="10">
        <f t="shared" si="907"/>
        <v>0</v>
      </c>
      <c r="M769" s="10">
        <f t="shared" si="907"/>
        <v>0</v>
      </c>
      <c r="N769" s="10">
        <f t="shared" si="907"/>
        <v>0</v>
      </c>
      <c r="O769" s="10">
        <f t="shared" si="907"/>
        <v>0</v>
      </c>
      <c r="P769" s="10">
        <f t="shared" si="907"/>
        <v>0</v>
      </c>
      <c r="Q769" s="10">
        <f t="shared" si="907"/>
        <v>0</v>
      </c>
      <c r="R769" s="10">
        <f t="shared" si="907"/>
        <v>0</v>
      </c>
      <c r="S769" s="10">
        <f t="shared" si="907"/>
        <v>0</v>
      </c>
      <c r="T769" s="10">
        <f t="shared" si="907"/>
        <v>0</v>
      </c>
      <c r="U769" s="10">
        <f t="shared" si="907"/>
        <v>0</v>
      </c>
      <c r="V769" s="10">
        <f t="shared" si="907"/>
        <v>0</v>
      </c>
      <c r="W769" s="10">
        <f t="shared" si="907"/>
        <v>0</v>
      </c>
      <c r="X769" s="10">
        <f t="shared" si="907"/>
        <v>0</v>
      </c>
      <c r="Y769" s="10">
        <f t="shared" si="907"/>
        <v>0</v>
      </c>
      <c r="Z769" s="10">
        <f t="shared" si="907"/>
        <v>0</v>
      </c>
      <c r="AA769" s="10">
        <f t="shared" si="907"/>
        <v>0</v>
      </c>
      <c r="AB769" s="10">
        <f t="shared" si="907"/>
        <v>0</v>
      </c>
      <c r="AC769" s="10">
        <f t="shared" si="907"/>
        <v>0</v>
      </c>
      <c r="AD769" s="10">
        <f t="shared" si="907"/>
        <v>5820</v>
      </c>
      <c r="AH769" s="34" t="s">
        <v>422</v>
      </c>
    </row>
    <row r="770" spans="4:34" outlineLevel="2" x14ac:dyDescent="0.2">
      <c r="D770" s="8" t="s">
        <v>261</v>
      </c>
      <c r="E770" s="10">
        <f t="shared" ref="E770:AD770" si="908">E802+E834</f>
        <v>0</v>
      </c>
      <c r="F770" s="10">
        <f t="shared" si="908"/>
        <v>0</v>
      </c>
      <c r="G770" s="10">
        <f t="shared" si="908"/>
        <v>0</v>
      </c>
      <c r="H770" s="10">
        <f t="shared" si="908"/>
        <v>0</v>
      </c>
      <c r="I770" s="10">
        <f t="shared" si="908"/>
        <v>0</v>
      </c>
      <c r="J770" s="10">
        <f t="shared" si="908"/>
        <v>0</v>
      </c>
      <c r="K770" s="10">
        <f t="shared" si="908"/>
        <v>0</v>
      </c>
      <c r="L770" s="10">
        <f t="shared" si="908"/>
        <v>0</v>
      </c>
      <c r="M770" s="10">
        <f t="shared" si="908"/>
        <v>0</v>
      </c>
      <c r="N770" s="10">
        <f t="shared" si="908"/>
        <v>0</v>
      </c>
      <c r="O770" s="10">
        <f t="shared" si="908"/>
        <v>0</v>
      </c>
      <c r="P770" s="10">
        <f t="shared" si="908"/>
        <v>0</v>
      </c>
      <c r="Q770" s="10">
        <f t="shared" si="908"/>
        <v>0</v>
      </c>
      <c r="R770" s="10">
        <f t="shared" si="908"/>
        <v>0</v>
      </c>
      <c r="S770" s="10">
        <f t="shared" si="908"/>
        <v>0</v>
      </c>
      <c r="T770" s="10">
        <f t="shared" si="908"/>
        <v>0</v>
      </c>
      <c r="U770" s="10">
        <f t="shared" si="908"/>
        <v>0</v>
      </c>
      <c r="V770" s="10">
        <f t="shared" si="908"/>
        <v>0</v>
      </c>
      <c r="W770" s="10">
        <f t="shared" si="908"/>
        <v>0</v>
      </c>
      <c r="X770" s="10">
        <f t="shared" si="908"/>
        <v>0</v>
      </c>
      <c r="Y770" s="10">
        <f t="shared" si="908"/>
        <v>0</v>
      </c>
      <c r="Z770" s="10">
        <f t="shared" si="908"/>
        <v>0</v>
      </c>
      <c r="AA770" s="10">
        <f t="shared" si="908"/>
        <v>0</v>
      </c>
      <c r="AB770" s="10">
        <f t="shared" si="908"/>
        <v>0</v>
      </c>
      <c r="AC770" s="10">
        <f t="shared" si="908"/>
        <v>0</v>
      </c>
      <c r="AD770" s="10">
        <f t="shared" si="908"/>
        <v>950</v>
      </c>
      <c r="AH770" s="34" t="s">
        <v>422</v>
      </c>
    </row>
    <row r="771" spans="4:34" outlineLevel="2" x14ac:dyDescent="0.2">
      <c r="D771" s="8" t="s">
        <v>262</v>
      </c>
      <c r="E771" s="10">
        <f t="shared" ref="E771:AD771" si="909">E803+E835</f>
        <v>0</v>
      </c>
      <c r="F771" s="10">
        <f t="shared" si="909"/>
        <v>0</v>
      </c>
      <c r="G771" s="10">
        <f t="shared" si="909"/>
        <v>0</v>
      </c>
      <c r="H771" s="10">
        <f t="shared" si="909"/>
        <v>0</v>
      </c>
      <c r="I771" s="10">
        <f t="shared" si="909"/>
        <v>0</v>
      </c>
      <c r="J771" s="10">
        <f t="shared" si="909"/>
        <v>0</v>
      </c>
      <c r="K771" s="10">
        <f t="shared" si="909"/>
        <v>0</v>
      </c>
      <c r="L771" s="10">
        <f t="shared" si="909"/>
        <v>0</v>
      </c>
      <c r="M771" s="10">
        <f t="shared" si="909"/>
        <v>0</v>
      </c>
      <c r="N771" s="10">
        <f t="shared" si="909"/>
        <v>0</v>
      </c>
      <c r="O771" s="10">
        <f t="shared" si="909"/>
        <v>0</v>
      </c>
      <c r="P771" s="10">
        <f t="shared" si="909"/>
        <v>0</v>
      </c>
      <c r="Q771" s="10">
        <f t="shared" si="909"/>
        <v>0</v>
      </c>
      <c r="R771" s="10">
        <f t="shared" si="909"/>
        <v>0</v>
      </c>
      <c r="S771" s="10">
        <f t="shared" si="909"/>
        <v>0</v>
      </c>
      <c r="T771" s="10">
        <f t="shared" si="909"/>
        <v>0</v>
      </c>
      <c r="U771" s="10">
        <f t="shared" si="909"/>
        <v>0</v>
      </c>
      <c r="V771" s="10">
        <f t="shared" si="909"/>
        <v>0</v>
      </c>
      <c r="W771" s="10">
        <f t="shared" si="909"/>
        <v>0</v>
      </c>
      <c r="X771" s="10">
        <f t="shared" si="909"/>
        <v>0</v>
      </c>
      <c r="Y771" s="10">
        <f t="shared" si="909"/>
        <v>0</v>
      </c>
      <c r="Z771" s="10">
        <f t="shared" si="909"/>
        <v>0</v>
      </c>
      <c r="AA771" s="10">
        <f t="shared" si="909"/>
        <v>0</v>
      </c>
      <c r="AB771" s="10">
        <f t="shared" si="909"/>
        <v>0</v>
      </c>
      <c r="AC771" s="10">
        <f t="shared" si="909"/>
        <v>0</v>
      </c>
      <c r="AD771" s="10">
        <f t="shared" si="909"/>
        <v>3360</v>
      </c>
      <c r="AH771" s="34" t="s">
        <v>422</v>
      </c>
    </row>
    <row r="772" spans="4:34" outlineLevel="2" x14ac:dyDescent="0.2">
      <c r="D772" s="8" t="s">
        <v>263</v>
      </c>
      <c r="E772" s="10">
        <f t="shared" ref="E772:AD772" si="910">E804+E836</f>
        <v>0</v>
      </c>
      <c r="F772" s="10">
        <f t="shared" si="910"/>
        <v>0</v>
      </c>
      <c r="G772" s="10">
        <f t="shared" si="910"/>
        <v>0</v>
      </c>
      <c r="H772" s="10">
        <f t="shared" si="910"/>
        <v>0</v>
      </c>
      <c r="I772" s="10">
        <f t="shared" si="910"/>
        <v>0</v>
      </c>
      <c r="J772" s="10">
        <f t="shared" si="910"/>
        <v>0</v>
      </c>
      <c r="K772" s="10">
        <f t="shared" si="910"/>
        <v>0</v>
      </c>
      <c r="L772" s="10">
        <f t="shared" si="910"/>
        <v>0</v>
      </c>
      <c r="M772" s="10">
        <f t="shared" si="910"/>
        <v>0</v>
      </c>
      <c r="N772" s="10">
        <f t="shared" si="910"/>
        <v>0</v>
      </c>
      <c r="O772" s="10">
        <f t="shared" si="910"/>
        <v>0</v>
      </c>
      <c r="P772" s="10">
        <f t="shared" si="910"/>
        <v>0</v>
      </c>
      <c r="Q772" s="10">
        <f t="shared" si="910"/>
        <v>0</v>
      </c>
      <c r="R772" s="10">
        <f t="shared" si="910"/>
        <v>0</v>
      </c>
      <c r="S772" s="10">
        <f t="shared" si="910"/>
        <v>0</v>
      </c>
      <c r="T772" s="10">
        <f t="shared" si="910"/>
        <v>0</v>
      </c>
      <c r="U772" s="10">
        <f t="shared" si="910"/>
        <v>0</v>
      </c>
      <c r="V772" s="10">
        <f t="shared" si="910"/>
        <v>0</v>
      </c>
      <c r="W772" s="10">
        <f t="shared" si="910"/>
        <v>0</v>
      </c>
      <c r="X772" s="10">
        <f t="shared" si="910"/>
        <v>0</v>
      </c>
      <c r="Y772" s="10">
        <f t="shared" si="910"/>
        <v>0</v>
      </c>
      <c r="Z772" s="10">
        <f t="shared" si="910"/>
        <v>0</v>
      </c>
      <c r="AA772" s="10">
        <f t="shared" si="910"/>
        <v>0</v>
      </c>
      <c r="AB772" s="10">
        <f t="shared" si="910"/>
        <v>0</v>
      </c>
      <c r="AC772" s="10">
        <f t="shared" si="910"/>
        <v>0</v>
      </c>
      <c r="AD772" s="10">
        <f t="shared" si="910"/>
        <v>3035</v>
      </c>
      <c r="AH772" s="34" t="s">
        <v>422</v>
      </c>
    </row>
    <row r="773" spans="4:34" outlineLevel="2" x14ac:dyDescent="0.2">
      <c r="D773" s="8" t="s">
        <v>264</v>
      </c>
      <c r="E773" s="10">
        <f t="shared" ref="E773:AD773" si="911">E805+E837</f>
        <v>0</v>
      </c>
      <c r="F773" s="10">
        <f t="shared" si="911"/>
        <v>0</v>
      </c>
      <c r="G773" s="10">
        <f t="shared" si="911"/>
        <v>0</v>
      </c>
      <c r="H773" s="10">
        <f t="shared" si="911"/>
        <v>0</v>
      </c>
      <c r="I773" s="10">
        <f t="shared" si="911"/>
        <v>0</v>
      </c>
      <c r="J773" s="10">
        <f t="shared" si="911"/>
        <v>0</v>
      </c>
      <c r="K773" s="10">
        <f t="shared" si="911"/>
        <v>0</v>
      </c>
      <c r="L773" s="10">
        <f t="shared" si="911"/>
        <v>0</v>
      </c>
      <c r="M773" s="10">
        <f t="shared" si="911"/>
        <v>0</v>
      </c>
      <c r="N773" s="10">
        <f t="shared" si="911"/>
        <v>0</v>
      </c>
      <c r="O773" s="10">
        <f t="shared" si="911"/>
        <v>0</v>
      </c>
      <c r="P773" s="10">
        <f t="shared" si="911"/>
        <v>0</v>
      </c>
      <c r="Q773" s="10">
        <f t="shared" si="911"/>
        <v>0</v>
      </c>
      <c r="R773" s="10">
        <f t="shared" si="911"/>
        <v>0</v>
      </c>
      <c r="S773" s="10">
        <f t="shared" si="911"/>
        <v>0</v>
      </c>
      <c r="T773" s="10">
        <f t="shared" si="911"/>
        <v>0</v>
      </c>
      <c r="U773" s="10">
        <f t="shared" si="911"/>
        <v>0</v>
      </c>
      <c r="V773" s="10">
        <f t="shared" si="911"/>
        <v>0</v>
      </c>
      <c r="W773" s="10">
        <f t="shared" si="911"/>
        <v>0</v>
      </c>
      <c r="X773" s="10">
        <f t="shared" si="911"/>
        <v>0</v>
      </c>
      <c r="Y773" s="10">
        <f t="shared" si="911"/>
        <v>0</v>
      </c>
      <c r="Z773" s="10">
        <f t="shared" si="911"/>
        <v>0</v>
      </c>
      <c r="AA773" s="10">
        <f t="shared" si="911"/>
        <v>0</v>
      </c>
      <c r="AB773" s="10">
        <f t="shared" si="911"/>
        <v>0</v>
      </c>
      <c r="AC773" s="10">
        <f t="shared" si="911"/>
        <v>0</v>
      </c>
      <c r="AD773" s="10">
        <f t="shared" si="911"/>
        <v>3279</v>
      </c>
      <c r="AH773" s="34" t="s">
        <v>422</v>
      </c>
    </row>
    <row r="774" spans="4:34" outlineLevel="2" x14ac:dyDescent="0.2">
      <c r="D774" s="8" t="s">
        <v>265</v>
      </c>
      <c r="E774" s="10">
        <f t="shared" ref="E774:AD774" si="912">E806+E838</f>
        <v>0</v>
      </c>
      <c r="F774" s="10">
        <f t="shared" si="912"/>
        <v>0</v>
      </c>
      <c r="G774" s="10">
        <f t="shared" si="912"/>
        <v>0</v>
      </c>
      <c r="H774" s="10">
        <f t="shared" si="912"/>
        <v>0</v>
      </c>
      <c r="I774" s="10">
        <f t="shared" si="912"/>
        <v>0</v>
      </c>
      <c r="J774" s="10">
        <f t="shared" si="912"/>
        <v>0</v>
      </c>
      <c r="K774" s="10">
        <f t="shared" si="912"/>
        <v>0</v>
      </c>
      <c r="L774" s="10">
        <f t="shared" si="912"/>
        <v>0</v>
      </c>
      <c r="M774" s="10">
        <f t="shared" si="912"/>
        <v>0</v>
      </c>
      <c r="N774" s="10">
        <f t="shared" si="912"/>
        <v>0</v>
      </c>
      <c r="O774" s="10">
        <f t="shared" si="912"/>
        <v>0</v>
      </c>
      <c r="P774" s="10">
        <f t="shared" si="912"/>
        <v>0</v>
      </c>
      <c r="Q774" s="10">
        <f t="shared" si="912"/>
        <v>0</v>
      </c>
      <c r="R774" s="10">
        <f t="shared" si="912"/>
        <v>0</v>
      </c>
      <c r="S774" s="10">
        <f t="shared" si="912"/>
        <v>0</v>
      </c>
      <c r="T774" s="10">
        <f t="shared" si="912"/>
        <v>0</v>
      </c>
      <c r="U774" s="10">
        <f t="shared" si="912"/>
        <v>0</v>
      </c>
      <c r="V774" s="10">
        <f t="shared" si="912"/>
        <v>0</v>
      </c>
      <c r="W774" s="10">
        <f t="shared" si="912"/>
        <v>0</v>
      </c>
      <c r="X774" s="10">
        <f t="shared" si="912"/>
        <v>0</v>
      </c>
      <c r="Y774" s="10">
        <f t="shared" si="912"/>
        <v>0</v>
      </c>
      <c r="Z774" s="10">
        <f t="shared" si="912"/>
        <v>0</v>
      </c>
      <c r="AA774" s="10">
        <f t="shared" si="912"/>
        <v>0</v>
      </c>
      <c r="AB774" s="10">
        <f t="shared" si="912"/>
        <v>0</v>
      </c>
      <c r="AC774" s="10">
        <f t="shared" si="912"/>
        <v>0</v>
      </c>
      <c r="AD774" s="10">
        <f t="shared" si="912"/>
        <v>2568</v>
      </c>
      <c r="AH774" s="34" t="s">
        <v>422</v>
      </c>
    </row>
    <row r="775" spans="4:34" outlineLevel="2" x14ac:dyDescent="0.2">
      <c r="D775" s="8" t="s">
        <v>266</v>
      </c>
      <c r="E775" s="10">
        <f t="shared" ref="E775:AD775" si="913">E807+E839</f>
        <v>0</v>
      </c>
      <c r="F775" s="10">
        <f t="shared" si="913"/>
        <v>0</v>
      </c>
      <c r="G775" s="10">
        <f t="shared" si="913"/>
        <v>0</v>
      </c>
      <c r="H775" s="10">
        <f t="shared" si="913"/>
        <v>0</v>
      </c>
      <c r="I775" s="10">
        <f t="shared" si="913"/>
        <v>0</v>
      </c>
      <c r="J775" s="10">
        <f t="shared" si="913"/>
        <v>0</v>
      </c>
      <c r="K775" s="10">
        <f t="shared" si="913"/>
        <v>0</v>
      </c>
      <c r="L775" s="10">
        <f t="shared" si="913"/>
        <v>0</v>
      </c>
      <c r="M775" s="10">
        <f t="shared" si="913"/>
        <v>0</v>
      </c>
      <c r="N775" s="10">
        <f t="shared" si="913"/>
        <v>0</v>
      </c>
      <c r="O775" s="10">
        <f t="shared" si="913"/>
        <v>0</v>
      </c>
      <c r="P775" s="10">
        <f t="shared" si="913"/>
        <v>0</v>
      </c>
      <c r="Q775" s="10">
        <f t="shared" si="913"/>
        <v>0</v>
      </c>
      <c r="R775" s="10">
        <f t="shared" si="913"/>
        <v>0</v>
      </c>
      <c r="S775" s="10">
        <f t="shared" si="913"/>
        <v>0</v>
      </c>
      <c r="T775" s="10">
        <f t="shared" si="913"/>
        <v>0</v>
      </c>
      <c r="U775" s="10">
        <f t="shared" si="913"/>
        <v>0</v>
      </c>
      <c r="V775" s="10">
        <f t="shared" si="913"/>
        <v>0</v>
      </c>
      <c r="W775" s="10">
        <f t="shared" si="913"/>
        <v>0</v>
      </c>
      <c r="X775" s="10">
        <f t="shared" si="913"/>
        <v>0</v>
      </c>
      <c r="Y775" s="10">
        <f t="shared" si="913"/>
        <v>0</v>
      </c>
      <c r="Z775" s="10">
        <f t="shared" si="913"/>
        <v>0</v>
      </c>
      <c r="AA775" s="10">
        <f t="shared" si="913"/>
        <v>0</v>
      </c>
      <c r="AB775" s="10">
        <f t="shared" si="913"/>
        <v>0</v>
      </c>
      <c r="AC775" s="10">
        <f t="shared" si="913"/>
        <v>0</v>
      </c>
      <c r="AD775" s="10">
        <f t="shared" si="913"/>
        <v>10830</v>
      </c>
      <c r="AH775" s="34" t="s">
        <v>422</v>
      </c>
    </row>
    <row r="776" spans="4:34" outlineLevel="2" x14ac:dyDescent="0.2">
      <c r="D776" s="8" t="s">
        <v>267</v>
      </c>
      <c r="E776" s="10">
        <f t="shared" ref="E776:AD776" si="914">E808+E840</f>
        <v>0</v>
      </c>
      <c r="F776" s="10">
        <f t="shared" si="914"/>
        <v>0</v>
      </c>
      <c r="G776" s="10">
        <f t="shared" si="914"/>
        <v>0</v>
      </c>
      <c r="H776" s="10">
        <f t="shared" si="914"/>
        <v>0</v>
      </c>
      <c r="I776" s="10">
        <f t="shared" si="914"/>
        <v>0</v>
      </c>
      <c r="J776" s="10">
        <f t="shared" si="914"/>
        <v>0</v>
      </c>
      <c r="K776" s="10">
        <f t="shared" si="914"/>
        <v>0</v>
      </c>
      <c r="L776" s="10">
        <f t="shared" si="914"/>
        <v>0</v>
      </c>
      <c r="M776" s="10">
        <f t="shared" si="914"/>
        <v>0</v>
      </c>
      <c r="N776" s="10">
        <f t="shared" si="914"/>
        <v>0</v>
      </c>
      <c r="O776" s="10">
        <f t="shared" si="914"/>
        <v>0</v>
      </c>
      <c r="P776" s="10">
        <f t="shared" si="914"/>
        <v>0</v>
      </c>
      <c r="Q776" s="10">
        <f t="shared" si="914"/>
        <v>0</v>
      </c>
      <c r="R776" s="10">
        <f t="shared" si="914"/>
        <v>0</v>
      </c>
      <c r="S776" s="10">
        <f t="shared" si="914"/>
        <v>0</v>
      </c>
      <c r="T776" s="10">
        <f t="shared" si="914"/>
        <v>0</v>
      </c>
      <c r="U776" s="10">
        <f t="shared" si="914"/>
        <v>0</v>
      </c>
      <c r="V776" s="10">
        <f t="shared" si="914"/>
        <v>0</v>
      </c>
      <c r="W776" s="10">
        <f t="shared" si="914"/>
        <v>0</v>
      </c>
      <c r="X776" s="10">
        <f t="shared" si="914"/>
        <v>0</v>
      </c>
      <c r="Y776" s="10">
        <f t="shared" si="914"/>
        <v>0</v>
      </c>
      <c r="Z776" s="10">
        <f t="shared" si="914"/>
        <v>0</v>
      </c>
      <c r="AA776" s="10">
        <f t="shared" si="914"/>
        <v>0</v>
      </c>
      <c r="AB776" s="10">
        <f t="shared" si="914"/>
        <v>0</v>
      </c>
      <c r="AC776" s="10">
        <f t="shared" si="914"/>
        <v>0</v>
      </c>
      <c r="AD776" s="10">
        <f t="shared" si="914"/>
        <v>269</v>
      </c>
      <c r="AH776" s="34" t="s">
        <v>422</v>
      </c>
    </row>
    <row r="777" spans="4:34" outlineLevel="2" x14ac:dyDescent="0.2">
      <c r="D777" s="8" t="s">
        <v>268</v>
      </c>
      <c r="E777" s="10">
        <f t="shared" ref="E777:AD777" si="915">E809+E841</f>
        <v>0</v>
      </c>
      <c r="F777" s="10">
        <f t="shared" si="915"/>
        <v>0</v>
      </c>
      <c r="G777" s="10">
        <f t="shared" si="915"/>
        <v>0</v>
      </c>
      <c r="H777" s="10">
        <f t="shared" si="915"/>
        <v>0</v>
      </c>
      <c r="I777" s="10">
        <f t="shared" si="915"/>
        <v>0</v>
      </c>
      <c r="J777" s="10">
        <f t="shared" si="915"/>
        <v>0</v>
      </c>
      <c r="K777" s="10">
        <f t="shared" si="915"/>
        <v>0</v>
      </c>
      <c r="L777" s="10">
        <f t="shared" si="915"/>
        <v>0</v>
      </c>
      <c r="M777" s="10">
        <f t="shared" si="915"/>
        <v>0</v>
      </c>
      <c r="N777" s="10">
        <f t="shared" si="915"/>
        <v>0</v>
      </c>
      <c r="O777" s="10">
        <f t="shared" si="915"/>
        <v>0</v>
      </c>
      <c r="P777" s="10">
        <f t="shared" si="915"/>
        <v>0</v>
      </c>
      <c r="Q777" s="10">
        <f t="shared" si="915"/>
        <v>0</v>
      </c>
      <c r="R777" s="10">
        <f t="shared" si="915"/>
        <v>0</v>
      </c>
      <c r="S777" s="10">
        <f t="shared" si="915"/>
        <v>0</v>
      </c>
      <c r="T777" s="10">
        <f t="shared" si="915"/>
        <v>0</v>
      </c>
      <c r="U777" s="10">
        <f t="shared" si="915"/>
        <v>0</v>
      </c>
      <c r="V777" s="10">
        <f t="shared" si="915"/>
        <v>0</v>
      </c>
      <c r="W777" s="10">
        <f t="shared" si="915"/>
        <v>0</v>
      </c>
      <c r="X777" s="10">
        <f t="shared" si="915"/>
        <v>0</v>
      </c>
      <c r="Y777" s="10">
        <f t="shared" si="915"/>
        <v>0</v>
      </c>
      <c r="Z777" s="10">
        <f t="shared" si="915"/>
        <v>0</v>
      </c>
      <c r="AA777" s="10">
        <f t="shared" si="915"/>
        <v>0</v>
      </c>
      <c r="AB777" s="10">
        <f t="shared" si="915"/>
        <v>0</v>
      </c>
      <c r="AC777" s="10">
        <f t="shared" si="915"/>
        <v>0</v>
      </c>
      <c r="AD777" s="10">
        <f t="shared" si="915"/>
        <v>7241</v>
      </c>
      <c r="AH777" s="34" t="s">
        <v>422</v>
      </c>
    </row>
    <row r="778" spans="4:34" outlineLevel="2" x14ac:dyDescent="0.2">
      <c r="D778" s="8" t="s">
        <v>269</v>
      </c>
      <c r="E778" s="10">
        <f t="shared" ref="E778:AD778" si="916">E810+E842</f>
        <v>0</v>
      </c>
      <c r="F778" s="10">
        <f t="shared" si="916"/>
        <v>0</v>
      </c>
      <c r="G778" s="10">
        <f t="shared" si="916"/>
        <v>0</v>
      </c>
      <c r="H778" s="10">
        <f t="shared" si="916"/>
        <v>0</v>
      </c>
      <c r="I778" s="10">
        <f t="shared" si="916"/>
        <v>0</v>
      </c>
      <c r="J778" s="10">
        <f t="shared" si="916"/>
        <v>0</v>
      </c>
      <c r="K778" s="10">
        <f t="shared" si="916"/>
        <v>0</v>
      </c>
      <c r="L778" s="10">
        <f t="shared" si="916"/>
        <v>0</v>
      </c>
      <c r="M778" s="10">
        <f t="shared" si="916"/>
        <v>0</v>
      </c>
      <c r="N778" s="10">
        <f t="shared" si="916"/>
        <v>0</v>
      </c>
      <c r="O778" s="10">
        <f t="shared" si="916"/>
        <v>0</v>
      </c>
      <c r="P778" s="10">
        <f t="shared" si="916"/>
        <v>0</v>
      </c>
      <c r="Q778" s="10">
        <f t="shared" si="916"/>
        <v>0</v>
      </c>
      <c r="R778" s="10">
        <f t="shared" si="916"/>
        <v>0</v>
      </c>
      <c r="S778" s="10">
        <f t="shared" si="916"/>
        <v>0</v>
      </c>
      <c r="T778" s="10">
        <f t="shared" si="916"/>
        <v>0</v>
      </c>
      <c r="U778" s="10">
        <f t="shared" si="916"/>
        <v>0</v>
      </c>
      <c r="V778" s="10">
        <f t="shared" si="916"/>
        <v>0</v>
      </c>
      <c r="W778" s="10">
        <f t="shared" si="916"/>
        <v>0</v>
      </c>
      <c r="X778" s="10">
        <f t="shared" si="916"/>
        <v>0</v>
      </c>
      <c r="Y778" s="10">
        <f t="shared" si="916"/>
        <v>0</v>
      </c>
      <c r="Z778" s="10">
        <f t="shared" si="916"/>
        <v>0</v>
      </c>
      <c r="AA778" s="10">
        <f t="shared" si="916"/>
        <v>0</v>
      </c>
      <c r="AB778" s="10">
        <f t="shared" si="916"/>
        <v>0</v>
      </c>
      <c r="AC778" s="10">
        <f t="shared" si="916"/>
        <v>0</v>
      </c>
      <c r="AD778" s="10">
        <f t="shared" si="916"/>
        <v>63</v>
      </c>
      <c r="AH778" s="34" t="s">
        <v>422</v>
      </c>
    </row>
    <row r="779" spans="4:34" outlineLevel="2" x14ac:dyDescent="0.2">
      <c r="D779" s="8" t="s">
        <v>270</v>
      </c>
      <c r="E779" s="10">
        <f t="shared" ref="E779:AD779" si="917">E811+E843</f>
        <v>0</v>
      </c>
      <c r="F779" s="10">
        <f t="shared" si="917"/>
        <v>0</v>
      </c>
      <c r="G779" s="10">
        <f t="shared" si="917"/>
        <v>0</v>
      </c>
      <c r="H779" s="10">
        <f t="shared" si="917"/>
        <v>0</v>
      </c>
      <c r="I779" s="10">
        <f t="shared" si="917"/>
        <v>0</v>
      </c>
      <c r="J779" s="10">
        <f t="shared" si="917"/>
        <v>0</v>
      </c>
      <c r="K779" s="10">
        <f t="shared" si="917"/>
        <v>0</v>
      </c>
      <c r="L779" s="10">
        <f t="shared" si="917"/>
        <v>0</v>
      </c>
      <c r="M779" s="10">
        <f t="shared" si="917"/>
        <v>0</v>
      </c>
      <c r="N779" s="10">
        <f t="shared" si="917"/>
        <v>0</v>
      </c>
      <c r="O779" s="10">
        <f t="shared" si="917"/>
        <v>0</v>
      </c>
      <c r="P779" s="10">
        <f t="shared" si="917"/>
        <v>0</v>
      </c>
      <c r="Q779" s="10">
        <f t="shared" si="917"/>
        <v>0</v>
      </c>
      <c r="R779" s="10">
        <f t="shared" si="917"/>
        <v>0</v>
      </c>
      <c r="S779" s="10">
        <f t="shared" si="917"/>
        <v>0</v>
      </c>
      <c r="T779" s="10">
        <f t="shared" si="917"/>
        <v>0</v>
      </c>
      <c r="U779" s="10">
        <f t="shared" si="917"/>
        <v>0</v>
      </c>
      <c r="V779" s="10">
        <f t="shared" si="917"/>
        <v>0</v>
      </c>
      <c r="W779" s="10">
        <f t="shared" si="917"/>
        <v>0</v>
      </c>
      <c r="X779" s="10">
        <f t="shared" si="917"/>
        <v>0</v>
      </c>
      <c r="Y779" s="10">
        <f t="shared" si="917"/>
        <v>0</v>
      </c>
      <c r="Z779" s="10">
        <f t="shared" si="917"/>
        <v>0</v>
      </c>
      <c r="AA779" s="10">
        <f t="shared" si="917"/>
        <v>0</v>
      </c>
      <c r="AB779" s="10">
        <f t="shared" si="917"/>
        <v>0</v>
      </c>
      <c r="AC779" s="10">
        <f t="shared" si="917"/>
        <v>0</v>
      </c>
      <c r="AD779" s="10">
        <f t="shared" si="917"/>
        <v>1959</v>
      </c>
      <c r="AH779" s="34" t="s">
        <v>422</v>
      </c>
    </row>
    <row r="780" spans="4:34" outlineLevel="2" x14ac:dyDescent="0.2">
      <c r="D780" s="8" t="s">
        <v>271</v>
      </c>
      <c r="E780" s="10">
        <f t="shared" ref="E780:AD780" si="918">E812+E844</f>
        <v>0</v>
      </c>
      <c r="F780" s="10">
        <f t="shared" si="918"/>
        <v>0</v>
      </c>
      <c r="G780" s="10">
        <f t="shared" si="918"/>
        <v>0</v>
      </c>
      <c r="H780" s="10">
        <f t="shared" si="918"/>
        <v>0</v>
      </c>
      <c r="I780" s="10">
        <f t="shared" si="918"/>
        <v>0</v>
      </c>
      <c r="J780" s="10">
        <f t="shared" si="918"/>
        <v>0</v>
      </c>
      <c r="K780" s="10">
        <f t="shared" si="918"/>
        <v>0</v>
      </c>
      <c r="L780" s="10">
        <f t="shared" si="918"/>
        <v>0</v>
      </c>
      <c r="M780" s="10">
        <f t="shared" si="918"/>
        <v>0</v>
      </c>
      <c r="N780" s="10">
        <f t="shared" si="918"/>
        <v>0</v>
      </c>
      <c r="O780" s="10">
        <f t="shared" si="918"/>
        <v>0</v>
      </c>
      <c r="P780" s="10">
        <f t="shared" si="918"/>
        <v>0</v>
      </c>
      <c r="Q780" s="10">
        <f t="shared" si="918"/>
        <v>0</v>
      </c>
      <c r="R780" s="10">
        <f t="shared" si="918"/>
        <v>0</v>
      </c>
      <c r="S780" s="10">
        <f t="shared" si="918"/>
        <v>0</v>
      </c>
      <c r="T780" s="10">
        <f t="shared" si="918"/>
        <v>0</v>
      </c>
      <c r="U780" s="10">
        <f t="shared" si="918"/>
        <v>0</v>
      </c>
      <c r="V780" s="10">
        <f t="shared" si="918"/>
        <v>0</v>
      </c>
      <c r="W780" s="10">
        <f t="shared" si="918"/>
        <v>0</v>
      </c>
      <c r="X780" s="10">
        <f t="shared" si="918"/>
        <v>0</v>
      </c>
      <c r="Y780" s="10">
        <f t="shared" si="918"/>
        <v>0</v>
      </c>
      <c r="Z780" s="10">
        <f t="shared" si="918"/>
        <v>0</v>
      </c>
      <c r="AA780" s="10">
        <f t="shared" si="918"/>
        <v>0</v>
      </c>
      <c r="AB780" s="10">
        <f t="shared" si="918"/>
        <v>0</v>
      </c>
      <c r="AC780" s="10">
        <f t="shared" si="918"/>
        <v>0</v>
      </c>
      <c r="AD780" s="10">
        <f t="shared" si="918"/>
        <v>547.08899999999994</v>
      </c>
      <c r="AH780" s="34" t="s">
        <v>422</v>
      </c>
    </row>
    <row r="781" spans="4:34" outlineLevel="2" x14ac:dyDescent="0.2">
      <c r="D781" s="8" t="s">
        <v>272</v>
      </c>
      <c r="E781" s="10">
        <f t="shared" ref="E781:AD781" si="919">E813+E845</f>
        <v>0</v>
      </c>
      <c r="F781" s="10">
        <f t="shared" si="919"/>
        <v>0</v>
      </c>
      <c r="G781" s="10">
        <f t="shared" si="919"/>
        <v>0</v>
      </c>
      <c r="H781" s="10">
        <f t="shared" si="919"/>
        <v>0</v>
      </c>
      <c r="I781" s="10">
        <f t="shared" si="919"/>
        <v>0</v>
      </c>
      <c r="J781" s="10">
        <f t="shared" si="919"/>
        <v>0</v>
      </c>
      <c r="K781" s="10">
        <f t="shared" si="919"/>
        <v>0</v>
      </c>
      <c r="L781" s="10">
        <f t="shared" si="919"/>
        <v>0</v>
      </c>
      <c r="M781" s="10">
        <f t="shared" si="919"/>
        <v>0</v>
      </c>
      <c r="N781" s="10">
        <f t="shared" si="919"/>
        <v>0</v>
      </c>
      <c r="O781" s="10">
        <f t="shared" si="919"/>
        <v>0</v>
      </c>
      <c r="P781" s="10">
        <f t="shared" si="919"/>
        <v>0</v>
      </c>
      <c r="Q781" s="10">
        <f t="shared" si="919"/>
        <v>0</v>
      </c>
      <c r="R781" s="10">
        <f t="shared" si="919"/>
        <v>0</v>
      </c>
      <c r="S781" s="10">
        <f t="shared" si="919"/>
        <v>0</v>
      </c>
      <c r="T781" s="10">
        <f t="shared" si="919"/>
        <v>0</v>
      </c>
      <c r="U781" s="10">
        <f t="shared" si="919"/>
        <v>0</v>
      </c>
      <c r="V781" s="10">
        <f t="shared" si="919"/>
        <v>0</v>
      </c>
      <c r="W781" s="10">
        <f t="shared" si="919"/>
        <v>0</v>
      </c>
      <c r="X781" s="10">
        <f t="shared" si="919"/>
        <v>0</v>
      </c>
      <c r="Y781" s="10">
        <f t="shared" si="919"/>
        <v>0</v>
      </c>
      <c r="Z781" s="10">
        <f t="shared" si="919"/>
        <v>0</v>
      </c>
      <c r="AA781" s="10">
        <f t="shared" si="919"/>
        <v>0</v>
      </c>
      <c r="AB781" s="10">
        <f t="shared" si="919"/>
        <v>0</v>
      </c>
      <c r="AC781" s="10">
        <f t="shared" si="919"/>
        <v>0</v>
      </c>
      <c r="AD781" s="10">
        <f t="shared" si="919"/>
        <v>2534</v>
      </c>
      <c r="AH781" s="34" t="s">
        <v>422</v>
      </c>
    </row>
    <row r="782" spans="4:34" outlineLevel="2" x14ac:dyDescent="0.2">
      <c r="D782" s="8" t="s">
        <v>273</v>
      </c>
      <c r="E782" s="10">
        <f t="shared" ref="E782:AD782" si="920">E814+E846</f>
        <v>0</v>
      </c>
      <c r="F782" s="10">
        <f t="shared" si="920"/>
        <v>0</v>
      </c>
      <c r="G782" s="10">
        <f t="shared" si="920"/>
        <v>0</v>
      </c>
      <c r="H782" s="10">
        <f t="shared" si="920"/>
        <v>0</v>
      </c>
      <c r="I782" s="10">
        <f t="shared" si="920"/>
        <v>0</v>
      </c>
      <c r="J782" s="10">
        <f t="shared" si="920"/>
        <v>0</v>
      </c>
      <c r="K782" s="10">
        <f t="shared" si="920"/>
        <v>0</v>
      </c>
      <c r="L782" s="10">
        <f t="shared" si="920"/>
        <v>0</v>
      </c>
      <c r="M782" s="10">
        <f t="shared" si="920"/>
        <v>0</v>
      </c>
      <c r="N782" s="10">
        <f t="shared" si="920"/>
        <v>0</v>
      </c>
      <c r="O782" s="10">
        <f t="shared" si="920"/>
        <v>0</v>
      </c>
      <c r="P782" s="10">
        <f t="shared" si="920"/>
        <v>0</v>
      </c>
      <c r="Q782" s="10">
        <f t="shared" si="920"/>
        <v>0</v>
      </c>
      <c r="R782" s="10">
        <f t="shared" si="920"/>
        <v>0</v>
      </c>
      <c r="S782" s="10">
        <f t="shared" si="920"/>
        <v>0</v>
      </c>
      <c r="T782" s="10">
        <f t="shared" si="920"/>
        <v>0</v>
      </c>
      <c r="U782" s="10">
        <f t="shared" si="920"/>
        <v>0</v>
      </c>
      <c r="V782" s="10">
        <f t="shared" si="920"/>
        <v>0</v>
      </c>
      <c r="W782" s="10">
        <f t="shared" si="920"/>
        <v>0</v>
      </c>
      <c r="X782" s="10">
        <f t="shared" si="920"/>
        <v>0</v>
      </c>
      <c r="Y782" s="10">
        <f t="shared" si="920"/>
        <v>0</v>
      </c>
      <c r="Z782" s="10">
        <f t="shared" si="920"/>
        <v>0</v>
      </c>
      <c r="AA782" s="10">
        <f t="shared" si="920"/>
        <v>0</v>
      </c>
      <c r="AB782" s="10">
        <f t="shared" si="920"/>
        <v>0</v>
      </c>
      <c r="AC782" s="10">
        <f t="shared" si="920"/>
        <v>0</v>
      </c>
      <c r="AD782" s="10">
        <f t="shared" si="920"/>
        <v>2425</v>
      </c>
      <c r="AH782" s="34" t="s">
        <v>422</v>
      </c>
    </row>
    <row r="783" spans="4:34" outlineLevel="2" x14ac:dyDescent="0.2">
      <c r="D783" s="8" t="s">
        <v>274</v>
      </c>
      <c r="E783" s="10">
        <f t="shared" ref="E783:AD783" si="921">E815+E847</f>
        <v>0</v>
      </c>
      <c r="F783" s="10">
        <f t="shared" si="921"/>
        <v>0</v>
      </c>
      <c r="G783" s="10">
        <f t="shared" si="921"/>
        <v>0</v>
      </c>
      <c r="H783" s="10">
        <f t="shared" si="921"/>
        <v>0</v>
      </c>
      <c r="I783" s="10">
        <f t="shared" si="921"/>
        <v>0</v>
      </c>
      <c r="J783" s="10">
        <f t="shared" si="921"/>
        <v>0</v>
      </c>
      <c r="K783" s="10">
        <f t="shared" si="921"/>
        <v>0</v>
      </c>
      <c r="L783" s="10">
        <f t="shared" si="921"/>
        <v>0</v>
      </c>
      <c r="M783" s="10">
        <f t="shared" si="921"/>
        <v>0</v>
      </c>
      <c r="N783" s="10">
        <f t="shared" si="921"/>
        <v>0</v>
      </c>
      <c r="O783" s="10">
        <f t="shared" si="921"/>
        <v>0</v>
      </c>
      <c r="P783" s="10">
        <f t="shared" si="921"/>
        <v>0</v>
      </c>
      <c r="Q783" s="10">
        <f t="shared" si="921"/>
        <v>0</v>
      </c>
      <c r="R783" s="10">
        <f t="shared" si="921"/>
        <v>0</v>
      </c>
      <c r="S783" s="10">
        <f t="shared" si="921"/>
        <v>0</v>
      </c>
      <c r="T783" s="10">
        <f t="shared" si="921"/>
        <v>0</v>
      </c>
      <c r="U783" s="10">
        <f t="shared" si="921"/>
        <v>0</v>
      </c>
      <c r="V783" s="10">
        <f t="shared" si="921"/>
        <v>0</v>
      </c>
      <c r="W783" s="10">
        <f t="shared" si="921"/>
        <v>0</v>
      </c>
      <c r="X783" s="10">
        <f t="shared" si="921"/>
        <v>0</v>
      </c>
      <c r="Y783" s="10">
        <f t="shared" si="921"/>
        <v>0</v>
      </c>
      <c r="Z783" s="10">
        <f t="shared" si="921"/>
        <v>0</v>
      </c>
      <c r="AA783" s="10">
        <f t="shared" si="921"/>
        <v>0</v>
      </c>
      <c r="AB783" s="10">
        <f t="shared" si="921"/>
        <v>0</v>
      </c>
      <c r="AC783" s="10">
        <f t="shared" si="921"/>
        <v>0</v>
      </c>
      <c r="AD783" s="10">
        <f t="shared" si="921"/>
        <v>1619</v>
      </c>
      <c r="AH783" s="34" t="s">
        <v>422</v>
      </c>
    </row>
    <row r="784" spans="4:34" outlineLevel="2" x14ac:dyDescent="0.2">
      <c r="D784" s="8" t="s">
        <v>275</v>
      </c>
      <c r="E784" s="10">
        <f t="shared" ref="E784:AD784" si="922">E816+E848</f>
        <v>0</v>
      </c>
      <c r="F784" s="10">
        <f t="shared" si="922"/>
        <v>0</v>
      </c>
      <c r="G784" s="10">
        <f t="shared" si="922"/>
        <v>0</v>
      </c>
      <c r="H784" s="10">
        <f t="shared" si="922"/>
        <v>0</v>
      </c>
      <c r="I784" s="10">
        <f t="shared" si="922"/>
        <v>0</v>
      </c>
      <c r="J784" s="10">
        <f t="shared" si="922"/>
        <v>0</v>
      </c>
      <c r="K784" s="10">
        <f t="shared" si="922"/>
        <v>0</v>
      </c>
      <c r="L784" s="10">
        <f t="shared" si="922"/>
        <v>0</v>
      </c>
      <c r="M784" s="10">
        <f t="shared" si="922"/>
        <v>0</v>
      </c>
      <c r="N784" s="10">
        <f t="shared" si="922"/>
        <v>0</v>
      </c>
      <c r="O784" s="10">
        <f t="shared" si="922"/>
        <v>0</v>
      </c>
      <c r="P784" s="10">
        <f t="shared" si="922"/>
        <v>0</v>
      </c>
      <c r="Q784" s="10">
        <f t="shared" si="922"/>
        <v>0</v>
      </c>
      <c r="R784" s="10">
        <f t="shared" si="922"/>
        <v>0</v>
      </c>
      <c r="S784" s="10">
        <f t="shared" si="922"/>
        <v>0</v>
      </c>
      <c r="T784" s="10">
        <f t="shared" si="922"/>
        <v>0</v>
      </c>
      <c r="U784" s="10">
        <f t="shared" si="922"/>
        <v>0</v>
      </c>
      <c r="V784" s="10">
        <f t="shared" si="922"/>
        <v>0</v>
      </c>
      <c r="W784" s="10">
        <f t="shared" si="922"/>
        <v>0</v>
      </c>
      <c r="X784" s="10">
        <f t="shared" si="922"/>
        <v>0</v>
      </c>
      <c r="Y784" s="10">
        <f t="shared" si="922"/>
        <v>0</v>
      </c>
      <c r="Z784" s="10">
        <f t="shared" si="922"/>
        <v>0</v>
      </c>
      <c r="AA784" s="10">
        <f t="shared" si="922"/>
        <v>0</v>
      </c>
      <c r="AB784" s="10">
        <f t="shared" si="922"/>
        <v>0</v>
      </c>
      <c r="AC784" s="10">
        <f t="shared" si="922"/>
        <v>0</v>
      </c>
      <c r="AD784" s="10">
        <f t="shared" si="922"/>
        <v>1560</v>
      </c>
      <c r="AH784" s="34" t="s">
        <v>422</v>
      </c>
    </row>
    <row r="785" spans="4:34" outlineLevel="2" x14ac:dyDescent="0.2">
      <c r="D785" s="8" t="s">
        <v>276</v>
      </c>
      <c r="E785" s="10">
        <f t="shared" ref="E785:AD785" si="923">E817+E849</f>
        <v>0</v>
      </c>
      <c r="F785" s="10">
        <f t="shared" si="923"/>
        <v>0</v>
      </c>
      <c r="G785" s="10">
        <f t="shared" si="923"/>
        <v>0</v>
      </c>
      <c r="H785" s="10">
        <f t="shared" si="923"/>
        <v>0</v>
      </c>
      <c r="I785" s="10">
        <f t="shared" si="923"/>
        <v>0</v>
      </c>
      <c r="J785" s="10">
        <f t="shared" si="923"/>
        <v>0</v>
      </c>
      <c r="K785" s="10">
        <f t="shared" si="923"/>
        <v>0</v>
      </c>
      <c r="L785" s="10">
        <f t="shared" si="923"/>
        <v>0</v>
      </c>
      <c r="M785" s="10">
        <f t="shared" si="923"/>
        <v>0</v>
      </c>
      <c r="N785" s="10">
        <f t="shared" si="923"/>
        <v>0</v>
      </c>
      <c r="O785" s="10">
        <f t="shared" si="923"/>
        <v>0</v>
      </c>
      <c r="P785" s="10">
        <f t="shared" si="923"/>
        <v>0</v>
      </c>
      <c r="Q785" s="10">
        <f t="shared" si="923"/>
        <v>0</v>
      </c>
      <c r="R785" s="10">
        <f t="shared" si="923"/>
        <v>0</v>
      </c>
      <c r="S785" s="10">
        <f t="shared" si="923"/>
        <v>0</v>
      </c>
      <c r="T785" s="10">
        <f t="shared" si="923"/>
        <v>0</v>
      </c>
      <c r="U785" s="10">
        <f t="shared" si="923"/>
        <v>0</v>
      </c>
      <c r="V785" s="10">
        <f t="shared" si="923"/>
        <v>0</v>
      </c>
      <c r="W785" s="10">
        <f t="shared" si="923"/>
        <v>0</v>
      </c>
      <c r="X785" s="10">
        <f t="shared" si="923"/>
        <v>0</v>
      </c>
      <c r="Y785" s="10">
        <f t="shared" si="923"/>
        <v>0</v>
      </c>
      <c r="Z785" s="10">
        <f t="shared" si="923"/>
        <v>0</v>
      </c>
      <c r="AA785" s="10">
        <f t="shared" si="923"/>
        <v>0</v>
      </c>
      <c r="AB785" s="10">
        <f t="shared" si="923"/>
        <v>0</v>
      </c>
      <c r="AC785" s="10">
        <f t="shared" si="923"/>
        <v>0</v>
      </c>
      <c r="AD785" s="10">
        <f t="shared" si="923"/>
        <v>1903</v>
      </c>
      <c r="AH785" s="34" t="s">
        <v>422</v>
      </c>
    </row>
    <row r="786" spans="4:34" outlineLevel="2" x14ac:dyDescent="0.2">
      <c r="D786" s="8" t="s">
        <v>277</v>
      </c>
      <c r="E786" s="10">
        <f t="shared" ref="E786:AD786" si="924">E818+E850</f>
        <v>0</v>
      </c>
      <c r="F786" s="10">
        <f t="shared" si="924"/>
        <v>0</v>
      </c>
      <c r="G786" s="10">
        <f t="shared" si="924"/>
        <v>0</v>
      </c>
      <c r="H786" s="10">
        <f t="shared" si="924"/>
        <v>0</v>
      </c>
      <c r="I786" s="10">
        <f t="shared" si="924"/>
        <v>0</v>
      </c>
      <c r="J786" s="10">
        <f t="shared" si="924"/>
        <v>0</v>
      </c>
      <c r="K786" s="10">
        <f t="shared" si="924"/>
        <v>0</v>
      </c>
      <c r="L786" s="10">
        <f t="shared" si="924"/>
        <v>0</v>
      </c>
      <c r="M786" s="10">
        <f t="shared" si="924"/>
        <v>0</v>
      </c>
      <c r="N786" s="10">
        <f t="shared" si="924"/>
        <v>0</v>
      </c>
      <c r="O786" s="10">
        <f t="shared" si="924"/>
        <v>0</v>
      </c>
      <c r="P786" s="10">
        <f t="shared" si="924"/>
        <v>0</v>
      </c>
      <c r="Q786" s="10">
        <f t="shared" si="924"/>
        <v>0</v>
      </c>
      <c r="R786" s="10">
        <f t="shared" si="924"/>
        <v>0</v>
      </c>
      <c r="S786" s="10">
        <f t="shared" si="924"/>
        <v>0</v>
      </c>
      <c r="T786" s="10">
        <f t="shared" si="924"/>
        <v>0</v>
      </c>
      <c r="U786" s="10">
        <f t="shared" si="924"/>
        <v>0</v>
      </c>
      <c r="V786" s="10">
        <f t="shared" si="924"/>
        <v>0</v>
      </c>
      <c r="W786" s="10">
        <f t="shared" si="924"/>
        <v>0</v>
      </c>
      <c r="X786" s="10">
        <f t="shared" si="924"/>
        <v>0</v>
      </c>
      <c r="Y786" s="10">
        <f t="shared" si="924"/>
        <v>0</v>
      </c>
      <c r="Z786" s="10">
        <f t="shared" si="924"/>
        <v>0</v>
      </c>
      <c r="AA786" s="10">
        <f t="shared" si="924"/>
        <v>0</v>
      </c>
      <c r="AB786" s="10">
        <f t="shared" si="924"/>
        <v>0</v>
      </c>
      <c r="AC786" s="10">
        <f t="shared" si="924"/>
        <v>0</v>
      </c>
      <c r="AD786" s="10">
        <f t="shared" si="924"/>
        <v>3102</v>
      </c>
      <c r="AH786" s="34" t="s">
        <v>422</v>
      </c>
    </row>
    <row r="787" spans="4:34" outlineLevel="2" x14ac:dyDescent="0.2">
      <c r="D787" s="8" t="s">
        <v>278</v>
      </c>
      <c r="E787" s="10">
        <f t="shared" ref="E787:AD787" si="925">E819+E851</f>
        <v>0</v>
      </c>
      <c r="F787" s="10">
        <f t="shared" si="925"/>
        <v>0</v>
      </c>
      <c r="G787" s="10">
        <f t="shared" si="925"/>
        <v>0</v>
      </c>
      <c r="H787" s="10">
        <f t="shared" si="925"/>
        <v>0</v>
      </c>
      <c r="I787" s="10">
        <f t="shared" si="925"/>
        <v>0</v>
      </c>
      <c r="J787" s="10">
        <f t="shared" si="925"/>
        <v>0</v>
      </c>
      <c r="K787" s="10">
        <f t="shared" si="925"/>
        <v>0</v>
      </c>
      <c r="L787" s="10">
        <f t="shared" si="925"/>
        <v>0</v>
      </c>
      <c r="M787" s="10">
        <f t="shared" si="925"/>
        <v>0</v>
      </c>
      <c r="N787" s="10">
        <f t="shared" si="925"/>
        <v>0</v>
      </c>
      <c r="O787" s="10">
        <f t="shared" si="925"/>
        <v>0</v>
      </c>
      <c r="P787" s="10">
        <f t="shared" si="925"/>
        <v>0</v>
      </c>
      <c r="Q787" s="10">
        <f t="shared" si="925"/>
        <v>0</v>
      </c>
      <c r="R787" s="10">
        <f t="shared" si="925"/>
        <v>0</v>
      </c>
      <c r="S787" s="10">
        <f t="shared" si="925"/>
        <v>0</v>
      </c>
      <c r="T787" s="10">
        <f t="shared" si="925"/>
        <v>0</v>
      </c>
      <c r="U787" s="10">
        <f t="shared" si="925"/>
        <v>0</v>
      </c>
      <c r="V787" s="10">
        <f t="shared" si="925"/>
        <v>0</v>
      </c>
      <c r="W787" s="10">
        <f t="shared" si="925"/>
        <v>0</v>
      </c>
      <c r="X787" s="10">
        <f t="shared" si="925"/>
        <v>0</v>
      </c>
      <c r="Y787" s="10">
        <f t="shared" si="925"/>
        <v>0</v>
      </c>
      <c r="Z787" s="10">
        <f t="shared" si="925"/>
        <v>0</v>
      </c>
      <c r="AA787" s="10">
        <f t="shared" si="925"/>
        <v>0</v>
      </c>
      <c r="AB787" s="10">
        <f t="shared" si="925"/>
        <v>0</v>
      </c>
      <c r="AC787" s="10">
        <f t="shared" si="925"/>
        <v>0</v>
      </c>
      <c r="AD787" s="10">
        <f t="shared" si="925"/>
        <v>3281</v>
      </c>
      <c r="AH787" s="34" t="s">
        <v>422</v>
      </c>
    </row>
    <row r="788" spans="4:34" outlineLevel="2" x14ac:dyDescent="0.2">
      <c r="D788" s="8" t="s">
        <v>279</v>
      </c>
      <c r="E788" s="10">
        <f t="shared" ref="E788:AD788" si="926">E820+E852</f>
        <v>0</v>
      </c>
      <c r="F788" s="10">
        <f t="shared" si="926"/>
        <v>0</v>
      </c>
      <c r="G788" s="10">
        <f t="shared" si="926"/>
        <v>0</v>
      </c>
      <c r="H788" s="10">
        <f t="shared" si="926"/>
        <v>0</v>
      </c>
      <c r="I788" s="10">
        <f t="shared" si="926"/>
        <v>0</v>
      </c>
      <c r="J788" s="10">
        <f t="shared" si="926"/>
        <v>0</v>
      </c>
      <c r="K788" s="10">
        <f t="shared" si="926"/>
        <v>0</v>
      </c>
      <c r="L788" s="10">
        <f t="shared" si="926"/>
        <v>0</v>
      </c>
      <c r="M788" s="10">
        <f t="shared" si="926"/>
        <v>0</v>
      </c>
      <c r="N788" s="10">
        <f t="shared" si="926"/>
        <v>0</v>
      </c>
      <c r="O788" s="10">
        <f t="shared" si="926"/>
        <v>0</v>
      </c>
      <c r="P788" s="10">
        <f t="shared" si="926"/>
        <v>0</v>
      </c>
      <c r="Q788" s="10">
        <f t="shared" si="926"/>
        <v>0</v>
      </c>
      <c r="R788" s="10">
        <f t="shared" si="926"/>
        <v>0</v>
      </c>
      <c r="S788" s="10">
        <f t="shared" si="926"/>
        <v>0</v>
      </c>
      <c r="T788" s="10">
        <f t="shared" si="926"/>
        <v>0</v>
      </c>
      <c r="U788" s="10">
        <f t="shared" si="926"/>
        <v>0</v>
      </c>
      <c r="V788" s="10">
        <f t="shared" si="926"/>
        <v>0</v>
      </c>
      <c r="W788" s="10">
        <f t="shared" si="926"/>
        <v>0</v>
      </c>
      <c r="X788" s="10">
        <f t="shared" si="926"/>
        <v>0</v>
      </c>
      <c r="Y788" s="10">
        <f t="shared" si="926"/>
        <v>0</v>
      </c>
      <c r="Z788" s="10">
        <f t="shared" si="926"/>
        <v>0</v>
      </c>
      <c r="AA788" s="10">
        <f t="shared" si="926"/>
        <v>0</v>
      </c>
      <c r="AB788" s="10">
        <f t="shared" si="926"/>
        <v>0</v>
      </c>
      <c r="AC788" s="10">
        <f t="shared" si="926"/>
        <v>0</v>
      </c>
      <c r="AD788" s="10">
        <f t="shared" si="926"/>
        <v>11800</v>
      </c>
      <c r="AH788" s="34" t="s">
        <v>422</v>
      </c>
    </row>
    <row r="789" spans="4:34" outlineLevel="2" x14ac:dyDescent="0.2">
      <c r="D789" s="8" t="s">
        <v>280</v>
      </c>
      <c r="E789" s="10">
        <f t="shared" ref="E789:AD789" si="927">E821+E853</f>
        <v>0</v>
      </c>
      <c r="F789" s="10">
        <f t="shared" si="927"/>
        <v>0</v>
      </c>
      <c r="G789" s="10">
        <f t="shared" si="927"/>
        <v>0</v>
      </c>
      <c r="H789" s="10">
        <f t="shared" si="927"/>
        <v>0</v>
      </c>
      <c r="I789" s="10">
        <f t="shared" si="927"/>
        <v>0</v>
      </c>
      <c r="J789" s="10">
        <f t="shared" si="927"/>
        <v>0</v>
      </c>
      <c r="K789" s="10">
        <f t="shared" si="927"/>
        <v>0</v>
      </c>
      <c r="L789" s="10">
        <f t="shared" si="927"/>
        <v>0</v>
      </c>
      <c r="M789" s="10">
        <f t="shared" si="927"/>
        <v>0</v>
      </c>
      <c r="N789" s="10">
        <f t="shared" si="927"/>
        <v>0</v>
      </c>
      <c r="O789" s="10">
        <f t="shared" si="927"/>
        <v>0</v>
      </c>
      <c r="P789" s="10">
        <f t="shared" si="927"/>
        <v>0</v>
      </c>
      <c r="Q789" s="10">
        <f t="shared" si="927"/>
        <v>0</v>
      </c>
      <c r="R789" s="10">
        <f t="shared" si="927"/>
        <v>0</v>
      </c>
      <c r="S789" s="10">
        <f t="shared" si="927"/>
        <v>0</v>
      </c>
      <c r="T789" s="10">
        <f t="shared" si="927"/>
        <v>0</v>
      </c>
      <c r="U789" s="10">
        <f t="shared" si="927"/>
        <v>0</v>
      </c>
      <c r="V789" s="10">
        <f t="shared" si="927"/>
        <v>0</v>
      </c>
      <c r="W789" s="10">
        <f t="shared" si="927"/>
        <v>0</v>
      </c>
      <c r="X789" s="10">
        <f t="shared" si="927"/>
        <v>0</v>
      </c>
      <c r="Y789" s="10">
        <f t="shared" si="927"/>
        <v>0</v>
      </c>
      <c r="Z789" s="10">
        <f t="shared" si="927"/>
        <v>0</v>
      </c>
      <c r="AA789" s="10">
        <f t="shared" si="927"/>
        <v>0</v>
      </c>
      <c r="AB789" s="10">
        <f t="shared" si="927"/>
        <v>0</v>
      </c>
      <c r="AC789" s="10">
        <f t="shared" si="927"/>
        <v>0</v>
      </c>
      <c r="AD789" s="10">
        <f t="shared" si="927"/>
        <v>2163</v>
      </c>
      <c r="AH789" s="34" t="s">
        <v>422</v>
      </c>
    </row>
    <row r="790" spans="4:34" outlineLevel="2" x14ac:dyDescent="0.2">
      <c r="D790" s="8" t="s">
        <v>281</v>
      </c>
      <c r="E790" s="10">
        <f t="shared" ref="E790:AD790" si="928">E822+E854</f>
        <v>0</v>
      </c>
      <c r="F790" s="10">
        <f t="shared" si="928"/>
        <v>0</v>
      </c>
      <c r="G790" s="10">
        <f t="shared" si="928"/>
        <v>0</v>
      </c>
      <c r="H790" s="10">
        <f t="shared" si="928"/>
        <v>0</v>
      </c>
      <c r="I790" s="10">
        <f t="shared" si="928"/>
        <v>0</v>
      </c>
      <c r="J790" s="10">
        <f t="shared" si="928"/>
        <v>0</v>
      </c>
      <c r="K790" s="10">
        <f t="shared" si="928"/>
        <v>0</v>
      </c>
      <c r="L790" s="10">
        <f t="shared" si="928"/>
        <v>0</v>
      </c>
      <c r="M790" s="10">
        <f t="shared" si="928"/>
        <v>0</v>
      </c>
      <c r="N790" s="10">
        <f t="shared" si="928"/>
        <v>0</v>
      </c>
      <c r="O790" s="10">
        <f t="shared" si="928"/>
        <v>0</v>
      </c>
      <c r="P790" s="10">
        <f t="shared" si="928"/>
        <v>0</v>
      </c>
      <c r="Q790" s="10">
        <f t="shared" si="928"/>
        <v>0</v>
      </c>
      <c r="R790" s="10">
        <f t="shared" si="928"/>
        <v>0</v>
      </c>
      <c r="S790" s="10">
        <f t="shared" si="928"/>
        <v>0</v>
      </c>
      <c r="T790" s="10">
        <f t="shared" si="928"/>
        <v>0</v>
      </c>
      <c r="U790" s="10">
        <f t="shared" si="928"/>
        <v>0</v>
      </c>
      <c r="V790" s="10">
        <f t="shared" si="928"/>
        <v>0</v>
      </c>
      <c r="W790" s="10">
        <f t="shared" si="928"/>
        <v>0</v>
      </c>
      <c r="X790" s="10">
        <f t="shared" si="928"/>
        <v>0</v>
      </c>
      <c r="Y790" s="10">
        <f t="shared" si="928"/>
        <v>0</v>
      </c>
      <c r="Z790" s="10">
        <f t="shared" si="928"/>
        <v>0</v>
      </c>
      <c r="AA790" s="10">
        <f t="shared" si="928"/>
        <v>0</v>
      </c>
      <c r="AB790" s="10">
        <f t="shared" si="928"/>
        <v>0</v>
      </c>
      <c r="AC790" s="10">
        <f t="shared" si="928"/>
        <v>0</v>
      </c>
      <c r="AD790" s="10">
        <f t="shared" si="928"/>
        <v>1237.02</v>
      </c>
      <c r="AH790" s="34" t="s">
        <v>422</v>
      </c>
    </row>
    <row r="791" spans="4:34" outlineLevel="2" x14ac:dyDescent="0.2">
      <c r="D791" s="8" t="s">
        <v>282</v>
      </c>
      <c r="E791" s="10">
        <f t="shared" ref="E791:AD791" si="929">E823+E855</f>
        <v>0</v>
      </c>
      <c r="F791" s="10">
        <f t="shared" si="929"/>
        <v>0</v>
      </c>
      <c r="G791" s="10">
        <f t="shared" si="929"/>
        <v>0</v>
      </c>
      <c r="H791" s="10">
        <f t="shared" si="929"/>
        <v>0</v>
      </c>
      <c r="I791" s="10">
        <f t="shared" si="929"/>
        <v>0</v>
      </c>
      <c r="J791" s="10">
        <f t="shared" si="929"/>
        <v>0</v>
      </c>
      <c r="K791" s="10">
        <f t="shared" si="929"/>
        <v>0</v>
      </c>
      <c r="L791" s="10">
        <f t="shared" si="929"/>
        <v>0</v>
      </c>
      <c r="M791" s="10">
        <f t="shared" si="929"/>
        <v>0</v>
      </c>
      <c r="N791" s="10">
        <f t="shared" si="929"/>
        <v>0</v>
      </c>
      <c r="O791" s="10">
        <f t="shared" si="929"/>
        <v>0</v>
      </c>
      <c r="P791" s="10">
        <f t="shared" si="929"/>
        <v>0</v>
      </c>
      <c r="Q791" s="10">
        <f t="shared" si="929"/>
        <v>0</v>
      </c>
      <c r="R791" s="10">
        <f t="shared" si="929"/>
        <v>0</v>
      </c>
      <c r="S791" s="10">
        <f t="shared" si="929"/>
        <v>0</v>
      </c>
      <c r="T791" s="10">
        <f t="shared" si="929"/>
        <v>0</v>
      </c>
      <c r="U791" s="10">
        <f t="shared" si="929"/>
        <v>0</v>
      </c>
      <c r="V791" s="10">
        <f t="shared" si="929"/>
        <v>0</v>
      </c>
      <c r="W791" s="10">
        <f t="shared" si="929"/>
        <v>0</v>
      </c>
      <c r="X791" s="10">
        <f t="shared" si="929"/>
        <v>0</v>
      </c>
      <c r="Y791" s="10">
        <f t="shared" si="929"/>
        <v>0</v>
      </c>
      <c r="Z791" s="10">
        <f t="shared" si="929"/>
        <v>0</v>
      </c>
      <c r="AA791" s="10">
        <f t="shared" si="929"/>
        <v>0</v>
      </c>
      <c r="AB791" s="10">
        <f t="shared" si="929"/>
        <v>0</v>
      </c>
      <c r="AC791" s="10">
        <f t="shared" si="929"/>
        <v>0</v>
      </c>
      <c r="AD791" s="10">
        <f t="shared" si="929"/>
        <v>1311</v>
      </c>
      <c r="AH791" s="34" t="s">
        <v>422</v>
      </c>
    </row>
    <row r="792" spans="4:34" outlineLevel="2" x14ac:dyDescent="0.2">
      <c r="D792" s="8" t="s">
        <v>283</v>
      </c>
      <c r="E792" s="10">
        <f t="shared" ref="E792:AD792" si="930">E824+E856</f>
        <v>0</v>
      </c>
      <c r="F792" s="10">
        <f t="shared" si="930"/>
        <v>0</v>
      </c>
      <c r="G792" s="10">
        <f t="shared" si="930"/>
        <v>0</v>
      </c>
      <c r="H792" s="10">
        <f t="shared" si="930"/>
        <v>0</v>
      </c>
      <c r="I792" s="10">
        <f t="shared" si="930"/>
        <v>0</v>
      </c>
      <c r="J792" s="10">
        <f t="shared" si="930"/>
        <v>0</v>
      </c>
      <c r="K792" s="10">
        <f t="shared" si="930"/>
        <v>0</v>
      </c>
      <c r="L792" s="10">
        <f t="shared" si="930"/>
        <v>0</v>
      </c>
      <c r="M792" s="10">
        <f t="shared" si="930"/>
        <v>0</v>
      </c>
      <c r="N792" s="10">
        <f t="shared" si="930"/>
        <v>0</v>
      </c>
      <c r="O792" s="10">
        <f t="shared" si="930"/>
        <v>0</v>
      </c>
      <c r="P792" s="10">
        <f t="shared" si="930"/>
        <v>0</v>
      </c>
      <c r="Q792" s="10">
        <f t="shared" si="930"/>
        <v>0</v>
      </c>
      <c r="R792" s="10">
        <f t="shared" si="930"/>
        <v>0</v>
      </c>
      <c r="S792" s="10">
        <f t="shared" si="930"/>
        <v>0</v>
      </c>
      <c r="T792" s="10">
        <f t="shared" si="930"/>
        <v>0</v>
      </c>
      <c r="U792" s="10">
        <f t="shared" si="930"/>
        <v>0</v>
      </c>
      <c r="V792" s="10">
        <f t="shared" si="930"/>
        <v>0</v>
      </c>
      <c r="W792" s="10">
        <f t="shared" si="930"/>
        <v>0</v>
      </c>
      <c r="X792" s="10">
        <f t="shared" si="930"/>
        <v>0</v>
      </c>
      <c r="Y792" s="10">
        <f t="shared" si="930"/>
        <v>0</v>
      </c>
      <c r="Z792" s="10">
        <f t="shared" si="930"/>
        <v>0</v>
      </c>
      <c r="AA792" s="10">
        <f t="shared" si="930"/>
        <v>0</v>
      </c>
      <c r="AB792" s="10">
        <f t="shared" si="930"/>
        <v>0</v>
      </c>
      <c r="AC792" s="10">
        <f t="shared" si="930"/>
        <v>0</v>
      </c>
      <c r="AD792" s="10">
        <f t="shared" si="930"/>
        <v>5171</v>
      </c>
      <c r="AH792" s="34" t="s">
        <v>422</v>
      </c>
    </row>
    <row r="793" spans="4:34" outlineLevel="2" x14ac:dyDescent="0.2">
      <c r="D793" s="8" t="s">
        <v>284</v>
      </c>
      <c r="E793" s="10">
        <f t="shared" ref="E793:AD793" si="931">E825+E857</f>
        <v>0</v>
      </c>
      <c r="F793" s="10">
        <f t="shared" si="931"/>
        <v>0</v>
      </c>
      <c r="G793" s="10">
        <f t="shared" si="931"/>
        <v>0</v>
      </c>
      <c r="H793" s="10">
        <f t="shared" si="931"/>
        <v>0</v>
      </c>
      <c r="I793" s="10">
        <f t="shared" si="931"/>
        <v>0</v>
      </c>
      <c r="J793" s="10">
        <f t="shared" si="931"/>
        <v>0</v>
      </c>
      <c r="K793" s="10">
        <f t="shared" si="931"/>
        <v>0</v>
      </c>
      <c r="L793" s="10">
        <f t="shared" si="931"/>
        <v>0</v>
      </c>
      <c r="M793" s="10">
        <f t="shared" si="931"/>
        <v>0</v>
      </c>
      <c r="N793" s="10">
        <f t="shared" si="931"/>
        <v>0</v>
      </c>
      <c r="O793" s="10">
        <f t="shared" si="931"/>
        <v>0</v>
      </c>
      <c r="P793" s="10">
        <f t="shared" si="931"/>
        <v>0</v>
      </c>
      <c r="Q793" s="10">
        <f t="shared" si="931"/>
        <v>0</v>
      </c>
      <c r="R793" s="10">
        <f t="shared" si="931"/>
        <v>0</v>
      </c>
      <c r="S793" s="10">
        <f t="shared" si="931"/>
        <v>0</v>
      </c>
      <c r="T793" s="10">
        <f t="shared" si="931"/>
        <v>0</v>
      </c>
      <c r="U793" s="10">
        <f t="shared" si="931"/>
        <v>0</v>
      </c>
      <c r="V793" s="10">
        <f t="shared" si="931"/>
        <v>0</v>
      </c>
      <c r="W793" s="10">
        <f t="shared" si="931"/>
        <v>0</v>
      </c>
      <c r="X793" s="10">
        <f t="shared" si="931"/>
        <v>0</v>
      </c>
      <c r="Y793" s="10">
        <f t="shared" si="931"/>
        <v>0</v>
      </c>
      <c r="Z793" s="10">
        <f t="shared" si="931"/>
        <v>0</v>
      </c>
      <c r="AA793" s="10">
        <f t="shared" si="931"/>
        <v>0</v>
      </c>
      <c r="AB793" s="10">
        <f t="shared" si="931"/>
        <v>0</v>
      </c>
      <c r="AC793" s="10">
        <f t="shared" si="931"/>
        <v>0</v>
      </c>
      <c r="AD793" s="10">
        <f t="shared" si="931"/>
        <v>1098</v>
      </c>
      <c r="AH793" s="34" t="s">
        <v>422</v>
      </c>
    </row>
    <row r="794" spans="4:34" ht="12.6" outlineLevel="2" thickBot="1" x14ac:dyDescent="0.25">
      <c r="D794" s="9" t="s">
        <v>139</v>
      </c>
      <c r="E794" s="17">
        <f t="shared" ref="E794" si="932">SUM(E766:E793)</f>
        <v>0</v>
      </c>
      <c r="F794" s="17">
        <f t="shared" ref="F794:AD794" si="933">SUM(F766:F793)</f>
        <v>0</v>
      </c>
      <c r="G794" s="17">
        <f t="shared" si="933"/>
        <v>0</v>
      </c>
      <c r="H794" s="17">
        <f t="shared" si="933"/>
        <v>0</v>
      </c>
      <c r="I794" s="17">
        <f t="shared" si="933"/>
        <v>0</v>
      </c>
      <c r="J794" s="17">
        <f t="shared" si="933"/>
        <v>0</v>
      </c>
      <c r="K794" s="17">
        <f t="shared" si="933"/>
        <v>0</v>
      </c>
      <c r="L794" s="17">
        <f t="shared" si="933"/>
        <v>0</v>
      </c>
      <c r="M794" s="17">
        <f t="shared" si="933"/>
        <v>0</v>
      </c>
      <c r="N794" s="17">
        <f t="shared" si="933"/>
        <v>0</v>
      </c>
      <c r="O794" s="17">
        <f t="shared" si="933"/>
        <v>0</v>
      </c>
      <c r="P794" s="17">
        <f t="shared" si="933"/>
        <v>0</v>
      </c>
      <c r="Q794" s="17">
        <f t="shared" si="933"/>
        <v>0</v>
      </c>
      <c r="R794" s="17">
        <f t="shared" si="933"/>
        <v>0</v>
      </c>
      <c r="S794" s="17">
        <f t="shared" si="933"/>
        <v>0</v>
      </c>
      <c r="T794" s="17">
        <f t="shared" si="933"/>
        <v>0</v>
      </c>
      <c r="U794" s="17">
        <f t="shared" si="933"/>
        <v>0</v>
      </c>
      <c r="V794" s="17">
        <f t="shared" si="933"/>
        <v>0</v>
      </c>
      <c r="W794" s="17">
        <f t="shared" si="933"/>
        <v>0</v>
      </c>
      <c r="X794" s="17">
        <f t="shared" si="933"/>
        <v>0</v>
      </c>
      <c r="Y794" s="17">
        <f t="shared" si="933"/>
        <v>0</v>
      </c>
      <c r="Z794" s="17">
        <f t="shared" si="933"/>
        <v>0</v>
      </c>
      <c r="AA794" s="17">
        <f t="shared" si="933"/>
        <v>0</v>
      </c>
      <c r="AB794" s="17">
        <f t="shared" si="933"/>
        <v>0</v>
      </c>
      <c r="AC794" s="17">
        <f t="shared" si="933"/>
        <v>0</v>
      </c>
      <c r="AD794" s="17">
        <f t="shared" si="933"/>
        <v>83182.109000000011</v>
      </c>
      <c r="AH794" s="34" t="s">
        <v>422</v>
      </c>
    </row>
    <row r="795" spans="4:34" ht="12" outlineLevel="2" thickTop="1" x14ac:dyDescent="0.2">
      <c r="AH795" s="34" t="s">
        <v>422</v>
      </c>
    </row>
    <row r="796" spans="4:34" ht="13.2" outlineLevel="2" x14ac:dyDescent="0.2">
      <c r="E796" s="2" t="s">
        <v>313</v>
      </c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H796" s="34" t="s">
        <v>422</v>
      </c>
    </row>
    <row r="797" spans="4:34" outlineLevel="2" x14ac:dyDescent="0.2">
      <c r="E797" s="7">
        <v>43831</v>
      </c>
      <c r="F797" s="7">
        <f t="shared" ref="F797" si="934">EDATE(E797,12)</f>
        <v>44197</v>
      </c>
      <c r="G797" s="7">
        <f t="shared" ref="G797" si="935">EDATE(F797,12)</f>
        <v>44562</v>
      </c>
      <c r="H797" s="7">
        <f t="shared" ref="H797" si="936">EDATE(G797,12)</f>
        <v>44927</v>
      </c>
      <c r="I797" s="7">
        <f t="shared" ref="I797" si="937">EDATE(H797,12)</f>
        <v>45292</v>
      </c>
      <c r="J797" s="7">
        <f t="shared" ref="J797" si="938">EDATE(I797,12)</f>
        <v>45658</v>
      </c>
      <c r="K797" s="7">
        <f t="shared" ref="K797" si="939">EDATE(J797,12)</f>
        <v>46023</v>
      </c>
      <c r="L797" s="7">
        <f t="shared" ref="L797" si="940">EDATE(K797,12)</f>
        <v>46388</v>
      </c>
      <c r="M797" s="7">
        <f t="shared" ref="M797" si="941">EDATE(L797,12)</f>
        <v>46753</v>
      </c>
      <c r="N797" s="7">
        <f t="shared" ref="N797" si="942">EDATE(M797,12)</f>
        <v>47119</v>
      </c>
      <c r="O797" s="7">
        <f t="shared" ref="O797" si="943">EDATE(N797,12)</f>
        <v>47484</v>
      </c>
      <c r="P797" s="7">
        <f t="shared" ref="P797" si="944">EDATE(O797,12)</f>
        <v>47849</v>
      </c>
      <c r="Q797" s="7">
        <f t="shared" ref="Q797" si="945">EDATE(P797,12)</f>
        <v>48214</v>
      </c>
      <c r="R797" s="7">
        <f t="shared" ref="R797" si="946">EDATE(Q797,12)</f>
        <v>48580</v>
      </c>
      <c r="S797" s="7">
        <f t="shared" ref="S797" si="947">EDATE(R797,12)</f>
        <v>48945</v>
      </c>
      <c r="T797" s="7">
        <f t="shared" ref="T797" si="948">EDATE(S797,12)</f>
        <v>49310</v>
      </c>
      <c r="U797" s="7">
        <f t="shared" ref="U797" si="949">EDATE(T797,12)</f>
        <v>49675</v>
      </c>
      <c r="V797" s="7">
        <f t="shared" ref="V797" si="950">EDATE(U797,12)</f>
        <v>50041</v>
      </c>
      <c r="W797" s="7">
        <f t="shared" ref="W797" si="951">EDATE(V797,12)</f>
        <v>50406</v>
      </c>
      <c r="X797" s="7">
        <f t="shared" ref="X797" si="952">EDATE(W797,12)</f>
        <v>50771</v>
      </c>
      <c r="Y797" s="7">
        <f t="shared" ref="Y797" si="953">EDATE(X797,12)</f>
        <v>51136</v>
      </c>
      <c r="Z797" s="7">
        <f t="shared" ref="Z797" si="954">EDATE(Y797,12)</f>
        <v>51502</v>
      </c>
      <c r="AA797" s="7">
        <f t="shared" ref="AA797" si="955">EDATE(Z797,12)</f>
        <v>51867</v>
      </c>
      <c r="AB797" s="7">
        <f t="shared" ref="AB797" si="956">EDATE(AA797,12)</f>
        <v>52232</v>
      </c>
      <c r="AC797" s="7">
        <f t="shared" ref="AC797" si="957">EDATE(AB797,12)</f>
        <v>52597</v>
      </c>
      <c r="AD797" s="7">
        <f>EDATE(AC797,12)</f>
        <v>52963</v>
      </c>
      <c r="AH797" s="34" t="s">
        <v>422</v>
      </c>
    </row>
    <row r="798" spans="4:34" outlineLevel="2" x14ac:dyDescent="0.2">
      <c r="D798" s="8" t="s">
        <v>257</v>
      </c>
      <c r="E798" s="10">
        <f>SUMIFS('Custom Constraints'!$D:$D,'Custom Constraints'!$A:$A,"caiso-deliverability_"&amp;SUBSTITUTE(Dashboard!$D798,"_group",Dashboard!$D$763)&amp;"."&amp;YEAR(Dashboard!E$537))</f>
        <v>0</v>
      </c>
      <c r="F798" s="10">
        <f>SUMIFS('Custom Constraints'!$D:$D,'Custom Constraints'!$A:$A,"caiso-deliverability_"&amp;SUBSTITUTE(Dashboard!$D798,"_group",Dashboard!$D$763)&amp;"."&amp;YEAR(Dashboard!F$537))</f>
        <v>0</v>
      </c>
      <c r="G798" s="10">
        <f>SUMIFS('Custom Constraints'!$D:$D,'Custom Constraints'!$A:$A,"caiso-deliverability_"&amp;SUBSTITUTE(Dashboard!$D798,"_group",Dashboard!$D$763)&amp;"."&amp;YEAR(Dashboard!G$537))</f>
        <v>0</v>
      </c>
      <c r="H798" s="10">
        <f>SUMIFS('Custom Constraints'!$D:$D,'Custom Constraints'!$A:$A,"caiso-deliverability_"&amp;SUBSTITUTE(Dashboard!$D798,"_group",Dashboard!$D$763)&amp;"."&amp;YEAR(Dashboard!H$537))</f>
        <v>0</v>
      </c>
      <c r="I798" s="10">
        <f>SUMIFS('Custom Constraints'!$D:$D,'Custom Constraints'!$A:$A,"caiso-deliverability_"&amp;SUBSTITUTE(Dashboard!$D798,"_group",Dashboard!$D$763)&amp;"."&amp;YEAR(Dashboard!I$537))</f>
        <v>0</v>
      </c>
      <c r="J798" s="10">
        <f>SUMIFS('Custom Constraints'!$D:$D,'Custom Constraints'!$A:$A,"caiso-deliverability_"&amp;SUBSTITUTE(Dashboard!$D798,"_group",Dashboard!$D$763)&amp;"."&amp;YEAR(Dashboard!J$537))</f>
        <v>0</v>
      </c>
      <c r="K798" s="10">
        <f>SUMIFS('Custom Constraints'!$D:$D,'Custom Constraints'!$A:$A,"caiso-deliverability_"&amp;SUBSTITUTE(Dashboard!$D798,"_group",Dashboard!$D$763)&amp;"."&amp;YEAR(Dashboard!K$537))</f>
        <v>0</v>
      </c>
      <c r="L798" s="10">
        <f>SUMIFS('Custom Constraints'!$D:$D,'Custom Constraints'!$A:$A,"caiso-deliverability_"&amp;SUBSTITUTE(Dashboard!$D798,"_group",Dashboard!$D$763)&amp;"."&amp;YEAR(Dashboard!L$537))</f>
        <v>0</v>
      </c>
      <c r="M798" s="10">
        <f>SUMIFS('Custom Constraints'!$D:$D,'Custom Constraints'!$A:$A,"caiso-deliverability_"&amp;SUBSTITUTE(Dashboard!$D798,"_group",Dashboard!$D$763)&amp;"."&amp;YEAR(Dashboard!M$537))</f>
        <v>0</v>
      </c>
      <c r="N798" s="10">
        <f>SUMIFS('Custom Constraints'!$D:$D,'Custom Constraints'!$A:$A,"caiso-deliverability_"&amp;SUBSTITUTE(Dashboard!$D798,"_group",Dashboard!$D$763)&amp;"."&amp;YEAR(Dashboard!N$537))</f>
        <v>0</v>
      </c>
      <c r="O798" s="10">
        <f>SUMIFS('Custom Constraints'!$D:$D,'Custom Constraints'!$A:$A,"caiso-deliverability_"&amp;SUBSTITUTE(Dashboard!$D798,"_group",Dashboard!$D$763)&amp;"."&amp;YEAR(Dashboard!O$537))</f>
        <v>0</v>
      </c>
      <c r="P798" s="10">
        <f>SUMIFS('Custom Constraints'!$D:$D,'Custom Constraints'!$A:$A,"caiso-deliverability_"&amp;SUBSTITUTE(Dashboard!$D798,"_group",Dashboard!$D$763)&amp;"."&amp;YEAR(Dashboard!P$537))</f>
        <v>0</v>
      </c>
      <c r="Q798" s="10">
        <f>SUMIFS('Custom Constraints'!$D:$D,'Custom Constraints'!$A:$A,"caiso-deliverability_"&amp;SUBSTITUTE(Dashboard!$D798,"_group",Dashboard!$D$763)&amp;"."&amp;YEAR(Dashboard!Q$537))</f>
        <v>0</v>
      </c>
      <c r="R798" s="10">
        <f>SUMIFS('Custom Constraints'!$D:$D,'Custom Constraints'!$A:$A,"caiso-deliverability_"&amp;SUBSTITUTE(Dashboard!$D798,"_group",Dashboard!$D$763)&amp;"."&amp;YEAR(Dashboard!R$537))</f>
        <v>0</v>
      </c>
      <c r="S798" s="10">
        <f>SUMIFS('Custom Constraints'!$D:$D,'Custom Constraints'!$A:$A,"caiso-deliverability_"&amp;SUBSTITUTE(Dashboard!$D798,"_group",Dashboard!$D$763)&amp;"."&amp;YEAR(Dashboard!S$537))</f>
        <v>0</v>
      </c>
      <c r="T798" s="10">
        <f>SUMIFS('Custom Constraints'!$D:$D,'Custom Constraints'!$A:$A,"caiso-deliverability_"&amp;SUBSTITUTE(Dashboard!$D798,"_group",Dashboard!$D$763)&amp;"."&amp;YEAR(Dashboard!T$537))</f>
        <v>0</v>
      </c>
      <c r="U798" s="10">
        <f>SUMIFS('Custom Constraints'!$D:$D,'Custom Constraints'!$A:$A,"caiso-deliverability_"&amp;SUBSTITUTE(Dashboard!$D798,"_group",Dashboard!$D$763)&amp;"."&amp;YEAR(Dashboard!U$537))</f>
        <v>0</v>
      </c>
      <c r="V798" s="10">
        <f>SUMIFS('Custom Constraints'!$D:$D,'Custom Constraints'!$A:$A,"caiso-deliverability_"&amp;SUBSTITUTE(Dashboard!$D798,"_group",Dashboard!$D$763)&amp;"."&amp;YEAR(Dashboard!V$537))</f>
        <v>0</v>
      </c>
      <c r="W798" s="10">
        <f>SUMIFS('Custom Constraints'!$D:$D,'Custom Constraints'!$A:$A,"caiso-deliverability_"&amp;SUBSTITUTE(Dashboard!$D798,"_group",Dashboard!$D$763)&amp;"."&amp;YEAR(Dashboard!W$537))</f>
        <v>0</v>
      </c>
      <c r="X798" s="10">
        <f>SUMIFS('Custom Constraints'!$D:$D,'Custom Constraints'!$A:$A,"caiso-deliverability_"&amp;SUBSTITUTE(Dashboard!$D798,"_group",Dashboard!$D$763)&amp;"."&amp;YEAR(Dashboard!X$537))</f>
        <v>0</v>
      </c>
      <c r="Y798" s="10">
        <f>SUMIFS('Custom Constraints'!$D:$D,'Custom Constraints'!$A:$A,"caiso-deliverability_"&amp;SUBSTITUTE(Dashboard!$D798,"_group",Dashboard!$D$763)&amp;"."&amp;YEAR(Dashboard!Y$537))</f>
        <v>0</v>
      </c>
      <c r="Z798" s="10">
        <f>SUMIFS('Custom Constraints'!$D:$D,'Custom Constraints'!$A:$A,"caiso-deliverability_"&amp;SUBSTITUTE(Dashboard!$D798,"_group",Dashboard!$D$763)&amp;"."&amp;YEAR(Dashboard!Z$537))</f>
        <v>0</v>
      </c>
      <c r="AA798" s="10">
        <f>SUMIFS('Custom Constraints'!$D:$D,'Custom Constraints'!$A:$A,"caiso-deliverability_"&amp;SUBSTITUTE(Dashboard!$D798,"_group",Dashboard!$D$763)&amp;"."&amp;YEAR(Dashboard!AA$537))</f>
        <v>0</v>
      </c>
      <c r="AB798" s="10">
        <f>SUMIFS('Custom Constraints'!$D:$D,'Custom Constraints'!$A:$A,"caiso-deliverability_"&amp;SUBSTITUTE(Dashboard!$D798,"_group",Dashboard!$D$763)&amp;"."&amp;YEAR(Dashboard!AB$537))</f>
        <v>0</v>
      </c>
      <c r="AC798" s="10">
        <f>SUMIFS('Custom Constraints'!$D:$D,'Custom Constraints'!$A:$A,"caiso-deliverability_"&amp;SUBSTITUTE(Dashboard!$D798,"_group",Dashboard!$D$763)&amp;"."&amp;YEAR(Dashboard!AC$537))</f>
        <v>0</v>
      </c>
      <c r="AD798" s="10">
        <f>SUMIFS('Custom Constraints'!$D:$D,'Custom Constraints'!$A:$A,"caiso-deliverability_"&amp;SUBSTITUTE(Dashboard!$D798,"_group",Dashboard!$D$763)&amp;"."&amp;YEAR(Dashboard!AD$537))</f>
        <v>1739</v>
      </c>
      <c r="AH798" s="34" t="s">
        <v>422</v>
      </c>
    </row>
    <row r="799" spans="4:34" outlineLevel="2" x14ac:dyDescent="0.2">
      <c r="D799" s="8" t="s">
        <v>258</v>
      </c>
      <c r="E799" s="10">
        <f>SUMIFS('Custom Constraints'!$D:$D,'Custom Constraints'!$A:$A,"caiso-deliverability_"&amp;SUBSTITUTE(Dashboard!$D799,"_group",Dashboard!$D$763)&amp;"."&amp;YEAR(Dashboard!E$537))</f>
        <v>0</v>
      </c>
      <c r="F799" s="10">
        <f>SUMIFS('Custom Constraints'!$D:$D,'Custom Constraints'!$A:$A,"caiso-deliverability_"&amp;SUBSTITUTE(Dashboard!$D799,"_group",Dashboard!$D$763)&amp;"."&amp;YEAR(Dashboard!F$537))</f>
        <v>0</v>
      </c>
      <c r="G799" s="10">
        <f>SUMIFS('Custom Constraints'!$D:$D,'Custom Constraints'!$A:$A,"caiso-deliverability_"&amp;SUBSTITUTE(Dashboard!$D799,"_group",Dashboard!$D$763)&amp;"."&amp;YEAR(Dashboard!G$537))</f>
        <v>0</v>
      </c>
      <c r="H799" s="10">
        <f>SUMIFS('Custom Constraints'!$D:$D,'Custom Constraints'!$A:$A,"caiso-deliverability_"&amp;SUBSTITUTE(Dashboard!$D799,"_group",Dashboard!$D$763)&amp;"."&amp;YEAR(Dashboard!H$537))</f>
        <v>0</v>
      </c>
      <c r="I799" s="10">
        <f>SUMIFS('Custom Constraints'!$D:$D,'Custom Constraints'!$A:$A,"caiso-deliverability_"&amp;SUBSTITUTE(Dashboard!$D799,"_group",Dashboard!$D$763)&amp;"."&amp;YEAR(Dashboard!I$537))</f>
        <v>0</v>
      </c>
      <c r="J799" s="10">
        <f>SUMIFS('Custom Constraints'!$D:$D,'Custom Constraints'!$A:$A,"caiso-deliverability_"&amp;SUBSTITUTE(Dashboard!$D799,"_group",Dashboard!$D$763)&amp;"."&amp;YEAR(Dashboard!J$537))</f>
        <v>0</v>
      </c>
      <c r="K799" s="10">
        <f>SUMIFS('Custom Constraints'!$D:$D,'Custom Constraints'!$A:$A,"caiso-deliverability_"&amp;SUBSTITUTE(Dashboard!$D799,"_group",Dashboard!$D$763)&amp;"."&amp;YEAR(Dashboard!K$537))</f>
        <v>0</v>
      </c>
      <c r="L799" s="10">
        <f>SUMIFS('Custom Constraints'!$D:$D,'Custom Constraints'!$A:$A,"caiso-deliverability_"&amp;SUBSTITUTE(Dashboard!$D799,"_group",Dashboard!$D$763)&amp;"."&amp;YEAR(Dashboard!L$537))</f>
        <v>0</v>
      </c>
      <c r="M799" s="10">
        <f>SUMIFS('Custom Constraints'!$D:$D,'Custom Constraints'!$A:$A,"caiso-deliverability_"&amp;SUBSTITUTE(Dashboard!$D799,"_group",Dashboard!$D$763)&amp;"."&amp;YEAR(Dashboard!M$537))</f>
        <v>0</v>
      </c>
      <c r="N799" s="10">
        <f>SUMIFS('Custom Constraints'!$D:$D,'Custom Constraints'!$A:$A,"caiso-deliverability_"&amp;SUBSTITUTE(Dashboard!$D799,"_group",Dashboard!$D$763)&amp;"."&amp;YEAR(Dashboard!N$537))</f>
        <v>0</v>
      </c>
      <c r="O799" s="10">
        <f>SUMIFS('Custom Constraints'!$D:$D,'Custom Constraints'!$A:$A,"caiso-deliverability_"&amp;SUBSTITUTE(Dashboard!$D799,"_group",Dashboard!$D$763)&amp;"."&amp;YEAR(Dashboard!O$537))</f>
        <v>0</v>
      </c>
      <c r="P799" s="10">
        <f>SUMIFS('Custom Constraints'!$D:$D,'Custom Constraints'!$A:$A,"caiso-deliverability_"&amp;SUBSTITUTE(Dashboard!$D799,"_group",Dashboard!$D$763)&amp;"."&amp;YEAR(Dashboard!P$537))</f>
        <v>0</v>
      </c>
      <c r="Q799" s="10">
        <f>SUMIFS('Custom Constraints'!$D:$D,'Custom Constraints'!$A:$A,"caiso-deliverability_"&amp;SUBSTITUTE(Dashboard!$D799,"_group",Dashboard!$D$763)&amp;"."&amp;YEAR(Dashboard!Q$537))</f>
        <v>0</v>
      </c>
      <c r="R799" s="10">
        <f>SUMIFS('Custom Constraints'!$D:$D,'Custom Constraints'!$A:$A,"caiso-deliverability_"&amp;SUBSTITUTE(Dashboard!$D799,"_group",Dashboard!$D$763)&amp;"."&amp;YEAR(Dashboard!R$537))</f>
        <v>0</v>
      </c>
      <c r="S799" s="10">
        <f>SUMIFS('Custom Constraints'!$D:$D,'Custom Constraints'!$A:$A,"caiso-deliverability_"&amp;SUBSTITUTE(Dashboard!$D799,"_group",Dashboard!$D$763)&amp;"."&amp;YEAR(Dashboard!S$537))</f>
        <v>0</v>
      </c>
      <c r="T799" s="10">
        <f>SUMIFS('Custom Constraints'!$D:$D,'Custom Constraints'!$A:$A,"caiso-deliverability_"&amp;SUBSTITUTE(Dashboard!$D799,"_group",Dashboard!$D$763)&amp;"."&amp;YEAR(Dashboard!T$537))</f>
        <v>0</v>
      </c>
      <c r="U799" s="10">
        <f>SUMIFS('Custom Constraints'!$D:$D,'Custom Constraints'!$A:$A,"caiso-deliverability_"&amp;SUBSTITUTE(Dashboard!$D799,"_group",Dashboard!$D$763)&amp;"."&amp;YEAR(Dashboard!U$537))</f>
        <v>0</v>
      </c>
      <c r="V799" s="10">
        <f>SUMIFS('Custom Constraints'!$D:$D,'Custom Constraints'!$A:$A,"caiso-deliverability_"&amp;SUBSTITUTE(Dashboard!$D799,"_group",Dashboard!$D$763)&amp;"."&amp;YEAR(Dashboard!V$537))</f>
        <v>0</v>
      </c>
      <c r="W799" s="10">
        <f>SUMIFS('Custom Constraints'!$D:$D,'Custom Constraints'!$A:$A,"caiso-deliverability_"&amp;SUBSTITUTE(Dashboard!$D799,"_group",Dashboard!$D$763)&amp;"."&amp;YEAR(Dashboard!W$537))</f>
        <v>0</v>
      </c>
      <c r="X799" s="10">
        <f>SUMIFS('Custom Constraints'!$D:$D,'Custom Constraints'!$A:$A,"caiso-deliverability_"&amp;SUBSTITUTE(Dashboard!$D799,"_group",Dashboard!$D$763)&amp;"."&amp;YEAR(Dashboard!X$537))</f>
        <v>0</v>
      </c>
      <c r="Y799" s="10">
        <f>SUMIFS('Custom Constraints'!$D:$D,'Custom Constraints'!$A:$A,"caiso-deliverability_"&amp;SUBSTITUTE(Dashboard!$D799,"_group",Dashboard!$D$763)&amp;"."&amp;YEAR(Dashboard!Y$537))</f>
        <v>0</v>
      </c>
      <c r="Z799" s="10">
        <f>SUMIFS('Custom Constraints'!$D:$D,'Custom Constraints'!$A:$A,"caiso-deliverability_"&amp;SUBSTITUTE(Dashboard!$D799,"_group",Dashboard!$D$763)&amp;"."&amp;YEAR(Dashboard!Z$537))</f>
        <v>0</v>
      </c>
      <c r="AA799" s="10">
        <f>SUMIFS('Custom Constraints'!$D:$D,'Custom Constraints'!$A:$A,"caiso-deliverability_"&amp;SUBSTITUTE(Dashboard!$D799,"_group",Dashboard!$D$763)&amp;"."&amp;YEAR(Dashboard!AA$537))</f>
        <v>0</v>
      </c>
      <c r="AB799" s="10">
        <f>SUMIFS('Custom Constraints'!$D:$D,'Custom Constraints'!$A:$A,"caiso-deliverability_"&amp;SUBSTITUTE(Dashboard!$D799,"_group",Dashboard!$D$763)&amp;"."&amp;YEAR(Dashboard!AB$537))</f>
        <v>0</v>
      </c>
      <c r="AC799" s="10">
        <f>SUMIFS('Custom Constraints'!$D:$D,'Custom Constraints'!$A:$A,"caiso-deliverability_"&amp;SUBSTITUTE(Dashboard!$D799,"_group",Dashboard!$D$763)&amp;"."&amp;YEAR(Dashboard!AC$537))</f>
        <v>0</v>
      </c>
      <c r="AD799" s="10">
        <f>SUMIFS('Custom Constraints'!$D:$D,'Custom Constraints'!$A:$A,"caiso-deliverability_"&amp;SUBSTITUTE(Dashboard!$D799,"_group",Dashboard!$D$763)&amp;"."&amp;YEAR(Dashboard!AD$537))</f>
        <v>1523</v>
      </c>
      <c r="AH799" s="34" t="s">
        <v>422</v>
      </c>
    </row>
    <row r="800" spans="4:34" outlineLevel="2" x14ac:dyDescent="0.2">
      <c r="D800" s="8" t="s">
        <v>259</v>
      </c>
      <c r="E800" s="10">
        <f>SUMIFS('Custom Constraints'!$D:$D,'Custom Constraints'!$A:$A,"caiso-deliverability_"&amp;SUBSTITUTE(Dashboard!$D800,"_group",Dashboard!$D$763)&amp;"."&amp;YEAR(Dashboard!E$537))</f>
        <v>0</v>
      </c>
      <c r="F800" s="10">
        <f>SUMIFS('Custom Constraints'!$D:$D,'Custom Constraints'!$A:$A,"caiso-deliverability_"&amp;SUBSTITUTE(Dashboard!$D800,"_group",Dashboard!$D$763)&amp;"."&amp;YEAR(Dashboard!F$537))</f>
        <v>0</v>
      </c>
      <c r="G800" s="10">
        <f>SUMIFS('Custom Constraints'!$D:$D,'Custom Constraints'!$A:$A,"caiso-deliverability_"&amp;SUBSTITUTE(Dashboard!$D800,"_group",Dashboard!$D$763)&amp;"."&amp;YEAR(Dashboard!G$537))</f>
        <v>0</v>
      </c>
      <c r="H800" s="10">
        <f>SUMIFS('Custom Constraints'!$D:$D,'Custom Constraints'!$A:$A,"caiso-deliverability_"&amp;SUBSTITUTE(Dashboard!$D800,"_group",Dashboard!$D$763)&amp;"."&amp;YEAR(Dashboard!H$537))</f>
        <v>0</v>
      </c>
      <c r="I800" s="10">
        <f>SUMIFS('Custom Constraints'!$D:$D,'Custom Constraints'!$A:$A,"caiso-deliverability_"&amp;SUBSTITUTE(Dashboard!$D800,"_group",Dashboard!$D$763)&amp;"."&amp;YEAR(Dashboard!I$537))</f>
        <v>0</v>
      </c>
      <c r="J800" s="10">
        <f>SUMIFS('Custom Constraints'!$D:$D,'Custom Constraints'!$A:$A,"caiso-deliverability_"&amp;SUBSTITUTE(Dashboard!$D800,"_group",Dashboard!$D$763)&amp;"."&amp;YEAR(Dashboard!J$537))</f>
        <v>0</v>
      </c>
      <c r="K800" s="10">
        <f>SUMIFS('Custom Constraints'!$D:$D,'Custom Constraints'!$A:$A,"caiso-deliverability_"&amp;SUBSTITUTE(Dashboard!$D800,"_group",Dashboard!$D$763)&amp;"."&amp;YEAR(Dashboard!K$537))</f>
        <v>0</v>
      </c>
      <c r="L800" s="10">
        <f>SUMIFS('Custom Constraints'!$D:$D,'Custom Constraints'!$A:$A,"caiso-deliverability_"&amp;SUBSTITUTE(Dashboard!$D800,"_group",Dashboard!$D$763)&amp;"."&amp;YEAR(Dashboard!L$537))</f>
        <v>0</v>
      </c>
      <c r="M800" s="10">
        <f>SUMIFS('Custom Constraints'!$D:$D,'Custom Constraints'!$A:$A,"caiso-deliverability_"&amp;SUBSTITUTE(Dashboard!$D800,"_group",Dashboard!$D$763)&amp;"."&amp;YEAR(Dashboard!M$537))</f>
        <v>0</v>
      </c>
      <c r="N800" s="10">
        <f>SUMIFS('Custom Constraints'!$D:$D,'Custom Constraints'!$A:$A,"caiso-deliverability_"&amp;SUBSTITUTE(Dashboard!$D800,"_group",Dashboard!$D$763)&amp;"."&amp;YEAR(Dashboard!N$537))</f>
        <v>0</v>
      </c>
      <c r="O800" s="10">
        <f>SUMIFS('Custom Constraints'!$D:$D,'Custom Constraints'!$A:$A,"caiso-deliverability_"&amp;SUBSTITUTE(Dashboard!$D800,"_group",Dashboard!$D$763)&amp;"."&amp;YEAR(Dashboard!O$537))</f>
        <v>0</v>
      </c>
      <c r="P800" s="10">
        <f>SUMIFS('Custom Constraints'!$D:$D,'Custom Constraints'!$A:$A,"caiso-deliverability_"&amp;SUBSTITUTE(Dashboard!$D800,"_group",Dashboard!$D$763)&amp;"."&amp;YEAR(Dashboard!P$537))</f>
        <v>0</v>
      </c>
      <c r="Q800" s="10">
        <f>SUMIFS('Custom Constraints'!$D:$D,'Custom Constraints'!$A:$A,"caiso-deliverability_"&amp;SUBSTITUTE(Dashboard!$D800,"_group",Dashboard!$D$763)&amp;"."&amp;YEAR(Dashboard!Q$537))</f>
        <v>0</v>
      </c>
      <c r="R800" s="10">
        <f>SUMIFS('Custom Constraints'!$D:$D,'Custom Constraints'!$A:$A,"caiso-deliverability_"&amp;SUBSTITUTE(Dashboard!$D800,"_group",Dashboard!$D$763)&amp;"."&amp;YEAR(Dashboard!R$537))</f>
        <v>0</v>
      </c>
      <c r="S800" s="10">
        <f>SUMIFS('Custom Constraints'!$D:$D,'Custom Constraints'!$A:$A,"caiso-deliverability_"&amp;SUBSTITUTE(Dashboard!$D800,"_group",Dashboard!$D$763)&amp;"."&amp;YEAR(Dashboard!S$537))</f>
        <v>0</v>
      </c>
      <c r="T800" s="10">
        <f>SUMIFS('Custom Constraints'!$D:$D,'Custom Constraints'!$A:$A,"caiso-deliverability_"&amp;SUBSTITUTE(Dashboard!$D800,"_group",Dashboard!$D$763)&amp;"."&amp;YEAR(Dashboard!T$537))</f>
        <v>0</v>
      </c>
      <c r="U800" s="10">
        <f>SUMIFS('Custom Constraints'!$D:$D,'Custom Constraints'!$A:$A,"caiso-deliverability_"&amp;SUBSTITUTE(Dashboard!$D800,"_group",Dashboard!$D$763)&amp;"."&amp;YEAR(Dashboard!U$537))</f>
        <v>0</v>
      </c>
      <c r="V800" s="10">
        <f>SUMIFS('Custom Constraints'!$D:$D,'Custom Constraints'!$A:$A,"caiso-deliverability_"&amp;SUBSTITUTE(Dashboard!$D800,"_group",Dashboard!$D$763)&amp;"."&amp;YEAR(Dashboard!V$537))</f>
        <v>0</v>
      </c>
      <c r="W800" s="10">
        <f>SUMIFS('Custom Constraints'!$D:$D,'Custom Constraints'!$A:$A,"caiso-deliverability_"&amp;SUBSTITUTE(Dashboard!$D800,"_group",Dashboard!$D$763)&amp;"."&amp;YEAR(Dashboard!W$537))</f>
        <v>0</v>
      </c>
      <c r="X800" s="10">
        <f>SUMIFS('Custom Constraints'!$D:$D,'Custom Constraints'!$A:$A,"caiso-deliverability_"&amp;SUBSTITUTE(Dashboard!$D800,"_group",Dashboard!$D$763)&amp;"."&amp;YEAR(Dashboard!X$537))</f>
        <v>0</v>
      </c>
      <c r="Y800" s="10">
        <f>SUMIFS('Custom Constraints'!$D:$D,'Custom Constraints'!$A:$A,"caiso-deliverability_"&amp;SUBSTITUTE(Dashboard!$D800,"_group",Dashboard!$D$763)&amp;"."&amp;YEAR(Dashboard!Y$537))</f>
        <v>0</v>
      </c>
      <c r="Z800" s="10">
        <f>SUMIFS('Custom Constraints'!$D:$D,'Custom Constraints'!$A:$A,"caiso-deliverability_"&amp;SUBSTITUTE(Dashboard!$D800,"_group",Dashboard!$D$763)&amp;"."&amp;YEAR(Dashboard!Z$537))</f>
        <v>0</v>
      </c>
      <c r="AA800" s="10">
        <f>SUMIFS('Custom Constraints'!$D:$D,'Custom Constraints'!$A:$A,"caiso-deliverability_"&amp;SUBSTITUTE(Dashboard!$D800,"_group",Dashboard!$D$763)&amp;"."&amp;YEAR(Dashboard!AA$537))</f>
        <v>0</v>
      </c>
      <c r="AB800" s="10">
        <f>SUMIFS('Custom Constraints'!$D:$D,'Custom Constraints'!$A:$A,"caiso-deliverability_"&amp;SUBSTITUTE(Dashboard!$D800,"_group",Dashboard!$D$763)&amp;"."&amp;YEAR(Dashboard!AB$537))</f>
        <v>0</v>
      </c>
      <c r="AC800" s="10">
        <f>SUMIFS('Custom Constraints'!$D:$D,'Custom Constraints'!$A:$A,"caiso-deliverability_"&amp;SUBSTITUTE(Dashboard!$D800,"_group",Dashboard!$D$763)&amp;"."&amp;YEAR(Dashboard!AC$537))</f>
        <v>0</v>
      </c>
      <c r="AD800" s="10">
        <f>SUMIFS('Custom Constraints'!$D:$D,'Custom Constraints'!$A:$A,"caiso-deliverability_"&amp;SUBSTITUTE(Dashboard!$D800,"_group",Dashboard!$D$763)&amp;"."&amp;YEAR(Dashboard!AD$537))</f>
        <v>795</v>
      </c>
      <c r="AH800" s="34" t="s">
        <v>422</v>
      </c>
    </row>
    <row r="801" spans="4:34" outlineLevel="2" x14ac:dyDescent="0.2">
      <c r="D801" s="8" t="s">
        <v>260</v>
      </c>
      <c r="E801" s="10">
        <f>SUMIFS('Custom Constraints'!$D:$D,'Custom Constraints'!$A:$A,"caiso-deliverability_"&amp;SUBSTITUTE(Dashboard!$D801,"_group",Dashboard!$D$763)&amp;"."&amp;YEAR(Dashboard!E$537))</f>
        <v>0</v>
      </c>
      <c r="F801" s="10">
        <f>SUMIFS('Custom Constraints'!$D:$D,'Custom Constraints'!$A:$A,"caiso-deliverability_"&amp;SUBSTITUTE(Dashboard!$D801,"_group",Dashboard!$D$763)&amp;"."&amp;YEAR(Dashboard!F$537))</f>
        <v>0</v>
      </c>
      <c r="G801" s="10">
        <f>SUMIFS('Custom Constraints'!$D:$D,'Custom Constraints'!$A:$A,"caiso-deliverability_"&amp;SUBSTITUTE(Dashboard!$D801,"_group",Dashboard!$D$763)&amp;"."&amp;YEAR(Dashboard!G$537))</f>
        <v>0</v>
      </c>
      <c r="H801" s="10">
        <f>SUMIFS('Custom Constraints'!$D:$D,'Custom Constraints'!$A:$A,"caiso-deliverability_"&amp;SUBSTITUTE(Dashboard!$D801,"_group",Dashboard!$D$763)&amp;"."&amp;YEAR(Dashboard!H$537))</f>
        <v>0</v>
      </c>
      <c r="I801" s="10">
        <f>SUMIFS('Custom Constraints'!$D:$D,'Custom Constraints'!$A:$A,"caiso-deliverability_"&amp;SUBSTITUTE(Dashboard!$D801,"_group",Dashboard!$D$763)&amp;"."&amp;YEAR(Dashboard!I$537))</f>
        <v>0</v>
      </c>
      <c r="J801" s="10">
        <f>SUMIFS('Custom Constraints'!$D:$D,'Custom Constraints'!$A:$A,"caiso-deliverability_"&amp;SUBSTITUTE(Dashboard!$D801,"_group",Dashboard!$D$763)&amp;"."&amp;YEAR(Dashboard!J$537))</f>
        <v>0</v>
      </c>
      <c r="K801" s="10">
        <f>SUMIFS('Custom Constraints'!$D:$D,'Custom Constraints'!$A:$A,"caiso-deliverability_"&amp;SUBSTITUTE(Dashboard!$D801,"_group",Dashboard!$D$763)&amp;"."&amp;YEAR(Dashboard!K$537))</f>
        <v>0</v>
      </c>
      <c r="L801" s="10">
        <f>SUMIFS('Custom Constraints'!$D:$D,'Custom Constraints'!$A:$A,"caiso-deliverability_"&amp;SUBSTITUTE(Dashboard!$D801,"_group",Dashboard!$D$763)&amp;"."&amp;YEAR(Dashboard!L$537))</f>
        <v>0</v>
      </c>
      <c r="M801" s="10">
        <f>SUMIFS('Custom Constraints'!$D:$D,'Custom Constraints'!$A:$A,"caiso-deliverability_"&amp;SUBSTITUTE(Dashboard!$D801,"_group",Dashboard!$D$763)&amp;"."&amp;YEAR(Dashboard!M$537))</f>
        <v>0</v>
      </c>
      <c r="N801" s="10">
        <f>SUMIFS('Custom Constraints'!$D:$D,'Custom Constraints'!$A:$A,"caiso-deliverability_"&amp;SUBSTITUTE(Dashboard!$D801,"_group",Dashboard!$D$763)&amp;"."&amp;YEAR(Dashboard!N$537))</f>
        <v>0</v>
      </c>
      <c r="O801" s="10">
        <f>SUMIFS('Custom Constraints'!$D:$D,'Custom Constraints'!$A:$A,"caiso-deliverability_"&amp;SUBSTITUTE(Dashboard!$D801,"_group",Dashboard!$D$763)&amp;"."&amp;YEAR(Dashboard!O$537))</f>
        <v>0</v>
      </c>
      <c r="P801" s="10">
        <f>SUMIFS('Custom Constraints'!$D:$D,'Custom Constraints'!$A:$A,"caiso-deliverability_"&amp;SUBSTITUTE(Dashboard!$D801,"_group",Dashboard!$D$763)&amp;"."&amp;YEAR(Dashboard!P$537))</f>
        <v>0</v>
      </c>
      <c r="Q801" s="10">
        <f>SUMIFS('Custom Constraints'!$D:$D,'Custom Constraints'!$A:$A,"caiso-deliverability_"&amp;SUBSTITUTE(Dashboard!$D801,"_group",Dashboard!$D$763)&amp;"."&amp;YEAR(Dashboard!Q$537))</f>
        <v>0</v>
      </c>
      <c r="R801" s="10">
        <f>SUMIFS('Custom Constraints'!$D:$D,'Custom Constraints'!$A:$A,"caiso-deliverability_"&amp;SUBSTITUTE(Dashboard!$D801,"_group",Dashboard!$D$763)&amp;"."&amp;YEAR(Dashboard!R$537))</f>
        <v>0</v>
      </c>
      <c r="S801" s="10">
        <f>SUMIFS('Custom Constraints'!$D:$D,'Custom Constraints'!$A:$A,"caiso-deliverability_"&amp;SUBSTITUTE(Dashboard!$D801,"_group",Dashboard!$D$763)&amp;"."&amp;YEAR(Dashboard!S$537))</f>
        <v>0</v>
      </c>
      <c r="T801" s="10">
        <f>SUMIFS('Custom Constraints'!$D:$D,'Custom Constraints'!$A:$A,"caiso-deliverability_"&amp;SUBSTITUTE(Dashboard!$D801,"_group",Dashboard!$D$763)&amp;"."&amp;YEAR(Dashboard!T$537))</f>
        <v>0</v>
      </c>
      <c r="U801" s="10">
        <f>SUMIFS('Custom Constraints'!$D:$D,'Custom Constraints'!$A:$A,"caiso-deliverability_"&amp;SUBSTITUTE(Dashboard!$D801,"_group",Dashboard!$D$763)&amp;"."&amp;YEAR(Dashboard!U$537))</f>
        <v>0</v>
      </c>
      <c r="V801" s="10">
        <f>SUMIFS('Custom Constraints'!$D:$D,'Custom Constraints'!$A:$A,"caiso-deliverability_"&amp;SUBSTITUTE(Dashboard!$D801,"_group",Dashboard!$D$763)&amp;"."&amp;YEAR(Dashboard!V$537))</f>
        <v>0</v>
      </c>
      <c r="W801" s="10">
        <f>SUMIFS('Custom Constraints'!$D:$D,'Custom Constraints'!$A:$A,"caiso-deliverability_"&amp;SUBSTITUTE(Dashboard!$D801,"_group",Dashboard!$D$763)&amp;"."&amp;YEAR(Dashboard!W$537))</f>
        <v>0</v>
      </c>
      <c r="X801" s="10">
        <f>SUMIFS('Custom Constraints'!$D:$D,'Custom Constraints'!$A:$A,"caiso-deliverability_"&amp;SUBSTITUTE(Dashboard!$D801,"_group",Dashboard!$D$763)&amp;"."&amp;YEAR(Dashboard!X$537))</f>
        <v>0</v>
      </c>
      <c r="Y801" s="10">
        <f>SUMIFS('Custom Constraints'!$D:$D,'Custom Constraints'!$A:$A,"caiso-deliverability_"&amp;SUBSTITUTE(Dashboard!$D801,"_group",Dashboard!$D$763)&amp;"."&amp;YEAR(Dashboard!Y$537))</f>
        <v>0</v>
      </c>
      <c r="Z801" s="10">
        <f>SUMIFS('Custom Constraints'!$D:$D,'Custom Constraints'!$A:$A,"caiso-deliverability_"&amp;SUBSTITUTE(Dashboard!$D801,"_group",Dashboard!$D$763)&amp;"."&amp;YEAR(Dashboard!Z$537))</f>
        <v>0</v>
      </c>
      <c r="AA801" s="10">
        <f>SUMIFS('Custom Constraints'!$D:$D,'Custom Constraints'!$A:$A,"caiso-deliverability_"&amp;SUBSTITUTE(Dashboard!$D801,"_group",Dashboard!$D$763)&amp;"."&amp;YEAR(Dashboard!AA$537))</f>
        <v>0</v>
      </c>
      <c r="AB801" s="10">
        <f>SUMIFS('Custom Constraints'!$D:$D,'Custom Constraints'!$A:$A,"caiso-deliverability_"&amp;SUBSTITUTE(Dashboard!$D801,"_group",Dashboard!$D$763)&amp;"."&amp;YEAR(Dashboard!AB$537))</f>
        <v>0</v>
      </c>
      <c r="AC801" s="10">
        <f>SUMIFS('Custom Constraints'!$D:$D,'Custom Constraints'!$A:$A,"caiso-deliverability_"&amp;SUBSTITUTE(Dashboard!$D801,"_group",Dashboard!$D$763)&amp;"."&amp;YEAR(Dashboard!AC$537))</f>
        <v>0</v>
      </c>
      <c r="AD801" s="10">
        <f>SUMIFS('Custom Constraints'!$D:$D,'Custom Constraints'!$A:$A,"caiso-deliverability_"&amp;SUBSTITUTE(Dashboard!$D801,"_group",Dashboard!$D$763)&amp;"."&amp;YEAR(Dashboard!AD$537))</f>
        <v>5820</v>
      </c>
      <c r="AH801" s="34" t="s">
        <v>422</v>
      </c>
    </row>
    <row r="802" spans="4:34" outlineLevel="2" x14ac:dyDescent="0.2">
      <c r="D802" s="8" t="s">
        <v>261</v>
      </c>
      <c r="E802" s="10">
        <f>SUMIFS('Custom Constraints'!$D:$D,'Custom Constraints'!$A:$A,"caiso-deliverability_"&amp;SUBSTITUTE(Dashboard!$D802,"_group",Dashboard!$D$763)&amp;"."&amp;YEAR(Dashboard!E$537))</f>
        <v>0</v>
      </c>
      <c r="F802" s="10">
        <f>SUMIFS('Custom Constraints'!$D:$D,'Custom Constraints'!$A:$A,"caiso-deliverability_"&amp;SUBSTITUTE(Dashboard!$D802,"_group",Dashboard!$D$763)&amp;"."&amp;YEAR(Dashboard!F$537))</f>
        <v>0</v>
      </c>
      <c r="G802" s="10">
        <f>SUMIFS('Custom Constraints'!$D:$D,'Custom Constraints'!$A:$A,"caiso-deliverability_"&amp;SUBSTITUTE(Dashboard!$D802,"_group",Dashboard!$D$763)&amp;"."&amp;YEAR(Dashboard!G$537))</f>
        <v>0</v>
      </c>
      <c r="H802" s="10">
        <f>SUMIFS('Custom Constraints'!$D:$D,'Custom Constraints'!$A:$A,"caiso-deliverability_"&amp;SUBSTITUTE(Dashboard!$D802,"_group",Dashboard!$D$763)&amp;"."&amp;YEAR(Dashboard!H$537))</f>
        <v>0</v>
      </c>
      <c r="I802" s="10">
        <f>SUMIFS('Custom Constraints'!$D:$D,'Custom Constraints'!$A:$A,"caiso-deliverability_"&amp;SUBSTITUTE(Dashboard!$D802,"_group",Dashboard!$D$763)&amp;"."&amp;YEAR(Dashboard!I$537))</f>
        <v>0</v>
      </c>
      <c r="J802" s="10">
        <f>SUMIFS('Custom Constraints'!$D:$D,'Custom Constraints'!$A:$A,"caiso-deliverability_"&amp;SUBSTITUTE(Dashboard!$D802,"_group",Dashboard!$D$763)&amp;"."&amp;YEAR(Dashboard!J$537))</f>
        <v>0</v>
      </c>
      <c r="K802" s="10">
        <f>SUMIFS('Custom Constraints'!$D:$D,'Custom Constraints'!$A:$A,"caiso-deliverability_"&amp;SUBSTITUTE(Dashboard!$D802,"_group",Dashboard!$D$763)&amp;"."&amp;YEAR(Dashboard!K$537))</f>
        <v>0</v>
      </c>
      <c r="L802" s="10">
        <f>SUMIFS('Custom Constraints'!$D:$D,'Custom Constraints'!$A:$A,"caiso-deliverability_"&amp;SUBSTITUTE(Dashboard!$D802,"_group",Dashboard!$D$763)&amp;"."&amp;YEAR(Dashboard!L$537))</f>
        <v>0</v>
      </c>
      <c r="M802" s="10">
        <f>SUMIFS('Custom Constraints'!$D:$D,'Custom Constraints'!$A:$A,"caiso-deliverability_"&amp;SUBSTITUTE(Dashboard!$D802,"_group",Dashboard!$D$763)&amp;"."&amp;YEAR(Dashboard!M$537))</f>
        <v>0</v>
      </c>
      <c r="N802" s="10">
        <f>SUMIFS('Custom Constraints'!$D:$D,'Custom Constraints'!$A:$A,"caiso-deliverability_"&amp;SUBSTITUTE(Dashboard!$D802,"_group",Dashboard!$D$763)&amp;"."&amp;YEAR(Dashboard!N$537))</f>
        <v>0</v>
      </c>
      <c r="O802" s="10">
        <f>SUMIFS('Custom Constraints'!$D:$D,'Custom Constraints'!$A:$A,"caiso-deliverability_"&amp;SUBSTITUTE(Dashboard!$D802,"_group",Dashboard!$D$763)&amp;"."&amp;YEAR(Dashboard!O$537))</f>
        <v>0</v>
      </c>
      <c r="P802" s="10">
        <f>SUMIFS('Custom Constraints'!$D:$D,'Custom Constraints'!$A:$A,"caiso-deliverability_"&amp;SUBSTITUTE(Dashboard!$D802,"_group",Dashboard!$D$763)&amp;"."&amp;YEAR(Dashboard!P$537))</f>
        <v>0</v>
      </c>
      <c r="Q802" s="10">
        <f>SUMIFS('Custom Constraints'!$D:$D,'Custom Constraints'!$A:$A,"caiso-deliverability_"&amp;SUBSTITUTE(Dashboard!$D802,"_group",Dashboard!$D$763)&amp;"."&amp;YEAR(Dashboard!Q$537))</f>
        <v>0</v>
      </c>
      <c r="R802" s="10">
        <f>SUMIFS('Custom Constraints'!$D:$D,'Custom Constraints'!$A:$A,"caiso-deliverability_"&amp;SUBSTITUTE(Dashboard!$D802,"_group",Dashboard!$D$763)&amp;"."&amp;YEAR(Dashboard!R$537))</f>
        <v>0</v>
      </c>
      <c r="S802" s="10">
        <f>SUMIFS('Custom Constraints'!$D:$D,'Custom Constraints'!$A:$A,"caiso-deliverability_"&amp;SUBSTITUTE(Dashboard!$D802,"_group",Dashboard!$D$763)&amp;"."&amp;YEAR(Dashboard!S$537))</f>
        <v>0</v>
      </c>
      <c r="T802" s="10">
        <f>SUMIFS('Custom Constraints'!$D:$D,'Custom Constraints'!$A:$A,"caiso-deliverability_"&amp;SUBSTITUTE(Dashboard!$D802,"_group",Dashboard!$D$763)&amp;"."&amp;YEAR(Dashboard!T$537))</f>
        <v>0</v>
      </c>
      <c r="U802" s="10">
        <f>SUMIFS('Custom Constraints'!$D:$D,'Custom Constraints'!$A:$A,"caiso-deliverability_"&amp;SUBSTITUTE(Dashboard!$D802,"_group",Dashboard!$D$763)&amp;"."&amp;YEAR(Dashboard!U$537))</f>
        <v>0</v>
      </c>
      <c r="V802" s="10">
        <f>SUMIFS('Custom Constraints'!$D:$D,'Custom Constraints'!$A:$A,"caiso-deliverability_"&amp;SUBSTITUTE(Dashboard!$D802,"_group",Dashboard!$D$763)&amp;"."&amp;YEAR(Dashboard!V$537))</f>
        <v>0</v>
      </c>
      <c r="W802" s="10">
        <f>SUMIFS('Custom Constraints'!$D:$D,'Custom Constraints'!$A:$A,"caiso-deliverability_"&amp;SUBSTITUTE(Dashboard!$D802,"_group",Dashboard!$D$763)&amp;"."&amp;YEAR(Dashboard!W$537))</f>
        <v>0</v>
      </c>
      <c r="X802" s="10">
        <f>SUMIFS('Custom Constraints'!$D:$D,'Custom Constraints'!$A:$A,"caiso-deliverability_"&amp;SUBSTITUTE(Dashboard!$D802,"_group",Dashboard!$D$763)&amp;"."&amp;YEAR(Dashboard!X$537))</f>
        <v>0</v>
      </c>
      <c r="Y802" s="10">
        <f>SUMIFS('Custom Constraints'!$D:$D,'Custom Constraints'!$A:$A,"caiso-deliverability_"&amp;SUBSTITUTE(Dashboard!$D802,"_group",Dashboard!$D$763)&amp;"."&amp;YEAR(Dashboard!Y$537))</f>
        <v>0</v>
      </c>
      <c r="Z802" s="10">
        <f>SUMIFS('Custom Constraints'!$D:$D,'Custom Constraints'!$A:$A,"caiso-deliverability_"&amp;SUBSTITUTE(Dashboard!$D802,"_group",Dashboard!$D$763)&amp;"."&amp;YEAR(Dashboard!Z$537))</f>
        <v>0</v>
      </c>
      <c r="AA802" s="10">
        <f>SUMIFS('Custom Constraints'!$D:$D,'Custom Constraints'!$A:$A,"caiso-deliverability_"&amp;SUBSTITUTE(Dashboard!$D802,"_group",Dashboard!$D$763)&amp;"."&amp;YEAR(Dashboard!AA$537))</f>
        <v>0</v>
      </c>
      <c r="AB802" s="10">
        <f>SUMIFS('Custom Constraints'!$D:$D,'Custom Constraints'!$A:$A,"caiso-deliverability_"&amp;SUBSTITUTE(Dashboard!$D802,"_group",Dashboard!$D$763)&amp;"."&amp;YEAR(Dashboard!AB$537))</f>
        <v>0</v>
      </c>
      <c r="AC802" s="10">
        <f>SUMIFS('Custom Constraints'!$D:$D,'Custom Constraints'!$A:$A,"caiso-deliverability_"&amp;SUBSTITUTE(Dashboard!$D802,"_group",Dashboard!$D$763)&amp;"."&amp;YEAR(Dashboard!AC$537))</f>
        <v>0</v>
      </c>
      <c r="AD802" s="10">
        <f>SUMIFS('Custom Constraints'!$D:$D,'Custom Constraints'!$A:$A,"caiso-deliverability_"&amp;SUBSTITUTE(Dashboard!$D802,"_group",Dashboard!$D$763)&amp;"."&amp;YEAR(Dashboard!AD$537))</f>
        <v>950</v>
      </c>
      <c r="AH802" s="34" t="s">
        <v>422</v>
      </c>
    </row>
    <row r="803" spans="4:34" outlineLevel="2" x14ac:dyDescent="0.2">
      <c r="D803" s="8" t="s">
        <v>262</v>
      </c>
      <c r="E803" s="10">
        <f>SUMIFS('Custom Constraints'!$D:$D,'Custom Constraints'!$A:$A,"caiso-deliverability_"&amp;SUBSTITUTE(Dashboard!$D803,"_group",Dashboard!$D$763)&amp;"."&amp;YEAR(Dashboard!E$537))</f>
        <v>0</v>
      </c>
      <c r="F803" s="10">
        <f>SUMIFS('Custom Constraints'!$D:$D,'Custom Constraints'!$A:$A,"caiso-deliverability_"&amp;SUBSTITUTE(Dashboard!$D803,"_group",Dashboard!$D$763)&amp;"."&amp;YEAR(Dashboard!F$537))</f>
        <v>0</v>
      </c>
      <c r="G803" s="10">
        <f>SUMIFS('Custom Constraints'!$D:$D,'Custom Constraints'!$A:$A,"caiso-deliverability_"&amp;SUBSTITUTE(Dashboard!$D803,"_group",Dashboard!$D$763)&amp;"."&amp;YEAR(Dashboard!G$537))</f>
        <v>0</v>
      </c>
      <c r="H803" s="10">
        <f>SUMIFS('Custom Constraints'!$D:$D,'Custom Constraints'!$A:$A,"caiso-deliverability_"&amp;SUBSTITUTE(Dashboard!$D803,"_group",Dashboard!$D$763)&amp;"."&amp;YEAR(Dashboard!H$537))</f>
        <v>0</v>
      </c>
      <c r="I803" s="10">
        <f>SUMIFS('Custom Constraints'!$D:$D,'Custom Constraints'!$A:$A,"caiso-deliverability_"&amp;SUBSTITUTE(Dashboard!$D803,"_group",Dashboard!$D$763)&amp;"."&amp;YEAR(Dashboard!I$537))</f>
        <v>0</v>
      </c>
      <c r="J803" s="10">
        <f>SUMIFS('Custom Constraints'!$D:$D,'Custom Constraints'!$A:$A,"caiso-deliverability_"&amp;SUBSTITUTE(Dashboard!$D803,"_group",Dashboard!$D$763)&amp;"."&amp;YEAR(Dashboard!J$537))</f>
        <v>0</v>
      </c>
      <c r="K803" s="10">
        <f>SUMIFS('Custom Constraints'!$D:$D,'Custom Constraints'!$A:$A,"caiso-deliverability_"&amp;SUBSTITUTE(Dashboard!$D803,"_group",Dashboard!$D$763)&amp;"."&amp;YEAR(Dashboard!K$537))</f>
        <v>0</v>
      </c>
      <c r="L803" s="10">
        <f>SUMIFS('Custom Constraints'!$D:$D,'Custom Constraints'!$A:$A,"caiso-deliverability_"&amp;SUBSTITUTE(Dashboard!$D803,"_group",Dashboard!$D$763)&amp;"."&amp;YEAR(Dashboard!L$537))</f>
        <v>0</v>
      </c>
      <c r="M803" s="10">
        <f>SUMIFS('Custom Constraints'!$D:$D,'Custom Constraints'!$A:$A,"caiso-deliverability_"&amp;SUBSTITUTE(Dashboard!$D803,"_group",Dashboard!$D$763)&amp;"."&amp;YEAR(Dashboard!M$537))</f>
        <v>0</v>
      </c>
      <c r="N803" s="10">
        <f>SUMIFS('Custom Constraints'!$D:$D,'Custom Constraints'!$A:$A,"caiso-deliverability_"&amp;SUBSTITUTE(Dashboard!$D803,"_group",Dashboard!$D$763)&amp;"."&amp;YEAR(Dashboard!N$537))</f>
        <v>0</v>
      </c>
      <c r="O803" s="10">
        <f>SUMIFS('Custom Constraints'!$D:$D,'Custom Constraints'!$A:$A,"caiso-deliverability_"&amp;SUBSTITUTE(Dashboard!$D803,"_group",Dashboard!$D$763)&amp;"."&amp;YEAR(Dashboard!O$537))</f>
        <v>0</v>
      </c>
      <c r="P803" s="10">
        <f>SUMIFS('Custom Constraints'!$D:$D,'Custom Constraints'!$A:$A,"caiso-deliverability_"&amp;SUBSTITUTE(Dashboard!$D803,"_group",Dashboard!$D$763)&amp;"."&amp;YEAR(Dashboard!P$537))</f>
        <v>0</v>
      </c>
      <c r="Q803" s="10">
        <f>SUMIFS('Custom Constraints'!$D:$D,'Custom Constraints'!$A:$A,"caiso-deliverability_"&amp;SUBSTITUTE(Dashboard!$D803,"_group",Dashboard!$D$763)&amp;"."&amp;YEAR(Dashboard!Q$537))</f>
        <v>0</v>
      </c>
      <c r="R803" s="10">
        <f>SUMIFS('Custom Constraints'!$D:$D,'Custom Constraints'!$A:$A,"caiso-deliverability_"&amp;SUBSTITUTE(Dashboard!$D803,"_group",Dashboard!$D$763)&amp;"."&amp;YEAR(Dashboard!R$537))</f>
        <v>0</v>
      </c>
      <c r="S803" s="10">
        <f>SUMIFS('Custom Constraints'!$D:$D,'Custom Constraints'!$A:$A,"caiso-deliverability_"&amp;SUBSTITUTE(Dashboard!$D803,"_group",Dashboard!$D$763)&amp;"."&amp;YEAR(Dashboard!S$537))</f>
        <v>0</v>
      </c>
      <c r="T803" s="10">
        <f>SUMIFS('Custom Constraints'!$D:$D,'Custom Constraints'!$A:$A,"caiso-deliverability_"&amp;SUBSTITUTE(Dashboard!$D803,"_group",Dashboard!$D$763)&amp;"."&amp;YEAR(Dashboard!T$537))</f>
        <v>0</v>
      </c>
      <c r="U803" s="10">
        <f>SUMIFS('Custom Constraints'!$D:$D,'Custom Constraints'!$A:$A,"caiso-deliverability_"&amp;SUBSTITUTE(Dashboard!$D803,"_group",Dashboard!$D$763)&amp;"."&amp;YEAR(Dashboard!U$537))</f>
        <v>0</v>
      </c>
      <c r="V803" s="10">
        <f>SUMIFS('Custom Constraints'!$D:$D,'Custom Constraints'!$A:$A,"caiso-deliverability_"&amp;SUBSTITUTE(Dashboard!$D803,"_group",Dashboard!$D$763)&amp;"."&amp;YEAR(Dashboard!V$537))</f>
        <v>0</v>
      </c>
      <c r="W803" s="10">
        <f>SUMIFS('Custom Constraints'!$D:$D,'Custom Constraints'!$A:$A,"caiso-deliverability_"&amp;SUBSTITUTE(Dashboard!$D803,"_group",Dashboard!$D$763)&amp;"."&amp;YEAR(Dashboard!W$537))</f>
        <v>0</v>
      </c>
      <c r="X803" s="10">
        <f>SUMIFS('Custom Constraints'!$D:$D,'Custom Constraints'!$A:$A,"caiso-deliverability_"&amp;SUBSTITUTE(Dashboard!$D803,"_group",Dashboard!$D$763)&amp;"."&amp;YEAR(Dashboard!X$537))</f>
        <v>0</v>
      </c>
      <c r="Y803" s="10">
        <f>SUMIFS('Custom Constraints'!$D:$D,'Custom Constraints'!$A:$A,"caiso-deliverability_"&amp;SUBSTITUTE(Dashboard!$D803,"_group",Dashboard!$D$763)&amp;"."&amp;YEAR(Dashboard!Y$537))</f>
        <v>0</v>
      </c>
      <c r="Z803" s="10">
        <f>SUMIFS('Custom Constraints'!$D:$D,'Custom Constraints'!$A:$A,"caiso-deliverability_"&amp;SUBSTITUTE(Dashboard!$D803,"_group",Dashboard!$D$763)&amp;"."&amp;YEAR(Dashboard!Z$537))</f>
        <v>0</v>
      </c>
      <c r="AA803" s="10">
        <f>SUMIFS('Custom Constraints'!$D:$D,'Custom Constraints'!$A:$A,"caiso-deliverability_"&amp;SUBSTITUTE(Dashboard!$D803,"_group",Dashboard!$D$763)&amp;"."&amp;YEAR(Dashboard!AA$537))</f>
        <v>0</v>
      </c>
      <c r="AB803" s="10">
        <f>SUMIFS('Custom Constraints'!$D:$D,'Custom Constraints'!$A:$A,"caiso-deliverability_"&amp;SUBSTITUTE(Dashboard!$D803,"_group",Dashboard!$D$763)&amp;"."&amp;YEAR(Dashboard!AB$537))</f>
        <v>0</v>
      </c>
      <c r="AC803" s="10">
        <f>SUMIFS('Custom Constraints'!$D:$D,'Custom Constraints'!$A:$A,"caiso-deliverability_"&amp;SUBSTITUTE(Dashboard!$D803,"_group",Dashboard!$D$763)&amp;"."&amp;YEAR(Dashboard!AC$537))</f>
        <v>0</v>
      </c>
      <c r="AD803" s="10">
        <f>SUMIFS('Custom Constraints'!$D:$D,'Custom Constraints'!$A:$A,"caiso-deliverability_"&amp;SUBSTITUTE(Dashboard!$D803,"_group",Dashboard!$D$763)&amp;"."&amp;YEAR(Dashboard!AD$537))</f>
        <v>3360</v>
      </c>
      <c r="AH803" s="34" t="s">
        <v>422</v>
      </c>
    </row>
    <row r="804" spans="4:34" outlineLevel="2" x14ac:dyDescent="0.2">
      <c r="D804" s="8" t="s">
        <v>263</v>
      </c>
      <c r="E804" s="10">
        <f>SUMIFS('Custom Constraints'!$D:$D,'Custom Constraints'!$A:$A,"caiso-deliverability_"&amp;SUBSTITUTE(Dashboard!$D804,"_group",Dashboard!$D$763)&amp;"."&amp;YEAR(Dashboard!E$537))</f>
        <v>0</v>
      </c>
      <c r="F804" s="10">
        <f>SUMIFS('Custom Constraints'!$D:$D,'Custom Constraints'!$A:$A,"caiso-deliverability_"&amp;SUBSTITUTE(Dashboard!$D804,"_group",Dashboard!$D$763)&amp;"."&amp;YEAR(Dashboard!F$537))</f>
        <v>0</v>
      </c>
      <c r="G804" s="10">
        <f>SUMIFS('Custom Constraints'!$D:$D,'Custom Constraints'!$A:$A,"caiso-deliverability_"&amp;SUBSTITUTE(Dashboard!$D804,"_group",Dashboard!$D$763)&amp;"."&amp;YEAR(Dashboard!G$537))</f>
        <v>0</v>
      </c>
      <c r="H804" s="10">
        <f>SUMIFS('Custom Constraints'!$D:$D,'Custom Constraints'!$A:$A,"caiso-deliverability_"&amp;SUBSTITUTE(Dashboard!$D804,"_group",Dashboard!$D$763)&amp;"."&amp;YEAR(Dashboard!H$537))</f>
        <v>0</v>
      </c>
      <c r="I804" s="10">
        <f>SUMIFS('Custom Constraints'!$D:$D,'Custom Constraints'!$A:$A,"caiso-deliverability_"&amp;SUBSTITUTE(Dashboard!$D804,"_group",Dashboard!$D$763)&amp;"."&amp;YEAR(Dashboard!I$537))</f>
        <v>0</v>
      </c>
      <c r="J804" s="10">
        <f>SUMIFS('Custom Constraints'!$D:$D,'Custom Constraints'!$A:$A,"caiso-deliverability_"&amp;SUBSTITUTE(Dashboard!$D804,"_group",Dashboard!$D$763)&amp;"."&amp;YEAR(Dashboard!J$537))</f>
        <v>0</v>
      </c>
      <c r="K804" s="10">
        <f>SUMIFS('Custom Constraints'!$D:$D,'Custom Constraints'!$A:$A,"caiso-deliverability_"&amp;SUBSTITUTE(Dashboard!$D804,"_group",Dashboard!$D$763)&amp;"."&amp;YEAR(Dashboard!K$537))</f>
        <v>0</v>
      </c>
      <c r="L804" s="10">
        <f>SUMIFS('Custom Constraints'!$D:$D,'Custom Constraints'!$A:$A,"caiso-deliverability_"&amp;SUBSTITUTE(Dashboard!$D804,"_group",Dashboard!$D$763)&amp;"."&amp;YEAR(Dashboard!L$537))</f>
        <v>0</v>
      </c>
      <c r="M804" s="10">
        <f>SUMIFS('Custom Constraints'!$D:$D,'Custom Constraints'!$A:$A,"caiso-deliverability_"&amp;SUBSTITUTE(Dashboard!$D804,"_group",Dashboard!$D$763)&amp;"."&amp;YEAR(Dashboard!M$537))</f>
        <v>0</v>
      </c>
      <c r="N804" s="10">
        <f>SUMIFS('Custom Constraints'!$D:$D,'Custom Constraints'!$A:$A,"caiso-deliverability_"&amp;SUBSTITUTE(Dashboard!$D804,"_group",Dashboard!$D$763)&amp;"."&amp;YEAR(Dashboard!N$537))</f>
        <v>0</v>
      </c>
      <c r="O804" s="10">
        <f>SUMIFS('Custom Constraints'!$D:$D,'Custom Constraints'!$A:$A,"caiso-deliverability_"&amp;SUBSTITUTE(Dashboard!$D804,"_group",Dashboard!$D$763)&amp;"."&amp;YEAR(Dashboard!O$537))</f>
        <v>0</v>
      </c>
      <c r="P804" s="10">
        <f>SUMIFS('Custom Constraints'!$D:$D,'Custom Constraints'!$A:$A,"caiso-deliverability_"&amp;SUBSTITUTE(Dashboard!$D804,"_group",Dashboard!$D$763)&amp;"."&amp;YEAR(Dashboard!P$537))</f>
        <v>0</v>
      </c>
      <c r="Q804" s="10">
        <f>SUMIFS('Custom Constraints'!$D:$D,'Custom Constraints'!$A:$A,"caiso-deliverability_"&amp;SUBSTITUTE(Dashboard!$D804,"_group",Dashboard!$D$763)&amp;"."&amp;YEAR(Dashboard!Q$537))</f>
        <v>0</v>
      </c>
      <c r="R804" s="10">
        <f>SUMIFS('Custom Constraints'!$D:$D,'Custom Constraints'!$A:$A,"caiso-deliverability_"&amp;SUBSTITUTE(Dashboard!$D804,"_group",Dashboard!$D$763)&amp;"."&amp;YEAR(Dashboard!R$537))</f>
        <v>0</v>
      </c>
      <c r="S804" s="10">
        <f>SUMIFS('Custom Constraints'!$D:$D,'Custom Constraints'!$A:$A,"caiso-deliverability_"&amp;SUBSTITUTE(Dashboard!$D804,"_group",Dashboard!$D$763)&amp;"."&amp;YEAR(Dashboard!S$537))</f>
        <v>0</v>
      </c>
      <c r="T804" s="10">
        <f>SUMIFS('Custom Constraints'!$D:$D,'Custom Constraints'!$A:$A,"caiso-deliverability_"&amp;SUBSTITUTE(Dashboard!$D804,"_group",Dashboard!$D$763)&amp;"."&amp;YEAR(Dashboard!T$537))</f>
        <v>0</v>
      </c>
      <c r="U804" s="10">
        <f>SUMIFS('Custom Constraints'!$D:$D,'Custom Constraints'!$A:$A,"caiso-deliverability_"&amp;SUBSTITUTE(Dashboard!$D804,"_group",Dashboard!$D$763)&amp;"."&amp;YEAR(Dashboard!U$537))</f>
        <v>0</v>
      </c>
      <c r="V804" s="10">
        <f>SUMIFS('Custom Constraints'!$D:$D,'Custom Constraints'!$A:$A,"caiso-deliverability_"&amp;SUBSTITUTE(Dashboard!$D804,"_group",Dashboard!$D$763)&amp;"."&amp;YEAR(Dashboard!V$537))</f>
        <v>0</v>
      </c>
      <c r="W804" s="10">
        <f>SUMIFS('Custom Constraints'!$D:$D,'Custom Constraints'!$A:$A,"caiso-deliverability_"&amp;SUBSTITUTE(Dashboard!$D804,"_group",Dashboard!$D$763)&amp;"."&amp;YEAR(Dashboard!W$537))</f>
        <v>0</v>
      </c>
      <c r="X804" s="10">
        <f>SUMIFS('Custom Constraints'!$D:$D,'Custom Constraints'!$A:$A,"caiso-deliverability_"&amp;SUBSTITUTE(Dashboard!$D804,"_group",Dashboard!$D$763)&amp;"."&amp;YEAR(Dashboard!X$537))</f>
        <v>0</v>
      </c>
      <c r="Y804" s="10">
        <f>SUMIFS('Custom Constraints'!$D:$D,'Custom Constraints'!$A:$A,"caiso-deliverability_"&amp;SUBSTITUTE(Dashboard!$D804,"_group",Dashboard!$D$763)&amp;"."&amp;YEAR(Dashboard!Y$537))</f>
        <v>0</v>
      </c>
      <c r="Z804" s="10">
        <f>SUMIFS('Custom Constraints'!$D:$D,'Custom Constraints'!$A:$A,"caiso-deliverability_"&amp;SUBSTITUTE(Dashboard!$D804,"_group",Dashboard!$D$763)&amp;"."&amp;YEAR(Dashboard!Z$537))</f>
        <v>0</v>
      </c>
      <c r="AA804" s="10">
        <f>SUMIFS('Custom Constraints'!$D:$D,'Custom Constraints'!$A:$A,"caiso-deliverability_"&amp;SUBSTITUTE(Dashboard!$D804,"_group",Dashboard!$D$763)&amp;"."&amp;YEAR(Dashboard!AA$537))</f>
        <v>0</v>
      </c>
      <c r="AB804" s="10">
        <f>SUMIFS('Custom Constraints'!$D:$D,'Custom Constraints'!$A:$A,"caiso-deliverability_"&amp;SUBSTITUTE(Dashboard!$D804,"_group",Dashboard!$D$763)&amp;"."&amp;YEAR(Dashboard!AB$537))</f>
        <v>0</v>
      </c>
      <c r="AC804" s="10">
        <f>SUMIFS('Custom Constraints'!$D:$D,'Custom Constraints'!$A:$A,"caiso-deliverability_"&amp;SUBSTITUTE(Dashboard!$D804,"_group",Dashboard!$D$763)&amp;"."&amp;YEAR(Dashboard!AC$537))</f>
        <v>0</v>
      </c>
      <c r="AD804" s="10">
        <f>SUMIFS('Custom Constraints'!$D:$D,'Custom Constraints'!$A:$A,"caiso-deliverability_"&amp;SUBSTITUTE(Dashboard!$D804,"_group",Dashboard!$D$763)&amp;"."&amp;YEAR(Dashboard!AD$537))</f>
        <v>3035</v>
      </c>
      <c r="AH804" s="34" t="s">
        <v>422</v>
      </c>
    </row>
    <row r="805" spans="4:34" outlineLevel="2" x14ac:dyDescent="0.2">
      <c r="D805" s="8" t="s">
        <v>264</v>
      </c>
      <c r="E805" s="10">
        <f>SUMIFS('Custom Constraints'!$D:$D,'Custom Constraints'!$A:$A,"caiso-deliverability_"&amp;SUBSTITUTE(Dashboard!$D805,"_group",Dashboard!$D$763)&amp;"."&amp;YEAR(Dashboard!E$537))</f>
        <v>0</v>
      </c>
      <c r="F805" s="10">
        <f>SUMIFS('Custom Constraints'!$D:$D,'Custom Constraints'!$A:$A,"caiso-deliverability_"&amp;SUBSTITUTE(Dashboard!$D805,"_group",Dashboard!$D$763)&amp;"."&amp;YEAR(Dashboard!F$537))</f>
        <v>0</v>
      </c>
      <c r="G805" s="10">
        <f>SUMIFS('Custom Constraints'!$D:$D,'Custom Constraints'!$A:$A,"caiso-deliverability_"&amp;SUBSTITUTE(Dashboard!$D805,"_group",Dashboard!$D$763)&amp;"."&amp;YEAR(Dashboard!G$537))</f>
        <v>0</v>
      </c>
      <c r="H805" s="10">
        <f>SUMIFS('Custom Constraints'!$D:$D,'Custom Constraints'!$A:$A,"caiso-deliverability_"&amp;SUBSTITUTE(Dashboard!$D805,"_group",Dashboard!$D$763)&amp;"."&amp;YEAR(Dashboard!H$537))</f>
        <v>0</v>
      </c>
      <c r="I805" s="10">
        <f>SUMIFS('Custom Constraints'!$D:$D,'Custom Constraints'!$A:$A,"caiso-deliverability_"&amp;SUBSTITUTE(Dashboard!$D805,"_group",Dashboard!$D$763)&amp;"."&amp;YEAR(Dashboard!I$537))</f>
        <v>0</v>
      </c>
      <c r="J805" s="10">
        <f>SUMIFS('Custom Constraints'!$D:$D,'Custom Constraints'!$A:$A,"caiso-deliverability_"&amp;SUBSTITUTE(Dashboard!$D805,"_group",Dashboard!$D$763)&amp;"."&amp;YEAR(Dashboard!J$537))</f>
        <v>0</v>
      </c>
      <c r="K805" s="10">
        <f>SUMIFS('Custom Constraints'!$D:$D,'Custom Constraints'!$A:$A,"caiso-deliverability_"&amp;SUBSTITUTE(Dashboard!$D805,"_group",Dashboard!$D$763)&amp;"."&amp;YEAR(Dashboard!K$537))</f>
        <v>0</v>
      </c>
      <c r="L805" s="10">
        <f>SUMIFS('Custom Constraints'!$D:$D,'Custom Constraints'!$A:$A,"caiso-deliverability_"&amp;SUBSTITUTE(Dashboard!$D805,"_group",Dashboard!$D$763)&amp;"."&amp;YEAR(Dashboard!L$537))</f>
        <v>0</v>
      </c>
      <c r="M805" s="10">
        <f>SUMIFS('Custom Constraints'!$D:$D,'Custom Constraints'!$A:$A,"caiso-deliverability_"&amp;SUBSTITUTE(Dashboard!$D805,"_group",Dashboard!$D$763)&amp;"."&amp;YEAR(Dashboard!M$537))</f>
        <v>0</v>
      </c>
      <c r="N805" s="10">
        <f>SUMIFS('Custom Constraints'!$D:$D,'Custom Constraints'!$A:$A,"caiso-deliverability_"&amp;SUBSTITUTE(Dashboard!$D805,"_group",Dashboard!$D$763)&amp;"."&amp;YEAR(Dashboard!N$537))</f>
        <v>0</v>
      </c>
      <c r="O805" s="10">
        <f>SUMIFS('Custom Constraints'!$D:$D,'Custom Constraints'!$A:$A,"caiso-deliverability_"&amp;SUBSTITUTE(Dashboard!$D805,"_group",Dashboard!$D$763)&amp;"."&amp;YEAR(Dashboard!O$537))</f>
        <v>0</v>
      </c>
      <c r="P805" s="10">
        <f>SUMIFS('Custom Constraints'!$D:$D,'Custom Constraints'!$A:$A,"caiso-deliverability_"&amp;SUBSTITUTE(Dashboard!$D805,"_group",Dashboard!$D$763)&amp;"."&amp;YEAR(Dashboard!P$537))</f>
        <v>0</v>
      </c>
      <c r="Q805" s="10">
        <f>SUMIFS('Custom Constraints'!$D:$D,'Custom Constraints'!$A:$A,"caiso-deliverability_"&amp;SUBSTITUTE(Dashboard!$D805,"_group",Dashboard!$D$763)&amp;"."&amp;YEAR(Dashboard!Q$537))</f>
        <v>0</v>
      </c>
      <c r="R805" s="10">
        <f>SUMIFS('Custom Constraints'!$D:$D,'Custom Constraints'!$A:$A,"caiso-deliverability_"&amp;SUBSTITUTE(Dashboard!$D805,"_group",Dashboard!$D$763)&amp;"."&amp;YEAR(Dashboard!R$537))</f>
        <v>0</v>
      </c>
      <c r="S805" s="10">
        <f>SUMIFS('Custom Constraints'!$D:$D,'Custom Constraints'!$A:$A,"caiso-deliverability_"&amp;SUBSTITUTE(Dashboard!$D805,"_group",Dashboard!$D$763)&amp;"."&amp;YEAR(Dashboard!S$537))</f>
        <v>0</v>
      </c>
      <c r="T805" s="10">
        <f>SUMIFS('Custom Constraints'!$D:$D,'Custom Constraints'!$A:$A,"caiso-deliverability_"&amp;SUBSTITUTE(Dashboard!$D805,"_group",Dashboard!$D$763)&amp;"."&amp;YEAR(Dashboard!T$537))</f>
        <v>0</v>
      </c>
      <c r="U805" s="10">
        <f>SUMIFS('Custom Constraints'!$D:$D,'Custom Constraints'!$A:$A,"caiso-deliverability_"&amp;SUBSTITUTE(Dashboard!$D805,"_group",Dashboard!$D$763)&amp;"."&amp;YEAR(Dashboard!U$537))</f>
        <v>0</v>
      </c>
      <c r="V805" s="10">
        <f>SUMIFS('Custom Constraints'!$D:$D,'Custom Constraints'!$A:$A,"caiso-deliverability_"&amp;SUBSTITUTE(Dashboard!$D805,"_group",Dashboard!$D$763)&amp;"."&amp;YEAR(Dashboard!V$537))</f>
        <v>0</v>
      </c>
      <c r="W805" s="10">
        <f>SUMIFS('Custom Constraints'!$D:$D,'Custom Constraints'!$A:$A,"caiso-deliverability_"&amp;SUBSTITUTE(Dashboard!$D805,"_group",Dashboard!$D$763)&amp;"."&amp;YEAR(Dashboard!W$537))</f>
        <v>0</v>
      </c>
      <c r="X805" s="10">
        <f>SUMIFS('Custom Constraints'!$D:$D,'Custom Constraints'!$A:$A,"caiso-deliverability_"&amp;SUBSTITUTE(Dashboard!$D805,"_group",Dashboard!$D$763)&amp;"."&amp;YEAR(Dashboard!X$537))</f>
        <v>0</v>
      </c>
      <c r="Y805" s="10">
        <f>SUMIFS('Custom Constraints'!$D:$D,'Custom Constraints'!$A:$A,"caiso-deliverability_"&amp;SUBSTITUTE(Dashboard!$D805,"_group",Dashboard!$D$763)&amp;"."&amp;YEAR(Dashboard!Y$537))</f>
        <v>0</v>
      </c>
      <c r="Z805" s="10">
        <f>SUMIFS('Custom Constraints'!$D:$D,'Custom Constraints'!$A:$A,"caiso-deliverability_"&amp;SUBSTITUTE(Dashboard!$D805,"_group",Dashboard!$D$763)&amp;"."&amp;YEAR(Dashboard!Z$537))</f>
        <v>0</v>
      </c>
      <c r="AA805" s="10">
        <f>SUMIFS('Custom Constraints'!$D:$D,'Custom Constraints'!$A:$A,"caiso-deliverability_"&amp;SUBSTITUTE(Dashboard!$D805,"_group",Dashboard!$D$763)&amp;"."&amp;YEAR(Dashboard!AA$537))</f>
        <v>0</v>
      </c>
      <c r="AB805" s="10">
        <f>SUMIFS('Custom Constraints'!$D:$D,'Custom Constraints'!$A:$A,"caiso-deliverability_"&amp;SUBSTITUTE(Dashboard!$D805,"_group",Dashboard!$D$763)&amp;"."&amp;YEAR(Dashboard!AB$537))</f>
        <v>0</v>
      </c>
      <c r="AC805" s="10">
        <f>SUMIFS('Custom Constraints'!$D:$D,'Custom Constraints'!$A:$A,"caiso-deliverability_"&amp;SUBSTITUTE(Dashboard!$D805,"_group",Dashboard!$D$763)&amp;"."&amp;YEAR(Dashboard!AC$537))</f>
        <v>0</v>
      </c>
      <c r="AD805" s="10">
        <f>SUMIFS('Custom Constraints'!$D:$D,'Custom Constraints'!$A:$A,"caiso-deliverability_"&amp;SUBSTITUTE(Dashboard!$D805,"_group",Dashboard!$D$763)&amp;"."&amp;YEAR(Dashboard!AD$537))</f>
        <v>3279</v>
      </c>
      <c r="AH805" s="34" t="s">
        <v>422</v>
      </c>
    </row>
    <row r="806" spans="4:34" outlineLevel="2" x14ac:dyDescent="0.2">
      <c r="D806" s="8" t="s">
        <v>265</v>
      </c>
      <c r="E806" s="10">
        <f>SUMIFS('Custom Constraints'!$D:$D,'Custom Constraints'!$A:$A,"caiso-deliverability_"&amp;SUBSTITUTE(Dashboard!$D806,"_group",Dashboard!$D$763)&amp;"."&amp;YEAR(Dashboard!E$537))</f>
        <v>0</v>
      </c>
      <c r="F806" s="10">
        <f>SUMIFS('Custom Constraints'!$D:$D,'Custom Constraints'!$A:$A,"caiso-deliverability_"&amp;SUBSTITUTE(Dashboard!$D806,"_group",Dashboard!$D$763)&amp;"."&amp;YEAR(Dashboard!F$537))</f>
        <v>0</v>
      </c>
      <c r="G806" s="10">
        <f>SUMIFS('Custom Constraints'!$D:$D,'Custom Constraints'!$A:$A,"caiso-deliverability_"&amp;SUBSTITUTE(Dashboard!$D806,"_group",Dashboard!$D$763)&amp;"."&amp;YEAR(Dashboard!G$537))</f>
        <v>0</v>
      </c>
      <c r="H806" s="10">
        <f>SUMIFS('Custom Constraints'!$D:$D,'Custom Constraints'!$A:$A,"caiso-deliverability_"&amp;SUBSTITUTE(Dashboard!$D806,"_group",Dashboard!$D$763)&amp;"."&amp;YEAR(Dashboard!H$537))</f>
        <v>0</v>
      </c>
      <c r="I806" s="10">
        <f>SUMIFS('Custom Constraints'!$D:$D,'Custom Constraints'!$A:$A,"caiso-deliverability_"&amp;SUBSTITUTE(Dashboard!$D806,"_group",Dashboard!$D$763)&amp;"."&amp;YEAR(Dashboard!I$537))</f>
        <v>0</v>
      </c>
      <c r="J806" s="10">
        <f>SUMIFS('Custom Constraints'!$D:$D,'Custom Constraints'!$A:$A,"caiso-deliverability_"&amp;SUBSTITUTE(Dashboard!$D806,"_group",Dashboard!$D$763)&amp;"."&amp;YEAR(Dashboard!J$537))</f>
        <v>0</v>
      </c>
      <c r="K806" s="10">
        <f>SUMIFS('Custom Constraints'!$D:$D,'Custom Constraints'!$A:$A,"caiso-deliverability_"&amp;SUBSTITUTE(Dashboard!$D806,"_group",Dashboard!$D$763)&amp;"."&amp;YEAR(Dashboard!K$537))</f>
        <v>0</v>
      </c>
      <c r="L806" s="10">
        <f>SUMIFS('Custom Constraints'!$D:$D,'Custom Constraints'!$A:$A,"caiso-deliverability_"&amp;SUBSTITUTE(Dashboard!$D806,"_group",Dashboard!$D$763)&amp;"."&amp;YEAR(Dashboard!L$537))</f>
        <v>0</v>
      </c>
      <c r="M806" s="10">
        <f>SUMIFS('Custom Constraints'!$D:$D,'Custom Constraints'!$A:$A,"caiso-deliverability_"&amp;SUBSTITUTE(Dashboard!$D806,"_group",Dashboard!$D$763)&amp;"."&amp;YEAR(Dashboard!M$537))</f>
        <v>0</v>
      </c>
      <c r="N806" s="10">
        <f>SUMIFS('Custom Constraints'!$D:$D,'Custom Constraints'!$A:$A,"caiso-deliverability_"&amp;SUBSTITUTE(Dashboard!$D806,"_group",Dashboard!$D$763)&amp;"."&amp;YEAR(Dashboard!N$537))</f>
        <v>0</v>
      </c>
      <c r="O806" s="10">
        <f>SUMIFS('Custom Constraints'!$D:$D,'Custom Constraints'!$A:$A,"caiso-deliverability_"&amp;SUBSTITUTE(Dashboard!$D806,"_group",Dashboard!$D$763)&amp;"."&amp;YEAR(Dashboard!O$537))</f>
        <v>0</v>
      </c>
      <c r="P806" s="10">
        <f>SUMIFS('Custom Constraints'!$D:$D,'Custom Constraints'!$A:$A,"caiso-deliverability_"&amp;SUBSTITUTE(Dashboard!$D806,"_group",Dashboard!$D$763)&amp;"."&amp;YEAR(Dashboard!P$537))</f>
        <v>0</v>
      </c>
      <c r="Q806" s="10">
        <f>SUMIFS('Custom Constraints'!$D:$D,'Custom Constraints'!$A:$A,"caiso-deliverability_"&amp;SUBSTITUTE(Dashboard!$D806,"_group",Dashboard!$D$763)&amp;"."&amp;YEAR(Dashboard!Q$537))</f>
        <v>0</v>
      </c>
      <c r="R806" s="10">
        <f>SUMIFS('Custom Constraints'!$D:$D,'Custom Constraints'!$A:$A,"caiso-deliverability_"&amp;SUBSTITUTE(Dashboard!$D806,"_group",Dashboard!$D$763)&amp;"."&amp;YEAR(Dashboard!R$537))</f>
        <v>0</v>
      </c>
      <c r="S806" s="10">
        <f>SUMIFS('Custom Constraints'!$D:$D,'Custom Constraints'!$A:$A,"caiso-deliverability_"&amp;SUBSTITUTE(Dashboard!$D806,"_group",Dashboard!$D$763)&amp;"."&amp;YEAR(Dashboard!S$537))</f>
        <v>0</v>
      </c>
      <c r="T806" s="10">
        <f>SUMIFS('Custom Constraints'!$D:$D,'Custom Constraints'!$A:$A,"caiso-deliverability_"&amp;SUBSTITUTE(Dashboard!$D806,"_group",Dashboard!$D$763)&amp;"."&amp;YEAR(Dashboard!T$537))</f>
        <v>0</v>
      </c>
      <c r="U806" s="10">
        <f>SUMIFS('Custom Constraints'!$D:$D,'Custom Constraints'!$A:$A,"caiso-deliverability_"&amp;SUBSTITUTE(Dashboard!$D806,"_group",Dashboard!$D$763)&amp;"."&amp;YEAR(Dashboard!U$537))</f>
        <v>0</v>
      </c>
      <c r="V806" s="10">
        <f>SUMIFS('Custom Constraints'!$D:$D,'Custom Constraints'!$A:$A,"caiso-deliverability_"&amp;SUBSTITUTE(Dashboard!$D806,"_group",Dashboard!$D$763)&amp;"."&amp;YEAR(Dashboard!V$537))</f>
        <v>0</v>
      </c>
      <c r="W806" s="10">
        <f>SUMIFS('Custom Constraints'!$D:$D,'Custom Constraints'!$A:$A,"caiso-deliverability_"&amp;SUBSTITUTE(Dashboard!$D806,"_group",Dashboard!$D$763)&amp;"."&amp;YEAR(Dashboard!W$537))</f>
        <v>0</v>
      </c>
      <c r="X806" s="10">
        <f>SUMIFS('Custom Constraints'!$D:$D,'Custom Constraints'!$A:$A,"caiso-deliverability_"&amp;SUBSTITUTE(Dashboard!$D806,"_group",Dashboard!$D$763)&amp;"."&amp;YEAR(Dashboard!X$537))</f>
        <v>0</v>
      </c>
      <c r="Y806" s="10">
        <f>SUMIFS('Custom Constraints'!$D:$D,'Custom Constraints'!$A:$A,"caiso-deliverability_"&amp;SUBSTITUTE(Dashboard!$D806,"_group",Dashboard!$D$763)&amp;"."&amp;YEAR(Dashboard!Y$537))</f>
        <v>0</v>
      </c>
      <c r="Z806" s="10">
        <f>SUMIFS('Custom Constraints'!$D:$D,'Custom Constraints'!$A:$A,"caiso-deliverability_"&amp;SUBSTITUTE(Dashboard!$D806,"_group",Dashboard!$D$763)&amp;"."&amp;YEAR(Dashboard!Z$537))</f>
        <v>0</v>
      </c>
      <c r="AA806" s="10">
        <f>SUMIFS('Custom Constraints'!$D:$D,'Custom Constraints'!$A:$A,"caiso-deliverability_"&amp;SUBSTITUTE(Dashboard!$D806,"_group",Dashboard!$D$763)&amp;"."&amp;YEAR(Dashboard!AA$537))</f>
        <v>0</v>
      </c>
      <c r="AB806" s="10">
        <f>SUMIFS('Custom Constraints'!$D:$D,'Custom Constraints'!$A:$A,"caiso-deliverability_"&amp;SUBSTITUTE(Dashboard!$D806,"_group",Dashboard!$D$763)&amp;"."&amp;YEAR(Dashboard!AB$537))</f>
        <v>0</v>
      </c>
      <c r="AC806" s="10">
        <f>SUMIFS('Custom Constraints'!$D:$D,'Custom Constraints'!$A:$A,"caiso-deliverability_"&amp;SUBSTITUTE(Dashboard!$D806,"_group",Dashboard!$D$763)&amp;"."&amp;YEAR(Dashboard!AC$537))</f>
        <v>0</v>
      </c>
      <c r="AD806" s="10">
        <f>SUMIFS('Custom Constraints'!$D:$D,'Custom Constraints'!$A:$A,"caiso-deliverability_"&amp;SUBSTITUTE(Dashboard!$D806,"_group",Dashboard!$D$763)&amp;"."&amp;YEAR(Dashboard!AD$537))</f>
        <v>2568</v>
      </c>
      <c r="AH806" s="34" t="s">
        <v>422</v>
      </c>
    </row>
    <row r="807" spans="4:34" outlineLevel="2" x14ac:dyDescent="0.2">
      <c r="D807" s="8" t="s">
        <v>266</v>
      </c>
      <c r="E807" s="10">
        <f>SUMIFS('Custom Constraints'!$D:$D,'Custom Constraints'!$A:$A,"caiso-deliverability_"&amp;SUBSTITUTE(Dashboard!$D807,"_group",Dashboard!$D$763)&amp;"."&amp;YEAR(Dashboard!E$537))</f>
        <v>0</v>
      </c>
      <c r="F807" s="10">
        <f>SUMIFS('Custom Constraints'!$D:$D,'Custom Constraints'!$A:$A,"caiso-deliverability_"&amp;SUBSTITUTE(Dashboard!$D807,"_group",Dashboard!$D$763)&amp;"."&amp;YEAR(Dashboard!F$537))</f>
        <v>0</v>
      </c>
      <c r="G807" s="10">
        <f>SUMIFS('Custom Constraints'!$D:$D,'Custom Constraints'!$A:$A,"caiso-deliverability_"&amp;SUBSTITUTE(Dashboard!$D807,"_group",Dashboard!$D$763)&amp;"."&amp;YEAR(Dashboard!G$537))</f>
        <v>0</v>
      </c>
      <c r="H807" s="10">
        <f>SUMIFS('Custom Constraints'!$D:$D,'Custom Constraints'!$A:$A,"caiso-deliverability_"&amp;SUBSTITUTE(Dashboard!$D807,"_group",Dashboard!$D$763)&amp;"."&amp;YEAR(Dashboard!H$537))</f>
        <v>0</v>
      </c>
      <c r="I807" s="10">
        <f>SUMIFS('Custom Constraints'!$D:$D,'Custom Constraints'!$A:$A,"caiso-deliverability_"&amp;SUBSTITUTE(Dashboard!$D807,"_group",Dashboard!$D$763)&amp;"."&amp;YEAR(Dashboard!I$537))</f>
        <v>0</v>
      </c>
      <c r="J807" s="10">
        <f>SUMIFS('Custom Constraints'!$D:$D,'Custom Constraints'!$A:$A,"caiso-deliverability_"&amp;SUBSTITUTE(Dashboard!$D807,"_group",Dashboard!$D$763)&amp;"."&amp;YEAR(Dashboard!J$537))</f>
        <v>0</v>
      </c>
      <c r="K807" s="10">
        <f>SUMIFS('Custom Constraints'!$D:$D,'Custom Constraints'!$A:$A,"caiso-deliverability_"&amp;SUBSTITUTE(Dashboard!$D807,"_group",Dashboard!$D$763)&amp;"."&amp;YEAR(Dashboard!K$537))</f>
        <v>0</v>
      </c>
      <c r="L807" s="10">
        <f>SUMIFS('Custom Constraints'!$D:$D,'Custom Constraints'!$A:$A,"caiso-deliverability_"&amp;SUBSTITUTE(Dashboard!$D807,"_group",Dashboard!$D$763)&amp;"."&amp;YEAR(Dashboard!L$537))</f>
        <v>0</v>
      </c>
      <c r="M807" s="10">
        <f>SUMIFS('Custom Constraints'!$D:$D,'Custom Constraints'!$A:$A,"caiso-deliverability_"&amp;SUBSTITUTE(Dashboard!$D807,"_group",Dashboard!$D$763)&amp;"."&amp;YEAR(Dashboard!M$537))</f>
        <v>0</v>
      </c>
      <c r="N807" s="10">
        <f>SUMIFS('Custom Constraints'!$D:$D,'Custom Constraints'!$A:$A,"caiso-deliverability_"&amp;SUBSTITUTE(Dashboard!$D807,"_group",Dashboard!$D$763)&amp;"."&amp;YEAR(Dashboard!N$537))</f>
        <v>0</v>
      </c>
      <c r="O807" s="10">
        <f>SUMIFS('Custom Constraints'!$D:$D,'Custom Constraints'!$A:$A,"caiso-deliverability_"&amp;SUBSTITUTE(Dashboard!$D807,"_group",Dashboard!$D$763)&amp;"."&amp;YEAR(Dashboard!O$537))</f>
        <v>0</v>
      </c>
      <c r="P807" s="10">
        <f>SUMIFS('Custom Constraints'!$D:$D,'Custom Constraints'!$A:$A,"caiso-deliverability_"&amp;SUBSTITUTE(Dashboard!$D807,"_group",Dashboard!$D$763)&amp;"."&amp;YEAR(Dashboard!P$537))</f>
        <v>0</v>
      </c>
      <c r="Q807" s="10">
        <f>SUMIFS('Custom Constraints'!$D:$D,'Custom Constraints'!$A:$A,"caiso-deliverability_"&amp;SUBSTITUTE(Dashboard!$D807,"_group",Dashboard!$D$763)&amp;"."&amp;YEAR(Dashboard!Q$537))</f>
        <v>0</v>
      </c>
      <c r="R807" s="10">
        <f>SUMIFS('Custom Constraints'!$D:$D,'Custom Constraints'!$A:$A,"caiso-deliverability_"&amp;SUBSTITUTE(Dashboard!$D807,"_group",Dashboard!$D$763)&amp;"."&amp;YEAR(Dashboard!R$537))</f>
        <v>0</v>
      </c>
      <c r="S807" s="10">
        <f>SUMIFS('Custom Constraints'!$D:$D,'Custom Constraints'!$A:$A,"caiso-deliverability_"&amp;SUBSTITUTE(Dashboard!$D807,"_group",Dashboard!$D$763)&amp;"."&amp;YEAR(Dashboard!S$537))</f>
        <v>0</v>
      </c>
      <c r="T807" s="10">
        <f>SUMIFS('Custom Constraints'!$D:$D,'Custom Constraints'!$A:$A,"caiso-deliverability_"&amp;SUBSTITUTE(Dashboard!$D807,"_group",Dashboard!$D$763)&amp;"."&amp;YEAR(Dashboard!T$537))</f>
        <v>0</v>
      </c>
      <c r="U807" s="10">
        <f>SUMIFS('Custom Constraints'!$D:$D,'Custom Constraints'!$A:$A,"caiso-deliverability_"&amp;SUBSTITUTE(Dashboard!$D807,"_group",Dashboard!$D$763)&amp;"."&amp;YEAR(Dashboard!U$537))</f>
        <v>0</v>
      </c>
      <c r="V807" s="10">
        <f>SUMIFS('Custom Constraints'!$D:$D,'Custom Constraints'!$A:$A,"caiso-deliverability_"&amp;SUBSTITUTE(Dashboard!$D807,"_group",Dashboard!$D$763)&amp;"."&amp;YEAR(Dashboard!V$537))</f>
        <v>0</v>
      </c>
      <c r="W807" s="10">
        <f>SUMIFS('Custom Constraints'!$D:$D,'Custom Constraints'!$A:$A,"caiso-deliverability_"&amp;SUBSTITUTE(Dashboard!$D807,"_group",Dashboard!$D$763)&amp;"."&amp;YEAR(Dashboard!W$537))</f>
        <v>0</v>
      </c>
      <c r="X807" s="10">
        <f>SUMIFS('Custom Constraints'!$D:$D,'Custom Constraints'!$A:$A,"caiso-deliverability_"&amp;SUBSTITUTE(Dashboard!$D807,"_group",Dashboard!$D$763)&amp;"."&amp;YEAR(Dashboard!X$537))</f>
        <v>0</v>
      </c>
      <c r="Y807" s="10">
        <f>SUMIFS('Custom Constraints'!$D:$D,'Custom Constraints'!$A:$A,"caiso-deliverability_"&amp;SUBSTITUTE(Dashboard!$D807,"_group",Dashboard!$D$763)&amp;"."&amp;YEAR(Dashboard!Y$537))</f>
        <v>0</v>
      </c>
      <c r="Z807" s="10">
        <f>SUMIFS('Custom Constraints'!$D:$D,'Custom Constraints'!$A:$A,"caiso-deliverability_"&amp;SUBSTITUTE(Dashboard!$D807,"_group",Dashboard!$D$763)&amp;"."&amp;YEAR(Dashboard!Z$537))</f>
        <v>0</v>
      </c>
      <c r="AA807" s="10">
        <f>SUMIFS('Custom Constraints'!$D:$D,'Custom Constraints'!$A:$A,"caiso-deliverability_"&amp;SUBSTITUTE(Dashboard!$D807,"_group",Dashboard!$D$763)&amp;"."&amp;YEAR(Dashboard!AA$537))</f>
        <v>0</v>
      </c>
      <c r="AB807" s="10">
        <f>SUMIFS('Custom Constraints'!$D:$D,'Custom Constraints'!$A:$A,"caiso-deliverability_"&amp;SUBSTITUTE(Dashboard!$D807,"_group",Dashboard!$D$763)&amp;"."&amp;YEAR(Dashboard!AB$537))</f>
        <v>0</v>
      </c>
      <c r="AC807" s="10">
        <f>SUMIFS('Custom Constraints'!$D:$D,'Custom Constraints'!$A:$A,"caiso-deliverability_"&amp;SUBSTITUTE(Dashboard!$D807,"_group",Dashboard!$D$763)&amp;"."&amp;YEAR(Dashboard!AC$537))</f>
        <v>0</v>
      </c>
      <c r="AD807" s="10">
        <f>SUMIFS('Custom Constraints'!$D:$D,'Custom Constraints'!$A:$A,"caiso-deliverability_"&amp;SUBSTITUTE(Dashboard!$D807,"_group",Dashboard!$D$763)&amp;"."&amp;YEAR(Dashboard!AD$537))</f>
        <v>10830</v>
      </c>
      <c r="AH807" s="34" t="s">
        <v>422</v>
      </c>
    </row>
    <row r="808" spans="4:34" outlineLevel="2" x14ac:dyDescent="0.2">
      <c r="D808" s="8" t="s">
        <v>267</v>
      </c>
      <c r="E808" s="10">
        <f>SUMIFS('Custom Constraints'!$D:$D,'Custom Constraints'!$A:$A,"caiso-deliverability_"&amp;SUBSTITUTE(Dashboard!$D808,"_group",Dashboard!$D$763)&amp;"."&amp;YEAR(Dashboard!E$537))</f>
        <v>0</v>
      </c>
      <c r="F808" s="10">
        <f>SUMIFS('Custom Constraints'!$D:$D,'Custom Constraints'!$A:$A,"caiso-deliverability_"&amp;SUBSTITUTE(Dashboard!$D808,"_group",Dashboard!$D$763)&amp;"."&amp;YEAR(Dashboard!F$537))</f>
        <v>0</v>
      </c>
      <c r="G808" s="10">
        <f>SUMIFS('Custom Constraints'!$D:$D,'Custom Constraints'!$A:$A,"caiso-deliverability_"&amp;SUBSTITUTE(Dashboard!$D808,"_group",Dashboard!$D$763)&amp;"."&amp;YEAR(Dashboard!G$537))</f>
        <v>0</v>
      </c>
      <c r="H808" s="10">
        <f>SUMIFS('Custom Constraints'!$D:$D,'Custom Constraints'!$A:$A,"caiso-deliverability_"&amp;SUBSTITUTE(Dashboard!$D808,"_group",Dashboard!$D$763)&amp;"."&amp;YEAR(Dashboard!H$537))</f>
        <v>0</v>
      </c>
      <c r="I808" s="10">
        <f>SUMIFS('Custom Constraints'!$D:$D,'Custom Constraints'!$A:$A,"caiso-deliverability_"&amp;SUBSTITUTE(Dashboard!$D808,"_group",Dashboard!$D$763)&amp;"."&amp;YEAR(Dashboard!I$537))</f>
        <v>0</v>
      </c>
      <c r="J808" s="10">
        <f>SUMIFS('Custom Constraints'!$D:$D,'Custom Constraints'!$A:$A,"caiso-deliverability_"&amp;SUBSTITUTE(Dashboard!$D808,"_group",Dashboard!$D$763)&amp;"."&amp;YEAR(Dashboard!J$537))</f>
        <v>0</v>
      </c>
      <c r="K808" s="10">
        <f>SUMIFS('Custom Constraints'!$D:$D,'Custom Constraints'!$A:$A,"caiso-deliverability_"&amp;SUBSTITUTE(Dashboard!$D808,"_group",Dashboard!$D$763)&amp;"."&amp;YEAR(Dashboard!K$537))</f>
        <v>0</v>
      </c>
      <c r="L808" s="10">
        <f>SUMIFS('Custom Constraints'!$D:$D,'Custom Constraints'!$A:$A,"caiso-deliverability_"&amp;SUBSTITUTE(Dashboard!$D808,"_group",Dashboard!$D$763)&amp;"."&amp;YEAR(Dashboard!L$537))</f>
        <v>0</v>
      </c>
      <c r="M808" s="10">
        <f>SUMIFS('Custom Constraints'!$D:$D,'Custom Constraints'!$A:$A,"caiso-deliverability_"&amp;SUBSTITUTE(Dashboard!$D808,"_group",Dashboard!$D$763)&amp;"."&amp;YEAR(Dashboard!M$537))</f>
        <v>0</v>
      </c>
      <c r="N808" s="10">
        <f>SUMIFS('Custom Constraints'!$D:$D,'Custom Constraints'!$A:$A,"caiso-deliverability_"&amp;SUBSTITUTE(Dashboard!$D808,"_group",Dashboard!$D$763)&amp;"."&amp;YEAR(Dashboard!N$537))</f>
        <v>0</v>
      </c>
      <c r="O808" s="10">
        <f>SUMIFS('Custom Constraints'!$D:$D,'Custom Constraints'!$A:$A,"caiso-deliverability_"&amp;SUBSTITUTE(Dashboard!$D808,"_group",Dashboard!$D$763)&amp;"."&amp;YEAR(Dashboard!O$537))</f>
        <v>0</v>
      </c>
      <c r="P808" s="10">
        <f>SUMIFS('Custom Constraints'!$D:$D,'Custom Constraints'!$A:$A,"caiso-deliverability_"&amp;SUBSTITUTE(Dashboard!$D808,"_group",Dashboard!$D$763)&amp;"."&amp;YEAR(Dashboard!P$537))</f>
        <v>0</v>
      </c>
      <c r="Q808" s="10">
        <f>SUMIFS('Custom Constraints'!$D:$D,'Custom Constraints'!$A:$A,"caiso-deliverability_"&amp;SUBSTITUTE(Dashboard!$D808,"_group",Dashboard!$D$763)&amp;"."&amp;YEAR(Dashboard!Q$537))</f>
        <v>0</v>
      </c>
      <c r="R808" s="10">
        <f>SUMIFS('Custom Constraints'!$D:$D,'Custom Constraints'!$A:$A,"caiso-deliverability_"&amp;SUBSTITUTE(Dashboard!$D808,"_group",Dashboard!$D$763)&amp;"."&amp;YEAR(Dashboard!R$537))</f>
        <v>0</v>
      </c>
      <c r="S808" s="10">
        <f>SUMIFS('Custom Constraints'!$D:$D,'Custom Constraints'!$A:$A,"caiso-deliverability_"&amp;SUBSTITUTE(Dashboard!$D808,"_group",Dashboard!$D$763)&amp;"."&amp;YEAR(Dashboard!S$537))</f>
        <v>0</v>
      </c>
      <c r="T808" s="10">
        <f>SUMIFS('Custom Constraints'!$D:$D,'Custom Constraints'!$A:$A,"caiso-deliverability_"&amp;SUBSTITUTE(Dashboard!$D808,"_group",Dashboard!$D$763)&amp;"."&amp;YEAR(Dashboard!T$537))</f>
        <v>0</v>
      </c>
      <c r="U808" s="10">
        <f>SUMIFS('Custom Constraints'!$D:$D,'Custom Constraints'!$A:$A,"caiso-deliverability_"&amp;SUBSTITUTE(Dashboard!$D808,"_group",Dashboard!$D$763)&amp;"."&amp;YEAR(Dashboard!U$537))</f>
        <v>0</v>
      </c>
      <c r="V808" s="10">
        <f>SUMIFS('Custom Constraints'!$D:$D,'Custom Constraints'!$A:$A,"caiso-deliverability_"&amp;SUBSTITUTE(Dashboard!$D808,"_group",Dashboard!$D$763)&amp;"."&amp;YEAR(Dashboard!V$537))</f>
        <v>0</v>
      </c>
      <c r="W808" s="10">
        <f>SUMIFS('Custom Constraints'!$D:$D,'Custom Constraints'!$A:$A,"caiso-deliverability_"&amp;SUBSTITUTE(Dashboard!$D808,"_group",Dashboard!$D$763)&amp;"."&amp;YEAR(Dashboard!W$537))</f>
        <v>0</v>
      </c>
      <c r="X808" s="10">
        <f>SUMIFS('Custom Constraints'!$D:$D,'Custom Constraints'!$A:$A,"caiso-deliverability_"&amp;SUBSTITUTE(Dashboard!$D808,"_group",Dashboard!$D$763)&amp;"."&amp;YEAR(Dashboard!X$537))</f>
        <v>0</v>
      </c>
      <c r="Y808" s="10">
        <f>SUMIFS('Custom Constraints'!$D:$D,'Custom Constraints'!$A:$A,"caiso-deliverability_"&amp;SUBSTITUTE(Dashboard!$D808,"_group",Dashboard!$D$763)&amp;"."&amp;YEAR(Dashboard!Y$537))</f>
        <v>0</v>
      </c>
      <c r="Z808" s="10">
        <f>SUMIFS('Custom Constraints'!$D:$D,'Custom Constraints'!$A:$A,"caiso-deliverability_"&amp;SUBSTITUTE(Dashboard!$D808,"_group",Dashboard!$D$763)&amp;"."&amp;YEAR(Dashboard!Z$537))</f>
        <v>0</v>
      </c>
      <c r="AA808" s="10">
        <f>SUMIFS('Custom Constraints'!$D:$D,'Custom Constraints'!$A:$A,"caiso-deliverability_"&amp;SUBSTITUTE(Dashboard!$D808,"_group",Dashboard!$D$763)&amp;"."&amp;YEAR(Dashboard!AA$537))</f>
        <v>0</v>
      </c>
      <c r="AB808" s="10">
        <f>SUMIFS('Custom Constraints'!$D:$D,'Custom Constraints'!$A:$A,"caiso-deliverability_"&amp;SUBSTITUTE(Dashboard!$D808,"_group",Dashboard!$D$763)&amp;"."&amp;YEAR(Dashboard!AB$537))</f>
        <v>0</v>
      </c>
      <c r="AC808" s="10">
        <f>SUMIFS('Custom Constraints'!$D:$D,'Custom Constraints'!$A:$A,"caiso-deliverability_"&amp;SUBSTITUTE(Dashboard!$D808,"_group",Dashboard!$D$763)&amp;"."&amp;YEAR(Dashboard!AC$537))</f>
        <v>0</v>
      </c>
      <c r="AD808" s="10">
        <f>SUMIFS('Custom Constraints'!$D:$D,'Custom Constraints'!$A:$A,"caiso-deliverability_"&amp;SUBSTITUTE(Dashboard!$D808,"_group",Dashboard!$D$763)&amp;"."&amp;YEAR(Dashboard!AD$537))</f>
        <v>269</v>
      </c>
      <c r="AH808" s="34" t="s">
        <v>422</v>
      </c>
    </row>
    <row r="809" spans="4:34" outlineLevel="2" x14ac:dyDescent="0.2">
      <c r="D809" s="8" t="s">
        <v>268</v>
      </c>
      <c r="E809" s="10">
        <f>SUMIFS('Custom Constraints'!$D:$D,'Custom Constraints'!$A:$A,"caiso-deliverability_"&amp;SUBSTITUTE(Dashboard!$D809,"_group",Dashboard!$D$763)&amp;"."&amp;YEAR(Dashboard!E$537))</f>
        <v>0</v>
      </c>
      <c r="F809" s="10">
        <f>SUMIFS('Custom Constraints'!$D:$D,'Custom Constraints'!$A:$A,"caiso-deliverability_"&amp;SUBSTITUTE(Dashboard!$D809,"_group",Dashboard!$D$763)&amp;"."&amp;YEAR(Dashboard!F$537))</f>
        <v>0</v>
      </c>
      <c r="G809" s="10">
        <f>SUMIFS('Custom Constraints'!$D:$D,'Custom Constraints'!$A:$A,"caiso-deliverability_"&amp;SUBSTITUTE(Dashboard!$D809,"_group",Dashboard!$D$763)&amp;"."&amp;YEAR(Dashboard!G$537))</f>
        <v>0</v>
      </c>
      <c r="H809" s="10">
        <f>SUMIFS('Custom Constraints'!$D:$D,'Custom Constraints'!$A:$A,"caiso-deliverability_"&amp;SUBSTITUTE(Dashboard!$D809,"_group",Dashboard!$D$763)&amp;"."&amp;YEAR(Dashboard!H$537))</f>
        <v>0</v>
      </c>
      <c r="I809" s="10">
        <f>SUMIFS('Custom Constraints'!$D:$D,'Custom Constraints'!$A:$A,"caiso-deliverability_"&amp;SUBSTITUTE(Dashboard!$D809,"_group",Dashboard!$D$763)&amp;"."&amp;YEAR(Dashboard!I$537))</f>
        <v>0</v>
      </c>
      <c r="J809" s="10">
        <f>SUMIFS('Custom Constraints'!$D:$D,'Custom Constraints'!$A:$A,"caiso-deliverability_"&amp;SUBSTITUTE(Dashboard!$D809,"_group",Dashboard!$D$763)&amp;"."&amp;YEAR(Dashboard!J$537))</f>
        <v>0</v>
      </c>
      <c r="K809" s="10">
        <f>SUMIFS('Custom Constraints'!$D:$D,'Custom Constraints'!$A:$A,"caiso-deliverability_"&amp;SUBSTITUTE(Dashboard!$D809,"_group",Dashboard!$D$763)&amp;"."&amp;YEAR(Dashboard!K$537))</f>
        <v>0</v>
      </c>
      <c r="L809" s="10">
        <f>SUMIFS('Custom Constraints'!$D:$D,'Custom Constraints'!$A:$A,"caiso-deliverability_"&amp;SUBSTITUTE(Dashboard!$D809,"_group",Dashboard!$D$763)&amp;"."&amp;YEAR(Dashboard!L$537))</f>
        <v>0</v>
      </c>
      <c r="M809" s="10">
        <f>SUMIFS('Custom Constraints'!$D:$D,'Custom Constraints'!$A:$A,"caiso-deliverability_"&amp;SUBSTITUTE(Dashboard!$D809,"_group",Dashboard!$D$763)&amp;"."&amp;YEAR(Dashboard!M$537))</f>
        <v>0</v>
      </c>
      <c r="N809" s="10">
        <f>SUMIFS('Custom Constraints'!$D:$D,'Custom Constraints'!$A:$A,"caiso-deliverability_"&amp;SUBSTITUTE(Dashboard!$D809,"_group",Dashboard!$D$763)&amp;"."&amp;YEAR(Dashboard!N$537))</f>
        <v>0</v>
      </c>
      <c r="O809" s="10">
        <f>SUMIFS('Custom Constraints'!$D:$D,'Custom Constraints'!$A:$A,"caiso-deliverability_"&amp;SUBSTITUTE(Dashboard!$D809,"_group",Dashboard!$D$763)&amp;"."&amp;YEAR(Dashboard!O$537))</f>
        <v>0</v>
      </c>
      <c r="P809" s="10">
        <f>SUMIFS('Custom Constraints'!$D:$D,'Custom Constraints'!$A:$A,"caiso-deliverability_"&amp;SUBSTITUTE(Dashboard!$D809,"_group",Dashboard!$D$763)&amp;"."&amp;YEAR(Dashboard!P$537))</f>
        <v>0</v>
      </c>
      <c r="Q809" s="10">
        <f>SUMIFS('Custom Constraints'!$D:$D,'Custom Constraints'!$A:$A,"caiso-deliverability_"&amp;SUBSTITUTE(Dashboard!$D809,"_group",Dashboard!$D$763)&amp;"."&amp;YEAR(Dashboard!Q$537))</f>
        <v>0</v>
      </c>
      <c r="R809" s="10">
        <f>SUMIFS('Custom Constraints'!$D:$D,'Custom Constraints'!$A:$A,"caiso-deliverability_"&amp;SUBSTITUTE(Dashboard!$D809,"_group",Dashboard!$D$763)&amp;"."&amp;YEAR(Dashboard!R$537))</f>
        <v>0</v>
      </c>
      <c r="S809" s="10">
        <f>SUMIFS('Custom Constraints'!$D:$D,'Custom Constraints'!$A:$A,"caiso-deliverability_"&amp;SUBSTITUTE(Dashboard!$D809,"_group",Dashboard!$D$763)&amp;"."&amp;YEAR(Dashboard!S$537))</f>
        <v>0</v>
      </c>
      <c r="T809" s="10">
        <f>SUMIFS('Custom Constraints'!$D:$D,'Custom Constraints'!$A:$A,"caiso-deliverability_"&amp;SUBSTITUTE(Dashboard!$D809,"_group",Dashboard!$D$763)&amp;"."&amp;YEAR(Dashboard!T$537))</f>
        <v>0</v>
      </c>
      <c r="U809" s="10">
        <f>SUMIFS('Custom Constraints'!$D:$D,'Custom Constraints'!$A:$A,"caiso-deliverability_"&amp;SUBSTITUTE(Dashboard!$D809,"_group",Dashboard!$D$763)&amp;"."&amp;YEAR(Dashboard!U$537))</f>
        <v>0</v>
      </c>
      <c r="V809" s="10">
        <f>SUMIFS('Custom Constraints'!$D:$D,'Custom Constraints'!$A:$A,"caiso-deliverability_"&amp;SUBSTITUTE(Dashboard!$D809,"_group",Dashboard!$D$763)&amp;"."&amp;YEAR(Dashboard!V$537))</f>
        <v>0</v>
      </c>
      <c r="W809" s="10">
        <f>SUMIFS('Custom Constraints'!$D:$D,'Custom Constraints'!$A:$A,"caiso-deliverability_"&amp;SUBSTITUTE(Dashboard!$D809,"_group",Dashboard!$D$763)&amp;"."&amp;YEAR(Dashboard!W$537))</f>
        <v>0</v>
      </c>
      <c r="X809" s="10">
        <f>SUMIFS('Custom Constraints'!$D:$D,'Custom Constraints'!$A:$A,"caiso-deliverability_"&amp;SUBSTITUTE(Dashboard!$D809,"_group",Dashboard!$D$763)&amp;"."&amp;YEAR(Dashboard!X$537))</f>
        <v>0</v>
      </c>
      <c r="Y809" s="10">
        <f>SUMIFS('Custom Constraints'!$D:$D,'Custom Constraints'!$A:$A,"caiso-deliverability_"&amp;SUBSTITUTE(Dashboard!$D809,"_group",Dashboard!$D$763)&amp;"."&amp;YEAR(Dashboard!Y$537))</f>
        <v>0</v>
      </c>
      <c r="Z809" s="10">
        <f>SUMIFS('Custom Constraints'!$D:$D,'Custom Constraints'!$A:$A,"caiso-deliverability_"&amp;SUBSTITUTE(Dashboard!$D809,"_group",Dashboard!$D$763)&amp;"."&amp;YEAR(Dashboard!Z$537))</f>
        <v>0</v>
      </c>
      <c r="AA809" s="10">
        <f>SUMIFS('Custom Constraints'!$D:$D,'Custom Constraints'!$A:$A,"caiso-deliverability_"&amp;SUBSTITUTE(Dashboard!$D809,"_group",Dashboard!$D$763)&amp;"."&amp;YEAR(Dashboard!AA$537))</f>
        <v>0</v>
      </c>
      <c r="AB809" s="10">
        <f>SUMIFS('Custom Constraints'!$D:$D,'Custom Constraints'!$A:$A,"caiso-deliverability_"&amp;SUBSTITUTE(Dashboard!$D809,"_group",Dashboard!$D$763)&amp;"."&amp;YEAR(Dashboard!AB$537))</f>
        <v>0</v>
      </c>
      <c r="AC809" s="10">
        <f>SUMIFS('Custom Constraints'!$D:$D,'Custom Constraints'!$A:$A,"caiso-deliverability_"&amp;SUBSTITUTE(Dashboard!$D809,"_group",Dashboard!$D$763)&amp;"."&amp;YEAR(Dashboard!AC$537))</f>
        <v>0</v>
      </c>
      <c r="AD809" s="10">
        <f>SUMIFS('Custom Constraints'!$D:$D,'Custom Constraints'!$A:$A,"caiso-deliverability_"&amp;SUBSTITUTE(Dashboard!$D809,"_group",Dashboard!$D$763)&amp;"."&amp;YEAR(Dashboard!AD$537))</f>
        <v>7241</v>
      </c>
      <c r="AH809" s="34" t="s">
        <v>422</v>
      </c>
    </row>
    <row r="810" spans="4:34" outlineLevel="2" x14ac:dyDescent="0.2">
      <c r="D810" s="8" t="s">
        <v>269</v>
      </c>
      <c r="E810" s="10">
        <f>SUMIFS('Custom Constraints'!$D:$D,'Custom Constraints'!$A:$A,"caiso-deliverability_"&amp;SUBSTITUTE(Dashboard!$D810,"_group",Dashboard!$D$763)&amp;"."&amp;YEAR(Dashboard!E$537))</f>
        <v>0</v>
      </c>
      <c r="F810" s="10">
        <f>SUMIFS('Custom Constraints'!$D:$D,'Custom Constraints'!$A:$A,"caiso-deliverability_"&amp;SUBSTITUTE(Dashboard!$D810,"_group",Dashboard!$D$763)&amp;"."&amp;YEAR(Dashboard!F$537))</f>
        <v>0</v>
      </c>
      <c r="G810" s="10">
        <f>SUMIFS('Custom Constraints'!$D:$D,'Custom Constraints'!$A:$A,"caiso-deliverability_"&amp;SUBSTITUTE(Dashboard!$D810,"_group",Dashboard!$D$763)&amp;"."&amp;YEAR(Dashboard!G$537))</f>
        <v>0</v>
      </c>
      <c r="H810" s="10">
        <f>SUMIFS('Custom Constraints'!$D:$D,'Custom Constraints'!$A:$A,"caiso-deliverability_"&amp;SUBSTITUTE(Dashboard!$D810,"_group",Dashboard!$D$763)&amp;"."&amp;YEAR(Dashboard!H$537))</f>
        <v>0</v>
      </c>
      <c r="I810" s="10">
        <f>SUMIFS('Custom Constraints'!$D:$D,'Custom Constraints'!$A:$A,"caiso-deliverability_"&amp;SUBSTITUTE(Dashboard!$D810,"_group",Dashboard!$D$763)&amp;"."&amp;YEAR(Dashboard!I$537))</f>
        <v>0</v>
      </c>
      <c r="J810" s="10">
        <f>SUMIFS('Custom Constraints'!$D:$D,'Custom Constraints'!$A:$A,"caiso-deliverability_"&amp;SUBSTITUTE(Dashboard!$D810,"_group",Dashboard!$D$763)&amp;"."&amp;YEAR(Dashboard!J$537))</f>
        <v>0</v>
      </c>
      <c r="K810" s="10">
        <f>SUMIFS('Custom Constraints'!$D:$D,'Custom Constraints'!$A:$A,"caiso-deliverability_"&amp;SUBSTITUTE(Dashboard!$D810,"_group",Dashboard!$D$763)&amp;"."&amp;YEAR(Dashboard!K$537))</f>
        <v>0</v>
      </c>
      <c r="L810" s="10">
        <f>SUMIFS('Custom Constraints'!$D:$D,'Custom Constraints'!$A:$A,"caiso-deliverability_"&amp;SUBSTITUTE(Dashboard!$D810,"_group",Dashboard!$D$763)&amp;"."&amp;YEAR(Dashboard!L$537))</f>
        <v>0</v>
      </c>
      <c r="M810" s="10">
        <f>SUMIFS('Custom Constraints'!$D:$D,'Custom Constraints'!$A:$A,"caiso-deliverability_"&amp;SUBSTITUTE(Dashboard!$D810,"_group",Dashboard!$D$763)&amp;"."&amp;YEAR(Dashboard!M$537))</f>
        <v>0</v>
      </c>
      <c r="N810" s="10">
        <f>SUMIFS('Custom Constraints'!$D:$D,'Custom Constraints'!$A:$A,"caiso-deliverability_"&amp;SUBSTITUTE(Dashboard!$D810,"_group",Dashboard!$D$763)&amp;"."&amp;YEAR(Dashboard!N$537))</f>
        <v>0</v>
      </c>
      <c r="O810" s="10">
        <f>SUMIFS('Custom Constraints'!$D:$D,'Custom Constraints'!$A:$A,"caiso-deliverability_"&amp;SUBSTITUTE(Dashboard!$D810,"_group",Dashboard!$D$763)&amp;"."&amp;YEAR(Dashboard!O$537))</f>
        <v>0</v>
      </c>
      <c r="P810" s="10">
        <f>SUMIFS('Custom Constraints'!$D:$D,'Custom Constraints'!$A:$A,"caiso-deliverability_"&amp;SUBSTITUTE(Dashboard!$D810,"_group",Dashboard!$D$763)&amp;"."&amp;YEAR(Dashboard!P$537))</f>
        <v>0</v>
      </c>
      <c r="Q810" s="10">
        <f>SUMIFS('Custom Constraints'!$D:$D,'Custom Constraints'!$A:$A,"caiso-deliverability_"&amp;SUBSTITUTE(Dashboard!$D810,"_group",Dashboard!$D$763)&amp;"."&amp;YEAR(Dashboard!Q$537))</f>
        <v>0</v>
      </c>
      <c r="R810" s="10">
        <f>SUMIFS('Custom Constraints'!$D:$D,'Custom Constraints'!$A:$A,"caiso-deliverability_"&amp;SUBSTITUTE(Dashboard!$D810,"_group",Dashboard!$D$763)&amp;"."&amp;YEAR(Dashboard!R$537))</f>
        <v>0</v>
      </c>
      <c r="S810" s="10">
        <f>SUMIFS('Custom Constraints'!$D:$D,'Custom Constraints'!$A:$A,"caiso-deliverability_"&amp;SUBSTITUTE(Dashboard!$D810,"_group",Dashboard!$D$763)&amp;"."&amp;YEAR(Dashboard!S$537))</f>
        <v>0</v>
      </c>
      <c r="T810" s="10">
        <f>SUMIFS('Custom Constraints'!$D:$D,'Custom Constraints'!$A:$A,"caiso-deliverability_"&amp;SUBSTITUTE(Dashboard!$D810,"_group",Dashboard!$D$763)&amp;"."&amp;YEAR(Dashboard!T$537))</f>
        <v>0</v>
      </c>
      <c r="U810" s="10">
        <f>SUMIFS('Custom Constraints'!$D:$D,'Custom Constraints'!$A:$A,"caiso-deliverability_"&amp;SUBSTITUTE(Dashboard!$D810,"_group",Dashboard!$D$763)&amp;"."&amp;YEAR(Dashboard!U$537))</f>
        <v>0</v>
      </c>
      <c r="V810" s="10">
        <f>SUMIFS('Custom Constraints'!$D:$D,'Custom Constraints'!$A:$A,"caiso-deliverability_"&amp;SUBSTITUTE(Dashboard!$D810,"_group",Dashboard!$D$763)&amp;"."&amp;YEAR(Dashboard!V$537))</f>
        <v>0</v>
      </c>
      <c r="W810" s="10">
        <f>SUMIFS('Custom Constraints'!$D:$D,'Custom Constraints'!$A:$A,"caiso-deliverability_"&amp;SUBSTITUTE(Dashboard!$D810,"_group",Dashboard!$D$763)&amp;"."&amp;YEAR(Dashboard!W$537))</f>
        <v>0</v>
      </c>
      <c r="X810" s="10">
        <f>SUMIFS('Custom Constraints'!$D:$D,'Custom Constraints'!$A:$A,"caiso-deliverability_"&amp;SUBSTITUTE(Dashboard!$D810,"_group",Dashboard!$D$763)&amp;"."&amp;YEAR(Dashboard!X$537))</f>
        <v>0</v>
      </c>
      <c r="Y810" s="10">
        <f>SUMIFS('Custom Constraints'!$D:$D,'Custom Constraints'!$A:$A,"caiso-deliverability_"&amp;SUBSTITUTE(Dashboard!$D810,"_group",Dashboard!$D$763)&amp;"."&amp;YEAR(Dashboard!Y$537))</f>
        <v>0</v>
      </c>
      <c r="Z810" s="10">
        <f>SUMIFS('Custom Constraints'!$D:$D,'Custom Constraints'!$A:$A,"caiso-deliverability_"&amp;SUBSTITUTE(Dashboard!$D810,"_group",Dashboard!$D$763)&amp;"."&amp;YEAR(Dashboard!Z$537))</f>
        <v>0</v>
      </c>
      <c r="AA810" s="10">
        <f>SUMIFS('Custom Constraints'!$D:$D,'Custom Constraints'!$A:$A,"caiso-deliverability_"&amp;SUBSTITUTE(Dashboard!$D810,"_group",Dashboard!$D$763)&amp;"."&amp;YEAR(Dashboard!AA$537))</f>
        <v>0</v>
      </c>
      <c r="AB810" s="10">
        <f>SUMIFS('Custom Constraints'!$D:$D,'Custom Constraints'!$A:$A,"caiso-deliverability_"&amp;SUBSTITUTE(Dashboard!$D810,"_group",Dashboard!$D$763)&amp;"."&amp;YEAR(Dashboard!AB$537))</f>
        <v>0</v>
      </c>
      <c r="AC810" s="10">
        <f>SUMIFS('Custom Constraints'!$D:$D,'Custom Constraints'!$A:$A,"caiso-deliverability_"&amp;SUBSTITUTE(Dashboard!$D810,"_group",Dashboard!$D$763)&amp;"."&amp;YEAR(Dashboard!AC$537))</f>
        <v>0</v>
      </c>
      <c r="AD810" s="10">
        <f>SUMIFS('Custom Constraints'!$D:$D,'Custom Constraints'!$A:$A,"caiso-deliverability_"&amp;SUBSTITUTE(Dashboard!$D810,"_group",Dashboard!$D$763)&amp;"."&amp;YEAR(Dashboard!AD$537))</f>
        <v>63</v>
      </c>
      <c r="AH810" s="34" t="s">
        <v>422</v>
      </c>
    </row>
    <row r="811" spans="4:34" outlineLevel="2" x14ac:dyDescent="0.2">
      <c r="D811" s="8" t="s">
        <v>270</v>
      </c>
      <c r="E811" s="10">
        <f>SUMIFS('Custom Constraints'!$D:$D,'Custom Constraints'!$A:$A,"caiso-deliverability_"&amp;SUBSTITUTE(Dashboard!$D811,"_group",Dashboard!$D$763)&amp;"."&amp;YEAR(Dashboard!E$537))</f>
        <v>0</v>
      </c>
      <c r="F811" s="10">
        <f>SUMIFS('Custom Constraints'!$D:$D,'Custom Constraints'!$A:$A,"caiso-deliverability_"&amp;SUBSTITUTE(Dashboard!$D811,"_group",Dashboard!$D$763)&amp;"."&amp;YEAR(Dashboard!F$537))</f>
        <v>0</v>
      </c>
      <c r="G811" s="10">
        <f>SUMIFS('Custom Constraints'!$D:$D,'Custom Constraints'!$A:$A,"caiso-deliverability_"&amp;SUBSTITUTE(Dashboard!$D811,"_group",Dashboard!$D$763)&amp;"."&amp;YEAR(Dashboard!G$537))</f>
        <v>0</v>
      </c>
      <c r="H811" s="10">
        <f>SUMIFS('Custom Constraints'!$D:$D,'Custom Constraints'!$A:$A,"caiso-deliverability_"&amp;SUBSTITUTE(Dashboard!$D811,"_group",Dashboard!$D$763)&amp;"."&amp;YEAR(Dashboard!H$537))</f>
        <v>0</v>
      </c>
      <c r="I811" s="10">
        <f>SUMIFS('Custom Constraints'!$D:$D,'Custom Constraints'!$A:$A,"caiso-deliverability_"&amp;SUBSTITUTE(Dashboard!$D811,"_group",Dashboard!$D$763)&amp;"."&amp;YEAR(Dashboard!I$537))</f>
        <v>0</v>
      </c>
      <c r="J811" s="10">
        <f>SUMIFS('Custom Constraints'!$D:$D,'Custom Constraints'!$A:$A,"caiso-deliverability_"&amp;SUBSTITUTE(Dashboard!$D811,"_group",Dashboard!$D$763)&amp;"."&amp;YEAR(Dashboard!J$537))</f>
        <v>0</v>
      </c>
      <c r="K811" s="10">
        <f>SUMIFS('Custom Constraints'!$D:$D,'Custom Constraints'!$A:$A,"caiso-deliverability_"&amp;SUBSTITUTE(Dashboard!$D811,"_group",Dashboard!$D$763)&amp;"."&amp;YEAR(Dashboard!K$537))</f>
        <v>0</v>
      </c>
      <c r="L811" s="10">
        <f>SUMIFS('Custom Constraints'!$D:$D,'Custom Constraints'!$A:$A,"caiso-deliverability_"&amp;SUBSTITUTE(Dashboard!$D811,"_group",Dashboard!$D$763)&amp;"."&amp;YEAR(Dashboard!L$537))</f>
        <v>0</v>
      </c>
      <c r="M811" s="10">
        <f>SUMIFS('Custom Constraints'!$D:$D,'Custom Constraints'!$A:$A,"caiso-deliverability_"&amp;SUBSTITUTE(Dashboard!$D811,"_group",Dashboard!$D$763)&amp;"."&amp;YEAR(Dashboard!M$537))</f>
        <v>0</v>
      </c>
      <c r="N811" s="10">
        <f>SUMIFS('Custom Constraints'!$D:$D,'Custom Constraints'!$A:$A,"caiso-deliverability_"&amp;SUBSTITUTE(Dashboard!$D811,"_group",Dashboard!$D$763)&amp;"."&amp;YEAR(Dashboard!N$537))</f>
        <v>0</v>
      </c>
      <c r="O811" s="10">
        <f>SUMIFS('Custom Constraints'!$D:$D,'Custom Constraints'!$A:$A,"caiso-deliverability_"&amp;SUBSTITUTE(Dashboard!$D811,"_group",Dashboard!$D$763)&amp;"."&amp;YEAR(Dashboard!O$537))</f>
        <v>0</v>
      </c>
      <c r="P811" s="10">
        <f>SUMIFS('Custom Constraints'!$D:$D,'Custom Constraints'!$A:$A,"caiso-deliverability_"&amp;SUBSTITUTE(Dashboard!$D811,"_group",Dashboard!$D$763)&amp;"."&amp;YEAR(Dashboard!P$537))</f>
        <v>0</v>
      </c>
      <c r="Q811" s="10">
        <f>SUMIFS('Custom Constraints'!$D:$D,'Custom Constraints'!$A:$A,"caiso-deliverability_"&amp;SUBSTITUTE(Dashboard!$D811,"_group",Dashboard!$D$763)&amp;"."&amp;YEAR(Dashboard!Q$537))</f>
        <v>0</v>
      </c>
      <c r="R811" s="10">
        <f>SUMIFS('Custom Constraints'!$D:$D,'Custom Constraints'!$A:$A,"caiso-deliverability_"&amp;SUBSTITUTE(Dashboard!$D811,"_group",Dashboard!$D$763)&amp;"."&amp;YEAR(Dashboard!R$537))</f>
        <v>0</v>
      </c>
      <c r="S811" s="10">
        <f>SUMIFS('Custom Constraints'!$D:$D,'Custom Constraints'!$A:$A,"caiso-deliverability_"&amp;SUBSTITUTE(Dashboard!$D811,"_group",Dashboard!$D$763)&amp;"."&amp;YEAR(Dashboard!S$537))</f>
        <v>0</v>
      </c>
      <c r="T811" s="10">
        <f>SUMIFS('Custom Constraints'!$D:$D,'Custom Constraints'!$A:$A,"caiso-deliverability_"&amp;SUBSTITUTE(Dashboard!$D811,"_group",Dashboard!$D$763)&amp;"."&amp;YEAR(Dashboard!T$537))</f>
        <v>0</v>
      </c>
      <c r="U811" s="10">
        <f>SUMIFS('Custom Constraints'!$D:$D,'Custom Constraints'!$A:$A,"caiso-deliverability_"&amp;SUBSTITUTE(Dashboard!$D811,"_group",Dashboard!$D$763)&amp;"."&amp;YEAR(Dashboard!U$537))</f>
        <v>0</v>
      </c>
      <c r="V811" s="10">
        <f>SUMIFS('Custom Constraints'!$D:$D,'Custom Constraints'!$A:$A,"caiso-deliverability_"&amp;SUBSTITUTE(Dashboard!$D811,"_group",Dashboard!$D$763)&amp;"."&amp;YEAR(Dashboard!V$537))</f>
        <v>0</v>
      </c>
      <c r="W811" s="10">
        <f>SUMIFS('Custom Constraints'!$D:$D,'Custom Constraints'!$A:$A,"caiso-deliverability_"&amp;SUBSTITUTE(Dashboard!$D811,"_group",Dashboard!$D$763)&amp;"."&amp;YEAR(Dashboard!W$537))</f>
        <v>0</v>
      </c>
      <c r="X811" s="10">
        <f>SUMIFS('Custom Constraints'!$D:$D,'Custom Constraints'!$A:$A,"caiso-deliverability_"&amp;SUBSTITUTE(Dashboard!$D811,"_group",Dashboard!$D$763)&amp;"."&amp;YEAR(Dashboard!X$537))</f>
        <v>0</v>
      </c>
      <c r="Y811" s="10">
        <f>SUMIFS('Custom Constraints'!$D:$D,'Custom Constraints'!$A:$A,"caiso-deliverability_"&amp;SUBSTITUTE(Dashboard!$D811,"_group",Dashboard!$D$763)&amp;"."&amp;YEAR(Dashboard!Y$537))</f>
        <v>0</v>
      </c>
      <c r="Z811" s="10">
        <f>SUMIFS('Custom Constraints'!$D:$D,'Custom Constraints'!$A:$A,"caiso-deliverability_"&amp;SUBSTITUTE(Dashboard!$D811,"_group",Dashboard!$D$763)&amp;"."&amp;YEAR(Dashboard!Z$537))</f>
        <v>0</v>
      </c>
      <c r="AA811" s="10">
        <f>SUMIFS('Custom Constraints'!$D:$D,'Custom Constraints'!$A:$A,"caiso-deliverability_"&amp;SUBSTITUTE(Dashboard!$D811,"_group",Dashboard!$D$763)&amp;"."&amp;YEAR(Dashboard!AA$537))</f>
        <v>0</v>
      </c>
      <c r="AB811" s="10">
        <f>SUMIFS('Custom Constraints'!$D:$D,'Custom Constraints'!$A:$A,"caiso-deliverability_"&amp;SUBSTITUTE(Dashboard!$D811,"_group",Dashboard!$D$763)&amp;"."&amp;YEAR(Dashboard!AB$537))</f>
        <v>0</v>
      </c>
      <c r="AC811" s="10">
        <f>SUMIFS('Custom Constraints'!$D:$D,'Custom Constraints'!$A:$A,"caiso-deliverability_"&amp;SUBSTITUTE(Dashboard!$D811,"_group",Dashboard!$D$763)&amp;"."&amp;YEAR(Dashboard!AC$537))</f>
        <v>0</v>
      </c>
      <c r="AD811" s="10">
        <f>SUMIFS('Custom Constraints'!$D:$D,'Custom Constraints'!$A:$A,"caiso-deliverability_"&amp;SUBSTITUTE(Dashboard!$D811,"_group",Dashboard!$D$763)&amp;"."&amp;YEAR(Dashboard!AD$537))</f>
        <v>1959</v>
      </c>
      <c r="AH811" s="34" t="s">
        <v>422</v>
      </c>
    </row>
    <row r="812" spans="4:34" outlineLevel="2" x14ac:dyDescent="0.2">
      <c r="D812" s="8" t="s">
        <v>271</v>
      </c>
      <c r="E812" s="10">
        <f>SUMIFS('Custom Constraints'!$D:$D,'Custom Constraints'!$A:$A,"caiso-deliverability_"&amp;SUBSTITUTE(Dashboard!$D812,"_group",Dashboard!$D$763)&amp;"."&amp;YEAR(Dashboard!E$537))</f>
        <v>0</v>
      </c>
      <c r="F812" s="10">
        <f>SUMIFS('Custom Constraints'!$D:$D,'Custom Constraints'!$A:$A,"caiso-deliverability_"&amp;SUBSTITUTE(Dashboard!$D812,"_group",Dashboard!$D$763)&amp;"."&amp;YEAR(Dashboard!F$537))</f>
        <v>0</v>
      </c>
      <c r="G812" s="10">
        <f>SUMIFS('Custom Constraints'!$D:$D,'Custom Constraints'!$A:$A,"caiso-deliverability_"&amp;SUBSTITUTE(Dashboard!$D812,"_group",Dashboard!$D$763)&amp;"."&amp;YEAR(Dashboard!G$537))</f>
        <v>0</v>
      </c>
      <c r="H812" s="10">
        <f>SUMIFS('Custom Constraints'!$D:$D,'Custom Constraints'!$A:$A,"caiso-deliverability_"&amp;SUBSTITUTE(Dashboard!$D812,"_group",Dashboard!$D$763)&amp;"."&amp;YEAR(Dashboard!H$537))</f>
        <v>0</v>
      </c>
      <c r="I812" s="10">
        <f>SUMIFS('Custom Constraints'!$D:$D,'Custom Constraints'!$A:$A,"caiso-deliverability_"&amp;SUBSTITUTE(Dashboard!$D812,"_group",Dashboard!$D$763)&amp;"."&amp;YEAR(Dashboard!I$537))</f>
        <v>0</v>
      </c>
      <c r="J812" s="10">
        <f>SUMIFS('Custom Constraints'!$D:$D,'Custom Constraints'!$A:$A,"caiso-deliverability_"&amp;SUBSTITUTE(Dashboard!$D812,"_group",Dashboard!$D$763)&amp;"."&amp;YEAR(Dashboard!J$537))</f>
        <v>0</v>
      </c>
      <c r="K812" s="10">
        <f>SUMIFS('Custom Constraints'!$D:$D,'Custom Constraints'!$A:$A,"caiso-deliverability_"&amp;SUBSTITUTE(Dashboard!$D812,"_group",Dashboard!$D$763)&amp;"."&amp;YEAR(Dashboard!K$537))</f>
        <v>0</v>
      </c>
      <c r="L812" s="10">
        <f>SUMIFS('Custom Constraints'!$D:$D,'Custom Constraints'!$A:$A,"caiso-deliverability_"&amp;SUBSTITUTE(Dashboard!$D812,"_group",Dashboard!$D$763)&amp;"."&amp;YEAR(Dashboard!L$537))</f>
        <v>0</v>
      </c>
      <c r="M812" s="10">
        <f>SUMIFS('Custom Constraints'!$D:$D,'Custom Constraints'!$A:$A,"caiso-deliverability_"&amp;SUBSTITUTE(Dashboard!$D812,"_group",Dashboard!$D$763)&amp;"."&amp;YEAR(Dashboard!M$537))</f>
        <v>0</v>
      </c>
      <c r="N812" s="10">
        <f>SUMIFS('Custom Constraints'!$D:$D,'Custom Constraints'!$A:$A,"caiso-deliverability_"&amp;SUBSTITUTE(Dashboard!$D812,"_group",Dashboard!$D$763)&amp;"."&amp;YEAR(Dashboard!N$537))</f>
        <v>0</v>
      </c>
      <c r="O812" s="10">
        <f>SUMIFS('Custom Constraints'!$D:$D,'Custom Constraints'!$A:$A,"caiso-deliverability_"&amp;SUBSTITUTE(Dashboard!$D812,"_group",Dashboard!$D$763)&amp;"."&amp;YEAR(Dashboard!O$537))</f>
        <v>0</v>
      </c>
      <c r="P812" s="10">
        <f>SUMIFS('Custom Constraints'!$D:$D,'Custom Constraints'!$A:$A,"caiso-deliverability_"&amp;SUBSTITUTE(Dashboard!$D812,"_group",Dashboard!$D$763)&amp;"."&amp;YEAR(Dashboard!P$537))</f>
        <v>0</v>
      </c>
      <c r="Q812" s="10">
        <f>SUMIFS('Custom Constraints'!$D:$D,'Custom Constraints'!$A:$A,"caiso-deliverability_"&amp;SUBSTITUTE(Dashboard!$D812,"_group",Dashboard!$D$763)&amp;"."&amp;YEAR(Dashboard!Q$537))</f>
        <v>0</v>
      </c>
      <c r="R812" s="10">
        <f>SUMIFS('Custom Constraints'!$D:$D,'Custom Constraints'!$A:$A,"caiso-deliverability_"&amp;SUBSTITUTE(Dashboard!$D812,"_group",Dashboard!$D$763)&amp;"."&amp;YEAR(Dashboard!R$537))</f>
        <v>0</v>
      </c>
      <c r="S812" s="10">
        <f>SUMIFS('Custom Constraints'!$D:$D,'Custom Constraints'!$A:$A,"caiso-deliverability_"&amp;SUBSTITUTE(Dashboard!$D812,"_group",Dashboard!$D$763)&amp;"."&amp;YEAR(Dashboard!S$537))</f>
        <v>0</v>
      </c>
      <c r="T812" s="10">
        <f>SUMIFS('Custom Constraints'!$D:$D,'Custom Constraints'!$A:$A,"caiso-deliverability_"&amp;SUBSTITUTE(Dashboard!$D812,"_group",Dashboard!$D$763)&amp;"."&amp;YEAR(Dashboard!T$537))</f>
        <v>0</v>
      </c>
      <c r="U812" s="10">
        <f>SUMIFS('Custom Constraints'!$D:$D,'Custom Constraints'!$A:$A,"caiso-deliverability_"&amp;SUBSTITUTE(Dashboard!$D812,"_group",Dashboard!$D$763)&amp;"."&amp;YEAR(Dashboard!U$537))</f>
        <v>0</v>
      </c>
      <c r="V812" s="10">
        <f>SUMIFS('Custom Constraints'!$D:$D,'Custom Constraints'!$A:$A,"caiso-deliverability_"&amp;SUBSTITUTE(Dashboard!$D812,"_group",Dashboard!$D$763)&amp;"."&amp;YEAR(Dashboard!V$537))</f>
        <v>0</v>
      </c>
      <c r="W812" s="10">
        <f>SUMIFS('Custom Constraints'!$D:$D,'Custom Constraints'!$A:$A,"caiso-deliverability_"&amp;SUBSTITUTE(Dashboard!$D812,"_group",Dashboard!$D$763)&amp;"."&amp;YEAR(Dashboard!W$537))</f>
        <v>0</v>
      </c>
      <c r="X812" s="10">
        <f>SUMIFS('Custom Constraints'!$D:$D,'Custom Constraints'!$A:$A,"caiso-deliverability_"&amp;SUBSTITUTE(Dashboard!$D812,"_group",Dashboard!$D$763)&amp;"."&amp;YEAR(Dashboard!X$537))</f>
        <v>0</v>
      </c>
      <c r="Y812" s="10">
        <f>SUMIFS('Custom Constraints'!$D:$D,'Custom Constraints'!$A:$A,"caiso-deliverability_"&amp;SUBSTITUTE(Dashboard!$D812,"_group",Dashboard!$D$763)&amp;"."&amp;YEAR(Dashboard!Y$537))</f>
        <v>0</v>
      </c>
      <c r="Z812" s="10">
        <f>SUMIFS('Custom Constraints'!$D:$D,'Custom Constraints'!$A:$A,"caiso-deliverability_"&amp;SUBSTITUTE(Dashboard!$D812,"_group",Dashboard!$D$763)&amp;"."&amp;YEAR(Dashboard!Z$537))</f>
        <v>0</v>
      </c>
      <c r="AA812" s="10">
        <f>SUMIFS('Custom Constraints'!$D:$D,'Custom Constraints'!$A:$A,"caiso-deliverability_"&amp;SUBSTITUTE(Dashboard!$D812,"_group",Dashboard!$D$763)&amp;"."&amp;YEAR(Dashboard!AA$537))</f>
        <v>0</v>
      </c>
      <c r="AB812" s="10">
        <f>SUMIFS('Custom Constraints'!$D:$D,'Custom Constraints'!$A:$A,"caiso-deliverability_"&amp;SUBSTITUTE(Dashboard!$D812,"_group",Dashboard!$D$763)&amp;"."&amp;YEAR(Dashboard!AB$537))</f>
        <v>0</v>
      </c>
      <c r="AC812" s="10">
        <f>SUMIFS('Custom Constraints'!$D:$D,'Custom Constraints'!$A:$A,"caiso-deliverability_"&amp;SUBSTITUTE(Dashboard!$D812,"_group",Dashboard!$D$763)&amp;"."&amp;YEAR(Dashboard!AC$537))</f>
        <v>0</v>
      </c>
      <c r="AD812" s="10">
        <f>SUMIFS('Custom Constraints'!$D:$D,'Custom Constraints'!$A:$A,"caiso-deliverability_"&amp;SUBSTITUTE(Dashboard!$D812,"_group",Dashboard!$D$763)&amp;"."&amp;YEAR(Dashboard!AD$537))</f>
        <v>290</v>
      </c>
      <c r="AH812" s="34" t="s">
        <v>422</v>
      </c>
    </row>
    <row r="813" spans="4:34" outlineLevel="2" x14ac:dyDescent="0.2">
      <c r="D813" s="8" t="s">
        <v>272</v>
      </c>
      <c r="E813" s="10">
        <f>SUMIFS('Custom Constraints'!$D:$D,'Custom Constraints'!$A:$A,"caiso-deliverability_"&amp;SUBSTITUTE(Dashboard!$D813,"_group",Dashboard!$D$763)&amp;"."&amp;YEAR(Dashboard!E$537))</f>
        <v>0</v>
      </c>
      <c r="F813" s="10">
        <f>SUMIFS('Custom Constraints'!$D:$D,'Custom Constraints'!$A:$A,"caiso-deliverability_"&amp;SUBSTITUTE(Dashboard!$D813,"_group",Dashboard!$D$763)&amp;"."&amp;YEAR(Dashboard!F$537))</f>
        <v>0</v>
      </c>
      <c r="G813" s="10">
        <f>SUMIFS('Custom Constraints'!$D:$D,'Custom Constraints'!$A:$A,"caiso-deliverability_"&amp;SUBSTITUTE(Dashboard!$D813,"_group",Dashboard!$D$763)&amp;"."&amp;YEAR(Dashboard!G$537))</f>
        <v>0</v>
      </c>
      <c r="H813" s="10">
        <f>SUMIFS('Custom Constraints'!$D:$D,'Custom Constraints'!$A:$A,"caiso-deliverability_"&amp;SUBSTITUTE(Dashboard!$D813,"_group",Dashboard!$D$763)&amp;"."&amp;YEAR(Dashboard!H$537))</f>
        <v>0</v>
      </c>
      <c r="I813" s="10">
        <f>SUMIFS('Custom Constraints'!$D:$D,'Custom Constraints'!$A:$A,"caiso-deliverability_"&amp;SUBSTITUTE(Dashboard!$D813,"_group",Dashboard!$D$763)&amp;"."&amp;YEAR(Dashboard!I$537))</f>
        <v>0</v>
      </c>
      <c r="J813" s="10">
        <f>SUMIFS('Custom Constraints'!$D:$D,'Custom Constraints'!$A:$A,"caiso-deliverability_"&amp;SUBSTITUTE(Dashboard!$D813,"_group",Dashboard!$D$763)&amp;"."&amp;YEAR(Dashboard!J$537))</f>
        <v>0</v>
      </c>
      <c r="K813" s="10">
        <f>SUMIFS('Custom Constraints'!$D:$D,'Custom Constraints'!$A:$A,"caiso-deliverability_"&amp;SUBSTITUTE(Dashboard!$D813,"_group",Dashboard!$D$763)&amp;"."&amp;YEAR(Dashboard!K$537))</f>
        <v>0</v>
      </c>
      <c r="L813" s="10">
        <f>SUMIFS('Custom Constraints'!$D:$D,'Custom Constraints'!$A:$A,"caiso-deliverability_"&amp;SUBSTITUTE(Dashboard!$D813,"_group",Dashboard!$D$763)&amp;"."&amp;YEAR(Dashboard!L$537))</f>
        <v>0</v>
      </c>
      <c r="M813" s="10">
        <f>SUMIFS('Custom Constraints'!$D:$D,'Custom Constraints'!$A:$A,"caiso-deliverability_"&amp;SUBSTITUTE(Dashboard!$D813,"_group",Dashboard!$D$763)&amp;"."&amp;YEAR(Dashboard!M$537))</f>
        <v>0</v>
      </c>
      <c r="N813" s="10">
        <f>SUMIFS('Custom Constraints'!$D:$D,'Custom Constraints'!$A:$A,"caiso-deliverability_"&amp;SUBSTITUTE(Dashboard!$D813,"_group",Dashboard!$D$763)&amp;"."&amp;YEAR(Dashboard!N$537))</f>
        <v>0</v>
      </c>
      <c r="O813" s="10">
        <f>SUMIFS('Custom Constraints'!$D:$D,'Custom Constraints'!$A:$A,"caiso-deliverability_"&amp;SUBSTITUTE(Dashboard!$D813,"_group",Dashboard!$D$763)&amp;"."&amp;YEAR(Dashboard!O$537))</f>
        <v>0</v>
      </c>
      <c r="P813" s="10">
        <f>SUMIFS('Custom Constraints'!$D:$D,'Custom Constraints'!$A:$A,"caiso-deliverability_"&amp;SUBSTITUTE(Dashboard!$D813,"_group",Dashboard!$D$763)&amp;"."&amp;YEAR(Dashboard!P$537))</f>
        <v>0</v>
      </c>
      <c r="Q813" s="10">
        <f>SUMIFS('Custom Constraints'!$D:$D,'Custom Constraints'!$A:$A,"caiso-deliverability_"&amp;SUBSTITUTE(Dashboard!$D813,"_group",Dashboard!$D$763)&amp;"."&amp;YEAR(Dashboard!Q$537))</f>
        <v>0</v>
      </c>
      <c r="R813" s="10">
        <f>SUMIFS('Custom Constraints'!$D:$D,'Custom Constraints'!$A:$A,"caiso-deliverability_"&amp;SUBSTITUTE(Dashboard!$D813,"_group",Dashboard!$D$763)&amp;"."&amp;YEAR(Dashboard!R$537))</f>
        <v>0</v>
      </c>
      <c r="S813" s="10">
        <f>SUMIFS('Custom Constraints'!$D:$D,'Custom Constraints'!$A:$A,"caiso-deliverability_"&amp;SUBSTITUTE(Dashboard!$D813,"_group",Dashboard!$D$763)&amp;"."&amp;YEAR(Dashboard!S$537))</f>
        <v>0</v>
      </c>
      <c r="T813" s="10">
        <f>SUMIFS('Custom Constraints'!$D:$D,'Custom Constraints'!$A:$A,"caiso-deliverability_"&amp;SUBSTITUTE(Dashboard!$D813,"_group",Dashboard!$D$763)&amp;"."&amp;YEAR(Dashboard!T$537))</f>
        <v>0</v>
      </c>
      <c r="U813" s="10">
        <f>SUMIFS('Custom Constraints'!$D:$D,'Custom Constraints'!$A:$A,"caiso-deliverability_"&amp;SUBSTITUTE(Dashboard!$D813,"_group",Dashboard!$D$763)&amp;"."&amp;YEAR(Dashboard!U$537))</f>
        <v>0</v>
      </c>
      <c r="V813" s="10">
        <f>SUMIFS('Custom Constraints'!$D:$D,'Custom Constraints'!$A:$A,"caiso-deliverability_"&amp;SUBSTITUTE(Dashboard!$D813,"_group",Dashboard!$D$763)&amp;"."&amp;YEAR(Dashboard!V$537))</f>
        <v>0</v>
      </c>
      <c r="W813" s="10">
        <f>SUMIFS('Custom Constraints'!$D:$D,'Custom Constraints'!$A:$A,"caiso-deliverability_"&amp;SUBSTITUTE(Dashboard!$D813,"_group",Dashboard!$D$763)&amp;"."&amp;YEAR(Dashboard!W$537))</f>
        <v>0</v>
      </c>
      <c r="X813" s="10">
        <f>SUMIFS('Custom Constraints'!$D:$D,'Custom Constraints'!$A:$A,"caiso-deliverability_"&amp;SUBSTITUTE(Dashboard!$D813,"_group",Dashboard!$D$763)&amp;"."&amp;YEAR(Dashboard!X$537))</f>
        <v>0</v>
      </c>
      <c r="Y813" s="10">
        <f>SUMIFS('Custom Constraints'!$D:$D,'Custom Constraints'!$A:$A,"caiso-deliverability_"&amp;SUBSTITUTE(Dashboard!$D813,"_group",Dashboard!$D$763)&amp;"."&amp;YEAR(Dashboard!Y$537))</f>
        <v>0</v>
      </c>
      <c r="Z813" s="10">
        <f>SUMIFS('Custom Constraints'!$D:$D,'Custom Constraints'!$A:$A,"caiso-deliverability_"&amp;SUBSTITUTE(Dashboard!$D813,"_group",Dashboard!$D$763)&amp;"."&amp;YEAR(Dashboard!Z$537))</f>
        <v>0</v>
      </c>
      <c r="AA813" s="10">
        <f>SUMIFS('Custom Constraints'!$D:$D,'Custom Constraints'!$A:$A,"caiso-deliverability_"&amp;SUBSTITUTE(Dashboard!$D813,"_group",Dashboard!$D$763)&amp;"."&amp;YEAR(Dashboard!AA$537))</f>
        <v>0</v>
      </c>
      <c r="AB813" s="10">
        <f>SUMIFS('Custom Constraints'!$D:$D,'Custom Constraints'!$A:$A,"caiso-deliverability_"&amp;SUBSTITUTE(Dashboard!$D813,"_group",Dashboard!$D$763)&amp;"."&amp;YEAR(Dashboard!AB$537))</f>
        <v>0</v>
      </c>
      <c r="AC813" s="10">
        <f>SUMIFS('Custom Constraints'!$D:$D,'Custom Constraints'!$A:$A,"caiso-deliverability_"&amp;SUBSTITUTE(Dashboard!$D813,"_group",Dashboard!$D$763)&amp;"."&amp;YEAR(Dashboard!AC$537))</f>
        <v>0</v>
      </c>
      <c r="AD813" s="10">
        <f>SUMIFS('Custom Constraints'!$D:$D,'Custom Constraints'!$A:$A,"caiso-deliverability_"&amp;SUBSTITUTE(Dashboard!$D813,"_group",Dashboard!$D$763)&amp;"."&amp;YEAR(Dashboard!AD$537))</f>
        <v>2534</v>
      </c>
      <c r="AH813" s="34" t="s">
        <v>422</v>
      </c>
    </row>
    <row r="814" spans="4:34" outlineLevel="2" x14ac:dyDescent="0.2">
      <c r="D814" s="8" t="s">
        <v>273</v>
      </c>
      <c r="E814" s="10">
        <f>SUMIFS('Custom Constraints'!$D:$D,'Custom Constraints'!$A:$A,"caiso-deliverability_"&amp;SUBSTITUTE(Dashboard!$D814,"_group",Dashboard!$D$763)&amp;"."&amp;YEAR(Dashboard!E$537))</f>
        <v>0</v>
      </c>
      <c r="F814" s="10">
        <f>SUMIFS('Custom Constraints'!$D:$D,'Custom Constraints'!$A:$A,"caiso-deliverability_"&amp;SUBSTITUTE(Dashboard!$D814,"_group",Dashboard!$D$763)&amp;"."&amp;YEAR(Dashboard!F$537))</f>
        <v>0</v>
      </c>
      <c r="G814" s="10">
        <f>SUMIFS('Custom Constraints'!$D:$D,'Custom Constraints'!$A:$A,"caiso-deliverability_"&amp;SUBSTITUTE(Dashboard!$D814,"_group",Dashboard!$D$763)&amp;"."&amp;YEAR(Dashboard!G$537))</f>
        <v>0</v>
      </c>
      <c r="H814" s="10">
        <f>SUMIFS('Custom Constraints'!$D:$D,'Custom Constraints'!$A:$A,"caiso-deliverability_"&amp;SUBSTITUTE(Dashboard!$D814,"_group",Dashboard!$D$763)&amp;"."&amp;YEAR(Dashboard!H$537))</f>
        <v>0</v>
      </c>
      <c r="I814" s="10">
        <f>SUMIFS('Custom Constraints'!$D:$D,'Custom Constraints'!$A:$A,"caiso-deliverability_"&amp;SUBSTITUTE(Dashboard!$D814,"_group",Dashboard!$D$763)&amp;"."&amp;YEAR(Dashboard!I$537))</f>
        <v>0</v>
      </c>
      <c r="J814" s="10">
        <f>SUMIFS('Custom Constraints'!$D:$D,'Custom Constraints'!$A:$A,"caiso-deliverability_"&amp;SUBSTITUTE(Dashboard!$D814,"_group",Dashboard!$D$763)&amp;"."&amp;YEAR(Dashboard!J$537))</f>
        <v>0</v>
      </c>
      <c r="K814" s="10">
        <f>SUMIFS('Custom Constraints'!$D:$D,'Custom Constraints'!$A:$A,"caiso-deliverability_"&amp;SUBSTITUTE(Dashboard!$D814,"_group",Dashboard!$D$763)&amp;"."&amp;YEAR(Dashboard!K$537))</f>
        <v>0</v>
      </c>
      <c r="L814" s="10">
        <f>SUMIFS('Custom Constraints'!$D:$D,'Custom Constraints'!$A:$A,"caiso-deliverability_"&amp;SUBSTITUTE(Dashboard!$D814,"_group",Dashboard!$D$763)&amp;"."&amp;YEAR(Dashboard!L$537))</f>
        <v>0</v>
      </c>
      <c r="M814" s="10">
        <f>SUMIFS('Custom Constraints'!$D:$D,'Custom Constraints'!$A:$A,"caiso-deliverability_"&amp;SUBSTITUTE(Dashboard!$D814,"_group",Dashboard!$D$763)&amp;"."&amp;YEAR(Dashboard!M$537))</f>
        <v>0</v>
      </c>
      <c r="N814" s="10">
        <f>SUMIFS('Custom Constraints'!$D:$D,'Custom Constraints'!$A:$A,"caiso-deliverability_"&amp;SUBSTITUTE(Dashboard!$D814,"_group",Dashboard!$D$763)&amp;"."&amp;YEAR(Dashboard!N$537))</f>
        <v>0</v>
      </c>
      <c r="O814" s="10">
        <f>SUMIFS('Custom Constraints'!$D:$D,'Custom Constraints'!$A:$A,"caiso-deliverability_"&amp;SUBSTITUTE(Dashboard!$D814,"_group",Dashboard!$D$763)&amp;"."&amp;YEAR(Dashboard!O$537))</f>
        <v>0</v>
      </c>
      <c r="P814" s="10">
        <f>SUMIFS('Custom Constraints'!$D:$D,'Custom Constraints'!$A:$A,"caiso-deliverability_"&amp;SUBSTITUTE(Dashboard!$D814,"_group",Dashboard!$D$763)&amp;"."&amp;YEAR(Dashboard!P$537))</f>
        <v>0</v>
      </c>
      <c r="Q814" s="10">
        <f>SUMIFS('Custom Constraints'!$D:$D,'Custom Constraints'!$A:$A,"caiso-deliverability_"&amp;SUBSTITUTE(Dashboard!$D814,"_group",Dashboard!$D$763)&amp;"."&amp;YEAR(Dashboard!Q$537))</f>
        <v>0</v>
      </c>
      <c r="R814" s="10">
        <f>SUMIFS('Custom Constraints'!$D:$D,'Custom Constraints'!$A:$A,"caiso-deliverability_"&amp;SUBSTITUTE(Dashboard!$D814,"_group",Dashboard!$D$763)&amp;"."&amp;YEAR(Dashboard!R$537))</f>
        <v>0</v>
      </c>
      <c r="S814" s="10">
        <f>SUMIFS('Custom Constraints'!$D:$D,'Custom Constraints'!$A:$A,"caiso-deliverability_"&amp;SUBSTITUTE(Dashboard!$D814,"_group",Dashboard!$D$763)&amp;"."&amp;YEAR(Dashboard!S$537))</f>
        <v>0</v>
      </c>
      <c r="T814" s="10">
        <f>SUMIFS('Custom Constraints'!$D:$D,'Custom Constraints'!$A:$A,"caiso-deliverability_"&amp;SUBSTITUTE(Dashboard!$D814,"_group",Dashboard!$D$763)&amp;"."&amp;YEAR(Dashboard!T$537))</f>
        <v>0</v>
      </c>
      <c r="U814" s="10">
        <f>SUMIFS('Custom Constraints'!$D:$D,'Custom Constraints'!$A:$A,"caiso-deliverability_"&amp;SUBSTITUTE(Dashboard!$D814,"_group",Dashboard!$D$763)&amp;"."&amp;YEAR(Dashboard!U$537))</f>
        <v>0</v>
      </c>
      <c r="V814" s="10">
        <f>SUMIFS('Custom Constraints'!$D:$D,'Custom Constraints'!$A:$A,"caiso-deliverability_"&amp;SUBSTITUTE(Dashboard!$D814,"_group",Dashboard!$D$763)&amp;"."&amp;YEAR(Dashboard!V$537))</f>
        <v>0</v>
      </c>
      <c r="W814" s="10">
        <f>SUMIFS('Custom Constraints'!$D:$D,'Custom Constraints'!$A:$A,"caiso-deliverability_"&amp;SUBSTITUTE(Dashboard!$D814,"_group",Dashboard!$D$763)&amp;"."&amp;YEAR(Dashboard!W$537))</f>
        <v>0</v>
      </c>
      <c r="X814" s="10">
        <f>SUMIFS('Custom Constraints'!$D:$D,'Custom Constraints'!$A:$A,"caiso-deliverability_"&amp;SUBSTITUTE(Dashboard!$D814,"_group",Dashboard!$D$763)&amp;"."&amp;YEAR(Dashboard!X$537))</f>
        <v>0</v>
      </c>
      <c r="Y814" s="10">
        <f>SUMIFS('Custom Constraints'!$D:$D,'Custom Constraints'!$A:$A,"caiso-deliverability_"&amp;SUBSTITUTE(Dashboard!$D814,"_group",Dashboard!$D$763)&amp;"."&amp;YEAR(Dashboard!Y$537))</f>
        <v>0</v>
      </c>
      <c r="Z814" s="10">
        <f>SUMIFS('Custom Constraints'!$D:$D,'Custom Constraints'!$A:$A,"caiso-deliverability_"&amp;SUBSTITUTE(Dashboard!$D814,"_group",Dashboard!$D$763)&amp;"."&amp;YEAR(Dashboard!Z$537))</f>
        <v>0</v>
      </c>
      <c r="AA814" s="10">
        <f>SUMIFS('Custom Constraints'!$D:$D,'Custom Constraints'!$A:$A,"caiso-deliverability_"&amp;SUBSTITUTE(Dashboard!$D814,"_group",Dashboard!$D$763)&amp;"."&amp;YEAR(Dashboard!AA$537))</f>
        <v>0</v>
      </c>
      <c r="AB814" s="10">
        <f>SUMIFS('Custom Constraints'!$D:$D,'Custom Constraints'!$A:$A,"caiso-deliverability_"&amp;SUBSTITUTE(Dashboard!$D814,"_group",Dashboard!$D$763)&amp;"."&amp;YEAR(Dashboard!AB$537))</f>
        <v>0</v>
      </c>
      <c r="AC814" s="10">
        <f>SUMIFS('Custom Constraints'!$D:$D,'Custom Constraints'!$A:$A,"caiso-deliverability_"&amp;SUBSTITUTE(Dashboard!$D814,"_group",Dashboard!$D$763)&amp;"."&amp;YEAR(Dashboard!AC$537))</f>
        <v>0</v>
      </c>
      <c r="AD814" s="10">
        <f>SUMIFS('Custom Constraints'!$D:$D,'Custom Constraints'!$A:$A,"caiso-deliverability_"&amp;SUBSTITUTE(Dashboard!$D814,"_group",Dashboard!$D$763)&amp;"."&amp;YEAR(Dashboard!AD$537))</f>
        <v>2425</v>
      </c>
      <c r="AH814" s="34" t="s">
        <v>422</v>
      </c>
    </row>
    <row r="815" spans="4:34" outlineLevel="2" x14ac:dyDescent="0.2">
      <c r="D815" s="8" t="s">
        <v>274</v>
      </c>
      <c r="E815" s="10">
        <f>SUMIFS('Custom Constraints'!$D:$D,'Custom Constraints'!$A:$A,"caiso-deliverability_"&amp;SUBSTITUTE(Dashboard!$D815,"_group",Dashboard!$D$763)&amp;"."&amp;YEAR(Dashboard!E$537))</f>
        <v>0</v>
      </c>
      <c r="F815" s="10">
        <f>SUMIFS('Custom Constraints'!$D:$D,'Custom Constraints'!$A:$A,"caiso-deliverability_"&amp;SUBSTITUTE(Dashboard!$D815,"_group",Dashboard!$D$763)&amp;"."&amp;YEAR(Dashboard!F$537))</f>
        <v>0</v>
      </c>
      <c r="G815" s="10">
        <f>SUMIFS('Custom Constraints'!$D:$D,'Custom Constraints'!$A:$A,"caiso-deliverability_"&amp;SUBSTITUTE(Dashboard!$D815,"_group",Dashboard!$D$763)&amp;"."&amp;YEAR(Dashboard!G$537))</f>
        <v>0</v>
      </c>
      <c r="H815" s="10">
        <f>SUMIFS('Custom Constraints'!$D:$D,'Custom Constraints'!$A:$A,"caiso-deliverability_"&amp;SUBSTITUTE(Dashboard!$D815,"_group",Dashboard!$D$763)&amp;"."&amp;YEAR(Dashboard!H$537))</f>
        <v>0</v>
      </c>
      <c r="I815" s="10">
        <f>SUMIFS('Custom Constraints'!$D:$D,'Custom Constraints'!$A:$A,"caiso-deliverability_"&amp;SUBSTITUTE(Dashboard!$D815,"_group",Dashboard!$D$763)&amp;"."&amp;YEAR(Dashboard!I$537))</f>
        <v>0</v>
      </c>
      <c r="J815" s="10">
        <f>SUMIFS('Custom Constraints'!$D:$D,'Custom Constraints'!$A:$A,"caiso-deliverability_"&amp;SUBSTITUTE(Dashboard!$D815,"_group",Dashboard!$D$763)&amp;"."&amp;YEAR(Dashboard!J$537))</f>
        <v>0</v>
      </c>
      <c r="K815" s="10">
        <f>SUMIFS('Custom Constraints'!$D:$D,'Custom Constraints'!$A:$A,"caiso-deliverability_"&amp;SUBSTITUTE(Dashboard!$D815,"_group",Dashboard!$D$763)&amp;"."&amp;YEAR(Dashboard!K$537))</f>
        <v>0</v>
      </c>
      <c r="L815" s="10">
        <f>SUMIFS('Custom Constraints'!$D:$D,'Custom Constraints'!$A:$A,"caiso-deliverability_"&amp;SUBSTITUTE(Dashboard!$D815,"_group",Dashboard!$D$763)&amp;"."&amp;YEAR(Dashboard!L$537))</f>
        <v>0</v>
      </c>
      <c r="M815" s="10">
        <f>SUMIFS('Custom Constraints'!$D:$D,'Custom Constraints'!$A:$A,"caiso-deliverability_"&amp;SUBSTITUTE(Dashboard!$D815,"_group",Dashboard!$D$763)&amp;"."&amp;YEAR(Dashboard!M$537))</f>
        <v>0</v>
      </c>
      <c r="N815" s="10">
        <f>SUMIFS('Custom Constraints'!$D:$D,'Custom Constraints'!$A:$A,"caiso-deliverability_"&amp;SUBSTITUTE(Dashboard!$D815,"_group",Dashboard!$D$763)&amp;"."&amp;YEAR(Dashboard!N$537))</f>
        <v>0</v>
      </c>
      <c r="O815" s="10">
        <f>SUMIFS('Custom Constraints'!$D:$D,'Custom Constraints'!$A:$A,"caiso-deliverability_"&amp;SUBSTITUTE(Dashboard!$D815,"_group",Dashboard!$D$763)&amp;"."&amp;YEAR(Dashboard!O$537))</f>
        <v>0</v>
      </c>
      <c r="P815" s="10">
        <f>SUMIFS('Custom Constraints'!$D:$D,'Custom Constraints'!$A:$A,"caiso-deliverability_"&amp;SUBSTITUTE(Dashboard!$D815,"_group",Dashboard!$D$763)&amp;"."&amp;YEAR(Dashboard!P$537))</f>
        <v>0</v>
      </c>
      <c r="Q815" s="10">
        <f>SUMIFS('Custom Constraints'!$D:$D,'Custom Constraints'!$A:$A,"caiso-deliverability_"&amp;SUBSTITUTE(Dashboard!$D815,"_group",Dashboard!$D$763)&amp;"."&amp;YEAR(Dashboard!Q$537))</f>
        <v>0</v>
      </c>
      <c r="R815" s="10">
        <f>SUMIFS('Custom Constraints'!$D:$D,'Custom Constraints'!$A:$A,"caiso-deliverability_"&amp;SUBSTITUTE(Dashboard!$D815,"_group",Dashboard!$D$763)&amp;"."&amp;YEAR(Dashboard!R$537))</f>
        <v>0</v>
      </c>
      <c r="S815" s="10">
        <f>SUMIFS('Custom Constraints'!$D:$D,'Custom Constraints'!$A:$A,"caiso-deliverability_"&amp;SUBSTITUTE(Dashboard!$D815,"_group",Dashboard!$D$763)&amp;"."&amp;YEAR(Dashboard!S$537))</f>
        <v>0</v>
      </c>
      <c r="T815" s="10">
        <f>SUMIFS('Custom Constraints'!$D:$D,'Custom Constraints'!$A:$A,"caiso-deliverability_"&amp;SUBSTITUTE(Dashboard!$D815,"_group",Dashboard!$D$763)&amp;"."&amp;YEAR(Dashboard!T$537))</f>
        <v>0</v>
      </c>
      <c r="U815" s="10">
        <f>SUMIFS('Custom Constraints'!$D:$D,'Custom Constraints'!$A:$A,"caiso-deliverability_"&amp;SUBSTITUTE(Dashboard!$D815,"_group",Dashboard!$D$763)&amp;"."&amp;YEAR(Dashboard!U$537))</f>
        <v>0</v>
      </c>
      <c r="V815" s="10">
        <f>SUMIFS('Custom Constraints'!$D:$D,'Custom Constraints'!$A:$A,"caiso-deliverability_"&amp;SUBSTITUTE(Dashboard!$D815,"_group",Dashboard!$D$763)&amp;"."&amp;YEAR(Dashboard!V$537))</f>
        <v>0</v>
      </c>
      <c r="W815" s="10">
        <f>SUMIFS('Custom Constraints'!$D:$D,'Custom Constraints'!$A:$A,"caiso-deliverability_"&amp;SUBSTITUTE(Dashboard!$D815,"_group",Dashboard!$D$763)&amp;"."&amp;YEAR(Dashboard!W$537))</f>
        <v>0</v>
      </c>
      <c r="X815" s="10">
        <f>SUMIFS('Custom Constraints'!$D:$D,'Custom Constraints'!$A:$A,"caiso-deliverability_"&amp;SUBSTITUTE(Dashboard!$D815,"_group",Dashboard!$D$763)&amp;"."&amp;YEAR(Dashboard!X$537))</f>
        <v>0</v>
      </c>
      <c r="Y815" s="10">
        <f>SUMIFS('Custom Constraints'!$D:$D,'Custom Constraints'!$A:$A,"caiso-deliverability_"&amp;SUBSTITUTE(Dashboard!$D815,"_group",Dashboard!$D$763)&amp;"."&amp;YEAR(Dashboard!Y$537))</f>
        <v>0</v>
      </c>
      <c r="Z815" s="10">
        <f>SUMIFS('Custom Constraints'!$D:$D,'Custom Constraints'!$A:$A,"caiso-deliverability_"&amp;SUBSTITUTE(Dashboard!$D815,"_group",Dashboard!$D$763)&amp;"."&amp;YEAR(Dashboard!Z$537))</f>
        <v>0</v>
      </c>
      <c r="AA815" s="10">
        <f>SUMIFS('Custom Constraints'!$D:$D,'Custom Constraints'!$A:$A,"caiso-deliverability_"&amp;SUBSTITUTE(Dashboard!$D815,"_group",Dashboard!$D$763)&amp;"."&amp;YEAR(Dashboard!AA$537))</f>
        <v>0</v>
      </c>
      <c r="AB815" s="10">
        <f>SUMIFS('Custom Constraints'!$D:$D,'Custom Constraints'!$A:$A,"caiso-deliverability_"&amp;SUBSTITUTE(Dashboard!$D815,"_group",Dashboard!$D$763)&amp;"."&amp;YEAR(Dashboard!AB$537))</f>
        <v>0</v>
      </c>
      <c r="AC815" s="10">
        <f>SUMIFS('Custom Constraints'!$D:$D,'Custom Constraints'!$A:$A,"caiso-deliverability_"&amp;SUBSTITUTE(Dashboard!$D815,"_group",Dashboard!$D$763)&amp;"."&amp;YEAR(Dashboard!AC$537))</f>
        <v>0</v>
      </c>
      <c r="AD815" s="10">
        <f>SUMIFS('Custom Constraints'!$D:$D,'Custom Constraints'!$A:$A,"caiso-deliverability_"&amp;SUBSTITUTE(Dashboard!$D815,"_group",Dashboard!$D$763)&amp;"."&amp;YEAR(Dashboard!AD$537))</f>
        <v>1619</v>
      </c>
      <c r="AH815" s="34" t="s">
        <v>422</v>
      </c>
    </row>
    <row r="816" spans="4:34" outlineLevel="2" x14ac:dyDescent="0.2">
      <c r="D816" s="8" t="s">
        <v>275</v>
      </c>
      <c r="E816" s="10">
        <f>SUMIFS('Custom Constraints'!$D:$D,'Custom Constraints'!$A:$A,"caiso-deliverability_"&amp;SUBSTITUTE(Dashboard!$D816,"_group",Dashboard!$D$763)&amp;"."&amp;YEAR(Dashboard!E$537))</f>
        <v>0</v>
      </c>
      <c r="F816" s="10">
        <f>SUMIFS('Custom Constraints'!$D:$D,'Custom Constraints'!$A:$A,"caiso-deliverability_"&amp;SUBSTITUTE(Dashboard!$D816,"_group",Dashboard!$D$763)&amp;"."&amp;YEAR(Dashboard!F$537))</f>
        <v>0</v>
      </c>
      <c r="G816" s="10">
        <f>SUMIFS('Custom Constraints'!$D:$D,'Custom Constraints'!$A:$A,"caiso-deliverability_"&amp;SUBSTITUTE(Dashboard!$D816,"_group",Dashboard!$D$763)&amp;"."&amp;YEAR(Dashboard!G$537))</f>
        <v>0</v>
      </c>
      <c r="H816" s="10">
        <f>SUMIFS('Custom Constraints'!$D:$D,'Custom Constraints'!$A:$A,"caiso-deliverability_"&amp;SUBSTITUTE(Dashboard!$D816,"_group",Dashboard!$D$763)&amp;"."&amp;YEAR(Dashboard!H$537))</f>
        <v>0</v>
      </c>
      <c r="I816" s="10">
        <f>SUMIFS('Custom Constraints'!$D:$D,'Custom Constraints'!$A:$A,"caiso-deliverability_"&amp;SUBSTITUTE(Dashboard!$D816,"_group",Dashboard!$D$763)&amp;"."&amp;YEAR(Dashboard!I$537))</f>
        <v>0</v>
      </c>
      <c r="J816" s="10">
        <f>SUMIFS('Custom Constraints'!$D:$D,'Custom Constraints'!$A:$A,"caiso-deliverability_"&amp;SUBSTITUTE(Dashboard!$D816,"_group",Dashboard!$D$763)&amp;"."&amp;YEAR(Dashboard!J$537))</f>
        <v>0</v>
      </c>
      <c r="K816" s="10">
        <f>SUMIFS('Custom Constraints'!$D:$D,'Custom Constraints'!$A:$A,"caiso-deliverability_"&amp;SUBSTITUTE(Dashboard!$D816,"_group",Dashboard!$D$763)&amp;"."&amp;YEAR(Dashboard!K$537))</f>
        <v>0</v>
      </c>
      <c r="L816" s="10">
        <f>SUMIFS('Custom Constraints'!$D:$D,'Custom Constraints'!$A:$A,"caiso-deliverability_"&amp;SUBSTITUTE(Dashboard!$D816,"_group",Dashboard!$D$763)&amp;"."&amp;YEAR(Dashboard!L$537))</f>
        <v>0</v>
      </c>
      <c r="M816" s="10">
        <f>SUMIFS('Custom Constraints'!$D:$D,'Custom Constraints'!$A:$A,"caiso-deliverability_"&amp;SUBSTITUTE(Dashboard!$D816,"_group",Dashboard!$D$763)&amp;"."&amp;YEAR(Dashboard!M$537))</f>
        <v>0</v>
      </c>
      <c r="N816" s="10">
        <f>SUMIFS('Custom Constraints'!$D:$D,'Custom Constraints'!$A:$A,"caiso-deliverability_"&amp;SUBSTITUTE(Dashboard!$D816,"_group",Dashboard!$D$763)&amp;"."&amp;YEAR(Dashboard!N$537))</f>
        <v>0</v>
      </c>
      <c r="O816" s="10">
        <f>SUMIFS('Custom Constraints'!$D:$D,'Custom Constraints'!$A:$A,"caiso-deliverability_"&amp;SUBSTITUTE(Dashboard!$D816,"_group",Dashboard!$D$763)&amp;"."&amp;YEAR(Dashboard!O$537))</f>
        <v>0</v>
      </c>
      <c r="P816" s="10">
        <f>SUMIFS('Custom Constraints'!$D:$D,'Custom Constraints'!$A:$A,"caiso-deliverability_"&amp;SUBSTITUTE(Dashboard!$D816,"_group",Dashboard!$D$763)&amp;"."&amp;YEAR(Dashboard!P$537))</f>
        <v>0</v>
      </c>
      <c r="Q816" s="10">
        <f>SUMIFS('Custom Constraints'!$D:$D,'Custom Constraints'!$A:$A,"caiso-deliverability_"&amp;SUBSTITUTE(Dashboard!$D816,"_group",Dashboard!$D$763)&amp;"."&amp;YEAR(Dashboard!Q$537))</f>
        <v>0</v>
      </c>
      <c r="R816" s="10">
        <f>SUMIFS('Custom Constraints'!$D:$D,'Custom Constraints'!$A:$A,"caiso-deliverability_"&amp;SUBSTITUTE(Dashboard!$D816,"_group",Dashboard!$D$763)&amp;"."&amp;YEAR(Dashboard!R$537))</f>
        <v>0</v>
      </c>
      <c r="S816" s="10">
        <f>SUMIFS('Custom Constraints'!$D:$D,'Custom Constraints'!$A:$A,"caiso-deliverability_"&amp;SUBSTITUTE(Dashboard!$D816,"_group",Dashboard!$D$763)&amp;"."&amp;YEAR(Dashboard!S$537))</f>
        <v>0</v>
      </c>
      <c r="T816" s="10">
        <f>SUMIFS('Custom Constraints'!$D:$D,'Custom Constraints'!$A:$A,"caiso-deliverability_"&amp;SUBSTITUTE(Dashboard!$D816,"_group",Dashboard!$D$763)&amp;"."&amp;YEAR(Dashboard!T$537))</f>
        <v>0</v>
      </c>
      <c r="U816" s="10">
        <f>SUMIFS('Custom Constraints'!$D:$D,'Custom Constraints'!$A:$A,"caiso-deliverability_"&amp;SUBSTITUTE(Dashboard!$D816,"_group",Dashboard!$D$763)&amp;"."&amp;YEAR(Dashboard!U$537))</f>
        <v>0</v>
      </c>
      <c r="V816" s="10">
        <f>SUMIFS('Custom Constraints'!$D:$D,'Custom Constraints'!$A:$A,"caiso-deliverability_"&amp;SUBSTITUTE(Dashboard!$D816,"_group",Dashboard!$D$763)&amp;"."&amp;YEAR(Dashboard!V$537))</f>
        <v>0</v>
      </c>
      <c r="W816" s="10">
        <f>SUMIFS('Custom Constraints'!$D:$D,'Custom Constraints'!$A:$A,"caiso-deliverability_"&amp;SUBSTITUTE(Dashboard!$D816,"_group",Dashboard!$D$763)&amp;"."&amp;YEAR(Dashboard!W$537))</f>
        <v>0</v>
      </c>
      <c r="X816" s="10">
        <f>SUMIFS('Custom Constraints'!$D:$D,'Custom Constraints'!$A:$A,"caiso-deliverability_"&amp;SUBSTITUTE(Dashboard!$D816,"_group",Dashboard!$D$763)&amp;"."&amp;YEAR(Dashboard!X$537))</f>
        <v>0</v>
      </c>
      <c r="Y816" s="10">
        <f>SUMIFS('Custom Constraints'!$D:$D,'Custom Constraints'!$A:$A,"caiso-deliverability_"&amp;SUBSTITUTE(Dashboard!$D816,"_group",Dashboard!$D$763)&amp;"."&amp;YEAR(Dashboard!Y$537))</f>
        <v>0</v>
      </c>
      <c r="Z816" s="10">
        <f>SUMIFS('Custom Constraints'!$D:$D,'Custom Constraints'!$A:$A,"caiso-deliverability_"&amp;SUBSTITUTE(Dashboard!$D816,"_group",Dashboard!$D$763)&amp;"."&amp;YEAR(Dashboard!Z$537))</f>
        <v>0</v>
      </c>
      <c r="AA816" s="10">
        <f>SUMIFS('Custom Constraints'!$D:$D,'Custom Constraints'!$A:$A,"caiso-deliverability_"&amp;SUBSTITUTE(Dashboard!$D816,"_group",Dashboard!$D$763)&amp;"."&amp;YEAR(Dashboard!AA$537))</f>
        <v>0</v>
      </c>
      <c r="AB816" s="10">
        <f>SUMIFS('Custom Constraints'!$D:$D,'Custom Constraints'!$A:$A,"caiso-deliverability_"&amp;SUBSTITUTE(Dashboard!$D816,"_group",Dashboard!$D$763)&amp;"."&amp;YEAR(Dashboard!AB$537))</f>
        <v>0</v>
      </c>
      <c r="AC816" s="10">
        <f>SUMIFS('Custom Constraints'!$D:$D,'Custom Constraints'!$A:$A,"caiso-deliverability_"&amp;SUBSTITUTE(Dashboard!$D816,"_group",Dashboard!$D$763)&amp;"."&amp;YEAR(Dashboard!AC$537))</f>
        <v>0</v>
      </c>
      <c r="AD816" s="10">
        <f>SUMIFS('Custom Constraints'!$D:$D,'Custom Constraints'!$A:$A,"caiso-deliverability_"&amp;SUBSTITUTE(Dashboard!$D816,"_group",Dashboard!$D$763)&amp;"."&amp;YEAR(Dashboard!AD$537))</f>
        <v>1560</v>
      </c>
      <c r="AH816" s="34" t="s">
        <v>422</v>
      </c>
    </row>
    <row r="817" spans="4:34" outlineLevel="2" x14ac:dyDescent="0.2">
      <c r="D817" s="8" t="s">
        <v>276</v>
      </c>
      <c r="E817" s="10">
        <f>SUMIFS('Custom Constraints'!$D:$D,'Custom Constraints'!$A:$A,"caiso-deliverability_"&amp;SUBSTITUTE(Dashboard!$D817,"_group",Dashboard!$D$763)&amp;"."&amp;YEAR(Dashboard!E$537))</f>
        <v>0</v>
      </c>
      <c r="F817" s="10">
        <f>SUMIFS('Custom Constraints'!$D:$D,'Custom Constraints'!$A:$A,"caiso-deliverability_"&amp;SUBSTITUTE(Dashboard!$D817,"_group",Dashboard!$D$763)&amp;"."&amp;YEAR(Dashboard!F$537))</f>
        <v>0</v>
      </c>
      <c r="G817" s="10">
        <f>SUMIFS('Custom Constraints'!$D:$D,'Custom Constraints'!$A:$A,"caiso-deliverability_"&amp;SUBSTITUTE(Dashboard!$D817,"_group",Dashboard!$D$763)&amp;"."&amp;YEAR(Dashboard!G$537))</f>
        <v>0</v>
      </c>
      <c r="H817" s="10">
        <f>SUMIFS('Custom Constraints'!$D:$D,'Custom Constraints'!$A:$A,"caiso-deliverability_"&amp;SUBSTITUTE(Dashboard!$D817,"_group",Dashboard!$D$763)&amp;"."&amp;YEAR(Dashboard!H$537))</f>
        <v>0</v>
      </c>
      <c r="I817" s="10">
        <f>SUMIFS('Custom Constraints'!$D:$D,'Custom Constraints'!$A:$A,"caiso-deliverability_"&amp;SUBSTITUTE(Dashboard!$D817,"_group",Dashboard!$D$763)&amp;"."&amp;YEAR(Dashboard!I$537))</f>
        <v>0</v>
      </c>
      <c r="J817" s="10">
        <f>SUMIFS('Custom Constraints'!$D:$D,'Custom Constraints'!$A:$A,"caiso-deliverability_"&amp;SUBSTITUTE(Dashboard!$D817,"_group",Dashboard!$D$763)&amp;"."&amp;YEAR(Dashboard!J$537))</f>
        <v>0</v>
      </c>
      <c r="K817" s="10">
        <f>SUMIFS('Custom Constraints'!$D:$D,'Custom Constraints'!$A:$A,"caiso-deliverability_"&amp;SUBSTITUTE(Dashboard!$D817,"_group",Dashboard!$D$763)&amp;"."&amp;YEAR(Dashboard!K$537))</f>
        <v>0</v>
      </c>
      <c r="L817" s="10">
        <f>SUMIFS('Custom Constraints'!$D:$D,'Custom Constraints'!$A:$A,"caiso-deliverability_"&amp;SUBSTITUTE(Dashboard!$D817,"_group",Dashboard!$D$763)&amp;"."&amp;YEAR(Dashboard!L$537))</f>
        <v>0</v>
      </c>
      <c r="M817" s="10">
        <f>SUMIFS('Custom Constraints'!$D:$D,'Custom Constraints'!$A:$A,"caiso-deliverability_"&amp;SUBSTITUTE(Dashboard!$D817,"_group",Dashboard!$D$763)&amp;"."&amp;YEAR(Dashboard!M$537))</f>
        <v>0</v>
      </c>
      <c r="N817" s="10">
        <f>SUMIFS('Custom Constraints'!$D:$D,'Custom Constraints'!$A:$A,"caiso-deliverability_"&amp;SUBSTITUTE(Dashboard!$D817,"_group",Dashboard!$D$763)&amp;"."&amp;YEAR(Dashboard!N$537))</f>
        <v>0</v>
      </c>
      <c r="O817" s="10">
        <f>SUMIFS('Custom Constraints'!$D:$D,'Custom Constraints'!$A:$A,"caiso-deliverability_"&amp;SUBSTITUTE(Dashboard!$D817,"_group",Dashboard!$D$763)&amp;"."&amp;YEAR(Dashboard!O$537))</f>
        <v>0</v>
      </c>
      <c r="P817" s="10">
        <f>SUMIFS('Custom Constraints'!$D:$D,'Custom Constraints'!$A:$A,"caiso-deliverability_"&amp;SUBSTITUTE(Dashboard!$D817,"_group",Dashboard!$D$763)&amp;"."&amp;YEAR(Dashboard!P$537))</f>
        <v>0</v>
      </c>
      <c r="Q817" s="10">
        <f>SUMIFS('Custom Constraints'!$D:$D,'Custom Constraints'!$A:$A,"caiso-deliverability_"&amp;SUBSTITUTE(Dashboard!$D817,"_group",Dashboard!$D$763)&amp;"."&amp;YEAR(Dashboard!Q$537))</f>
        <v>0</v>
      </c>
      <c r="R817" s="10">
        <f>SUMIFS('Custom Constraints'!$D:$D,'Custom Constraints'!$A:$A,"caiso-deliverability_"&amp;SUBSTITUTE(Dashboard!$D817,"_group",Dashboard!$D$763)&amp;"."&amp;YEAR(Dashboard!R$537))</f>
        <v>0</v>
      </c>
      <c r="S817" s="10">
        <f>SUMIFS('Custom Constraints'!$D:$D,'Custom Constraints'!$A:$A,"caiso-deliverability_"&amp;SUBSTITUTE(Dashboard!$D817,"_group",Dashboard!$D$763)&amp;"."&amp;YEAR(Dashboard!S$537))</f>
        <v>0</v>
      </c>
      <c r="T817" s="10">
        <f>SUMIFS('Custom Constraints'!$D:$D,'Custom Constraints'!$A:$A,"caiso-deliverability_"&amp;SUBSTITUTE(Dashboard!$D817,"_group",Dashboard!$D$763)&amp;"."&amp;YEAR(Dashboard!T$537))</f>
        <v>0</v>
      </c>
      <c r="U817" s="10">
        <f>SUMIFS('Custom Constraints'!$D:$D,'Custom Constraints'!$A:$A,"caiso-deliverability_"&amp;SUBSTITUTE(Dashboard!$D817,"_group",Dashboard!$D$763)&amp;"."&amp;YEAR(Dashboard!U$537))</f>
        <v>0</v>
      </c>
      <c r="V817" s="10">
        <f>SUMIFS('Custom Constraints'!$D:$D,'Custom Constraints'!$A:$A,"caiso-deliverability_"&amp;SUBSTITUTE(Dashboard!$D817,"_group",Dashboard!$D$763)&amp;"."&amp;YEAR(Dashboard!V$537))</f>
        <v>0</v>
      </c>
      <c r="W817" s="10">
        <f>SUMIFS('Custom Constraints'!$D:$D,'Custom Constraints'!$A:$A,"caiso-deliverability_"&amp;SUBSTITUTE(Dashboard!$D817,"_group",Dashboard!$D$763)&amp;"."&amp;YEAR(Dashboard!W$537))</f>
        <v>0</v>
      </c>
      <c r="X817" s="10">
        <f>SUMIFS('Custom Constraints'!$D:$D,'Custom Constraints'!$A:$A,"caiso-deliverability_"&amp;SUBSTITUTE(Dashboard!$D817,"_group",Dashboard!$D$763)&amp;"."&amp;YEAR(Dashboard!X$537))</f>
        <v>0</v>
      </c>
      <c r="Y817" s="10">
        <f>SUMIFS('Custom Constraints'!$D:$D,'Custom Constraints'!$A:$A,"caiso-deliverability_"&amp;SUBSTITUTE(Dashboard!$D817,"_group",Dashboard!$D$763)&amp;"."&amp;YEAR(Dashboard!Y$537))</f>
        <v>0</v>
      </c>
      <c r="Z817" s="10">
        <f>SUMIFS('Custom Constraints'!$D:$D,'Custom Constraints'!$A:$A,"caiso-deliverability_"&amp;SUBSTITUTE(Dashboard!$D817,"_group",Dashboard!$D$763)&amp;"."&amp;YEAR(Dashboard!Z$537))</f>
        <v>0</v>
      </c>
      <c r="AA817" s="10">
        <f>SUMIFS('Custom Constraints'!$D:$D,'Custom Constraints'!$A:$A,"caiso-deliverability_"&amp;SUBSTITUTE(Dashboard!$D817,"_group",Dashboard!$D$763)&amp;"."&amp;YEAR(Dashboard!AA$537))</f>
        <v>0</v>
      </c>
      <c r="AB817" s="10">
        <f>SUMIFS('Custom Constraints'!$D:$D,'Custom Constraints'!$A:$A,"caiso-deliverability_"&amp;SUBSTITUTE(Dashboard!$D817,"_group",Dashboard!$D$763)&amp;"."&amp;YEAR(Dashboard!AB$537))</f>
        <v>0</v>
      </c>
      <c r="AC817" s="10">
        <f>SUMIFS('Custom Constraints'!$D:$D,'Custom Constraints'!$A:$A,"caiso-deliverability_"&amp;SUBSTITUTE(Dashboard!$D817,"_group",Dashboard!$D$763)&amp;"."&amp;YEAR(Dashboard!AC$537))</f>
        <v>0</v>
      </c>
      <c r="AD817" s="10">
        <f>SUMIFS('Custom Constraints'!$D:$D,'Custom Constraints'!$A:$A,"caiso-deliverability_"&amp;SUBSTITUTE(Dashboard!$D817,"_group",Dashboard!$D$763)&amp;"."&amp;YEAR(Dashboard!AD$537))</f>
        <v>1903</v>
      </c>
      <c r="AH817" s="34" t="s">
        <v>422</v>
      </c>
    </row>
    <row r="818" spans="4:34" outlineLevel="2" x14ac:dyDescent="0.2">
      <c r="D818" s="8" t="s">
        <v>277</v>
      </c>
      <c r="E818" s="10">
        <f>SUMIFS('Custom Constraints'!$D:$D,'Custom Constraints'!$A:$A,"caiso-deliverability_"&amp;SUBSTITUTE(Dashboard!$D818,"_group",Dashboard!$D$763)&amp;"."&amp;YEAR(Dashboard!E$537))</f>
        <v>0</v>
      </c>
      <c r="F818" s="10">
        <f>SUMIFS('Custom Constraints'!$D:$D,'Custom Constraints'!$A:$A,"caiso-deliverability_"&amp;SUBSTITUTE(Dashboard!$D818,"_group",Dashboard!$D$763)&amp;"."&amp;YEAR(Dashboard!F$537))</f>
        <v>0</v>
      </c>
      <c r="G818" s="10">
        <f>SUMIFS('Custom Constraints'!$D:$D,'Custom Constraints'!$A:$A,"caiso-deliverability_"&amp;SUBSTITUTE(Dashboard!$D818,"_group",Dashboard!$D$763)&amp;"."&amp;YEAR(Dashboard!G$537))</f>
        <v>0</v>
      </c>
      <c r="H818" s="10">
        <f>SUMIFS('Custom Constraints'!$D:$D,'Custom Constraints'!$A:$A,"caiso-deliverability_"&amp;SUBSTITUTE(Dashboard!$D818,"_group",Dashboard!$D$763)&amp;"."&amp;YEAR(Dashboard!H$537))</f>
        <v>0</v>
      </c>
      <c r="I818" s="10">
        <f>SUMIFS('Custom Constraints'!$D:$D,'Custom Constraints'!$A:$A,"caiso-deliverability_"&amp;SUBSTITUTE(Dashboard!$D818,"_group",Dashboard!$D$763)&amp;"."&amp;YEAR(Dashboard!I$537))</f>
        <v>0</v>
      </c>
      <c r="J818" s="10">
        <f>SUMIFS('Custom Constraints'!$D:$D,'Custom Constraints'!$A:$A,"caiso-deliverability_"&amp;SUBSTITUTE(Dashboard!$D818,"_group",Dashboard!$D$763)&amp;"."&amp;YEAR(Dashboard!J$537))</f>
        <v>0</v>
      </c>
      <c r="K818" s="10">
        <f>SUMIFS('Custom Constraints'!$D:$D,'Custom Constraints'!$A:$A,"caiso-deliverability_"&amp;SUBSTITUTE(Dashboard!$D818,"_group",Dashboard!$D$763)&amp;"."&amp;YEAR(Dashboard!K$537))</f>
        <v>0</v>
      </c>
      <c r="L818" s="10">
        <f>SUMIFS('Custom Constraints'!$D:$D,'Custom Constraints'!$A:$A,"caiso-deliverability_"&amp;SUBSTITUTE(Dashboard!$D818,"_group",Dashboard!$D$763)&amp;"."&amp;YEAR(Dashboard!L$537))</f>
        <v>0</v>
      </c>
      <c r="M818" s="10">
        <f>SUMIFS('Custom Constraints'!$D:$D,'Custom Constraints'!$A:$A,"caiso-deliverability_"&amp;SUBSTITUTE(Dashboard!$D818,"_group",Dashboard!$D$763)&amp;"."&amp;YEAR(Dashboard!M$537))</f>
        <v>0</v>
      </c>
      <c r="N818" s="10">
        <f>SUMIFS('Custom Constraints'!$D:$D,'Custom Constraints'!$A:$A,"caiso-deliverability_"&amp;SUBSTITUTE(Dashboard!$D818,"_group",Dashboard!$D$763)&amp;"."&amp;YEAR(Dashboard!N$537))</f>
        <v>0</v>
      </c>
      <c r="O818" s="10">
        <f>SUMIFS('Custom Constraints'!$D:$D,'Custom Constraints'!$A:$A,"caiso-deliverability_"&amp;SUBSTITUTE(Dashboard!$D818,"_group",Dashboard!$D$763)&amp;"."&amp;YEAR(Dashboard!O$537))</f>
        <v>0</v>
      </c>
      <c r="P818" s="10">
        <f>SUMIFS('Custom Constraints'!$D:$D,'Custom Constraints'!$A:$A,"caiso-deliverability_"&amp;SUBSTITUTE(Dashboard!$D818,"_group",Dashboard!$D$763)&amp;"."&amp;YEAR(Dashboard!P$537))</f>
        <v>0</v>
      </c>
      <c r="Q818" s="10">
        <f>SUMIFS('Custom Constraints'!$D:$D,'Custom Constraints'!$A:$A,"caiso-deliverability_"&amp;SUBSTITUTE(Dashboard!$D818,"_group",Dashboard!$D$763)&amp;"."&amp;YEAR(Dashboard!Q$537))</f>
        <v>0</v>
      </c>
      <c r="R818" s="10">
        <f>SUMIFS('Custom Constraints'!$D:$D,'Custom Constraints'!$A:$A,"caiso-deliverability_"&amp;SUBSTITUTE(Dashboard!$D818,"_group",Dashboard!$D$763)&amp;"."&amp;YEAR(Dashboard!R$537))</f>
        <v>0</v>
      </c>
      <c r="S818" s="10">
        <f>SUMIFS('Custom Constraints'!$D:$D,'Custom Constraints'!$A:$A,"caiso-deliverability_"&amp;SUBSTITUTE(Dashboard!$D818,"_group",Dashboard!$D$763)&amp;"."&amp;YEAR(Dashboard!S$537))</f>
        <v>0</v>
      </c>
      <c r="T818" s="10">
        <f>SUMIFS('Custom Constraints'!$D:$D,'Custom Constraints'!$A:$A,"caiso-deliverability_"&amp;SUBSTITUTE(Dashboard!$D818,"_group",Dashboard!$D$763)&amp;"."&amp;YEAR(Dashboard!T$537))</f>
        <v>0</v>
      </c>
      <c r="U818" s="10">
        <f>SUMIFS('Custom Constraints'!$D:$D,'Custom Constraints'!$A:$A,"caiso-deliverability_"&amp;SUBSTITUTE(Dashboard!$D818,"_group",Dashboard!$D$763)&amp;"."&amp;YEAR(Dashboard!U$537))</f>
        <v>0</v>
      </c>
      <c r="V818" s="10">
        <f>SUMIFS('Custom Constraints'!$D:$D,'Custom Constraints'!$A:$A,"caiso-deliverability_"&amp;SUBSTITUTE(Dashboard!$D818,"_group",Dashboard!$D$763)&amp;"."&amp;YEAR(Dashboard!V$537))</f>
        <v>0</v>
      </c>
      <c r="W818" s="10">
        <f>SUMIFS('Custom Constraints'!$D:$D,'Custom Constraints'!$A:$A,"caiso-deliverability_"&amp;SUBSTITUTE(Dashboard!$D818,"_group",Dashboard!$D$763)&amp;"."&amp;YEAR(Dashboard!W$537))</f>
        <v>0</v>
      </c>
      <c r="X818" s="10">
        <f>SUMIFS('Custom Constraints'!$D:$D,'Custom Constraints'!$A:$A,"caiso-deliverability_"&amp;SUBSTITUTE(Dashboard!$D818,"_group",Dashboard!$D$763)&amp;"."&amp;YEAR(Dashboard!X$537))</f>
        <v>0</v>
      </c>
      <c r="Y818" s="10">
        <f>SUMIFS('Custom Constraints'!$D:$D,'Custom Constraints'!$A:$A,"caiso-deliverability_"&amp;SUBSTITUTE(Dashboard!$D818,"_group",Dashboard!$D$763)&amp;"."&amp;YEAR(Dashboard!Y$537))</f>
        <v>0</v>
      </c>
      <c r="Z818" s="10">
        <f>SUMIFS('Custom Constraints'!$D:$D,'Custom Constraints'!$A:$A,"caiso-deliverability_"&amp;SUBSTITUTE(Dashboard!$D818,"_group",Dashboard!$D$763)&amp;"."&amp;YEAR(Dashboard!Z$537))</f>
        <v>0</v>
      </c>
      <c r="AA818" s="10">
        <f>SUMIFS('Custom Constraints'!$D:$D,'Custom Constraints'!$A:$A,"caiso-deliverability_"&amp;SUBSTITUTE(Dashboard!$D818,"_group",Dashboard!$D$763)&amp;"."&amp;YEAR(Dashboard!AA$537))</f>
        <v>0</v>
      </c>
      <c r="AB818" s="10">
        <f>SUMIFS('Custom Constraints'!$D:$D,'Custom Constraints'!$A:$A,"caiso-deliverability_"&amp;SUBSTITUTE(Dashboard!$D818,"_group",Dashboard!$D$763)&amp;"."&amp;YEAR(Dashboard!AB$537))</f>
        <v>0</v>
      </c>
      <c r="AC818" s="10">
        <f>SUMIFS('Custom Constraints'!$D:$D,'Custom Constraints'!$A:$A,"caiso-deliverability_"&amp;SUBSTITUTE(Dashboard!$D818,"_group",Dashboard!$D$763)&amp;"."&amp;YEAR(Dashboard!AC$537))</f>
        <v>0</v>
      </c>
      <c r="AD818" s="10">
        <f>SUMIFS('Custom Constraints'!$D:$D,'Custom Constraints'!$A:$A,"caiso-deliverability_"&amp;SUBSTITUTE(Dashboard!$D818,"_group",Dashboard!$D$763)&amp;"."&amp;YEAR(Dashboard!AD$537))</f>
        <v>3102</v>
      </c>
      <c r="AH818" s="34" t="s">
        <v>422</v>
      </c>
    </row>
    <row r="819" spans="4:34" outlineLevel="2" x14ac:dyDescent="0.2">
      <c r="D819" s="8" t="s">
        <v>278</v>
      </c>
      <c r="E819" s="10">
        <f>SUMIFS('Custom Constraints'!$D:$D,'Custom Constraints'!$A:$A,"caiso-deliverability_"&amp;SUBSTITUTE(Dashboard!$D819,"_group",Dashboard!$D$763)&amp;"."&amp;YEAR(Dashboard!E$537))</f>
        <v>0</v>
      </c>
      <c r="F819" s="10">
        <f>SUMIFS('Custom Constraints'!$D:$D,'Custom Constraints'!$A:$A,"caiso-deliverability_"&amp;SUBSTITUTE(Dashboard!$D819,"_group",Dashboard!$D$763)&amp;"."&amp;YEAR(Dashboard!F$537))</f>
        <v>0</v>
      </c>
      <c r="G819" s="10">
        <f>SUMIFS('Custom Constraints'!$D:$D,'Custom Constraints'!$A:$A,"caiso-deliverability_"&amp;SUBSTITUTE(Dashboard!$D819,"_group",Dashboard!$D$763)&amp;"."&amp;YEAR(Dashboard!G$537))</f>
        <v>0</v>
      </c>
      <c r="H819" s="10">
        <f>SUMIFS('Custom Constraints'!$D:$D,'Custom Constraints'!$A:$A,"caiso-deliverability_"&amp;SUBSTITUTE(Dashboard!$D819,"_group",Dashboard!$D$763)&amp;"."&amp;YEAR(Dashboard!H$537))</f>
        <v>0</v>
      </c>
      <c r="I819" s="10">
        <f>SUMIFS('Custom Constraints'!$D:$D,'Custom Constraints'!$A:$A,"caiso-deliverability_"&amp;SUBSTITUTE(Dashboard!$D819,"_group",Dashboard!$D$763)&amp;"."&amp;YEAR(Dashboard!I$537))</f>
        <v>0</v>
      </c>
      <c r="J819" s="10">
        <f>SUMIFS('Custom Constraints'!$D:$D,'Custom Constraints'!$A:$A,"caiso-deliverability_"&amp;SUBSTITUTE(Dashboard!$D819,"_group",Dashboard!$D$763)&amp;"."&amp;YEAR(Dashboard!J$537))</f>
        <v>0</v>
      </c>
      <c r="K819" s="10">
        <f>SUMIFS('Custom Constraints'!$D:$D,'Custom Constraints'!$A:$A,"caiso-deliverability_"&amp;SUBSTITUTE(Dashboard!$D819,"_group",Dashboard!$D$763)&amp;"."&amp;YEAR(Dashboard!K$537))</f>
        <v>0</v>
      </c>
      <c r="L819" s="10">
        <f>SUMIFS('Custom Constraints'!$D:$D,'Custom Constraints'!$A:$A,"caiso-deliverability_"&amp;SUBSTITUTE(Dashboard!$D819,"_group",Dashboard!$D$763)&amp;"."&amp;YEAR(Dashboard!L$537))</f>
        <v>0</v>
      </c>
      <c r="M819" s="10">
        <f>SUMIFS('Custom Constraints'!$D:$D,'Custom Constraints'!$A:$A,"caiso-deliverability_"&amp;SUBSTITUTE(Dashboard!$D819,"_group",Dashboard!$D$763)&amp;"."&amp;YEAR(Dashboard!M$537))</f>
        <v>0</v>
      </c>
      <c r="N819" s="10">
        <f>SUMIFS('Custom Constraints'!$D:$D,'Custom Constraints'!$A:$A,"caiso-deliverability_"&amp;SUBSTITUTE(Dashboard!$D819,"_group",Dashboard!$D$763)&amp;"."&amp;YEAR(Dashboard!N$537))</f>
        <v>0</v>
      </c>
      <c r="O819" s="10">
        <f>SUMIFS('Custom Constraints'!$D:$D,'Custom Constraints'!$A:$A,"caiso-deliverability_"&amp;SUBSTITUTE(Dashboard!$D819,"_group",Dashboard!$D$763)&amp;"."&amp;YEAR(Dashboard!O$537))</f>
        <v>0</v>
      </c>
      <c r="P819" s="10">
        <f>SUMIFS('Custom Constraints'!$D:$D,'Custom Constraints'!$A:$A,"caiso-deliverability_"&amp;SUBSTITUTE(Dashboard!$D819,"_group",Dashboard!$D$763)&amp;"."&amp;YEAR(Dashboard!P$537))</f>
        <v>0</v>
      </c>
      <c r="Q819" s="10">
        <f>SUMIFS('Custom Constraints'!$D:$D,'Custom Constraints'!$A:$A,"caiso-deliverability_"&amp;SUBSTITUTE(Dashboard!$D819,"_group",Dashboard!$D$763)&amp;"."&amp;YEAR(Dashboard!Q$537))</f>
        <v>0</v>
      </c>
      <c r="R819" s="10">
        <f>SUMIFS('Custom Constraints'!$D:$D,'Custom Constraints'!$A:$A,"caiso-deliverability_"&amp;SUBSTITUTE(Dashboard!$D819,"_group",Dashboard!$D$763)&amp;"."&amp;YEAR(Dashboard!R$537))</f>
        <v>0</v>
      </c>
      <c r="S819" s="10">
        <f>SUMIFS('Custom Constraints'!$D:$D,'Custom Constraints'!$A:$A,"caiso-deliverability_"&amp;SUBSTITUTE(Dashboard!$D819,"_group",Dashboard!$D$763)&amp;"."&amp;YEAR(Dashboard!S$537))</f>
        <v>0</v>
      </c>
      <c r="T819" s="10">
        <f>SUMIFS('Custom Constraints'!$D:$D,'Custom Constraints'!$A:$A,"caiso-deliverability_"&amp;SUBSTITUTE(Dashboard!$D819,"_group",Dashboard!$D$763)&amp;"."&amp;YEAR(Dashboard!T$537))</f>
        <v>0</v>
      </c>
      <c r="U819" s="10">
        <f>SUMIFS('Custom Constraints'!$D:$D,'Custom Constraints'!$A:$A,"caiso-deliverability_"&amp;SUBSTITUTE(Dashboard!$D819,"_group",Dashboard!$D$763)&amp;"."&amp;YEAR(Dashboard!U$537))</f>
        <v>0</v>
      </c>
      <c r="V819" s="10">
        <f>SUMIFS('Custom Constraints'!$D:$D,'Custom Constraints'!$A:$A,"caiso-deliverability_"&amp;SUBSTITUTE(Dashboard!$D819,"_group",Dashboard!$D$763)&amp;"."&amp;YEAR(Dashboard!V$537))</f>
        <v>0</v>
      </c>
      <c r="W819" s="10">
        <f>SUMIFS('Custom Constraints'!$D:$D,'Custom Constraints'!$A:$A,"caiso-deliverability_"&amp;SUBSTITUTE(Dashboard!$D819,"_group",Dashboard!$D$763)&amp;"."&amp;YEAR(Dashboard!W$537))</f>
        <v>0</v>
      </c>
      <c r="X819" s="10">
        <f>SUMIFS('Custom Constraints'!$D:$D,'Custom Constraints'!$A:$A,"caiso-deliverability_"&amp;SUBSTITUTE(Dashboard!$D819,"_group",Dashboard!$D$763)&amp;"."&amp;YEAR(Dashboard!X$537))</f>
        <v>0</v>
      </c>
      <c r="Y819" s="10">
        <f>SUMIFS('Custom Constraints'!$D:$D,'Custom Constraints'!$A:$A,"caiso-deliverability_"&amp;SUBSTITUTE(Dashboard!$D819,"_group",Dashboard!$D$763)&amp;"."&amp;YEAR(Dashboard!Y$537))</f>
        <v>0</v>
      </c>
      <c r="Z819" s="10">
        <f>SUMIFS('Custom Constraints'!$D:$D,'Custom Constraints'!$A:$A,"caiso-deliverability_"&amp;SUBSTITUTE(Dashboard!$D819,"_group",Dashboard!$D$763)&amp;"."&amp;YEAR(Dashboard!Z$537))</f>
        <v>0</v>
      </c>
      <c r="AA819" s="10">
        <f>SUMIFS('Custom Constraints'!$D:$D,'Custom Constraints'!$A:$A,"caiso-deliverability_"&amp;SUBSTITUTE(Dashboard!$D819,"_group",Dashboard!$D$763)&amp;"."&amp;YEAR(Dashboard!AA$537))</f>
        <v>0</v>
      </c>
      <c r="AB819" s="10">
        <f>SUMIFS('Custom Constraints'!$D:$D,'Custom Constraints'!$A:$A,"caiso-deliverability_"&amp;SUBSTITUTE(Dashboard!$D819,"_group",Dashboard!$D$763)&amp;"."&amp;YEAR(Dashboard!AB$537))</f>
        <v>0</v>
      </c>
      <c r="AC819" s="10">
        <f>SUMIFS('Custom Constraints'!$D:$D,'Custom Constraints'!$A:$A,"caiso-deliverability_"&amp;SUBSTITUTE(Dashboard!$D819,"_group",Dashboard!$D$763)&amp;"."&amp;YEAR(Dashboard!AC$537))</f>
        <v>0</v>
      </c>
      <c r="AD819" s="10">
        <f>SUMIFS('Custom Constraints'!$D:$D,'Custom Constraints'!$A:$A,"caiso-deliverability_"&amp;SUBSTITUTE(Dashboard!$D819,"_group",Dashboard!$D$763)&amp;"."&amp;YEAR(Dashboard!AD$537))</f>
        <v>3281</v>
      </c>
      <c r="AH819" s="34" t="s">
        <v>422</v>
      </c>
    </row>
    <row r="820" spans="4:34" outlineLevel="2" x14ac:dyDescent="0.2">
      <c r="D820" s="8" t="s">
        <v>279</v>
      </c>
      <c r="E820" s="10">
        <f>SUMIFS('Custom Constraints'!$D:$D,'Custom Constraints'!$A:$A,"caiso-deliverability_"&amp;SUBSTITUTE(Dashboard!$D820,"_group",Dashboard!$D$763)&amp;"."&amp;YEAR(Dashboard!E$537))</f>
        <v>0</v>
      </c>
      <c r="F820" s="10">
        <f>SUMIFS('Custom Constraints'!$D:$D,'Custom Constraints'!$A:$A,"caiso-deliverability_"&amp;SUBSTITUTE(Dashboard!$D820,"_group",Dashboard!$D$763)&amp;"."&amp;YEAR(Dashboard!F$537))</f>
        <v>0</v>
      </c>
      <c r="G820" s="10">
        <f>SUMIFS('Custom Constraints'!$D:$D,'Custom Constraints'!$A:$A,"caiso-deliverability_"&amp;SUBSTITUTE(Dashboard!$D820,"_group",Dashboard!$D$763)&amp;"."&amp;YEAR(Dashboard!G$537))</f>
        <v>0</v>
      </c>
      <c r="H820" s="10">
        <f>SUMIFS('Custom Constraints'!$D:$D,'Custom Constraints'!$A:$A,"caiso-deliverability_"&amp;SUBSTITUTE(Dashboard!$D820,"_group",Dashboard!$D$763)&amp;"."&amp;YEAR(Dashboard!H$537))</f>
        <v>0</v>
      </c>
      <c r="I820" s="10">
        <f>SUMIFS('Custom Constraints'!$D:$D,'Custom Constraints'!$A:$A,"caiso-deliverability_"&amp;SUBSTITUTE(Dashboard!$D820,"_group",Dashboard!$D$763)&amp;"."&amp;YEAR(Dashboard!I$537))</f>
        <v>0</v>
      </c>
      <c r="J820" s="10">
        <f>SUMIFS('Custom Constraints'!$D:$D,'Custom Constraints'!$A:$A,"caiso-deliverability_"&amp;SUBSTITUTE(Dashboard!$D820,"_group",Dashboard!$D$763)&amp;"."&amp;YEAR(Dashboard!J$537))</f>
        <v>0</v>
      </c>
      <c r="K820" s="10">
        <f>SUMIFS('Custom Constraints'!$D:$D,'Custom Constraints'!$A:$A,"caiso-deliverability_"&amp;SUBSTITUTE(Dashboard!$D820,"_group",Dashboard!$D$763)&amp;"."&amp;YEAR(Dashboard!K$537))</f>
        <v>0</v>
      </c>
      <c r="L820" s="10">
        <f>SUMIFS('Custom Constraints'!$D:$D,'Custom Constraints'!$A:$A,"caiso-deliverability_"&amp;SUBSTITUTE(Dashboard!$D820,"_group",Dashboard!$D$763)&amp;"."&amp;YEAR(Dashboard!L$537))</f>
        <v>0</v>
      </c>
      <c r="M820" s="10">
        <f>SUMIFS('Custom Constraints'!$D:$D,'Custom Constraints'!$A:$A,"caiso-deliverability_"&amp;SUBSTITUTE(Dashboard!$D820,"_group",Dashboard!$D$763)&amp;"."&amp;YEAR(Dashboard!M$537))</f>
        <v>0</v>
      </c>
      <c r="N820" s="10">
        <f>SUMIFS('Custom Constraints'!$D:$D,'Custom Constraints'!$A:$A,"caiso-deliverability_"&amp;SUBSTITUTE(Dashboard!$D820,"_group",Dashboard!$D$763)&amp;"."&amp;YEAR(Dashboard!N$537))</f>
        <v>0</v>
      </c>
      <c r="O820" s="10">
        <f>SUMIFS('Custom Constraints'!$D:$D,'Custom Constraints'!$A:$A,"caiso-deliverability_"&amp;SUBSTITUTE(Dashboard!$D820,"_group",Dashboard!$D$763)&amp;"."&amp;YEAR(Dashboard!O$537))</f>
        <v>0</v>
      </c>
      <c r="P820" s="10">
        <f>SUMIFS('Custom Constraints'!$D:$D,'Custom Constraints'!$A:$A,"caiso-deliverability_"&amp;SUBSTITUTE(Dashboard!$D820,"_group",Dashboard!$D$763)&amp;"."&amp;YEAR(Dashboard!P$537))</f>
        <v>0</v>
      </c>
      <c r="Q820" s="10">
        <f>SUMIFS('Custom Constraints'!$D:$D,'Custom Constraints'!$A:$A,"caiso-deliverability_"&amp;SUBSTITUTE(Dashboard!$D820,"_group",Dashboard!$D$763)&amp;"."&amp;YEAR(Dashboard!Q$537))</f>
        <v>0</v>
      </c>
      <c r="R820" s="10">
        <f>SUMIFS('Custom Constraints'!$D:$D,'Custom Constraints'!$A:$A,"caiso-deliverability_"&amp;SUBSTITUTE(Dashboard!$D820,"_group",Dashboard!$D$763)&amp;"."&amp;YEAR(Dashboard!R$537))</f>
        <v>0</v>
      </c>
      <c r="S820" s="10">
        <f>SUMIFS('Custom Constraints'!$D:$D,'Custom Constraints'!$A:$A,"caiso-deliverability_"&amp;SUBSTITUTE(Dashboard!$D820,"_group",Dashboard!$D$763)&amp;"."&amp;YEAR(Dashboard!S$537))</f>
        <v>0</v>
      </c>
      <c r="T820" s="10">
        <f>SUMIFS('Custom Constraints'!$D:$D,'Custom Constraints'!$A:$A,"caiso-deliverability_"&amp;SUBSTITUTE(Dashboard!$D820,"_group",Dashboard!$D$763)&amp;"."&amp;YEAR(Dashboard!T$537))</f>
        <v>0</v>
      </c>
      <c r="U820" s="10">
        <f>SUMIFS('Custom Constraints'!$D:$D,'Custom Constraints'!$A:$A,"caiso-deliverability_"&amp;SUBSTITUTE(Dashboard!$D820,"_group",Dashboard!$D$763)&amp;"."&amp;YEAR(Dashboard!U$537))</f>
        <v>0</v>
      </c>
      <c r="V820" s="10">
        <f>SUMIFS('Custom Constraints'!$D:$D,'Custom Constraints'!$A:$A,"caiso-deliverability_"&amp;SUBSTITUTE(Dashboard!$D820,"_group",Dashboard!$D$763)&amp;"."&amp;YEAR(Dashboard!V$537))</f>
        <v>0</v>
      </c>
      <c r="W820" s="10">
        <f>SUMIFS('Custom Constraints'!$D:$D,'Custom Constraints'!$A:$A,"caiso-deliverability_"&amp;SUBSTITUTE(Dashboard!$D820,"_group",Dashboard!$D$763)&amp;"."&amp;YEAR(Dashboard!W$537))</f>
        <v>0</v>
      </c>
      <c r="X820" s="10">
        <f>SUMIFS('Custom Constraints'!$D:$D,'Custom Constraints'!$A:$A,"caiso-deliverability_"&amp;SUBSTITUTE(Dashboard!$D820,"_group",Dashboard!$D$763)&amp;"."&amp;YEAR(Dashboard!X$537))</f>
        <v>0</v>
      </c>
      <c r="Y820" s="10">
        <f>SUMIFS('Custom Constraints'!$D:$D,'Custom Constraints'!$A:$A,"caiso-deliverability_"&amp;SUBSTITUTE(Dashboard!$D820,"_group",Dashboard!$D$763)&amp;"."&amp;YEAR(Dashboard!Y$537))</f>
        <v>0</v>
      </c>
      <c r="Z820" s="10">
        <f>SUMIFS('Custom Constraints'!$D:$D,'Custom Constraints'!$A:$A,"caiso-deliverability_"&amp;SUBSTITUTE(Dashboard!$D820,"_group",Dashboard!$D$763)&amp;"."&amp;YEAR(Dashboard!Z$537))</f>
        <v>0</v>
      </c>
      <c r="AA820" s="10">
        <f>SUMIFS('Custom Constraints'!$D:$D,'Custom Constraints'!$A:$A,"caiso-deliverability_"&amp;SUBSTITUTE(Dashboard!$D820,"_group",Dashboard!$D$763)&amp;"."&amp;YEAR(Dashboard!AA$537))</f>
        <v>0</v>
      </c>
      <c r="AB820" s="10">
        <f>SUMIFS('Custom Constraints'!$D:$D,'Custom Constraints'!$A:$A,"caiso-deliverability_"&amp;SUBSTITUTE(Dashboard!$D820,"_group",Dashboard!$D$763)&amp;"."&amp;YEAR(Dashboard!AB$537))</f>
        <v>0</v>
      </c>
      <c r="AC820" s="10">
        <f>SUMIFS('Custom Constraints'!$D:$D,'Custom Constraints'!$A:$A,"caiso-deliverability_"&amp;SUBSTITUTE(Dashboard!$D820,"_group",Dashboard!$D$763)&amp;"."&amp;YEAR(Dashboard!AC$537))</f>
        <v>0</v>
      </c>
      <c r="AD820" s="10">
        <f>SUMIFS('Custom Constraints'!$D:$D,'Custom Constraints'!$A:$A,"caiso-deliverability_"&amp;SUBSTITUTE(Dashboard!$D820,"_group",Dashboard!$D$763)&amp;"."&amp;YEAR(Dashboard!AD$537))</f>
        <v>11800</v>
      </c>
      <c r="AH820" s="34" t="s">
        <v>422</v>
      </c>
    </row>
    <row r="821" spans="4:34" outlineLevel="2" x14ac:dyDescent="0.2">
      <c r="D821" s="8" t="s">
        <v>280</v>
      </c>
      <c r="E821" s="10">
        <f>SUMIFS('Custom Constraints'!$D:$D,'Custom Constraints'!$A:$A,"caiso-deliverability_"&amp;SUBSTITUTE(Dashboard!$D821,"_group",Dashboard!$D$763)&amp;"."&amp;YEAR(Dashboard!E$537))</f>
        <v>0</v>
      </c>
      <c r="F821" s="10">
        <f>SUMIFS('Custom Constraints'!$D:$D,'Custom Constraints'!$A:$A,"caiso-deliverability_"&amp;SUBSTITUTE(Dashboard!$D821,"_group",Dashboard!$D$763)&amp;"."&amp;YEAR(Dashboard!F$537))</f>
        <v>0</v>
      </c>
      <c r="G821" s="10">
        <f>SUMIFS('Custom Constraints'!$D:$D,'Custom Constraints'!$A:$A,"caiso-deliverability_"&amp;SUBSTITUTE(Dashboard!$D821,"_group",Dashboard!$D$763)&amp;"."&amp;YEAR(Dashboard!G$537))</f>
        <v>0</v>
      </c>
      <c r="H821" s="10">
        <f>SUMIFS('Custom Constraints'!$D:$D,'Custom Constraints'!$A:$A,"caiso-deliverability_"&amp;SUBSTITUTE(Dashboard!$D821,"_group",Dashboard!$D$763)&amp;"."&amp;YEAR(Dashboard!H$537))</f>
        <v>0</v>
      </c>
      <c r="I821" s="10">
        <f>SUMIFS('Custom Constraints'!$D:$D,'Custom Constraints'!$A:$A,"caiso-deliverability_"&amp;SUBSTITUTE(Dashboard!$D821,"_group",Dashboard!$D$763)&amp;"."&amp;YEAR(Dashboard!I$537))</f>
        <v>0</v>
      </c>
      <c r="J821" s="10">
        <f>SUMIFS('Custom Constraints'!$D:$D,'Custom Constraints'!$A:$A,"caiso-deliverability_"&amp;SUBSTITUTE(Dashboard!$D821,"_group",Dashboard!$D$763)&amp;"."&amp;YEAR(Dashboard!J$537))</f>
        <v>0</v>
      </c>
      <c r="K821" s="10">
        <f>SUMIFS('Custom Constraints'!$D:$D,'Custom Constraints'!$A:$A,"caiso-deliverability_"&amp;SUBSTITUTE(Dashboard!$D821,"_group",Dashboard!$D$763)&amp;"."&amp;YEAR(Dashboard!K$537))</f>
        <v>0</v>
      </c>
      <c r="L821" s="10">
        <f>SUMIFS('Custom Constraints'!$D:$D,'Custom Constraints'!$A:$A,"caiso-deliverability_"&amp;SUBSTITUTE(Dashboard!$D821,"_group",Dashboard!$D$763)&amp;"."&amp;YEAR(Dashboard!L$537))</f>
        <v>0</v>
      </c>
      <c r="M821" s="10">
        <f>SUMIFS('Custom Constraints'!$D:$D,'Custom Constraints'!$A:$A,"caiso-deliverability_"&amp;SUBSTITUTE(Dashboard!$D821,"_group",Dashboard!$D$763)&amp;"."&amp;YEAR(Dashboard!M$537))</f>
        <v>0</v>
      </c>
      <c r="N821" s="10">
        <f>SUMIFS('Custom Constraints'!$D:$D,'Custom Constraints'!$A:$A,"caiso-deliverability_"&amp;SUBSTITUTE(Dashboard!$D821,"_group",Dashboard!$D$763)&amp;"."&amp;YEAR(Dashboard!N$537))</f>
        <v>0</v>
      </c>
      <c r="O821" s="10">
        <f>SUMIFS('Custom Constraints'!$D:$D,'Custom Constraints'!$A:$A,"caiso-deliverability_"&amp;SUBSTITUTE(Dashboard!$D821,"_group",Dashboard!$D$763)&amp;"."&amp;YEAR(Dashboard!O$537))</f>
        <v>0</v>
      </c>
      <c r="P821" s="10">
        <f>SUMIFS('Custom Constraints'!$D:$D,'Custom Constraints'!$A:$A,"caiso-deliverability_"&amp;SUBSTITUTE(Dashboard!$D821,"_group",Dashboard!$D$763)&amp;"."&amp;YEAR(Dashboard!P$537))</f>
        <v>0</v>
      </c>
      <c r="Q821" s="10">
        <f>SUMIFS('Custom Constraints'!$D:$D,'Custom Constraints'!$A:$A,"caiso-deliverability_"&amp;SUBSTITUTE(Dashboard!$D821,"_group",Dashboard!$D$763)&amp;"."&amp;YEAR(Dashboard!Q$537))</f>
        <v>0</v>
      </c>
      <c r="R821" s="10">
        <f>SUMIFS('Custom Constraints'!$D:$D,'Custom Constraints'!$A:$A,"caiso-deliverability_"&amp;SUBSTITUTE(Dashboard!$D821,"_group",Dashboard!$D$763)&amp;"."&amp;YEAR(Dashboard!R$537))</f>
        <v>0</v>
      </c>
      <c r="S821" s="10">
        <f>SUMIFS('Custom Constraints'!$D:$D,'Custom Constraints'!$A:$A,"caiso-deliverability_"&amp;SUBSTITUTE(Dashboard!$D821,"_group",Dashboard!$D$763)&amp;"."&amp;YEAR(Dashboard!S$537))</f>
        <v>0</v>
      </c>
      <c r="T821" s="10">
        <f>SUMIFS('Custom Constraints'!$D:$D,'Custom Constraints'!$A:$A,"caiso-deliverability_"&amp;SUBSTITUTE(Dashboard!$D821,"_group",Dashboard!$D$763)&amp;"."&amp;YEAR(Dashboard!T$537))</f>
        <v>0</v>
      </c>
      <c r="U821" s="10">
        <f>SUMIFS('Custom Constraints'!$D:$D,'Custom Constraints'!$A:$A,"caiso-deliverability_"&amp;SUBSTITUTE(Dashboard!$D821,"_group",Dashboard!$D$763)&amp;"."&amp;YEAR(Dashboard!U$537))</f>
        <v>0</v>
      </c>
      <c r="V821" s="10">
        <f>SUMIFS('Custom Constraints'!$D:$D,'Custom Constraints'!$A:$A,"caiso-deliverability_"&amp;SUBSTITUTE(Dashboard!$D821,"_group",Dashboard!$D$763)&amp;"."&amp;YEAR(Dashboard!V$537))</f>
        <v>0</v>
      </c>
      <c r="W821" s="10">
        <f>SUMIFS('Custom Constraints'!$D:$D,'Custom Constraints'!$A:$A,"caiso-deliverability_"&amp;SUBSTITUTE(Dashboard!$D821,"_group",Dashboard!$D$763)&amp;"."&amp;YEAR(Dashboard!W$537))</f>
        <v>0</v>
      </c>
      <c r="X821" s="10">
        <f>SUMIFS('Custom Constraints'!$D:$D,'Custom Constraints'!$A:$A,"caiso-deliverability_"&amp;SUBSTITUTE(Dashboard!$D821,"_group",Dashboard!$D$763)&amp;"."&amp;YEAR(Dashboard!X$537))</f>
        <v>0</v>
      </c>
      <c r="Y821" s="10">
        <f>SUMIFS('Custom Constraints'!$D:$D,'Custom Constraints'!$A:$A,"caiso-deliverability_"&amp;SUBSTITUTE(Dashboard!$D821,"_group",Dashboard!$D$763)&amp;"."&amp;YEAR(Dashboard!Y$537))</f>
        <v>0</v>
      </c>
      <c r="Z821" s="10">
        <f>SUMIFS('Custom Constraints'!$D:$D,'Custom Constraints'!$A:$A,"caiso-deliverability_"&amp;SUBSTITUTE(Dashboard!$D821,"_group",Dashboard!$D$763)&amp;"."&amp;YEAR(Dashboard!Z$537))</f>
        <v>0</v>
      </c>
      <c r="AA821" s="10">
        <f>SUMIFS('Custom Constraints'!$D:$D,'Custom Constraints'!$A:$A,"caiso-deliverability_"&amp;SUBSTITUTE(Dashboard!$D821,"_group",Dashboard!$D$763)&amp;"."&amp;YEAR(Dashboard!AA$537))</f>
        <v>0</v>
      </c>
      <c r="AB821" s="10">
        <f>SUMIFS('Custom Constraints'!$D:$D,'Custom Constraints'!$A:$A,"caiso-deliverability_"&amp;SUBSTITUTE(Dashboard!$D821,"_group",Dashboard!$D$763)&amp;"."&amp;YEAR(Dashboard!AB$537))</f>
        <v>0</v>
      </c>
      <c r="AC821" s="10">
        <f>SUMIFS('Custom Constraints'!$D:$D,'Custom Constraints'!$A:$A,"caiso-deliverability_"&amp;SUBSTITUTE(Dashboard!$D821,"_group",Dashboard!$D$763)&amp;"."&amp;YEAR(Dashboard!AC$537))</f>
        <v>0</v>
      </c>
      <c r="AD821" s="10">
        <f>SUMIFS('Custom Constraints'!$D:$D,'Custom Constraints'!$A:$A,"caiso-deliverability_"&amp;SUBSTITUTE(Dashboard!$D821,"_group",Dashboard!$D$763)&amp;"."&amp;YEAR(Dashboard!AD$537))</f>
        <v>2163</v>
      </c>
      <c r="AH821" s="34" t="s">
        <v>422</v>
      </c>
    </row>
    <row r="822" spans="4:34" outlineLevel="2" x14ac:dyDescent="0.2">
      <c r="D822" s="8" t="s">
        <v>281</v>
      </c>
      <c r="E822" s="10">
        <f>SUMIFS('Custom Constraints'!$D:$D,'Custom Constraints'!$A:$A,"caiso-deliverability_"&amp;SUBSTITUTE(Dashboard!$D822,"_group",Dashboard!$D$763)&amp;"."&amp;YEAR(Dashboard!E$537))</f>
        <v>0</v>
      </c>
      <c r="F822" s="10">
        <f>SUMIFS('Custom Constraints'!$D:$D,'Custom Constraints'!$A:$A,"caiso-deliverability_"&amp;SUBSTITUTE(Dashboard!$D822,"_group",Dashboard!$D$763)&amp;"."&amp;YEAR(Dashboard!F$537))</f>
        <v>0</v>
      </c>
      <c r="G822" s="10">
        <f>SUMIFS('Custom Constraints'!$D:$D,'Custom Constraints'!$A:$A,"caiso-deliverability_"&amp;SUBSTITUTE(Dashboard!$D822,"_group",Dashboard!$D$763)&amp;"."&amp;YEAR(Dashboard!G$537))</f>
        <v>0</v>
      </c>
      <c r="H822" s="10">
        <f>SUMIFS('Custom Constraints'!$D:$D,'Custom Constraints'!$A:$A,"caiso-deliverability_"&amp;SUBSTITUTE(Dashboard!$D822,"_group",Dashboard!$D$763)&amp;"."&amp;YEAR(Dashboard!H$537))</f>
        <v>0</v>
      </c>
      <c r="I822" s="10">
        <f>SUMIFS('Custom Constraints'!$D:$D,'Custom Constraints'!$A:$A,"caiso-deliverability_"&amp;SUBSTITUTE(Dashboard!$D822,"_group",Dashboard!$D$763)&amp;"."&amp;YEAR(Dashboard!I$537))</f>
        <v>0</v>
      </c>
      <c r="J822" s="10">
        <f>SUMIFS('Custom Constraints'!$D:$D,'Custom Constraints'!$A:$A,"caiso-deliverability_"&amp;SUBSTITUTE(Dashboard!$D822,"_group",Dashboard!$D$763)&amp;"."&amp;YEAR(Dashboard!J$537))</f>
        <v>0</v>
      </c>
      <c r="K822" s="10">
        <f>SUMIFS('Custom Constraints'!$D:$D,'Custom Constraints'!$A:$A,"caiso-deliverability_"&amp;SUBSTITUTE(Dashboard!$D822,"_group",Dashboard!$D$763)&amp;"."&amp;YEAR(Dashboard!K$537))</f>
        <v>0</v>
      </c>
      <c r="L822" s="10">
        <f>SUMIFS('Custom Constraints'!$D:$D,'Custom Constraints'!$A:$A,"caiso-deliverability_"&amp;SUBSTITUTE(Dashboard!$D822,"_group",Dashboard!$D$763)&amp;"."&amp;YEAR(Dashboard!L$537))</f>
        <v>0</v>
      </c>
      <c r="M822" s="10">
        <f>SUMIFS('Custom Constraints'!$D:$D,'Custom Constraints'!$A:$A,"caiso-deliverability_"&amp;SUBSTITUTE(Dashboard!$D822,"_group",Dashboard!$D$763)&amp;"."&amp;YEAR(Dashboard!M$537))</f>
        <v>0</v>
      </c>
      <c r="N822" s="10">
        <f>SUMIFS('Custom Constraints'!$D:$D,'Custom Constraints'!$A:$A,"caiso-deliverability_"&amp;SUBSTITUTE(Dashboard!$D822,"_group",Dashboard!$D$763)&amp;"."&amp;YEAR(Dashboard!N$537))</f>
        <v>0</v>
      </c>
      <c r="O822" s="10">
        <f>SUMIFS('Custom Constraints'!$D:$D,'Custom Constraints'!$A:$A,"caiso-deliverability_"&amp;SUBSTITUTE(Dashboard!$D822,"_group",Dashboard!$D$763)&amp;"."&amp;YEAR(Dashboard!O$537))</f>
        <v>0</v>
      </c>
      <c r="P822" s="10">
        <f>SUMIFS('Custom Constraints'!$D:$D,'Custom Constraints'!$A:$A,"caiso-deliverability_"&amp;SUBSTITUTE(Dashboard!$D822,"_group",Dashboard!$D$763)&amp;"."&amp;YEAR(Dashboard!P$537))</f>
        <v>0</v>
      </c>
      <c r="Q822" s="10">
        <f>SUMIFS('Custom Constraints'!$D:$D,'Custom Constraints'!$A:$A,"caiso-deliverability_"&amp;SUBSTITUTE(Dashboard!$D822,"_group",Dashboard!$D$763)&amp;"."&amp;YEAR(Dashboard!Q$537))</f>
        <v>0</v>
      </c>
      <c r="R822" s="10">
        <f>SUMIFS('Custom Constraints'!$D:$D,'Custom Constraints'!$A:$A,"caiso-deliverability_"&amp;SUBSTITUTE(Dashboard!$D822,"_group",Dashboard!$D$763)&amp;"."&amp;YEAR(Dashboard!R$537))</f>
        <v>0</v>
      </c>
      <c r="S822" s="10">
        <f>SUMIFS('Custom Constraints'!$D:$D,'Custom Constraints'!$A:$A,"caiso-deliverability_"&amp;SUBSTITUTE(Dashboard!$D822,"_group",Dashboard!$D$763)&amp;"."&amp;YEAR(Dashboard!S$537))</f>
        <v>0</v>
      </c>
      <c r="T822" s="10">
        <f>SUMIFS('Custom Constraints'!$D:$D,'Custom Constraints'!$A:$A,"caiso-deliverability_"&amp;SUBSTITUTE(Dashboard!$D822,"_group",Dashboard!$D$763)&amp;"."&amp;YEAR(Dashboard!T$537))</f>
        <v>0</v>
      </c>
      <c r="U822" s="10">
        <f>SUMIFS('Custom Constraints'!$D:$D,'Custom Constraints'!$A:$A,"caiso-deliverability_"&amp;SUBSTITUTE(Dashboard!$D822,"_group",Dashboard!$D$763)&amp;"."&amp;YEAR(Dashboard!U$537))</f>
        <v>0</v>
      </c>
      <c r="V822" s="10">
        <f>SUMIFS('Custom Constraints'!$D:$D,'Custom Constraints'!$A:$A,"caiso-deliverability_"&amp;SUBSTITUTE(Dashboard!$D822,"_group",Dashboard!$D$763)&amp;"."&amp;YEAR(Dashboard!V$537))</f>
        <v>0</v>
      </c>
      <c r="W822" s="10">
        <f>SUMIFS('Custom Constraints'!$D:$D,'Custom Constraints'!$A:$A,"caiso-deliverability_"&amp;SUBSTITUTE(Dashboard!$D822,"_group",Dashboard!$D$763)&amp;"."&amp;YEAR(Dashboard!W$537))</f>
        <v>0</v>
      </c>
      <c r="X822" s="10">
        <f>SUMIFS('Custom Constraints'!$D:$D,'Custom Constraints'!$A:$A,"caiso-deliverability_"&amp;SUBSTITUTE(Dashboard!$D822,"_group",Dashboard!$D$763)&amp;"."&amp;YEAR(Dashboard!X$537))</f>
        <v>0</v>
      </c>
      <c r="Y822" s="10">
        <f>SUMIFS('Custom Constraints'!$D:$D,'Custom Constraints'!$A:$A,"caiso-deliverability_"&amp;SUBSTITUTE(Dashboard!$D822,"_group",Dashboard!$D$763)&amp;"."&amp;YEAR(Dashboard!Y$537))</f>
        <v>0</v>
      </c>
      <c r="Z822" s="10">
        <f>SUMIFS('Custom Constraints'!$D:$D,'Custom Constraints'!$A:$A,"caiso-deliverability_"&amp;SUBSTITUTE(Dashboard!$D822,"_group",Dashboard!$D$763)&amp;"."&amp;YEAR(Dashboard!Z$537))</f>
        <v>0</v>
      </c>
      <c r="AA822" s="10">
        <f>SUMIFS('Custom Constraints'!$D:$D,'Custom Constraints'!$A:$A,"caiso-deliverability_"&amp;SUBSTITUTE(Dashboard!$D822,"_group",Dashboard!$D$763)&amp;"."&amp;YEAR(Dashboard!AA$537))</f>
        <v>0</v>
      </c>
      <c r="AB822" s="10">
        <f>SUMIFS('Custom Constraints'!$D:$D,'Custom Constraints'!$A:$A,"caiso-deliverability_"&amp;SUBSTITUTE(Dashboard!$D822,"_group",Dashboard!$D$763)&amp;"."&amp;YEAR(Dashboard!AB$537))</f>
        <v>0</v>
      </c>
      <c r="AC822" s="10">
        <f>SUMIFS('Custom Constraints'!$D:$D,'Custom Constraints'!$A:$A,"caiso-deliverability_"&amp;SUBSTITUTE(Dashboard!$D822,"_group",Dashboard!$D$763)&amp;"."&amp;YEAR(Dashboard!AC$537))</f>
        <v>0</v>
      </c>
      <c r="AD822" s="10">
        <f>SUMIFS('Custom Constraints'!$D:$D,'Custom Constraints'!$A:$A,"caiso-deliverability_"&amp;SUBSTITUTE(Dashboard!$D822,"_group",Dashboard!$D$763)&amp;"."&amp;YEAR(Dashboard!AD$537))</f>
        <v>1237.02</v>
      </c>
      <c r="AH822" s="34" t="s">
        <v>422</v>
      </c>
    </row>
    <row r="823" spans="4:34" outlineLevel="2" x14ac:dyDescent="0.2">
      <c r="D823" s="8" t="s">
        <v>282</v>
      </c>
      <c r="E823" s="10">
        <f>SUMIFS('Custom Constraints'!$D:$D,'Custom Constraints'!$A:$A,"caiso-deliverability_"&amp;SUBSTITUTE(Dashboard!$D823,"_group",Dashboard!$D$763)&amp;"."&amp;YEAR(Dashboard!E$537))</f>
        <v>0</v>
      </c>
      <c r="F823" s="10">
        <f>SUMIFS('Custom Constraints'!$D:$D,'Custom Constraints'!$A:$A,"caiso-deliverability_"&amp;SUBSTITUTE(Dashboard!$D823,"_group",Dashboard!$D$763)&amp;"."&amp;YEAR(Dashboard!F$537))</f>
        <v>0</v>
      </c>
      <c r="G823" s="10">
        <f>SUMIFS('Custom Constraints'!$D:$D,'Custom Constraints'!$A:$A,"caiso-deliverability_"&amp;SUBSTITUTE(Dashboard!$D823,"_group",Dashboard!$D$763)&amp;"."&amp;YEAR(Dashboard!G$537))</f>
        <v>0</v>
      </c>
      <c r="H823" s="10">
        <f>SUMIFS('Custom Constraints'!$D:$D,'Custom Constraints'!$A:$A,"caiso-deliverability_"&amp;SUBSTITUTE(Dashboard!$D823,"_group",Dashboard!$D$763)&amp;"."&amp;YEAR(Dashboard!H$537))</f>
        <v>0</v>
      </c>
      <c r="I823" s="10">
        <f>SUMIFS('Custom Constraints'!$D:$D,'Custom Constraints'!$A:$A,"caiso-deliverability_"&amp;SUBSTITUTE(Dashboard!$D823,"_group",Dashboard!$D$763)&amp;"."&amp;YEAR(Dashboard!I$537))</f>
        <v>0</v>
      </c>
      <c r="J823" s="10">
        <f>SUMIFS('Custom Constraints'!$D:$D,'Custom Constraints'!$A:$A,"caiso-deliverability_"&amp;SUBSTITUTE(Dashboard!$D823,"_group",Dashboard!$D$763)&amp;"."&amp;YEAR(Dashboard!J$537))</f>
        <v>0</v>
      </c>
      <c r="K823" s="10">
        <f>SUMIFS('Custom Constraints'!$D:$D,'Custom Constraints'!$A:$A,"caiso-deliverability_"&amp;SUBSTITUTE(Dashboard!$D823,"_group",Dashboard!$D$763)&amp;"."&amp;YEAR(Dashboard!K$537))</f>
        <v>0</v>
      </c>
      <c r="L823" s="10">
        <f>SUMIFS('Custom Constraints'!$D:$D,'Custom Constraints'!$A:$A,"caiso-deliverability_"&amp;SUBSTITUTE(Dashboard!$D823,"_group",Dashboard!$D$763)&amp;"."&amp;YEAR(Dashboard!L$537))</f>
        <v>0</v>
      </c>
      <c r="M823" s="10">
        <f>SUMIFS('Custom Constraints'!$D:$D,'Custom Constraints'!$A:$A,"caiso-deliverability_"&amp;SUBSTITUTE(Dashboard!$D823,"_group",Dashboard!$D$763)&amp;"."&amp;YEAR(Dashboard!M$537))</f>
        <v>0</v>
      </c>
      <c r="N823" s="10">
        <f>SUMIFS('Custom Constraints'!$D:$D,'Custom Constraints'!$A:$A,"caiso-deliverability_"&amp;SUBSTITUTE(Dashboard!$D823,"_group",Dashboard!$D$763)&amp;"."&amp;YEAR(Dashboard!N$537))</f>
        <v>0</v>
      </c>
      <c r="O823" s="10">
        <f>SUMIFS('Custom Constraints'!$D:$D,'Custom Constraints'!$A:$A,"caiso-deliverability_"&amp;SUBSTITUTE(Dashboard!$D823,"_group",Dashboard!$D$763)&amp;"."&amp;YEAR(Dashboard!O$537))</f>
        <v>0</v>
      </c>
      <c r="P823" s="10">
        <f>SUMIFS('Custom Constraints'!$D:$D,'Custom Constraints'!$A:$A,"caiso-deliverability_"&amp;SUBSTITUTE(Dashboard!$D823,"_group",Dashboard!$D$763)&amp;"."&amp;YEAR(Dashboard!P$537))</f>
        <v>0</v>
      </c>
      <c r="Q823" s="10">
        <f>SUMIFS('Custom Constraints'!$D:$D,'Custom Constraints'!$A:$A,"caiso-deliverability_"&amp;SUBSTITUTE(Dashboard!$D823,"_group",Dashboard!$D$763)&amp;"."&amp;YEAR(Dashboard!Q$537))</f>
        <v>0</v>
      </c>
      <c r="R823" s="10">
        <f>SUMIFS('Custom Constraints'!$D:$D,'Custom Constraints'!$A:$A,"caiso-deliverability_"&amp;SUBSTITUTE(Dashboard!$D823,"_group",Dashboard!$D$763)&amp;"."&amp;YEAR(Dashboard!R$537))</f>
        <v>0</v>
      </c>
      <c r="S823" s="10">
        <f>SUMIFS('Custom Constraints'!$D:$D,'Custom Constraints'!$A:$A,"caiso-deliverability_"&amp;SUBSTITUTE(Dashboard!$D823,"_group",Dashboard!$D$763)&amp;"."&amp;YEAR(Dashboard!S$537))</f>
        <v>0</v>
      </c>
      <c r="T823" s="10">
        <f>SUMIFS('Custom Constraints'!$D:$D,'Custom Constraints'!$A:$A,"caiso-deliverability_"&amp;SUBSTITUTE(Dashboard!$D823,"_group",Dashboard!$D$763)&amp;"."&amp;YEAR(Dashboard!T$537))</f>
        <v>0</v>
      </c>
      <c r="U823" s="10">
        <f>SUMIFS('Custom Constraints'!$D:$D,'Custom Constraints'!$A:$A,"caiso-deliverability_"&amp;SUBSTITUTE(Dashboard!$D823,"_group",Dashboard!$D$763)&amp;"."&amp;YEAR(Dashboard!U$537))</f>
        <v>0</v>
      </c>
      <c r="V823" s="10">
        <f>SUMIFS('Custom Constraints'!$D:$D,'Custom Constraints'!$A:$A,"caiso-deliverability_"&amp;SUBSTITUTE(Dashboard!$D823,"_group",Dashboard!$D$763)&amp;"."&amp;YEAR(Dashboard!V$537))</f>
        <v>0</v>
      </c>
      <c r="W823" s="10">
        <f>SUMIFS('Custom Constraints'!$D:$D,'Custom Constraints'!$A:$A,"caiso-deliverability_"&amp;SUBSTITUTE(Dashboard!$D823,"_group",Dashboard!$D$763)&amp;"."&amp;YEAR(Dashboard!W$537))</f>
        <v>0</v>
      </c>
      <c r="X823" s="10">
        <f>SUMIFS('Custom Constraints'!$D:$D,'Custom Constraints'!$A:$A,"caiso-deliverability_"&amp;SUBSTITUTE(Dashboard!$D823,"_group",Dashboard!$D$763)&amp;"."&amp;YEAR(Dashboard!X$537))</f>
        <v>0</v>
      </c>
      <c r="Y823" s="10">
        <f>SUMIFS('Custom Constraints'!$D:$D,'Custom Constraints'!$A:$A,"caiso-deliverability_"&amp;SUBSTITUTE(Dashboard!$D823,"_group",Dashboard!$D$763)&amp;"."&amp;YEAR(Dashboard!Y$537))</f>
        <v>0</v>
      </c>
      <c r="Z823" s="10">
        <f>SUMIFS('Custom Constraints'!$D:$D,'Custom Constraints'!$A:$A,"caiso-deliverability_"&amp;SUBSTITUTE(Dashboard!$D823,"_group",Dashboard!$D$763)&amp;"."&amp;YEAR(Dashboard!Z$537))</f>
        <v>0</v>
      </c>
      <c r="AA823" s="10">
        <f>SUMIFS('Custom Constraints'!$D:$D,'Custom Constraints'!$A:$A,"caiso-deliverability_"&amp;SUBSTITUTE(Dashboard!$D823,"_group",Dashboard!$D$763)&amp;"."&amp;YEAR(Dashboard!AA$537))</f>
        <v>0</v>
      </c>
      <c r="AB823" s="10">
        <f>SUMIFS('Custom Constraints'!$D:$D,'Custom Constraints'!$A:$A,"caiso-deliverability_"&amp;SUBSTITUTE(Dashboard!$D823,"_group",Dashboard!$D$763)&amp;"."&amp;YEAR(Dashboard!AB$537))</f>
        <v>0</v>
      </c>
      <c r="AC823" s="10">
        <f>SUMIFS('Custom Constraints'!$D:$D,'Custom Constraints'!$A:$A,"caiso-deliverability_"&amp;SUBSTITUTE(Dashboard!$D823,"_group",Dashboard!$D$763)&amp;"."&amp;YEAR(Dashboard!AC$537))</f>
        <v>0</v>
      </c>
      <c r="AD823" s="10">
        <f>SUMIFS('Custom Constraints'!$D:$D,'Custom Constraints'!$A:$A,"caiso-deliverability_"&amp;SUBSTITUTE(Dashboard!$D823,"_group",Dashboard!$D$763)&amp;"."&amp;YEAR(Dashboard!AD$537))</f>
        <v>1311</v>
      </c>
      <c r="AH823" s="34" t="s">
        <v>422</v>
      </c>
    </row>
    <row r="824" spans="4:34" outlineLevel="2" x14ac:dyDescent="0.2">
      <c r="D824" s="8" t="s">
        <v>283</v>
      </c>
      <c r="E824" s="10">
        <f>SUMIFS('Custom Constraints'!$D:$D,'Custom Constraints'!$A:$A,"caiso-deliverability_"&amp;SUBSTITUTE(Dashboard!$D824,"_group",Dashboard!$D$763)&amp;"."&amp;YEAR(Dashboard!E$537))</f>
        <v>0</v>
      </c>
      <c r="F824" s="10">
        <f>SUMIFS('Custom Constraints'!$D:$D,'Custom Constraints'!$A:$A,"caiso-deliverability_"&amp;SUBSTITUTE(Dashboard!$D824,"_group",Dashboard!$D$763)&amp;"."&amp;YEAR(Dashboard!F$537))</f>
        <v>0</v>
      </c>
      <c r="G824" s="10">
        <f>SUMIFS('Custom Constraints'!$D:$D,'Custom Constraints'!$A:$A,"caiso-deliverability_"&amp;SUBSTITUTE(Dashboard!$D824,"_group",Dashboard!$D$763)&amp;"."&amp;YEAR(Dashboard!G$537))</f>
        <v>0</v>
      </c>
      <c r="H824" s="10">
        <f>SUMIFS('Custom Constraints'!$D:$D,'Custom Constraints'!$A:$A,"caiso-deliverability_"&amp;SUBSTITUTE(Dashboard!$D824,"_group",Dashboard!$D$763)&amp;"."&amp;YEAR(Dashboard!H$537))</f>
        <v>0</v>
      </c>
      <c r="I824" s="10">
        <f>SUMIFS('Custom Constraints'!$D:$D,'Custom Constraints'!$A:$A,"caiso-deliverability_"&amp;SUBSTITUTE(Dashboard!$D824,"_group",Dashboard!$D$763)&amp;"."&amp;YEAR(Dashboard!I$537))</f>
        <v>0</v>
      </c>
      <c r="J824" s="10">
        <f>SUMIFS('Custom Constraints'!$D:$D,'Custom Constraints'!$A:$A,"caiso-deliverability_"&amp;SUBSTITUTE(Dashboard!$D824,"_group",Dashboard!$D$763)&amp;"."&amp;YEAR(Dashboard!J$537))</f>
        <v>0</v>
      </c>
      <c r="K824" s="10">
        <f>SUMIFS('Custom Constraints'!$D:$D,'Custom Constraints'!$A:$A,"caiso-deliverability_"&amp;SUBSTITUTE(Dashboard!$D824,"_group",Dashboard!$D$763)&amp;"."&amp;YEAR(Dashboard!K$537))</f>
        <v>0</v>
      </c>
      <c r="L824" s="10">
        <f>SUMIFS('Custom Constraints'!$D:$D,'Custom Constraints'!$A:$A,"caiso-deliverability_"&amp;SUBSTITUTE(Dashboard!$D824,"_group",Dashboard!$D$763)&amp;"."&amp;YEAR(Dashboard!L$537))</f>
        <v>0</v>
      </c>
      <c r="M824" s="10">
        <f>SUMIFS('Custom Constraints'!$D:$D,'Custom Constraints'!$A:$A,"caiso-deliverability_"&amp;SUBSTITUTE(Dashboard!$D824,"_group",Dashboard!$D$763)&amp;"."&amp;YEAR(Dashboard!M$537))</f>
        <v>0</v>
      </c>
      <c r="N824" s="10">
        <f>SUMIFS('Custom Constraints'!$D:$D,'Custom Constraints'!$A:$A,"caiso-deliverability_"&amp;SUBSTITUTE(Dashboard!$D824,"_group",Dashboard!$D$763)&amp;"."&amp;YEAR(Dashboard!N$537))</f>
        <v>0</v>
      </c>
      <c r="O824" s="10">
        <f>SUMIFS('Custom Constraints'!$D:$D,'Custom Constraints'!$A:$A,"caiso-deliverability_"&amp;SUBSTITUTE(Dashboard!$D824,"_group",Dashboard!$D$763)&amp;"."&amp;YEAR(Dashboard!O$537))</f>
        <v>0</v>
      </c>
      <c r="P824" s="10">
        <f>SUMIFS('Custom Constraints'!$D:$D,'Custom Constraints'!$A:$A,"caiso-deliverability_"&amp;SUBSTITUTE(Dashboard!$D824,"_group",Dashboard!$D$763)&amp;"."&amp;YEAR(Dashboard!P$537))</f>
        <v>0</v>
      </c>
      <c r="Q824" s="10">
        <f>SUMIFS('Custom Constraints'!$D:$D,'Custom Constraints'!$A:$A,"caiso-deliverability_"&amp;SUBSTITUTE(Dashboard!$D824,"_group",Dashboard!$D$763)&amp;"."&amp;YEAR(Dashboard!Q$537))</f>
        <v>0</v>
      </c>
      <c r="R824" s="10">
        <f>SUMIFS('Custom Constraints'!$D:$D,'Custom Constraints'!$A:$A,"caiso-deliverability_"&amp;SUBSTITUTE(Dashboard!$D824,"_group",Dashboard!$D$763)&amp;"."&amp;YEAR(Dashboard!R$537))</f>
        <v>0</v>
      </c>
      <c r="S824" s="10">
        <f>SUMIFS('Custom Constraints'!$D:$D,'Custom Constraints'!$A:$A,"caiso-deliverability_"&amp;SUBSTITUTE(Dashboard!$D824,"_group",Dashboard!$D$763)&amp;"."&amp;YEAR(Dashboard!S$537))</f>
        <v>0</v>
      </c>
      <c r="T824" s="10">
        <f>SUMIFS('Custom Constraints'!$D:$D,'Custom Constraints'!$A:$A,"caiso-deliverability_"&amp;SUBSTITUTE(Dashboard!$D824,"_group",Dashboard!$D$763)&amp;"."&amp;YEAR(Dashboard!T$537))</f>
        <v>0</v>
      </c>
      <c r="U824" s="10">
        <f>SUMIFS('Custom Constraints'!$D:$D,'Custom Constraints'!$A:$A,"caiso-deliverability_"&amp;SUBSTITUTE(Dashboard!$D824,"_group",Dashboard!$D$763)&amp;"."&amp;YEAR(Dashboard!U$537))</f>
        <v>0</v>
      </c>
      <c r="V824" s="10">
        <f>SUMIFS('Custom Constraints'!$D:$D,'Custom Constraints'!$A:$A,"caiso-deliverability_"&amp;SUBSTITUTE(Dashboard!$D824,"_group",Dashboard!$D$763)&amp;"."&amp;YEAR(Dashboard!V$537))</f>
        <v>0</v>
      </c>
      <c r="W824" s="10">
        <f>SUMIFS('Custom Constraints'!$D:$D,'Custom Constraints'!$A:$A,"caiso-deliverability_"&amp;SUBSTITUTE(Dashboard!$D824,"_group",Dashboard!$D$763)&amp;"."&amp;YEAR(Dashboard!W$537))</f>
        <v>0</v>
      </c>
      <c r="X824" s="10">
        <f>SUMIFS('Custom Constraints'!$D:$D,'Custom Constraints'!$A:$A,"caiso-deliverability_"&amp;SUBSTITUTE(Dashboard!$D824,"_group",Dashboard!$D$763)&amp;"."&amp;YEAR(Dashboard!X$537))</f>
        <v>0</v>
      </c>
      <c r="Y824" s="10">
        <f>SUMIFS('Custom Constraints'!$D:$D,'Custom Constraints'!$A:$A,"caiso-deliverability_"&amp;SUBSTITUTE(Dashboard!$D824,"_group",Dashboard!$D$763)&amp;"."&amp;YEAR(Dashboard!Y$537))</f>
        <v>0</v>
      </c>
      <c r="Z824" s="10">
        <f>SUMIFS('Custom Constraints'!$D:$D,'Custom Constraints'!$A:$A,"caiso-deliverability_"&amp;SUBSTITUTE(Dashboard!$D824,"_group",Dashboard!$D$763)&amp;"."&amp;YEAR(Dashboard!Z$537))</f>
        <v>0</v>
      </c>
      <c r="AA824" s="10">
        <f>SUMIFS('Custom Constraints'!$D:$D,'Custom Constraints'!$A:$A,"caiso-deliverability_"&amp;SUBSTITUTE(Dashboard!$D824,"_group",Dashboard!$D$763)&amp;"."&amp;YEAR(Dashboard!AA$537))</f>
        <v>0</v>
      </c>
      <c r="AB824" s="10">
        <f>SUMIFS('Custom Constraints'!$D:$D,'Custom Constraints'!$A:$A,"caiso-deliverability_"&amp;SUBSTITUTE(Dashboard!$D824,"_group",Dashboard!$D$763)&amp;"."&amp;YEAR(Dashboard!AB$537))</f>
        <v>0</v>
      </c>
      <c r="AC824" s="10">
        <f>SUMIFS('Custom Constraints'!$D:$D,'Custom Constraints'!$A:$A,"caiso-deliverability_"&amp;SUBSTITUTE(Dashboard!$D824,"_group",Dashboard!$D$763)&amp;"."&amp;YEAR(Dashboard!AC$537))</f>
        <v>0</v>
      </c>
      <c r="AD824" s="10">
        <f>SUMIFS('Custom Constraints'!$D:$D,'Custom Constraints'!$A:$A,"caiso-deliverability_"&amp;SUBSTITUTE(Dashboard!$D824,"_group",Dashboard!$D$763)&amp;"."&amp;YEAR(Dashboard!AD$537))</f>
        <v>5171</v>
      </c>
      <c r="AH824" s="34" t="s">
        <v>422</v>
      </c>
    </row>
    <row r="825" spans="4:34" outlineLevel="2" x14ac:dyDescent="0.2">
      <c r="D825" s="8" t="s">
        <v>284</v>
      </c>
      <c r="E825" s="10">
        <f>SUMIFS('Custom Constraints'!$D:$D,'Custom Constraints'!$A:$A,"caiso-deliverability_"&amp;SUBSTITUTE(Dashboard!$D825,"_group",Dashboard!$D$763)&amp;"."&amp;YEAR(Dashboard!E$537))</f>
        <v>0</v>
      </c>
      <c r="F825" s="10">
        <f>SUMIFS('Custom Constraints'!$D:$D,'Custom Constraints'!$A:$A,"caiso-deliverability_"&amp;SUBSTITUTE(Dashboard!$D825,"_group",Dashboard!$D$763)&amp;"."&amp;YEAR(Dashboard!F$537))</f>
        <v>0</v>
      </c>
      <c r="G825" s="10">
        <f>SUMIFS('Custom Constraints'!$D:$D,'Custom Constraints'!$A:$A,"caiso-deliverability_"&amp;SUBSTITUTE(Dashboard!$D825,"_group",Dashboard!$D$763)&amp;"."&amp;YEAR(Dashboard!G$537))</f>
        <v>0</v>
      </c>
      <c r="H825" s="10">
        <f>SUMIFS('Custom Constraints'!$D:$D,'Custom Constraints'!$A:$A,"caiso-deliverability_"&amp;SUBSTITUTE(Dashboard!$D825,"_group",Dashboard!$D$763)&amp;"."&amp;YEAR(Dashboard!H$537))</f>
        <v>0</v>
      </c>
      <c r="I825" s="10">
        <f>SUMIFS('Custom Constraints'!$D:$D,'Custom Constraints'!$A:$A,"caiso-deliverability_"&amp;SUBSTITUTE(Dashboard!$D825,"_group",Dashboard!$D$763)&amp;"."&amp;YEAR(Dashboard!I$537))</f>
        <v>0</v>
      </c>
      <c r="J825" s="10">
        <f>SUMIFS('Custom Constraints'!$D:$D,'Custom Constraints'!$A:$A,"caiso-deliverability_"&amp;SUBSTITUTE(Dashboard!$D825,"_group",Dashboard!$D$763)&amp;"."&amp;YEAR(Dashboard!J$537))</f>
        <v>0</v>
      </c>
      <c r="K825" s="10">
        <f>SUMIFS('Custom Constraints'!$D:$D,'Custom Constraints'!$A:$A,"caiso-deliverability_"&amp;SUBSTITUTE(Dashboard!$D825,"_group",Dashboard!$D$763)&amp;"."&amp;YEAR(Dashboard!K$537))</f>
        <v>0</v>
      </c>
      <c r="L825" s="10">
        <f>SUMIFS('Custom Constraints'!$D:$D,'Custom Constraints'!$A:$A,"caiso-deliverability_"&amp;SUBSTITUTE(Dashboard!$D825,"_group",Dashboard!$D$763)&amp;"."&amp;YEAR(Dashboard!L$537))</f>
        <v>0</v>
      </c>
      <c r="M825" s="10">
        <f>SUMIFS('Custom Constraints'!$D:$D,'Custom Constraints'!$A:$A,"caiso-deliverability_"&amp;SUBSTITUTE(Dashboard!$D825,"_group",Dashboard!$D$763)&amp;"."&amp;YEAR(Dashboard!M$537))</f>
        <v>0</v>
      </c>
      <c r="N825" s="10">
        <f>SUMIFS('Custom Constraints'!$D:$D,'Custom Constraints'!$A:$A,"caiso-deliverability_"&amp;SUBSTITUTE(Dashboard!$D825,"_group",Dashboard!$D$763)&amp;"."&amp;YEAR(Dashboard!N$537))</f>
        <v>0</v>
      </c>
      <c r="O825" s="10">
        <f>SUMIFS('Custom Constraints'!$D:$D,'Custom Constraints'!$A:$A,"caiso-deliverability_"&amp;SUBSTITUTE(Dashboard!$D825,"_group",Dashboard!$D$763)&amp;"."&amp;YEAR(Dashboard!O$537))</f>
        <v>0</v>
      </c>
      <c r="P825" s="10">
        <f>SUMIFS('Custom Constraints'!$D:$D,'Custom Constraints'!$A:$A,"caiso-deliverability_"&amp;SUBSTITUTE(Dashboard!$D825,"_group",Dashboard!$D$763)&amp;"."&amp;YEAR(Dashboard!P$537))</f>
        <v>0</v>
      </c>
      <c r="Q825" s="10">
        <f>SUMIFS('Custom Constraints'!$D:$D,'Custom Constraints'!$A:$A,"caiso-deliverability_"&amp;SUBSTITUTE(Dashboard!$D825,"_group",Dashboard!$D$763)&amp;"."&amp;YEAR(Dashboard!Q$537))</f>
        <v>0</v>
      </c>
      <c r="R825" s="10">
        <f>SUMIFS('Custom Constraints'!$D:$D,'Custom Constraints'!$A:$A,"caiso-deliverability_"&amp;SUBSTITUTE(Dashboard!$D825,"_group",Dashboard!$D$763)&amp;"."&amp;YEAR(Dashboard!R$537))</f>
        <v>0</v>
      </c>
      <c r="S825" s="10">
        <f>SUMIFS('Custom Constraints'!$D:$D,'Custom Constraints'!$A:$A,"caiso-deliverability_"&amp;SUBSTITUTE(Dashboard!$D825,"_group",Dashboard!$D$763)&amp;"."&amp;YEAR(Dashboard!S$537))</f>
        <v>0</v>
      </c>
      <c r="T825" s="10">
        <f>SUMIFS('Custom Constraints'!$D:$D,'Custom Constraints'!$A:$A,"caiso-deliverability_"&amp;SUBSTITUTE(Dashboard!$D825,"_group",Dashboard!$D$763)&amp;"."&amp;YEAR(Dashboard!T$537))</f>
        <v>0</v>
      </c>
      <c r="U825" s="10">
        <f>SUMIFS('Custom Constraints'!$D:$D,'Custom Constraints'!$A:$A,"caiso-deliverability_"&amp;SUBSTITUTE(Dashboard!$D825,"_group",Dashboard!$D$763)&amp;"."&amp;YEAR(Dashboard!U$537))</f>
        <v>0</v>
      </c>
      <c r="V825" s="10">
        <f>SUMIFS('Custom Constraints'!$D:$D,'Custom Constraints'!$A:$A,"caiso-deliverability_"&amp;SUBSTITUTE(Dashboard!$D825,"_group",Dashboard!$D$763)&amp;"."&amp;YEAR(Dashboard!V$537))</f>
        <v>0</v>
      </c>
      <c r="W825" s="10">
        <f>SUMIFS('Custom Constraints'!$D:$D,'Custom Constraints'!$A:$A,"caiso-deliverability_"&amp;SUBSTITUTE(Dashboard!$D825,"_group",Dashboard!$D$763)&amp;"."&amp;YEAR(Dashboard!W$537))</f>
        <v>0</v>
      </c>
      <c r="X825" s="10">
        <f>SUMIFS('Custom Constraints'!$D:$D,'Custom Constraints'!$A:$A,"caiso-deliverability_"&amp;SUBSTITUTE(Dashboard!$D825,"_group",Dashboard!$D$763)&amp;"."&amp;YEAR(Dashboard!X$537))</f>
        <v>0</v>
      </c>
      <c r="Y825" s="10">
        <f>SUMIFS('Custom Constraints'!$D:$D,'Custom Constraints'!$A:$A,"caiso-deliverability_"&amp;SUBSTITUTE(Dashboard!$D825,"_group",Dashboard!$D$763)&amp;"."&amp;YEAR(Dashboard!Y$537))</f>
        <v>0</v>
      </c>
      <c r="Z825" s="10">
        <f>SUMIFS('Custom Constraints'!$D:$D,'Custom Constraints'!$A:$A,"caiso-deliverability_"&amp;SUBSTITUTE(Dashboard!$D825,"_group",Dashboard!$D$763)&amp;"."&amp;YEAR(Dashboard!Z$537))</f>
        <v>0</v>
      </c>
      <c r="AA825" s="10">
        <f>SUMIFS('Custom Constraints'!$D:$D,'Custom Constraints'!$A:$A,"caiso-deliverability_"&amp;SUBSTITUTE(Dashboard!$D825,"_group",Dashboard!$D$763)&amp;"."&amp;YEAR(Dashboard!AA$537))</f>
        <v>0</v>
      </c>
      <c r="AB825" s="10">
        <f>SUMIFS('Custom Constraints'!$D:$D,'Custom Constraints'!$A:$A,"caiso-deliverability_"&amp;SUBSTITUTE(Dashboard!$D825,"_group",Dashboard!$D$763)&amp;"."&amp;YEAR(Dashboard!AB$537))</f>
        <v>0</v>
      </c>
      <c r="AC825" s="10">
        <f>SUMIFS('Custom Constraints'!$D:$D,'Custom Constraints'!$A:$A,"caiso-deliverability_"&amp;SUBSTITUTE(Dashboard!$D825,"_group",Dashboard!$D$763)&amp;"."&amp;YEAR(Dashboard!AC$537))</f>
        <v>0</v>
      </c>
      <c r="AD825" s="10">
        <f>SUMIFS('Custom Constraints'!$D:$D,'Custom Constraints'!$A:$A,"caiso-deliverability_"&amp;SUBSTITUTE(Dashboard!$D825,"_group",Dashboard!$D$763)&amp;"."&amp;YEAR(Dashboard!AD$537))</f>
        <v>1098</v>
      </c>
      <c r="AH825" s="34" t="s">
        <v>422</v>
      </c>
    </row>
    <row r="826" spans="4:34" ht="12.6" outlineLevel="2" thickBot="1" x14ac:dyDescent="0.25">
      <c r="D826" s="9" t="s">
        <v>139</v>
      </c>
      <c r="E826" s="17">
        <f t="shared" ref="E826" si="958">SUM(E798:E825)</f>
        <v>0</v>
      </c>
      <c r="F826" s="17">
        <f t="shared" ref="F826:AD826" si="959">SUM(F798:F825)</f>
        <v>0</v>
      </c>
      <c r="G826" s="17">
        <f t="shared" si="959"/>
        <v>0</v>
      </c>
      <c r="H826" s="17">
        <f t="shared" si="959"/>
        <v>0</v>
      </c>
      <c r="I826" s="17">
        <f t="shared" si="959"/>
        <v>0</v>
      </c>
      <c r="J826" s="17">
        <f t="shared" si="959"/>
        <v>0</v>
      </c>
      <c r="K826" s="17">
        <f t="shared" si="959"/>
        <v>0</v>
      </c>
      <c r="L826" s="17">
        <f t="shared" si="959"/>
        <v>0</v>
      </c>
      <c r="M826" s="17">
        <f t="shared" si="959"/>
        <v>0</v>
      </c>
      <c r="N826" s="17">
        <f t="shared" si="959"/>
        <v>0</v>
      </c>
      <c r="O826" s="17">
        <f t="shared" si="959"/>
        <v>0</v>
      </c>
      <c r="P826" s="17">
        <f t="shared" si="959"/>
        <v>0</v>
      </c>
      <c r="Q826" s="17">
        <f t="shared" si="959"/>
        <v>0</v>
      </c>
      <c r="R826" s="17">
        <f t="shared" si="959"/>
        <v>0</v>
      </c>
      <c r="S826" s="17">
        <f t="shared" si="959"/>
        <v>0</v>
      </c>
      <c r="T826" s="17">
        <f t="shared" si="959"/>
        <v>0</v>
      </c>
      <c r="U826" s="17">
        <f t="shared" si="959"/>
        <v>0</v>
      </c>
      <c r="V826" s="17">
        <f t="shared" si="959"/>
        <v>0</v>
      </c>
      <c r="W826" s="17">
        <f t="shared" si="959"/>
        <v>0</v>
      </c>
      <c r="X826" s="17">
        <f t="shared" si="959"/>
        <v>0</v>
      </c>
      <c r="Y826" s="17">
        <f t="shared" si="959"/>
        <v>0</v>
      </c>
      <c r="Z826" s="17">
        <f t="shared" si="959"/>
        <v>0</v>
      </c>
      <c r="AA826" s="17">
        <f t="shared" si="959"/>
        <v>0</v>
      </c>
      <c r="AB826" s="17">
        <f t="shared" si="959"/>
        <v>0</v>
      </c>
      <c r="AC826" s="17">
        <f t="shared" si="959"/>
        <v>0</v>
      </c>
      <c r="AD826" s="17">
        <f t="shared" si="959"/>
        <v>82925.02</v>
      </c>
      <c r="AH826" s="34" t="s">
        <v>422</v>
      </c>
    </row>
    <row r="827" spans="4:34" ht="12" outlineLevel="2" thickTop="1" x14ac:dyDescent="0.2">
      <c r="AH827" s="34" t="s">
        <v>422</v>
      </c>
    </row>
    <row r="828" spans="4:34" ht="13.2" outlineLevel="2" x14ac:dyDescent="0.2">
      <c r="E828" s="2" t="s">
        <v>314</v>
      </c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H828" s="34" t="s">
        <v>422</v>
      </c>
    </row>
    <row r="829" spans="4:34" outlineLevel="2" x14ac:dyDescent="0.2">
      <c r="E829" s="7">
        <v>43831</v>
      </c>
      <c r="F829" s="7">
        <f t="shared" ref="F829" si="960">EDATE(E829,12)</f>
        <v>44197</v>
      </c>
      <c r="G829" s="7">
        <f t="shared" ref="G829" si="961">EDATE(F829,12)</f>
        <v>44562</v>
      </c>
      <c r="H829" s="7">
        <f t="shared" ref="H829" si="962">EDATE(G829,12)</f>
        <v>44927</v>
      </c>
      <c r="I829" s="7">
        <f t="shared" ref="I829" si="963">EDATE(H829,12)</f>
        <v>45292</v>
      </c>
      <c r="J829" s="7">
        <f t="shared" ref="J829" si="964">EDATE(I829,12)</f>
        <v>45658</v>
      </c>
      <c r="K829" s="7">
        <f t="shared" ref="K829" si="965">EDATE(J829,12)</f>
        <v>46023</v>
      </c>
      <c r="L829" s="7">
        <f t="shared" ref="L829" si="966">EDATE(K829,12)</f>
        <v>46388</v>
      </c>
      <c r="M829" s="7">
        <f t="shared" ref="M829" si="967">EDATE(L829,12)</f>
        <v>46753</v>
      </c>
      <c r="N829" s="7">
        <f t="shared" ref="N829" si="968">EDATE(M829,12)</f>
        <v>47119</v>
      </c>
      <c r="O829" s="7">
        <f t="shared" ref="O829" si="969">EDATE(N829,12)</f>
        <v>47484</v>
      </c>
      <c r="P829" s="7">
        <f t="shared" ref="P829" si="970">EDATE(O829,12)</f>
        <v>47849</v>
      </c>
      <c r="Q829" s="7">
        <f t="shared" ref="Q829" si="971">EDATE(P829,12)</f>
        <v>48214</v>
      </c>
      <c r="R829" s="7">
        <f t="shared" ref="R829" si="972">EDATE(Q829,12)</f>
        <v>48580</v>
      </c>
      <c r="S829" s="7">
        <f t="shared" ref="S829" si="973">EDATE(R829,12)</f>
        <v>48945</v>
      </c>
      <c r="T829" s="7">
        <f t="shared" ref="T829" si="974">EDATE(S829,12)</f>
        <v>49310</v>
      </c>
      <c r="U829" s="7">
        <f t="shared" ref="U829" si="975">EDATE(T829,12)</f>
        <v>49675</v>
      </c>
      <c r="V829" s="7">
        <f t="shared" ref="V829" si="976">EDATE(U829,12)</f>
        <v>50041</v>
      </c>
      <c r="W829" s="7">
        <f t="shared" ref="W829" si="977">EDATE(V829,12)</f>
        <v>50406</v>
      </c>
      <c r="X829" s="7">
        <f t="shared" ref="X829" si="978">EDATE(W829,12)</f>
        <v>50771</v>
      </c>
      <c r="Y829" s="7">
        <f t="shared" ref="Y829" si="979">EDATE(X829,12)</f>
        <v>51136</v>
      </c>
      <c r="Z829" s="7">
        <f t="shared" ref="Z829" si="980">EDATE(Y829,12)</f>
        <v>51502</v>
      </c>
      <c r="AA829" s="7">
        <f t="shared" ref="AA829" si="981">EDATE(Z829,12)</f>
        <v>51867</v>
      </c>
      <c r="AB829" s="7">
        <f t="shared" ref="AB829" si="982">EDATE(AA829,12)</f>
        <v>52232</v>
      </c>
      <c r="AC829" s="7">
        <f t="shared" ref="AC829" si="983">EDATE(AB829,12)</f>
        <v>52597</v>
      </c>
      <c r="AD829" s="7">
        <f>EDATE(AC829,12)</f>
        <v>52963</v>
      </c>
      <c r="AH829" s="34" t="s">
        <v>422</v>
      </c>
    </row>
    <row r="830" spans="4:34" outlineLevel="2" x14ac:dyDescent="0.2">
      <c r="D830" s="8" t="s">
        <v>257</v>
      </c>
      <c r="E830" s="10">
        <f>-E408*INDEX('Deliverability Upgrade Factors'!$F:$F,MATCH(SUBSTITUTE(Dashboard!$D830,"_group",Dashboard!$D$763),'Deliverability Upgrade Factors'!$B:$B,0))</f>
        <v>0</v>
      </c>
      <c r="F830" s="10">
        <f>-F408*INDEX('Deliverability Upgrade Factors'!$F:$F,MATCH(SUBSTITUTE(Dashboard!$D830,"_group",Dashboard!$D$763),'Deliverability Upgrade Factors'!$B:$B,0))</f>
        <v>0</v>
      </c>
      <c r="G830" s="10">
        <f>-G408*INDEX('Deliverability Upgrade Factors'!$F:$F,MATCH(SUBSTITUTE(Dashboard!$D830,"_group",Dashboard!$D$763),'Deliverability Upgrade Factors'!$B:$B,0))</f>
        <v>0</v>
      </c>
      <c r="H830" s="10">
        <f>-H408*INDEX('Deliverability Upgrade Factors'!$F:$F,MATCH(SUBSTITUTE(Dashboard!$D830,"_group",Dashboard!$D$763),'Deliverability Upgrade Factors'!$B:$B,0))</f>
        <v>0</v>
      </c>
      <c r="I830" s="10">
        <f>-I408*INDEX('Deliverability Upgrade Factors'!$F:$F,MATCH(SUBSTITUTE(Dashboard!$D830,"_group",Dashboard!$D$763),'Deliverability Upgrade Factors'!$B:$B,0))</f>
        <v>0</v>
      </c>
      <c r="J830" s="10">
        <f>-J408*INDEX('Deliverability Upgrade Factors'!$F:$F,MATCH(SUBSTITUTE(Dashboard!$D830,"_group",Dashboard!$D$763),'Deliverability Upgrade Factors'!$B:$B,0))</f>
        <v>0</v>
      </c>
      <c r="K830" s="10">
        <f>-K408*INDEX('Deliverability Upgrade Factors'!$F:$F,MATCH(SUBSTITUTE(Dashboard!$D830,"_group",Dashboard!$D$763),'Deliverability Upgrade Factors'!$B:$B,0))</f>
        <v>0</v>
      </c>
      <c r="L830" s="10">
        <f>-L408*INDEX('Deliverability Upgrade Factors'!$F:$F,MATCH(SUBSTITUTE(Dashboard!$D830,"_group",Dashboard!$D$763),'Deliverability Upgrade Factors'!$B:$B,0))</f>
        <v>0</v>
      </c>
      <c r="M830" s="10">
        <f>-M408*INDEX('Deliverability Upgrade Factors'!$F:$F,MATCH(SUBSTITUTE(Dashboard!$D830,"_group",Dashboard!$D$763),'Deliverability Upgrade Factors'!$B:$B,0))</f>
        <v>0</v>
      </c>
      <c r="N830" s="10">
        <f>-N408*INDEX('Deliverability Upgrade Factors'!$F:$F,MATCH(SUBSTITUTE(Dashboard!$D830,"_group",Dashboard!$D$763),'Deliverability Upgrade Factors'!$B:$B,0))</f>
        <v>0</v>
      </c>
      <c r="O830" s="10">
        <f>-O408*INDEX('Deliverability Upgrade Factors'!$F:$F,MATCH(SUBSTITUTE(Dashboard!$D830,"_group",Dashboard!$D$763),'Deliverability Upgrade Factors'!$B:$B,0))</f>
        <v>0</v>
      </c>
      <c r="P830" s="10">
        <f>-P408*INDEX('Deliverability Upgrade Factors'!$F:$F,MATCH(SUBSTITUTE(Dashboard!$D830,"_group",Dashboard!$D$763),'Deliverability Upgrade Factors'!$B:$B,0))</f>
        <v>0</v>
      </c>
      <c r="Q830" s="10">
        <f>-Q408*INDEX('Deliverability Upgrade Factors'!$F:$F,MATCH(SUBSTITUTE(Dashboard!$D830,"_group",Dashboard!$D$763),'Deliverability Upgrade Factors'!$B:$B,0))</f>
        <v>0</v>
      </c>
      <c r="R830" s="10">
        <f>-R408*INDEX('Deliverability Upgrade Factors'!$F:$F,MATCH(SUBSTITUTE(Dashboard!$D830,"_group",Dashboard!$D$763),'Deliverability Upgrade Factors'!$B:$B,0))</f>
        <v>0</v>
      </c>
      <c r="S830" s="10">
        <f>-S408*INDEX('Deliverability Upgrade Factors'!$F:$F,MATCH(SUBSTITUTE(Dashboard!$D830,"_group",Dashboard!$D$763),'Deliverability Upgrade Factors'!$B:$B,0))</f>
        <v>0</v>
      </c>
      <c r="T830" s="10">
        <f>-T408*INDEX('Deliverability Upgrade Factors'!$F:$F,MATCH(SUBSTITUTE(Dashboard!$D830,"_group",Dashboard!$D$763),'Deliverability Upgrade Factors'!$B:$B,0))</f>
        <v>0</v>
      </c>
      <c r="U830" s="10">
        <f>-U408*INDEX('Deliverability Upgrade Factors'!$F:$F,MATCH(SUBSTITUTE(Dashboard!$D830,"_group",Dashboard!$D$763),'Deliverability Upgrade Factors'!$B:$B,0))</f>
        <v>0</v>
      </c>
      <c r="V830" s="10">
        <f>-V408*INDEX('Deliverability Upgrade Factors'!$F:$F,MATCH(SUBSTITUTE(Dashboard!$D830,"_group",Dashboard!$D$763),'Deliverability Upgrade Factors'!$B:$B,0))</f>
        <v>0</v>
      </c>
      <c r="W830" s="10">
        <f>-W408*INDEX('Deliverability Upgrade Factors'!$F:$F,MATCH(SUBSTITUTE(Dashboard!$D830,"_group",Dashboard!$D$763),'Deliverability Upgrade Factors'!$B:$B,0))</f>
        <v>0</v>
      </c>
      <c r="X830" s="10">
        <f>-X408*INDEX('Deliverability Upgrade Factors'!$F:$F,MATCH(SUBSTITUTE(Dashboard!$D830,"_group",Dashboard!$D$763),'Deliverability Upgrade Factors'!$B:$B,0))</f>
        <v>0</v>
      </c>
      <c r="Y830" s="10">
        <f>-Y408*INDEX('Deliverability Upgrade Factors'!$F:$F,MATCH(SUBSTITUTE(Dashboard!$D830,"_group",Dashboard!$D$763),'Deliverability Upgrade Factors'!$B:$B,0))</f>
        <v>0</v>
      </c>
      <c r="Z830" s="10">
        <f>-Z408*INDEX('Deliverability Upgrade Factors'!$F:$F,MATCH(SUBSTITUTE(Dashboard!$D830,"_group",Dashboard!$D$763),'Deliverability Upgrade Factors'!$B:$B,0))</f>
        <v>0</v>
      </c>
      <c r="AA830" s="10">
        <f>-AA408*INDEX('Deliverability Upgrade Factors'!$F:$F,MATCH(SUBSTITUTE(Dashboard!$D830,"_group",Dashboard!$D$763),'Deliverability Upgrade Factors'!$B:$B,0))</f>
        <v>0</v>
      </c>
      <c r="AB830" s="10">
        <f>-AB408*INDEX('Deliverability Upgrade Factors'!$F:$F,MATCH(SUBSTITUTE(Dashboard!$D830,"_group",Dashboard!$D$763),'Deliverability Upgrade Factors'!$B:$B,0))</f>
        <v>0</v>
      </c>
      <c r="AC830" s="10">
        <f>-AC408*INDEX('Deliverability Upgrade Factors'!$F:$F,MATCH(SUBSTITUTE(Dashboard!$D830,"_group",Dashboard!$D$763),'Deliverability Upgrade Factors'!$B:$B,0))</f>
        <v>0</v>
      </c>
      <c r="AD830" s="10">
        <f>-AD408*INDEX('Deliverability Upgrade Factors'!$F:$F,MATCH(SUBSTITUTE(Dashboard!$D830,"_group",Dashboard!$D$763),'Deliverability Upgrade Factors'!$B:$B,0))</f>
        <v>0</v>
      </c>
      <c r="AH830" s="34" t="s">
        <v>422</v>
      </c>
    </row>
    <row r="831" spans="4:34" outlineLevel="2" x14ac:dyDescent="0.2">
      <c r="D831" s="8" t="s">
        <v>258</v>
      </c>
      <c r="E831" s="10">
        <f>-E409*INDEX('Deliverability Upgrade Factors'!$F:$F,MATCH(SUBSTITUTE(Dashboard!$D831,"_group",Dashboard!$D$763),'Deliverability Upgrade Factors'!$B:$B,0))</f>
        <v>0</v>
      </c>
      <c r="F831" s="10">
        <f>-F409*INDEX('Deliverability Upgrade Factors'!$F:$F,MATCH(SUBSTITUTE(Dashboard!$D831,"_group",Dashboard!$D$763),'Deliverability Upgrade Factors'!$B:$B,0))</f>
        <v>0</v>
      </c>
      <c r="G831" s="10">
        <f>-G409*INDEX('Deliverability Upgrade Factors'!$F:$F,MATCH(SUBSTITUTE(Dashboard!$D831,"_group",Dashboard!$D$763),'Deliverability Upgrade Factors'!$B:$B,0))</f>
        <v>0</v>
      </c>
      <c r="H831" s="10">
        <f>-H409*INDEX('Deliverability Upgrade Factors'!$F:$F,MATCH(SUBSTITUTE(Dashboard!$D831,"_group",Dashboard!$D$763),'Deliverability Upgrade Factors'!$B:$B,0))</f>
        <v>0</v>
      </c>
      <c r="I831" s="10">
        <f>-I409*INDEX('Deliverability Upgrade Factors'!$F:$F,MATCH(SUBSTITUTE(Dashboard!$D831,"_group",Dashboard!$D$763),'Deliverability Upgrade Factors'!$B:$B,0))</f>
        <v>0</v>
      </c>
      <c r="J831" s="10">
        <f>-J409*INDEX('Deliverability Upgrade Factors'!$F:$F,MATCH(SUBSTITUTE(Dashboard!$D831,"_group",Dashboard!$D$763),'Deliverability Upgrade Factors'!$B:$B,0))</f>
        <v>0</v>
      </c>
      <c r="K831" s="10">
        <f>-K409*INDEX('Deliverability Upgrade Factors'!$F:$F,MATCH(SUBSTITUTE(Dashboard!$D831,"_group",Dashboard!$D$763),'Deliverability Upgrade Factors'!$B:$B,0))</f>
        <v>0</v>
      </c>
      <c r="L831" s="10">
        <f>-L409*INDEX('Deliverability Upgrade Factors'!$F:$F,MATCH(SUBSTITUTE(Dashboard!$D831,"_group",Dashboard!$D$763),'Deliverability Upgrade Factors'!$B:$B,0))</f>
        <v>0</v>
      </c>
      <c r="M831" s="10">
        <f>-M409*INDEX('Deliverability Upgrade Factors'!$F:$F,MATCH(SUBSTITUTE(Dashboard!$D831,"_group",Dashboard!$D$763),'Deliverability Upgrade Factors'!$B:$B,0))</f>
        <v>0</v>
      </c>
      <c r="N831" s="10">
        <f>-N409*INDEX('Deliverability Upgrade Factors'!$F:$F,MATCH(SUBSTITUTE(Dashboard!$D831,"_group",Dashboard!$D$763),'Deliverability Upgrade Factors'!$B:$B,0))</f>
        <v>0</v>
      </c>
      <c r="O831" s="10">
        <f>-O409*INDEX('Deliverability Upgrade Factors'!$F:$F,MATCH(SUBSTITUTE(Dashboard!$D831,"_group",Dashboard!$D$763),'Deliverability Upgrade Factors'!$B:$B,0))</f>
        <v>0</v>
      </c>
      <c r="P831" s="10">
        <f>-P409*INDEX('Deliverability Upgrade Factors'!$F:$F,MATCH(SUBSTITUTE(Dashboard!$D831,"_group",Dashboard!$D$763),'Deliverability Upgrade Factors'!$B:$B,0))</f>
        <v>0</v>
      </c>
      <c r="Q831" s="10">
        <f>-Q409*INDEX('Deliverability Upgrade Factors'!$F:$F,MATCH(SUBSTITUTE(Dashboard!$D831,"_group",Dashboard!$D$763),'Deliverability Upgrade Factors'!$B:$B,0))</f>
        <v>0</v>
      </c>
      <c r="R831" s="10">
        <f>-R409*INDEX('Deliverability Upgrade Factors'!$F:$F,MATCH(SUBSTITUTE(Dashboard!$D831,"_group",Dashboard!$D$763),'Deliverability Upgrade Factors'!$B:$B,0))</f>
        <v>0</v>
      </c>
      <c r="S831" s="10">
        <f>-S409*INDEX('Deliverability Upgrade Factors'!$F:$F,MATCH(SUBSTITUTE(Dashboard!$D831,"_group",Dashboard!$D$763),'Deliverability Upgrade Factors'!$B:$B,0))</f>
        <v>0</v>
      </c>
      <c r="T831" s="10">
        <f>-T409*INDEX('Deliverability Upgrade Factors'!$F:$F,MATCH(SUBSTITUTE(Dashboard!$D831,"_group",Dashboard!$D$763),'Deliverability Upgrade Factors'!$B:$B,0))</f>
        <v>0</v>
      </c>
      <c r="U831" s="10">
        <f>-U409*INDEX('Deliverability Upgrade Factors'!$F:$F,MATCH(SUBSTITUTE(Dashboard!$D831,"_group",Dashboard!$D$763),'Deliverability Upgrade Factors'!$B:$B,0))</f>
        <v>0</v>
      </c>
      <c r="V831" s="10">
        <f>-V409*INDEX('Deliverability Upgrade Factors'!$F:$F,MATCH(SUBSTITUTE(Dashboard!$D831,"_group",Dashboard!$D$763),'Deliverability Upgrade Factors'!$B:$B,0))</f>
        <v>0</v>
      </c>
      <c r="W831" s="10">
        <f>-W409*INDEX('Deliverability Upgrade Factors'!$F:$F,MATCH(SUBSTITUTE(Dashboard!$D831,"_group",Dashboard!$D$763),'Deliverability Upgrade Factors'!$B:$B,0))</f>
        <v>0</v>
      </c>
      <c r="X831" s="10">
        <f>-X409*INDEX('Deliverability Upgrade Factors'!$F:$F,MATCH(SUBSTITUTE(Dashboard!$D831,"_group",Dashboard!$D$763),'Deliverability Upgrade Factors'!$B:$B,0))</f>
        <v>0</v>
      </c>
      <c r="Y831" s="10">
        <f>-Y409*INDEX('Deliverability Upgrade Factors'!$F:$F,MATCH(SUBSTITUTE(Dashboard!$D831,"_group",Dashboard!$D$763),'Deliverability Upgrade Factors'!$B:$B,0))</f>
        <v>0</v>
      </c>
      <c r="Z831" s="10">
        <f>-Z409*INDEX('Deliverability Upgrade Factors'!$F:$F,MATCH(SUBSTITUTE(Dashboard!$D831,"_group",Dashboard!$D$763),'Deliverability Upgrade Factors'!$B:$B,0))</f>
        <v>0</v>
      </c>
      <c r="AA831" s="10">
        <f>-AA409*INDEX('Deliverability Upgrade Factors'!$F:$F,MATCH(SUBSTITUTE(Dashboard!$D831,"_group",Dashboard!$D$763),'Deliverability Upgrade Factors'!$B:$B,0))</f>
        <v>0</v>
      </c>
      <c r="AB831" s="10">
        <f>-AB409*INDEX('Deliverability Upgrade Factors'!$F:$F,MATCH(SUBSTITUTE(Dashboard!$D831,"_group",Dashboard!$D$763),'Deliverability Upgrade Factors'!$B:$B,0))</f>
        <v>0</v>
      </c>
      <c r="AC831" s="10">
        <f>-AC409*INDEX('Deliverability Upgrade Factors'!$F:$F,MATCH(SUBSTITUTE(Dashboard!$D831,"_group",Dashboard!$D$763),'Deliverability Upgrade Factors'!$B:$B,0))</f>
        <v>0</v>
      </c>
      <c r="AD831" s="10">
        <f>-AD409*INDEX('Deliverability Upgrade Factors'!$F:$F,MATCH(SUBSTITUTE(Dashboard!$D831,"_group",Dashboard!$D$763),'Deliverability Upgrade Factors'!$B:$B,0))</f>
        <v>0</v>
      </c>
      <c r="AH831" s="34" t="s">
        <v>422</v>
      </c>
    </row>
    <row r="832" spans="4:34" outlineLevel="2" x14ac:dyDescent="0.2">
      <c r="D832" s="8" t="s">
        <v>259</v>
      </c>
      <c r="E832" s="10">
        <f>-E410*INDEX('Deliverability Upgrade Factors'!$F:$F,MATCH(SUBSTITUTE(Dashboard!$D832,"_group",Dashboard!$D$763),'Deliverability Upgrade Factors'!$B:$B,0))</f>
        <v>0</v>
      </c>
      <c r="F832" s="10">
        <f>-F410*INDEX('Deliverability Upgrade Factors'!$F:$F,MATCH(SUBSTITUTE(Dashboard!$D832,"_group",Dashboard!$D$763),'Deliverability Upgrade Factors'!$B:$B,0))</f>
        <v>0</v>
      </c>
      <c r="G832" s="10">
        <f>-G410*INDEX('Deliverability Upgrade Factors'!$F:$F,MATCH(SUBSTITUTE(Dashboard!$D832,"_group",Dashboard!$D$763),'Deliverability Upgrade Factors'!$B:$B,0))</f>
        <v>0</v>
      </c>
      <c r="H832" s="10">
        <f>-H410*INDEX('Deliverability Upgrade Factors'!$F:$F,MATCH(SUBSTITUTE(Dashboard!$D832,"_group",Dashboard!$D$763),'Deliverability Upgrade Factors'!$B:$B,0))</f>
        <v>0</v>
      </c>
      <c r="I832" s="10">
        <f>-I410*INDEX('Deliverability Upgrade Factors'!$F:$F,MATCH(SUBSTITUTE(Dashboard!$D832,"_group",Dashboard!$D$763),'Deliverability Upgrade Factors'!$B:$B,0))</f>
        <v>0</v>
      </c>
      <c r="J832" s="10">
        <f>-J410*INDEX('Deliverability Upgrade Factors'!$F:$F,MATCH(SUBSTITUTE(Dashboard!$D832,"_group",Dashboard!$D$763),'Deliverability Upgrade Factors'!$B:$B,0))</f>
        <v>0</v>
      </c>
      <c r="K832" s="10">
        <f>-K410*INDEX('Deliverability Upgrade Factors'!$F:$F,MATCH(SUBSTITUTE(Dashboard!$D832,"_group",Dashboard!$D$763),'Deliverability Upgrade Factors'!$B:$B,0))</f>
        <v>0</v>
      </c>
      <c r="L832" s="10">
        <f>-L410*INDEX('Deliverability Upgrade Factors'!$F:$F,MATCH(SUBSTITUTE(Dashboard!$D832,"_group",Dashboard!$D$763),'Deliverability Upgrade Factors'!$B:$B,0))</f>
        <v>0</v>
      </c>
      <c r="M832" s="10">
        <f>-M410*INDEX('Deliverability Upgrade Factors'!$F:$F,MATCH(SUBSTITUTE(Dashboard!$D832,"_group",Dashboard!$D$763),'Deliverability Upgrade Factors'!$B:$B,0))</f>
        <v>0</v>
      </c>
      <c r="N832" s="10">
        <f>-N410*INDEX('Deliverability Upgrade Factors'!$F:$F,MATCH(SUBSTITUTE(Dashboard!$D832,"_group",Dashboard!$D$763),'Deliverability Upgrade Factors'!$B:$B,0))</f>
        <v>0</v>
      </c>
      <c r="O832" s="10">
        <f>-O410*INDEX('Deliverability Upgrade Factors'!$F:$F,MATCH(SUBSTITUTE(Dashboard!$D832,"_group",Dashboard!$D$763),'Deliverability Upgrade Factors'!$B:$B,0))</f>
        <v>0</v>
      </c>
      <c r="P832" s="10">
        <f>-P410*INDEX('Deliverability Upgrade Factors'!$F:$F,MATCH(SUBSTITUTE(Dashboard!$D832,"_group",Dashboard!$D$763),'Deliverability Upgrade Factors'!$B:$B,0))</f>
        <v>0</v>
      </c>
      <c r="Q832" s="10">
        <f>-Q410*INDEX('Deliverability Upgrade Factors'!$F:$F,MATCH(SUBSTITUTE(Dashboard!$D832,"_group",Dashboard!$D$763),'Deliverability Upgrade Factors'!$B:$B,0))</f>
        <v>0</v>
      </c>
      <c r="R832" s="10">
        <f>-R410*INDEX('Deliverability Upgrade Factors'!$F:$F,MATCH(SUBSTITUTE(Dashboard!$D832,"_group",Dashboard!$D$763),'Deliverability Upgrade Factors'!$B:$B,0))</f>
        <v>0</v>
      </c>
      <c r="S832" s="10">
        <f>-S410*INDEX('Deliverability Upgrade Factors'!$F:$F,MATCH(SUBSTITUTE(Dashboard!$D832,"_group",Dashboard!$D$763),'Deliverability Upgrade Factors'!$B:$B,0))</f>
        <v>0</v>
      </c>
      <c r="T832" s="10">
        <f>-T410*INDEX('Deliverability Upgrade Factors'!$F:$F,MATCH(SUBSTITUTE(Dashboard!$D832,"_group",Dashboard!$D$763),'Deliverability Upgrade Factors'!$B:$B,0))</f>
        <v>0</v>
      </c>
      <c r="U832" s="10">
        <f>-U410*INDEX('Deliverability Upgrade Factors'!$F:$F,MATCH(SUBSTITUTE(Dashboard!$D832,"_group",Dashboard!$D$763),'Deliverability Upgrade Factors'!$B:$B,0))</f>
        <v>0</v>
      </c>
      <c r="V832" s="10">
        <f>-V410*INDEX('Deliverability Upgrade Factors'!$F:$F,MATCH(SUBSTITUTE(Dashboard!$D832,"_group",Dashboard!$D$763),'Deliverability Upgrade Factors'!$B:$B,0))</f>
        <v>0</v>
      </c>
      <c r="W832" s="10">
        <f>-W410*INDEX('Deliverability Upgrade Factors'!$F:$F,MATCH(SUBSTITUTE(Dashboard!$D832,"_group",Dashboard!$D$763),'Deliverability Upgrade Factors'!$B:$B,0))</f>
        <v>0</v>
      </c>
      <c r="X832" s="10">
        <f>-X410*INDEX('Deliverability Upgrade Factors'!$F:$F,MATCH(SUBSTITUTE(Dashboard!$D832,"_group",Dashboard!$D$763),'Deliverability Upgrade Factors'!$B:$B,0))</f>
        <v>0</v>
      </c>
      <c r="Y832" s="10">
        <f>-Y410*INDEX('Deliverability Upgrade Factors'!$F:$F,MATCH(SUBSTITUTE(Dashboard!$D832,"_group",Dashboard!$D$763),'Deliverability Upgrade Factors'!$B:$B,0))</f>
        <v>0</v>
      </c>
      <c r="Z832" s="10">
        <f>-Z410*INDEX('Deliverability Upgrade Factors'!$F:$F,MATCH(SUBSTITUTE(Dashboard!$D832,"_group",Dashboard!$D$763),'Deliverability Upgrade Factors'!$B:$B,0))</f>
        <v>0</v>
      </c>
      <c r="AA832" s="10">
        <f>-AA410*INDEX('Deliverability Upgrade Factors'!$F:$F,MATCH(SUBSTITUTE(Dashboard!$D832,"_group",Dashboard!$D$763),'Deliverability Upgrade Factors'!$B:$B,0))</f>
        <v>0</v>
      </c>
      <c r="AB832" s="10">
        <f>-AB410*INDEX('Deliverability Upgrade Factors'!$F:$F,MATCH(SUBSTITUTE(Dashboard!$D832,"_group",Dashboard!$D$763),'Deliverability Upgrade Factors'!$B:$B,0))</f>
        <v>0</v>
      </c>
      <c r="AC832" s="10">
        <f>-AC410*INDEX('Deliverability Upgrade Factors'!$F:$F,MATCH(SUBSTITUTE(Dashboard!$D832,"_group",Dashboard!$D$763),'Deliverability Upgrade Factors'!$B:$B,0))</f>
        <v>0</v>
      </c>
      <c r="AD832" s="10">
        <f>-AD410*INDEX('Deliverability Upgrade Factors'!$F:$F,MATCH(SUBSTITUTE(Dashboard!$D832,"_group",Dashboard!$D$763),'Deliverability Upgrade Factors'!$B:$B,0))</f>
        <v>0</v>
      </c>
      <c r="AH832" s="34" t="s">
        <v>422</v>
      </c>
    </row>
    <row r="833" spans="4:34" outlineLevel="2" x14ac:dyDescent="0.2">
      <c r="D833" s="8" t="s">
        <v>260</v>
      </c>
      <c r="E833" s="10">
        <f>-E411*INDEX('Deliverability Upgrade Factors'!$F:$F,MATCH(SUBSTITUTE(Dashboard!$D833,"_group",Dashboard!$D$763),'Deliverability Upgrade Factors'!$B:$B,0))</f>
        <v>0</v>
      </c>
      <c r="F833" s="10">
        <f>-F411*INDEX('Deliverability Upgrade Factors'!$F:$F,MATCH(SUBSTITUTE(Dashboard!$D833,"_group",Dashboard!$D$763),'Deliverability Upgrade Factors'!$B:$B,0))</f>
        <v>0</v>
      </c>
      <c r="G833" s="10">
        <f>-G411*INDEX('Deliverability Upgrade Factors'!$F:$F,MATCH(SUBSTITUTE(Dashboard!$D833,"_group",Dashboard!$D$763),'Deliverability Upgrade Factors'!$B:$B,0))</f>
        <v>0</v>
      </c>
      <c r="H833" s="10">
        <f>-H411*INDEX('Deliverability Upgrade Factors'!$F:$F,MATCH(SUBSTITUTE(Dashboard!$D833,"_group",Dashboard!$D$763),'Deliverability Upgrade Factors'!$B:$B,0))</f>
        <v>0</v>
      </c>
      <c r="I833" s="10">
        <f>-I411*INDEX('Deliverability Upgrade Factors'!$F:$F,MATCH(SUBSTITUTE(Dashboard!$D833,"_group",Dashboard!$D$763),'Deliverability Upgrade Factors'!$B:$B,0))</f>
        <v>0</v>
      </c>
      <c r="J833" s="10">
        <f>-J411*INDEX('Deliverability Upgrade Factors'!$F:$F,MATCH(SUBSTITUTE(Dashboard!$D833,"_group",Dashboard!$D$763),'Deliverability Upgrade Factors'!$B:$B,0))</f>
        <v>0</v>
      </c>
      <c r="K833" s="10">
        <f>-K411*INDEX('Deliverability Upgrade Factors'!$F:$F,MATCH(SUBSTITUTE(Dashboard!$D833,"_group",Dashboard!$D$763),'Deliverability Upgrade Factors'!$B:$B,0))</f>
        <v>0</v>
      </c>
      <c r="L833" s="10">
        <f>-L411*INDEX('Deliverability Upgrade Factors'!$F:$F,MATCH(SUBSTITUTE(Dashboard!$D833,"_group",Dashboard!$D$763),'Deliverability Upgrade Factors'!$B:$B,0))</f>
        <v>0</v>
      </c>
      <c r="M833" s="10">
        <f>-M411*INDEX('Deliverability Upgrade Factors'!$F:$F,MATCH(SUBSTITUTE(Dashboard!$D833,"_group",Dashboard!$D$763),'Deliverability Upgrade Factors'!$B:$B,0))</f>
        <v>0</v>
      </c>
      <c r="N833" s="10">
        <f>-N411*INDEX('Deliverability Upgrade Factors'!$F:$F,MATCH(SUBSTITUTE(Dashboard!$D833,"_group",Dashboard!$D$763),'Deliverability Upgrade Factors'!$B:$B,0))</f>
        <v>0</v>
      </c>
      <c r="O833" s="10">
        <f>-O411*INDEX('Deliverability Upgrade Factors'!$F:$F,MATCH(SUBSTITUTE(Dashboard!$D833,"_group",Dashboard!$D$763),'Deliverability Upgrade Factors'!$B:$B,0))</f>
        <v>0</v>
      </c>
      <c r="P833" s="10">
        <f>-P411*INDEX('Deliverability Upgrade Factors'!$F:$F,MATCH(SUBSTITUTE(Dashboard!$D833,"_group",Dashboard!$D$763),'Deliverability Upgrade Factors'!$B:$B,0))</f>
        <v>0</v>
      </c>
      <c r="Q833" s="10">
        <f>-Q411*INDEX('Deliverability Upgrade Factors'!$F:$F,MATCH(SUBSTITUTE(Dashboard!$D833,"_group",Dashboard!$D$763),'Deliverability Upgrade Factors'!$B:$B,0))</f>
        <v>0</v>
      </c>
      <c r="R833" s="10">
        <f>-R411*INDEX('Deliverability Upgrade Factors'!$F:$F,MATCH(SUBSTITUTE(Dashboard!$D833,"_group",Dashboard!$D$763),'Deliverability Upgrade Factors'!$B:$B,0))</f>
        <v>0</v>
      </c>
      <c r="S833" s="10">
        <f>-S411*INDEX('Deliverability Upgrade Factors'!$F:$F,MATCH(SUBSTITUTE(Dashboard!$D833,"_group",Dashboard!$D$763),'Deliverability Upgrade Factors'!$B:$B,0))</f>
        <v>0</v>
      </c>
      <c r="T833" s="10">
        <f>-T411*INDEX('Deliverability Upgrade Factors'!$F:$F,MATCH(SUBSTITUTE(Dashboard!$D833,"_group",Dashboard!$D$763),'Deliverability Upgrade Factors'!$B:$B,0))</f>
        <v>0</v>
      </c>
      <c r="U833" s="10">
        <f>-U411*INDEX('Deliverability Upgrade Factors'!$F:$F,MATCH(SUBSTITUTE(Dashboard!$D833,"_group",Dashboard!$D$763),'Deliverability Upgrade Factors'!$B:$B,0))</f>
        <v>0</v>
      </c>
      <c r="V833" s="10">
        <f>-V411*INDEX('Deliverability Upgrade Factors'!$F:$F,MATCH(SUBSTITUTE(Dashboard!$D833,"_group",Dashboard!$D$763),'Deliverability Upgrade Factors'!$B:$B,0))</f>
        <v>0</v>
      </c>
      <c r="W833" s="10">
        <f>-W411*INDEX('Deliverability Upgrade Factors'!$F:$F,MATCH(SUBSTITUTE(Dashboard!$D833,"_group",Dashboard!$D$763),'Deliverability Upgrade Factors'!$B:$B,0))</f>
        <v>0</v>
      </c>
      <c r="X833" s="10">
        <f>-X411*INDEX('Deliverability Upgrade Factors'!$F:$F,MATCH(SUBSTITUTE(Dashboard!$D833,"_group",Dashboard!$D$763),'Deliverability Upgrade Factors'!$B:$B,0))</f>
        <v>0</v>
      </c>
      <c r="Y833" s="10">
        <f>-Y411*INDEX('Deliverability Upgrade Factors'!$F:$F,MATCH(SUBSTITUTE(Dashboard!$D833,"_group",Dashboard!$D$763),'Deliverability Upgrade Factors'!$B:$B,0))</f>
        <v>0</v>
      </c>
      <c r="Z833" s="10">
        <f>-Z411*INDEX('Deliverability Upgrade Factors'!$F:$F,MATCH(SUBSTITUTE(Dashboard!$D833,"_group",Dashboard!$D$763),'Deliverability Upgrade Factors'!$B:$B,0))</f>
        <v>0</v>
      </c>
      <c r="AA833" s="10">
        <f>-AA411*INDEX('Deliverability Upgrade Factors'!$F:$F,MATCH(SUBSTITUTE(Dashboard!$D833,"_group",Dashboard!$D$763),'Deliverability Upgrade Factors'!$B:$B,0))</f>
        <v>0</v>
      </c>
      <c r="AB833" s="10">
        <f>-AB411*INDEX('Deliverability Upgrade Factors'!$F:$F,MATCH(SUBSTITUTE(Dashboard!$D833,"_group",Dashboard!$D$763),'Deliverability Upgrade Factors'!$B:$B,0))</f>
        <v>0</v>
      </c>
      <c r="AC833" s="10">
        <f>-AC411*INDEX('Deliverability Upgrade Factors'!$F:$F,MATCH(SUBSTITUTE(Dashboard!$D833,"_group",Dashboard!$D$763),'Deliverability Upgrade Factors'!$B:$B,0))</f>
        <v>0</v>
      </c>
      <c r="AD833" s="10">
        <f>-AD411*INDEX('Deliverability Upgrade Factors'!$F:$F,MATCH(SUBSTITUTE(Dashboard!$D833,"_group",Dashboard!$D$763),'Deliverability Upgrade Factors'!$B:$B,0))</f>
        <v>0</v>
      </c>
      <c r="AH833" s="34" t="s">
        <v>422</v>
      </c>
    </row>
    <row r="834" spans="4:34" outlineLevel="2" x14ac:dyDescent="0.2">
      <c r="D834" s="8" t="s">
        <v>261</v>
      </c>
      <c r="E834" s="10">
        <f>-E412*INDEX('Deliverability Upgrade Factors'!$F:$F,MATCH(SUBSTITUTE(Dashboard!$D834,"_group",Dashboard!$D$763),'Deliverability Upgrade Factors'!$B:$B,0))</f>
        <v>0</v>
      </c>
      <c r="F834" s="10">
        <f>-F412*INDEX('Deliverability Upgrade Factors'!$F:$F,MATCH(SUBSTITUTE(Dashboard!$D834,"_group",Dashboard!$D$763),'Deliverability Upgrade Factors'!$B:$B,0))</f>
        <v>0</v>
      </c>
      <c r="G834" s="10">
        <f>-G412*INDEX('Deliverability Upgrade Factors'!$F:$F,MATCH(SUBSTITUTE(Dashboard!$D834,"_group",Dashboard!$D$763),'Deliverability Upgrade Factors'!$B:$B,0))</f>
        <v>0</v>
      </c>
      <c r="H834" s="10">
        <f>-H412*INDEX('Deliverability Upgrade Factors'!$F:$F,MATCH(SUBSTITUTE(Dashboard!$D834,"_group",Dashboard!$D$763),'Deliverability Upgrade Factors'!$B:$B,0))</f>
        <v>0</v>
      </c>
      <c r="I834" s="10">
        <f>-I412*INDEX('Deliverability Upgrade Factors'!$F:$F,MATCH(SUBSTITUTE(Dashboard!$D834,"_group",Dashboard!$D$763),'Deliverability Upgrade Factors'!$B:$B,0))</f>
        <v>0</v>
      </c>
      <c r="J834" s="10">
        <f>-J412*INDEX('Deliverability Upgrade Factors'!$F:$F,MATCH(SUBSTITUTE(Dashboard!$D834,"_group",Dashboard!$D$763),'Deliverability Upgrade Factors'!$B:$B,0))</f>
        <v>0</v>
      </c>
      <c r="K834" s="10">
        <f>-K412*INDEX('Deliverability Upgrade Factors'!$F:$F,MATCH(SUBSTITUTE(Dashboard!$D834,"_group",Dashboard!$D$763),'Deliverability Upgrade Factors'!$B:$B,0))</f>
        <v>0</v>
      </c>
      <c r="L834" s="10">
        <f>-L412*INDEX('Deliverability Upgrade Factors'!$F:$F,MATCH(SUBSTITUTE(Dashboard!$D834,"_group",Dashboard!$D$763),'Deliverability Upgrade Factors'!$B:$B,0))</f>
        <v>0</v>
      </c>
      <c r="M834" s="10">
        <f>-M412*INDEX('Deliverability Upgrade Factors'!$F:$F,MATCH(SUBSTITUTE(Dashboard!$D834,"_group",Dashboard!$D$763),'Deliverability Upgrade Factors'!$B:$B,0))</f>
        <v>0</v>
      </c>
      <c r="N834" s="10">
        <f>-N412*INDEX('Deliverability Upgrade Factors'!$F:$F,MATCH(SUBSTITUTE(Dashboard!$D834,"_group",Dashboard!$D$763),'Deliverability Upgrade Factors'!$B:$B,0))</f>
        <v>0</v>
      </c>
      <c r="O834" s="10">
        <f>-O412*INDEX('Deliverability Upgrade Factors'!$F:$F,MATCH(SUBSTITUTE(Dashboard!$D834,"_group",Dashboard!$D$763),'Deliverability Upgrade Factors'!$B:$B,0))</f>
        <v>0</v>
      </c>
      <c r="P834" s="10">
        <f>-P412*INDEX('Deliverability Upgrade Factors'!$F:$F,MATCH(SUBSTITUTE(Dashboard!$D834,"_group",Dashboard!$D$763),'Deliverability Upgrade Factors'!$B:$B,0))</f>
        <v>0</v>
      </c>
      <c r="Q834" s="10">
        <f>-Q412*INDEX('Deliverability Upgrade Factors'!$F:$F,MATCH(SUBSTITUTE(Dashboard!$D834,"_group",Dashboard!$D$763),'Deliverability Upgrade Factors'!$B:$B,0))</f>
        <v>0</v>
      </c>
      <c r="R834" s="10">
        <f>-R412*INDEX('Deliverability Upgrade Factors'!$F:$F,MATCH(SUBSTITUTE(Dashboard!$D834,"_group",Dashboard!$D$763),'Deliverability Upgrade Factors'!$B:$B,0))</f>
        <v>0</v>
      </c>
      <c r="S834" s="10">
        <f>-S412*INDEX('Deliverability Upgrade Factors'!$F:$F,MATCH(SUBSTITUTE(Dashboard!$D834,"_group",Dashboard!$D$763),'Deliverability Upgrade Factors'!$B:$B,0))</f>
        <v>0</v>
      </c>
      <c r="T834" s="10">
        <f>-T412*INDEX('Deliverability Upgrade Factors'!$F:$F,MATCH(SUBSTITUTE(Dashboard!$D834,"_group",Dashboard!$D$763),'Deliverability Upgrade Factors'!$B:$B,0))</f>
        <v>0</v>
      </c>
      <c r="U834" s="10">
        <f>-U412*INDEX('Deliverability Upgrade Factors'!$F:$F,MATCH(SUBSTITUTE(Dashboard!$D834,"_group",Dashboard!$D$763),'Deliverability Upgrade Factors'!$B:$B,0))</f>
        <v>0</v>
      </c>
      <c r="V834" s="10">
        <f>-V412*INDEX('Deliverability Upgrade Factors'!$F:$F,MATCH(SUBSTITUTE(Dashboard!$D834,"_group",Dashboard!$D$763),'Deliverability Upgrade Factors'!$B:$B,0))</f>
        <v>0</v>
      </c>
      <c r="W834" s="10">
        <f>-W412*INDEX('Deliverability Upgrade Factors'!$F:$F,MATCH(SUBSTITUTE(Dashboard!$D834,"_group",Dashboard!$D$763),'Deliverability Upgrade Factors'!$B:$B,0))</f>
        <v>0</v>
      </c>
      <c r="X834" s="10">
        <f>-X412*INDEX('Deliverability Upgrade Factors'!$F:$F,MATCH(SUBSTITUTE(Dashboard!$D834,"_group",Dashboard!$D$763),'Deliverability Upgrade Factors'!$B:$B,0))</f>
        <v>0</v>
      </c>
      <c r="Y834" s="10">
        <f>-Y412*INDEX('Deliverability Upgrade Factors'!$F:$F,MATCH(SUBSTITUTE(Dashboard!$D834,"_group",Dashboard!$D$763),'Deliverability Upgrade Factors'!$B:$B,0))</f>
        <v>0</v>
      </c>
      <c r="Z834" s="10">
        <f>-Z412*INDEX('Deliverability Upgrade Factors'!$F:$F,MATCH(SUBSTITUTE(Dashboard!$D834,"_group",Dashboard!$D$763),'Deliverability Upgrade Factors'!$B:$B,0))</f>
        <v>0</v>
      </c>
      <c r="AA834" s="10">
        <f>-AA412*INDEX('Deliverability Upgrade Factors'!$F:$F,MATCH(SUBSTITUTE(Dashboard!$D834,"_group",Dashboard!$D$763),'Deliverability Upgrade Factors'!$B:$B,0))</f>
        <v>0</v>
      </c>
      <c r="AB834" s="10">
        <f>-AB412*INDEX('Deliverability Upgrade Factors'!$F:$F,MATCH(SUBSTITUTE(Dashboard!$D834,"_group",Dashboard!$D$763),'Deliverability Upgrade Factors'!$B:$B,0))</f>
        <v>0</v>
      </c>
      <c r="AC834" s="10">
        <f>-AC412*INDEX('Deliverability Upgrade Factors'!$F:$F,MATCH(SUBSTITUTE(Dashboard!$D834,"_group",Dashboard!$D$763),'Deliverability Upgrade Factors'!$B:$B,0))</f>
        <v>0</v>
      </c>
      <c r="AD834" s="10">
        <f>-AD412*INDEX('Deliverability Upgrade Factors'!$F:$F,MATCH(SUBSTITUTE(Dashboard!$D834,"_group",Dashboard!$D$763),'Deliverability Upgrade Factors'!$B:$B,0))</f>
        <v>0</v>
      </c>
      <c r="AH834" s="34" t="s">
        <v>422</v>
      </c>
    </row>
    <row r="835" spans="4:34" outlineLevel="2" x14ac:dyDescent="0.2">
      <c r="D835" s="8" t="s">
        <v>262</v>
      </c>
      <c r="E835" s="10">
        <f>-E413*INDEX('Deliverability Upgrade Factors'!$F:$F,MATCH(SUBSTITUTE(Dashboard!$D835,"_group",Dashboard!$D$763),'Deliverability Upgrade Factors'!$B:$B,0))</f>
        <v>0</v>
      </c>
      <c r="F835" s="10">
        <f>-F413*INDEX('Deliverability Upgrade Factors'!$F:$F,MATCH(SUBSTITUTE(Dashboard!$D835,"_group",Dashboard!$D$763),'Deliverability Upgrade Factors'!$B:$B,0))</f>
        <v>0</v>
      </c>
      <c r="G835" s="10">
        <f>-G413*INDEX('Deliverability Upgrade Factors'!$F:$F,MATCH(SUBSTITUTE(Dashboard!$D835,"_group",Dashboard!$D$763),'Deliverability Upgrade Factors'!$B:$B,0))</f>
        <v>0</v>
      </c>
      <c r="H835" s="10">
        <f>-H413*INDEX('Deliverability Upgrade Factors'!$F:$F,MATCH(SUBSTITUTE(Dashboard!$D835,"_group",Dashboard!$D$763),'Deliverability Upgrade Factors'!$B:$B,0))</f>
        <v>0</v>
      </c>
      <c r="I835" s="10">
        <f>-I413*INDEX('Deliverability Upgrade Factors'!$F:$F,MATCH(SUBSTITUTE(Dashboard!$D835,"_group",Dashboard!$D$763),'Deliverability Upgrade Factors'!$B:$B,0))</f>
        <v>0</v>
      </c>
      <c r="J835" s="10">
        <f>-J413*INDEX('Deliverability Upgrade Factors'!$F:$F,MATCH(SUBSTITUTE(Dashboard!$D835,"_group",Dashboard!$D$763),'Deliverability Upgrade Factors'!$B:$B,0))</f>
        <v>0</v>
      </c>
      <c r="K835" s="10">
        <f>-K413*INDEX('Deliverability Upgrade Factors'!$F:$F,MATCH(SUBSTITUTE(Dashboard!$D835,"_group",Dashboard!$D$763),'Deliverability Upgrade Factors'!$B:$B,0))</f>
        <v>0</v>
      </c>
      <c r="L835" s="10">
        <f>-L413*INDEX('Deliverability Upgrade Factors'!$F:$F,MATCH(SUBSTITUTE(Dashboard!$D835,"_group",Dashboard!$D$763),'Deliverability Upgrade Factors'!$B:$B,0))</f>
        <v>0</v>
      </c>
      <c r="M835" s="10">
        <f>-M413*INDEX('Deliverability Upgrade Factors'!$F:$F,MATCH(SUBSTITUTE(Dashboard!$D835,"_group",Dashboard!$D$763),'Deliverability Upgrade Factors'!$B:$B,0))</f>
        <v>0</v>
      </c>
      <c r="N835" s="10">
        <f>-N413*INDEX('Deliverability Upgrade Factors'!$F:$F,MATCH(SUBSTITUTE(Dashboard!$D835,"_group",Dashboard!$D$763),'Deliverability Upgrade Factors'!$B:$B,0))</f>
        <v>0</v>
      </c>
      <c r="O835" s="10">
        <f>-O413*INDEX('Deliverability Upgrade Factors'!$F:$F,MATCH(SUBSTITUTE(Dashboard!$D835,"_group",Dashboard!$D$763),'Deliverability Upgrade Factors'!$B:$B,0))</f>
        <v>0</v>
      </c>
      <c r="P835" s="10">
        <f>-P413*INDEX('Deliverability Upgrade Factors'!$F:$F,MATCH(SUBSTITUTE(Dashboard!$D835,"_group",Dashboard!$D$763),'Deliverability Upgrade Factors'!$B:$B,0))</f>
        <v>0</v>
      </c>
      <c r="Q835" s="10">
        <f>-Q413*INDEX('Deliverability Upgrade Factors'!$F:$F,MATCH(SUBSTITUTE(Dashboard!$D835,"_group",Dashboard!$D$763),'Deliverability Upgrade Factors'!$B:$B,0))</f>
        <v>0</v>
      </c>
      <c r="R835" s="10">
        <f>-R413*INDEX('Deliverability Upgrade Factors'!$F:$F,MATCH(SUBSTITUTE(Dashboard!$D835,"_group",Dashboard!$D$763),'Deliverability Upgrade Factors'!$B:$B,0))</f>
        <v>0</v>
      </c>
      <c r="S835" s="10">
        <f>-S413*INDEX('Deliverability Upgrade Factors'!$F:$F,MATCH(SUBSTITUTE(Dashboard!$D835,"_group",Dashboard!$D$763),'Deliverability Upgrade Factors'!$B:$B,0))</f>
        <v>0</v>
      </c>
      <c r="T835" s="10">
        <f>-T413*INDEX('Deliverability Upgrade Factors'!$F:$F,MATCH(SUBSTITUTE(Dashboard!$D835,"_group",Dashboard!$D$763),'Deliverability Upgrade Factors'!$B:$B,0))</f>
        <v>0</v>
      </c>
      <c r="U835" s="10">
        <f>-U413*INDEX('Deliverability Upgrade Factors'!$F:$F,MATCH(SUBSTITUTE(Dashboard!$D835,"_group",Dashboard!$D$763),'Deliverability Upgrade Factors'!$B:$B,0))</f>
        <v>0</v>
      </c>
      <c r="V835" s="10">
        <f>-V413*INDEX('Deliverability Upgrade Factors'!$F:$F,MATCH(SUBSTITUTE(Dashboard!$D835,"_group",Dashboard!$D$763),'Deliverability Upgrade Factors'!$B:$B,0))</f>
        <v>0</v>
      </c>
      <c r="W835" s="10">
        <f>-W413*INDEX('Deliverability Upgrade Factors'!$F:$F,MATCH(SUBSTITUTE(Dashboard!$D835,"_group",Dashboard!$D$763),'Deliverability Upgrade Factors'!$B:$B,0))</f>
        <v>0</v>
      </c>
      <c r="X835" s="10">
        <f>-X413*INDEX('Deliverability Upgrade Factors'!$F:$F,MATCH(SUBSTITUTE(Dashboard!$D835,"_group",Dashboard!$D$763),'Deliverability Upgrade Factors'!$B:$B,0))</f>
        <v>0</v>
      </c>
      <c r="Y835" s="10">
        <f>-Y413*INDEX('Deliverability Upgrade Factors'!$F:$F,MATCH(SUBSTITUTE(Dashboard!$D835,"_group",Dashboard!$D$763),'Deliverability Upgrade Factors'!$B:$B,0))</f>
        <v>0</v>
      </c>
      <c r="Z835" s="10">
        <f>-Z413*INDEX('Deliverability Upgrade Factors'!$F:$F,MATCH(SUBSTITUTE(Dashboard!$D835,"_group",Dashboard!$D$763),'Deliverability Upgrade Factors'!$B:$B,0))</f>
        <v>0</v>
      </c>
      <c r="AA835" s="10">
        <f>-AA413*INDEX('Deliverability Upgrade Factors'!$F:$F,MATCH(SUBSTITUTE(Dashboard!$D835,"_group",Dashboard!$D$763),'Deliverability Upgrade Factors'!$B:$B,0))</f>
        <v>0</v>
      </c>
      <c r="AB835" s="10">
        <f>-AB413*INDEX('Deliverability Upgrade Factors'!$F:$F,MATCH(SUBSTITUTE(Dashboard!$D835,"_group",Dashboard!$D$763),'Deliverability Upgrade Factors'!$B:$B,0))</f>
        <v>0</v>
      </c>
      <c r="AC835" s="10">
        <f>-AC413*INDEX('Deliverability Upgrade Factors'!$F:$F,MATCH(SUBSTITUTE(Dashboard!$D835,"_group",Dashboard!$D$763),'Deliverability Upgrade Factors'!$B:$B,0))</f>
        <v>0</v>
      </c>
      <c r="AD835" s="10">
        <f>-AD413*INDEX('Deliverability Upgrade Factors'!$F:$F,MATCH(SUBSTITUTE(Dashboard!$D835,"_group",Dashboard!$D$763),'Deliverability Upgrade Factors'!$B:$B,0))</f>
        <v>0</v>
      </c>
      <c r="AH835" s="34" t="s">
        <v>422</v>
      </c>
    </row>
    <row r="836" spans="4:34" outlineLevel="2" x14ac:dyDescent="0.2">
      <c r="D836" s="8" t="s">
        <v>263</v>
      </c>
      <c r="E836" s="10">
        <f>-E414*INDEX('Deliverability Upgrade Factors'!$F:$F,MATCH(SUBSTITUTE(Dashboard!$D836,"_group",Dashboard!$D$763),'Deliverability Upgrade Factors'!$B:$B,0))</f>
        <v>0</v>
      </c>
      <c r="F836" s="10">
        <f>-F414*INDEX('Deliverability Upgrade Factors'!$F:$F,MATCH(SUBSTITUTE(Dashboard!$D836,"_group",Dashboard!$D$763),'Deliverability Upgrade Factors'!$B:$B,0))</f>
        <v>0</v>
      </c>
      <c r="G836" s="10">
        <f>-G414*INDEX('Deliverability Upgrade Factors'!$F:$F,MATCH(SUBSTITUTE(Dashboard!$D836,"_group",Dashboard!$D$763),'Deliverability Upgrade Factors'!$B:$B,0))</f>
        <v>0</v>
      </c>
      <c r="H836" s="10">
        <f>-H414*INDEX('Deliverability Upgrade Factors'!$F:$F,MATCH(SUBSTITUTE(Dashboard!$D836,"_group",Dashboard!$D$763),'Deliverability Upgrade Factors'!$B:$B,0))</f>
        <v>0</v>
      </c>
      <c r="I836" s="10">
        <f>-I414*INDEX('Deliverability Upgrade Factors'!$F:$F,MATCH(SUBSTITUTE(Dashboard!$D836,"_group",Dashboard!$D$763),'Deliverability Upgrade Factors'!$B:$B,0))</f>
        <v>0</v>
      </c>
      <c r="J836" s="10">
        <f>-J414*INDEX('Deliverability Upgrade Factors'!$F:$F,MATCH(SUBSTITUTE(Dashboard!$D836,"_group",Dashboard!$D$763),'Deliverability Upgrade Factors'!$B:$B,0))</f>
        <v>0</v>
      </c>
      <c r="K836" s="10">
        <f>-K414*INDEX('Deliverability Upgrade Factors'!$F:$F,MATCH(SUBSTITUTE(Dashboard!$D836,"_group",Dashboard!$D$763),'Deliverability Upgrade Factors'!$B:$B,0))</f>
        <v>0</v>
      </c>
      <c r="L836" s="10">
        <f>-L414*INDEX('Deliverability Upgrade Factors'!$F:$F,MATCH(SUBSTITUTE(Dashboard!$D836,"_group",Dashboard!$D$763),'Deliverability Upgrade Factors'!$B:$B,0))</f>
        <v>0</v>
      </c>
      <c r="M836" s="10">
        <f>-M414*INDEX('Deliverability Upgrade Factors'!$F:$F,MATCH(SUBSTITUTE(Dashboard!$D836,"_group",Dashboard!$D$763),'Deliverability Upgrade Factors'!$B:$B,0))</f>
        <v>0</v>
      </c>
      <c r="N836" s="10">
        <f>-N414*INDEX('Deliverability Upgrade Factors'!$F:$F,MATCH(SUBSTITUTE(Dashboard!$D836,"_group",Dashboard!$D$763),'Deliverability Upgrade Factors'!$B:$B,0))</f>
        <v>0</v>
      </c>
      <c r="O836" s="10">
        <f>-O414*INDEX('Deliverability Upgrade Factors'!$F:$F,MATCH(SUBSTITUTE(Dashboard!$D836,"_group",Dashboard!$D$763),'Deliverability Upgrade Factors'!$B:$B,0))</f>
        <v>0</v>
      </c>
      <c r="P836" s="10">
        <f>-P414*INDEX('Deliverability Upgrade Factors'!$F:$F,MATCH(SUBSTITUTE(Dashboard!$D836,"_group",Dashboard!$D$763),'Deliverability Upgrade Factors'!$B:$B,0))</f>
        <v>0</v>
      </c>
      <c r="Q836" s="10">
        <f>-Q414*INDEX('Deliverability Upgrade Factors'!$F:$F,MATCH(SUBSTITUTE(Dashboard!$D836,"_group",Dashboard!$D$763),'Deliverability Upgrade Factors'!$B:$B,0))</f>
        <v>0</v>
      </c>
      <c r="R836" s="10">
        <f>-R414*INDEX('Deliverability Upgrade Factors'!$F:$F,MATCH(SUBSTITUTE(Dashboard!$D836,"_group",Dashboard!$D$763),'Deliverability Upgrade Factors'!$B:$B,0))</f>
        <v>0</v>
      </c>
      <c r="S836" s="10">
        <f>-S414*INDEX('Deliverability Upgrade Factors'!$F:$F,MATCH(SUBSTITUTE(Dashboard!$D836,"_group",Dashboard!$D$763),'Deliverability Upgrade Factors'!$B:$B,0))</f>
        <v>0</v>
      </c>
      <c r="T836" s="10">
        <f>-T414*INDEX('Deliverability Upgrade Factors'!$F:$F,MATCH(SUBSTITUTE(Dashboard!$D836,"_group",Dashboard!$D$763),'Deliverability Upgrade Factors'!$B:$B,0))</f>
        <v>0</v>
      </c>
      <c r="U836" s="10">
        <f>-U414*INDEX('Deliverability Upgrade Factors'!$F:$F,MATCH(SUBSTITUTE(Dashboard!$D836,"_group",Dashboard!$D$763),'Deliverability Upgrade Factors'!$B:$B,0))</f>
        <v>0</v>
      </c>
      <c r="V836" s="10">
        <f>-V414*INDEX('Deliverability Upgrade Factors'!$F:$F,MATCH(SUBSTITUTE(Dashboard!$D836,"_group",Dashboard!$D$763),'Deliverability Upgrade Factors'!$B:$B,0))</f>
        <v>0</v>
      </c>
      <c r="W836" s="10">
        <f>-W414*INDEX('Deliverability Upgrade Factors'!$F:$F,MATCH(SUBSTITUTE(Dashboard!$D836,"_group",Dashboard!$D$763),'Deliverability Upgrade Factors'!$B:$B,0))</f>
        <v>0</v>
      </c>
      <c r="X836" s="10">
        <f>-X414*INDEX('Deliverability Upgrade Factors'!$F:$F,MATCH(SUBSTITUTE(Dashboard!$D836,"_group",Dashboard!$D$763),'Deliverability Upgrade Factors'!$B:$B,0))</f>
        <v>0</v>
      </c>
      <c r="Y836" s="10">
        <f>-Y414*INDEX('Deliverability Upgrade Factors'!$F:$F,MATCH(SUBSTITUTE(Dashboard!$D836,"_group",Dashboard!$D$763),'Deliverability Upgrade Factors'!$B:$B,0))</f>
        <v>0</v>
      </c>
      <c r="Z836" s="10">
        <f>-Z414*INDEX('Deliverability Upgrade Factors'!$F:$F,MATCH(SUBSTITUTE(Dashboard!$D836,"_group",Dashboard!$D$763),'Deliverability Upgrade Factors'!$B:$B,0))</f>
        <v>0</v>
      </c>
      <c r="AA836" s="10">
        <f>-AA414*INDEX('Deliverability Upgrade Factors'!$F:$F,MATCH(SUBSTITUTE(Dashboard!$D836,"_group",Dashboard!$D$763),'Deliverability Upgrade Factors'!$B:$B,0))</f>
        <v>0</v>
      </c>
      <c r="AB836" s="10">
        <f>-AB414*INDEX('Deliverability Upgrade Factors'!$F:$F,MATCH(SUBSTITUTE(Dashboard!$D836,"_group",Dashboard!$D$763),'Deliverability Upgrade Factors'!$B:$B,0))</f>
        <v>0</v>
      </c>
      <c r="AC836" s="10">
        <f>-AC414*INDEX('Deliverability Upgrade Factors'!$F:$F,MATCH(SUBSTITUTE(Dashboard!$D836,"_group",Dashboard!$D$763),'Deliverability Upgrade Factors'!$B:$B,0))</f>
        <v>0</v>
      </c>
      <c r="AD836" s="10">
        <f>-AD414*INDEX('Deliverability Upgrade Factors'!$F:$F,MATCH(SUBSTITUTE(Dashboard!$D836,"_group",Dashboard!$D$763),'Deliverability Upgrade Factors'!$B:$B,0))</f>
        <v>0</v>
      </c>
      <c r="AH836" s="34" t="s">
        <v>422</v>
      </c>
    </row>
    <row r="837" spans="4:34" outlineLevel="2" x14ac:dyDescent="0.2">
      <c r="D837" s="8" t="s">
        <v>264</v>
      </c>
      <c r="E837" s="10">
        <f>-E415*INDEX('Deliverability Upgrade Factors'!$F:$F,MATCH(SUBSTITUTE(Dashboard!$D837,"_group",Dashboard!$D$763),'Deliverability Upgrade Factors'!$B:$B,0))</f>
        <v>0</v>
      </c>
      <c r="F837" s="10">
        <f>-F415*INDEX('Deliverability Upgrade Factors'!$F:$F,MATCH(SUBSTITUTE(Dashboard!$D837,"_group",Dashboard!$D$763),'Deliverability Upgrade Factors'!$B:$B,0))</f>
        <v>0</v>
      </c>
      <c r="G837" s="10">
        <f>-G415*INDEX('Deliverability Upgrade Factors'!$F:$F,MATCH(SUBSTITUTE(Dashboard!$D837,"_group",Dashboard!$D$763),'Deliverability Upgrade Factors'!$B:$B,0))</f>
        <v>0</v>
      </c>
      <c r="H837" s="10">
        <f>-H415*INDEX('Deliverability Upgrade Factors'!$F:$F,MATCH(SUBSTITUTE(Dashboard!$D837,"_group",Dashboard!$D$763),'Deliverability Upgrade Factors'!$B:$B,0))</f>
        <v>0</v>
      </c>
      <c r="I837" s="10">
        <f>-I415*INDEX('Deliverability Upgrade Factors'!$F:$F,MATCH(SUBSTITUTE(Dashboard!$D837,"_group",Dashboard!$D$763),'Deliverability Upgrade Factors'!$B:$B,0))</f>
        <v>0</v>
      </c>
      <c r="J837" s="10">
        <f>-J415*INDEX('Deliverability Upgrade Factors'!$F:$F,MATCH(SUBSTITUTE(Dashboard!$D837,"_group",Dashboard!$D$763),'Deliverability Upgrade Factors'!$B:$B,0))</f>
        <v>0</v>
      </c>
      <c r="K837" s="10">
        <f>-K415*INDEX('Deliverability Upgrade Factors'!$F:$F,MATCH(SUBSTITUTE(Dashboard!$D837,"_group",Dashboard!$D$763),'Deliverability Upgrade Factors'!$B:$B,0))</f>
        <v>0</v>
      </c>
      <c r="L837" s="10">
        <f>-L415*INDEX('Deliverability Upgrade Factors'!$F:$F,MATCH(SUBSTITUTE(Dashboard!$D837,"_group",Dashboard!$D$763),'Deliverability Upgrade Factors'!$B:$B,0))</f>
        <v>0</v>
      </c>
      <c r="M837" s="10">
        <f>-M415*INDEX('Deliverability Upgrade Factors'!$F:$F,MATCH(SUBSTITUTE(Dashboard!$D837,"_group",Dashboard!$D$763),'Deliverability Upgrade Factors'!$B:$B,0))</f>
        <v>0</v>
      </c>
      <c r="N837" s="10">
        <f>-N415*INDEX('Deliverability Upgrade Factors'!$F:$F,MATCH(SUBSTITUTE(Dashboard!$D837,"_group",Dashboard!$D$763),'Deliverability Upgrade Factors'!$B:$B,0))</f>
        <v>0</v>
      </c>
      <c r="O837" s="10">
        <f>-O415*INDEX('Deliverability Upgrade Factors'!$F:$F,MATCH(SUBSTITUTE(Dashboard!$D837,"_group",Dashboard!$D$763),'Deliverability Upgrade Factors'!$B:$B,0))</f>
        <v>0</v>
      </c>
      <c r="P837" s="10">
        <f>-P415*INDEX('Deliverability Upgrade Factors'!$F:$F,MATCH(SUBSTITUTE(Dashboard!$D837,"_group",Dashboard!$D$763),'Deliverability Upgrade Factors'!$B:$B,0))</f>
        <v>0</v>
      </c>
      <c r="Q837" s="10">
        <f>-Q415*INDEX('Deliverability Upgrade Factors'!$F:$F,MATCH(SUBSTITUTE(Dashboard!$D837,"_group",Dashboard!$D$763),'Deliverability Upgrade Factors'!$B:$B,0))</f>
        <v>0</v>
      </c>
      <c r="R837" s="10">
        <f>-R415*INDEX('Deliverability Upgrade Factors'!$F:$F,MATCH(SUBSTITUTE(Dashboard!$D837,"_group",Dashboard!$D$763),'Deliverability Upgrade Factors'!$B:$B,0))</f>
        <v>0</v>
      </c>
      <c r="S837" s="10">
        <f>-S415*INDEX('Deliverability Upgrade Factors'!$F:$F,MATCH(SUBSTITUTE(Dashboard!$D837,"_group",Dashboard!$D$763),'Deliverability Upgrade Factors'!$B:$B,0))</f>
        <v>0</v>
      </c>
      <c r="T837" s="10">
        <f>-T415*INDEX('Deliverability Upgrade Factors'!$F:$F,MATCH(SUBSTITUTE(Dashboard!$D837,"_group",Dashboard!$D$763),'Deliverability Upgrade Factors'!$B:$B,0))</f>
        <v>0</v>
      </c>
      <c r="U837" s="10">
        <f>-U415*INDEX('Deliverability Upgrade Factors'!$F:$F,MATCH(SUBSTITUTE(Dashboard!$D837,"_group",Dashboard!$D$763),'Deliverability Upgrade Factors'!$B:$B,0))</f>
        <v>0</v>
      </c>
      <c r="V837" s="10">
        <f>-V415*INDEX('Deliverability Upgrade Factors'!$F:$F,MATCH(SUBSTITUTE(Dashboard!$D837,"_group",Dashboard!$D$763),'Deliverability Upgrade Factors'!$B:$B,0))</f>
        <v>0</v>
      </c>
      <c r="W837" s="10">
        <f>-W415*INDEX('Deliverability Upgrade Factors'!$F:$F,MATCH(SUBSTITUTE(Dashboard!$D837,"_group",Dashboard!$D$763),'Deliverability Upgrade Factors'!$B:$B,0))</f>
        <v>0</v>
      </c>
      <c r="X837" s="10">
        <f>-X415*INDEX('Deliverability Upgrade Factors'!$F:$F,MATCH(SUBSTITUTE(Dashboard!$D837,"_group",Dashboard!$D$763),'Deliverability Upgrade Factors'!$B:$B,0))</f>
        <v>0</v>
      </c>
      <c r="Y837" s="10">
        <f>-Y415*INDEX('Deliverability Upgrade Factors'!$F:$F,MATCH(SUBSTITUTE(Dashboard!$D837,"_group",Dashboard!$D$763),'Deliverability Upgrade Factors'!$B:$B,0))</f>
        <v>0</v>
      </c>
      <c r="Z837" s="10">
        <f>-Z415*INDEX('Deliverability Upgrade Factors'!$F:$F,MATCH(SUBSTITUTE(Dashboard!$D837,"_group",Dashboard!$D$763),'Deliverability Upgrade Factors'!$B:$B,0))</f>
        <v>0</v>
      </c>
      <c r="AA837" s="10">
        <f>-AA415*INDEX('Deliverability Upgrade Factors'!$F:$F,MATCH(SUBSTITUTE(Dashboard!$D837,"_group",Dashboard!$D$763),'Deliverability Upgrade Factors'!$B:$B,0))</f>
        <v>0</v>
      </c>
      <c r="AB837" s="10">
        <f>-AB415*INDEX('Deliverability Upgrade Factors'!$F:$F,MATCH(SUBSTITUTE(Dashboard!$D837,"_group",Dashboard!$D$763),'Deliverability Upgrade Factors'!$B:$B,0))</f>
        <v>0</v>
      </c>
      <c r="AC837" s="10">
        <f>-AC415*INDEX('Deliverability Upgrade Factors'!$F:$F,MATCH(SUBSTITUTE(Dashboard!$D837,"_group",Dashboard!$D$763),'Deliverability Upgrade Factors'!$B:$B,0))</f>
        <v>0</v>
      </c>
      <c r="AD837" s="10">
        <f>-AD415*INDEX('Deliverability Upgrade Factors'!$F:$F,MATCH(SUBSTITUTE(Dashboard!$D837,"_group",Dashboard!$D$763),'Deliverability Upgrade Factors'!$B:$B,0))</f>
        <v>0</v>
      </c>
      <c r="AH837" s="34" t="s">
        <v>422</v>
      </c>
    </row>
    <row r="838" spans="4:34" outlineLevel="2" x14ac:dyDescent="0.2">
      <c r="D838" s="8" t="s">
        <v>265</v>
      </c>
      <c r="E838" s="10">
        <f>-E416*INDEX('Deliverability Upgrade Factors'!$F:$F,MATCH(SUBSTITUTE(Dashboard!$D838,"_group",Dashboard!$D$763),'Deliverability Upgrade Factors'!$B:$B,0))</f>
        <v>0</v>
      </c>
      <c r="F838" s="10">
        <f>-F416*INDEX('Deliverability Upgrade Factors'!$F:$F,MATCH(SUBSTITUTE(Dashboard!$D838,"_group",Dashboard!$D$763),'Deliverability Upgrade Factors'!$B:$B,0))</f>
        <v>0</v>
      </c>
      <c r="G838" s="10">
        <f>-G416*INDEX('Deliverability Upgrade Factors'!$F:$F,MATCH(SUBSTITUTE(Dashboard!$D838,"_group",Dashboard!$D$763),'Deliverability Upgrade Factors'!$B:$B,0))</f>
        <v>0</v>
      </c>
      <c r="H838" s="10">
        <f>-H416*INDEX('Deliverability Upgrade Factors'!$F:$F,MATCH(SUBSTITUTE(Dashboard!$D838,"_group",Dashboard!$D$763),'Deliverability Upgrade Factors'!$B:$B,0))</f>
        <v>0</v>
      </c>
      <c r="I838" s="10">
        <f>-I416*INDEX('Deliverability Upgrade Factors'!$F:$F,MATCH(SUBSTITUTE(Dashboard!$D838,"_group",Dashboard!$D$763),'Deliverability Upgrade Factors'!$B:$B,0))</f>
        <v>0</v>
      </c>
      <c r="J838" s="10">
        <f>-J416*INDEX('Deliverability Upgrade Factors'!$F:$F,MATCH(SUBSTITUTE(Dashboard!$D838,"_group",Dashboard!$D$763),'Deliverability Upgrade Factors'!$B:$B,0))</f>
        <v>0</v>
      </c>
      <c r="K838" s="10">
        <f>-K416*INDEX('Deliverability Upgrade Factors'!$F:$F,MATCH(SUBSTITUTE(Dashboard!$D838,"_group",Dashboard!$D$763),'Deliverability Upgrade Factors'!$B:$B,0))</f>
        <v>0</v>
      </c>
      <c r="L838" s="10">
        <f>-L416*INDEX('Deliverability Upgrade Factors'!$F:$F,MATCH(SUBSTITUTE(Dashboard!$D838,"_group",Dashboard!$D$763),'Deliverability Upgrade Factors'!$B:$B,0))</f>
        <v>0</v>
      </c>
      <c r="M838" s="10">
        <f>-M416*INDEX('Deliverability Upgrade Factors'!$F:$F,MATCH(SUBSTITUTE(Dashboard!$D838,"_group",Dashboard!$D$763),'Deliverability Upgrade Factors'!$B:$B,0))</f>
        <v>0</v>
      </c>
      <c r="N838" s="10">
        <f>-N416*INDEX('Deliverability Upgrade Factors'!$F:$F,MATCH(SUBSTITUTE(Dashboard!$D838,"_group",Dashboard!$D$763),'Deliverability Upgrade Factors'!$B:$B,0))</f>
        <v>0</v>
      </c>
      <c r="O838" s="10">
        <f>-O416*INDEX('Deliverability Upgrade Factors'!$F:$F,MATCH(SUBSTITUTE(Dashboard!$D838,"_group",Dashboard!$D$763),'Deliverability Upgrade Factors'!$B:$B,0))</f>
        <v>0</v>
      </c>
      <c r="P838" s="10">
        <f>-P416*INDEX('Deliverability Upgrade Factors'!$F:$F,MATCH(SUBSTITUTE(Dashboard!$D838,"_group",Dashboard!$D$763),'Deliverability Upgrade Factors'!$B:$B,0))</f>
        <v>0</v>
      </c>
      <c r="Q838" s="10">
        <f>-Q416*INDEX('Deliverability Upgrade Factors'!$F:$F,MATCH(SUBSTITUTE(Dashboard!$D838,"_group",Dashboard!$D$763),'Deliverability Upgrade Factors'!$B:$B,0))</f>
        <v>0</v>
      </c>
      <c r="R838" s="10">
        <f>-R416*INDEX('Deliverability Upgrade Factors'!$F:$F,MATCH(SUBSTITUTE(Dashboard!$D838,"_group",Dashboard!$D$763),'Deliverability Upgrade Factors'!$B:$B,0))</f>
        <v>0</v>
      </c>
      <c r="S838" s="10">
        <f>-S416*INDEX('Deliverability Upgrade Factors'!$F:$F,MATCH(SUBSTITUTE(Dashboard!$D838,"_group",Dashboard!$D$763),'Deliverability Upgrade Factors'!$B:$B,0))</f>
        <v>0</v>
      </c>
      <c r="T838" s="10">
        <f>-T416*INDEX('Deliverability Upgrade Factors'!$F:$F,MATCH(SUBSTITUTE(Dashboard!$D838,"_group",Dashboard!$D$763),'Deliverability Upgrade Factors'!$B:$B,0))</f>
        <v>0</v>
      </c>
      <c r="U838" s="10">
        <f>-U416*INDEX('Deliverability Upgrade Factors'!$F:$F,MATCH(SUBSTITUTE(Dashboard!$D838,"_group",Dashboard!$D$763),'Deliverability Upgrade Factors'!$B:$B,0))</f>
        <v>0</v>
      </c>
      <c r="V838" s="10">
        <f>-V416*INDEX('Deliverability Upgrade Factors'!$F:$F,MATCH(SUBSTITUTE(Dashboard!$D838,"_group",Dashboard!$D$763),'Deliverability Upgrade Factors'!$B:$B,0))</f>
        <v>0</v>
      </c>
      <c r="W838" s="10">
        <f>-W416*INDEX('Deliverability Upgrade Factors'!$F:$F,MATCH(SUBSTITUTE(Dashboard!$D838,"_group",Dashboard!$D$763),'Deliverability Upgrade Factors'!$B:$B,0))</f>
        <v>0</v>
      </c>
      <c r="X838" s="10">
        <f>-X416*INDEX('Deliverability Upgrade Factors'!$F:$F,MATCH(SUBSTITUTE(Dashboard!$D838,"_group",Dashboard!$D$763),'Deliverability Upgrade Factors'!$B:$B,0))</f>
        <v>0</v>
      </c>
      <c r="Y838" s="10">
        <f>-Y416*INDEX('Deliverability Upgrade Factors'!$F:$F,MATCH(SUBSTITUTE(Dashboard!$D838,"_group",Dashboard!$D$763),'Deliverability Upgrade Factors'!$B:$B,0))</f>
        <v>0</v>
      </c>
      <c r="Z838" s="10">
        <f>-Z416*INDEX('Deliverability Upgrade Factors'!$F:$F,MATCH(SUBSTITUTE(Dashboard!$D838,"_group",Dashboard!$D$763),'Deliverability Upgrade Factors'!$B:$B,0))</f>
        <v>0</v>
      </c>
      <c r="AA838" s="10">
        <f>-AA416*INDEX('Deliverability Upgrade Factors'!$F:$F,MATCH(SUBSTITUTE(Dashboard!$D838,"_group",Dashboard!$D$763),'Deliverability Upgrade Factors'!$B:$B,0))</f>
        <v>0</v>
      </c>
      <c r="AB838" s="10">
        <f>-AB416*INDEX('Deliverability Upgrade Factors'!$F:$F,MATCH(SUBSTITUTE(Dashboard!$D838,"_group",Dashboard!$D$763),'Deliverability Upgrade Factors'!$B:$B,0))</f>
        <v>0</v>
      </c>
      <c r="AC838" s="10">
        <f>-AC416*INDEX('Deliverability Upgrade Factors'!$F:$F,MATCH(SUBSTITUTE(Dashboard!$D838,"_group",Dashboard!$D$763),'Deliverability Upgrade Factors'!$B:$B,0))</f>
        <v>0</v>
      </c>
      <c r="AD838" s="10">
        <f>-AD416*INDEX('Deliverability Upgrade Factors'!$F:$F,MATCH(SUBSTITUTE(Dashboard!$D838,"_group",Dashboard!$D$763),'Deliverability Upgrade Factors'!$B:$B,0))</f>
        <v>0</v>
      </c>
      <c r="AH838" s="34" t="s">
        <v>422</v>
      </c>
    </row>
    <row r="839" spans="4:34" outlineLevel="2" x14ac:dyDescent="0.2">
      <c r="D839" s="8" t="s">
        <v>266</v>
      </c>
      <c r="E839" s="10">
        <f>-E417*INDEX('Deliverability Upgrade Factors'!$F:$F,MATCH(SUBSTITUTE(Dashboard!$D839,"_group",Dashboard!$D$763),'Deliverability Upgrade Factors'!$B:$B,0))</f>
        <v>0</v>
      </c>
      <c r="F839" s="10">
        <f>-F417*INDEX('Deliverability Upgrade Factors'!$F:$F,MATCH(SUBSTITUTE(Dashboard!$D839,"_group",Dashboard!$D$763),'Deliverability Upgrade Factors'!$B:$B,0))</f>
        <v>0</v>
      </c>
      <c r="G839" s="10">
        <f>-G417*INDEX('Deliverability Upgrade Factors'!$F:$F,MATCH(SUBSTITUTE(Dashboard!$D839,"_group",Dashboard!$D$763),'Deliverability Upgrade Factors'!$B:$B,0))</f>
        <v>0</v>
      </c>
      <c r="H839" s="10">
        <f>-H417*INDEX('Deliverability Upgrade Factors'!$F:$F,MATCH(SUBSTITUTE(Dashboard!$D839,"_group",Dashboard!$D$763),'Deliverability Upgrade Factors'!$B:$B,0))</f>
        <v>0</v>
      </c>
      <c r="I839" s="10">
        <f>-I417*INDEX('Deliverability Upgrade Factors'!$F:$F,MATCH(SUBSTITUTE(Dashboard!$D839,"_group",Dashboard!$D$763),'Deliverability Upgrade Factors'!$B:$B,0))</f>
        <v>0</v>
      </c>
      <c r="J839" s="10">
        <f>-J417*INDEX('Deliverability Upgrade Factors'!$F:$F,MATCH(SUBSTITUTE(Dashboard!$D839,"_group",Dashboard!$D$763),'Deliverability Upgrade Factors'!$B:$B,0))</f>
        <v>0</v>
      </c>
      <c r="K839" s="10">
        <f>-K417*INDEX('Deliverability Upgrade Factors'!$F:$F,MATCH(SUBSTITUTE(Dashboard!$D839,"_group",Dashboard!$D$763),'Deliverability Upgrade Factors'!$B:$B,0))</f>
        <v>0</v>
      </c>
      <c r="L839" s="10">
        <f>-L417*INDEX('Deliverability Upgrade Factors'!$F:$F,MATCH(SUBSTITUTE(Dashboard!$D839,"_group",Dashboard!$D$763),'Deliverability Upgrade Factors'!$B:$B,0))</f>
        <v>0</v>
      </c>
      <c r="M839" s="10">
        <f>-M417*INDEX('Deliverability Upgrade Factors'!$F:$F,MATCH(SUBSTITUTE(Dashboard!$D839,"_group",Dashboard!$D$763),'Deliverability Upgrade Factors'!$B:$B,0))</f>
        <v>0</v>
      </c>
      <c r="N839" s="10">
        <f>-N417*INDEX('Deliverability Upgrade Factors'!$F:$F,MATCH(SUBSTITUTE(Dashboard!$D839,"_group",Dashboard!$D$763),'Deliverability Upgrade Factors'!$B:$B,0))</f>
        <v>0</v>
      </c>
      <c r="O839" s="10">
        <f>-O417*INDEX('Deliverability Upgrade Factors'!$F:$F,MATCH(SUBSTITUTE(Dashboard!$D839,"_group",Dashboard!$D$763),'Deliverability Upgrade Factors'!$B:$B,0))</f>
        <v>0</v>
      </c>
      <c r="P839" s="10">
        <f>-P417*INDEX('Deliverability Upgrade Factors'!$F:$F,MATCH(SUBSTITUTE(Dashboard!$D839,"_group",Dashboard!$D$763),'Deliverability Upgrade Factors'!$B:$B,0))</f>
        <v>0</v>
      </c>
      <c r="Q839" s="10">
        <f>-Q417*INDEX('Deliverability Upgrade Factors'!$F:$F,MATCH(SUBSTITUTE(Dashboard!$D839,"_group",Dashboard!$D$763),'Deliverability Upgrade Factors'!$B:$B,0))</f>
        <v>0</v>
      </c>
      <c r="R839" s="10">
        <f>-R417*INDEX('Deliverability Upgrade Factors'!$F:$F,MATCH(SUBSTITUTE(Dashboard!$D839,"_group",Dashboard!$D$763),'Deliverability Upgrade Factors'!$B:$B,0))</f>
        <v>0</v>
      </c>
      <c r="S839" s="10">
        <f>-S417*INDEX('Deliverability Upgrade Factors'!$F:$F,MATCH(SUBSTITUTE(Dashboard!$D839,"_group",Dashboard!$D$763),'Deliverability Upgrade Factors'!$B:$B,0))</f>
        <v>0</v>
      </c>
      <c r="T839" s="10">
        <f>-T417*INDEX('Deliverability Upgrade Factors'!$F:$F,MATCH(SUBSTITUTE(Dashboard!$D839,"_group",Dashboard!$D$763),'Deliverability Upgrade Factors'!$B:$B,0))</f>
        <v>0</v>
      </c>
      <c r="U839" s="10">
        <f>-U417*INDEX('Deliverability Upgrade Factors'!$F:$F,MATCH(SUBSTITUTE(Dashboard!$D839,"_group",Dashboard!$D$763),'Deliverability Upgrade Factors'!$B:$B,0))</f>
        <v>0</v>
      </c>
      <c r="V839" s="10">
        <f>-V417*INDEX('Deliverability Upgrade Factors'!$F:$F,MATCH(SUBSTITUTE(Dashboard!$D839,"_group",Dashboard!$D$763),'Deliverability Upgrade Factors'!$B:$B,0))</f>
        <v>0</v>
      </c>
      <c r="W839" s="10">
        <f>-W417*INDEX('Deliverability Upgrade Factors'!$F:$F,MATCH(SUBSTITUTE(Dashboard!$D839,"_group",Dashboard!$D$763),'Deliverability Upgrade Factors'!$B:$B,0))</f>
        <v>0</v>
      </c>
      <c r="X839" s="10">
        <f>-X417*INDEX('Deliverability Upgrade Factors'!$F:$F,MATCH(SUBSTITUTE(Dashboard!$D839,"_group",Dashboard!$D$763),'Deliverability Upgrade Factors'!$B:$B,0))</f>
        <v>0</v>
      </c>
      <c r="Y839" s="10">
        <f>-Y417*INDEX('Deliverability Upgrade Factors'!$F:$F,MATCH(SUBSTITUTE(Dashboard!$D839,"_group",Dashboard!$D$763),'Deliverability Upgrade Factors'!$B:$B,0))</f>
        <v>0</v>
      </c>
      <c r="Z839" s="10">
        <f>-Z417*INDEX('Deliverability Upgrade Factors'!$F:$F,MATCH(SUBSTITUTE(Dashboard!$D839,"_group",Dashboard!$D$763),'Deliverability Upgrade Factors'!$B:$B,0))</f>
        <v>0</v>
      </c>
      <c r="AA839" s="10">
        <f>-AA417*INDEX('Deliverability Upgrade Factors'!$F:$F,MATCH(SUBSTITUTE(Dashboard!$D839,"_group",Dashboard!$D$763),'Deliverability Upgrade Factors'!$B:$B,0))</f>
        <v>0</v>
      </c>
      <c r="AB839" s="10">
        <f>-AB417*INDEX('Deliverability Upgrade Factors'!$F:$F,MATCH(SUBSTITUTE(Dashboard!$D839,"_group",Dashboard!$D$763),'Deliverability Upgrade Factors'!$B:$B,0))</f>
        <v>0</v>
      </c>
      <c r="AC839" s="10">
        <f>-AC417*INDEX('Deliverability Upgrade Factors'!$F:$F,MATCH(SUBSTITUTE(Dashboard!$D839,"_group",Dashboard!$D$763),'Deliverability Upgrade Factors'!$B:$B,0))</f>
        <v>0</v>
      </c>
      <c r="AD839" s="10">
        <f>-AD417*INDEX('Deliverability Upgrade Factors'!$F:$F,MATCH(SUBSTITUTE(Dashboard!$D839,"_group",Dashboard!$D$763),'Deliverability Upgrade Factors'!$B:$B,0))</f>
        <v>0</v>
      </c>
      <c r="AH839" s="34" t="s">
        <v>422</v>
      </c>
    </row>
    <row r="840" spans="4:34" outlineLevel="2" x14ac:dyDescent="0.2">
      <c r="D840" s="8" t="s">
        <v>267</v>
      </c>
      <c r="E840" s="10">
        <f>-E418*INDEX('Deliverability Upgrade Factors'!$F:$F,MATCH(SUBSTITUTE(Dashboard!$D840,"_group",Dashboard!$D$763),'Deliverability Upgrade Factors'!$B:$B,0))</f>
        <v>0</v>
      </c>
      <c r="F840" s="10">
        <f>-F418*INDEX('Deliverability Upgrade Factors'!$F:$F,MATCH(SUBSTITUTE(Dashboard!$D840,"_group",Dashboard!$D$763),'Deliverability Upgrade Factors'!$B:$B,0))</f>
        <v>0</v>
      </c>
      <c r="G840" s="10">
        <f>-G418*INDEX('Deliverability Upgrade Factors'!$F:$F,MATCH(SUBSTITUTE(Dashboard!$D840,"_group",Dashboard!$D$763),'Deliverability Upgrade Factors'!$B:$B,0))</f>
        <v>0</v>
      </c>
      <c r="H840" s="10">
        <f>-H418*INDEX('Deliverability Upgrade Factors'!$F:$F,MATCH(SUBSTITUTE(Dashboard!$D840,"_group",Dashboard!$D$763),'Deliverability Upgrade Factors'!$B:$B,0))</f>
        <v>0</v>
      </c>
      <c r="I840" s="10">
        <f>-I418*INDEX('Deliverability Upgrade Factors'!$F:$F,MATCH(SUBSTITUTE(Dashboard!$D840,"_group",Dashboard!$D$763),'Deliverability Upgrade Factors'!$B:$B,0))</f>
        <v>0</v>
      </c>
      <c r="J840" s="10">
        <f>-J418*INDEX('Deliverability Upgrade Factors'!$F:$F,MATCH(SUBSTITUTE(Dashboard!$D840,"_group",Dashboard!$D$763),'Deliverability Upgrade Factors'!$B:$B,0))</f>
        <v>0</v>
      </c>
      <c r="K840" s="10">
        <f>-K418*INDEX('Deliverability Upgrade Factors'!$F:$F,MATCH(SUBSTITUTE(Dashboard!$D840,"_group",Dashboard!$D$763),'Deliverability Upgrade Factors'!$B:$B,0))</f>
        <v>0</v>
      </c>
      <c r="L840" s="10">
        <f>-L418*INDEX('Deliverability Upgrade Factors'!$F:$F,MATCH(SUBSTITUTE(Dashboard!$D840,"_group",Dashboard!$D$763),'Deliverability Upgrade Factors'!$B:$B,0))</f>
        <v>0</v>
      </c>
      <c r="M840" s="10">
        <f>-M418*INDEX('Deliverability Upgrade Factors'!$F:$F,MATCH(SUBSTITUTE(Dashboard!$D840,"_group",Dashboard!$D$763),'Deliverability Upgrade Factors'!$B:$B,0))</f>
        <v>0</v>
      </c>
      <c r="N840" s="10">
        <f>-N418*INDEX('Deliverability Upgrade Factors'!$F:$F,MATCH(SUBSTITUTE(Dashboard!$D840,"_group",Dashboard!$D$763),'Deliverability Upgrade Factors'!$B:$B,0))</f>
        <v>0</v>
      </c>
      <c r="O840" s="10">
        <f>-O418*INDEX('Deliverability Upgrade Factors'!$F:$F,MATCH(SUBSTITUTE(Dashboard!$D840,"_group",Dashboard!$D$763),'Deliverability Upgrade Factors'!$B:$B,0))</f>
        <v>0</v>
      </c>
      <c r="P840" s="10">
        <f>-P418*INDEX('Deliverability Upgrade Factors'!$F:$F,MATCH(SUBSTITUTE(Dashboard!$D840,"_group",Dashboard!$D$763),'Deliverability Upgrade Factors'!$B:$B,0))</f>
        <v>0</v>
      </c>
      <c r="Q840" s="10">
        <f>-Q418*INDEX('Deliverability Upgrade Factors'!$F:$F,MATCH(SUBSTITUTE(Dashboard!$D840,"_group",Dashboard!$D$763),'Deliverability Upgrade Factors'!$B:$B,0))</f>
        <v>0</v>
      </c>
      <c r="R840" s="10">
        <f>-R418*INDEX('Deliverability Upgrade Factors'!$F:$F,MATCH(SUBSTITUTE(Dashboard!$D840,"_group",Dashboard!$D$763),'Deliverability Upgrade Factors'!$B:$B,0))</f>
        <v>0</v>
      </c>
      <c r="S840" s="10">
        <f>-S418*INDEX('Deliverability Upgrade Factors'!$F:$F,MATCH(SUBSTITUTE(Dashboard!$D840,"_group",Dashboard!$D$763),'Deliverability Upgrade Factors'!$B:$B,0))</f>
        <v>0</v>
      </c>
      <c r="T840" s="10">
        <f>-T418*INDEX('Deliverability Upgrade Factors'!$F:$F,MATCH(SUBSTITUTE(Dashboard!$D840,"_group",Dashboard!$D$763),'Deliverability Upgrade Factors'!$B:$B,0))</f>
        <v>0</v>
      </c>
      <c r="U840" s="10">
        <f>-U418*INDEX('Deliverability Upgrade Factors'!$F:$F,MATCH(SUBSTITUTE(Dashboard!$D840,"_group",Dashboard!$D$763),'Deliverability Upgrade Factors'!$B:$B,0))</f>
        <v>0</v>
      </c>
      <c r="V840" s="10">
        <f>-V418*INDEX('Deliverability Upgrade Factors'!$F:$F,MATCH(SUBSTITUTE(Dashboard!$D840,"_group",Dashboard!$D$763),'Deliverability Upgrade Factors'!$B:$B,0))</f>
        <v>0</v>
      </c>
      <c r="W840" s="10">
        <f>-W418*INDEX('Deliverability Upgrade Factors'!$F:$F,MATCH(SUBSTITUTE(Dashboard!$D840,"_group",Dashboard!$D$763),'Deliverability Upgrade Factors'!$B:$B,0))</f>
        <v>0</v>
      </c>
      <c r="X840" s="10">
        <f>-X418*INDEX('Deliverability Upgrade Factors'!$F:$F,MATCH(SUBSTITUTE(Dashboard!$D840,"_group",Dashboard!$D$763),'Deliverability Upgrade Factors'!$B:$B,0))</f>
        <v>0</v>
      </c>
      <c r="Y840" s="10">
        <f>-Y418*INDEX('Deliverability Upgrade Factors'!$F:$F,MATCH(SUBSTITUTE(Dashboard!$D840,"_group",Dashboard!$D$763),'Deliverability Upgrade Factors'!$B:$B,0))</f>
        <v>0</v>
      </c>
      <c r="Z840" s="10">
        <f>-Z418*INDEX('Deliverability Upgrade Factors'!$F:$F,MATCH(SUBSTITUTE(Dashboard!$D840,"_group",Dashboard!$D$763),'Deliverability Upgrade Factors'!$B:$B,0))</f>
        <v>0</v>
      </c>
      <c r="AA840" s="10">
        <f>-AA418*INDEX('Deliverability Upgrade Factors'!$F:$F,MATCH(SUBSTITUTE(Dashboard!$D840,"_group",Dashboard!$D$763),'Deliverability Upgrade Factors'!$B:$B,0))</f>
        <v>0</v>
      </c>
      <c r="AB840" s="10">
        <f>-AB418*INDEX('Deliverability Upgrade Factors'!$F:$F,MATCH(SUBSTITUTE(Dashboard!$D840,"_group",Dashboard!$D$763),'Deliverability Upgrade Factors'!$B:$B,0))</f>
        <v>0</v>
      </c>
      <c r="AC840" s="10">
        <f>-AC418*INDEX('Deliverability Upgrade Factors'!$F:$F,MATCH(SUBSTITUTE(Dashboard!$D840,"_group",Dashboard!$D$763),'Deliverability Upgrade Factors'!$B:$B,0))</f>
        <v>0</v>
      </c>
      <c r="AD840" s="10">
        <f>-AD418*INDEX('Deliverability Upgrade Factors'!$F:$F,MATCH(SUBSTITUTE(Dashboard!$D840,"_group",Dashboard!$D$763),'Deliverability Upgrade Factors'!$B:$B,0))</f>
        <v>0</v>
      </c>
      <c r="AH840" s="34" t="s">
        <v>422</v>
      </c>
    </row>
    <row r="841" spans="4:34" outlineLevel="2" x14ac:dyDescent="0.2">
      <c r="D841" s="8" t="s">
        <v>268</v>
      </c>
      <c r="E841" s="10">
        <f>-E419*INDEX('Deliverability Upgrade Factors'!$F:$F,MATCH(SUBSTITUTE(Dashboard!$D841,"_group",Dashboard!$D$763),'Deliverability Upgrade Factors'!$B:$B,0))</f>
        <v>0</v>
      </c>
      <c r="F841" s="10">
        <f>-F419*INDEX('Deliverability Upgrade Factors'!$F:$F,MATCH(SUBSTITUTE(Dashboard!$D841,"_group",Dashboard!$D$763),'Deliverability Upgrade Factors'!$B:$B,0))</f>
        <v>0</v>
      </c>
      <c r="G841" s="10">
        <f>-G419*INDEX('Deliverability Upgrade Factors'!$F:$F,MATCH(SUBSTITUTE(Dashboard!$D841,"_group",Dashboard!$D$763),'Deliverability Upgrade Factors'!$B:$B,0))</f>
        <v>0</v>
      </c>
      <c r="H841" s="10">
        <f>-H419*INDEX('Deliverability Upgrade Factors'!$F:$F,MATCH(SUBSTITUTE(Dashboard!$D841,"_group",Dashboard!$D$763),'Deliverability Upgrade Factors'!$B:$B,0))</f>
        <v>0</v>
      </c>
      <c r="I841" s="10">
        <f>-I419*INDEX('Deliverability Upgrade Factors'!$F:$F,MATCH(SUBSTITUTE(Dashboard!$D841,"_group",Dashboard!$D$763),'Deliverability Upgrade Factors'!$B:$B,0))</f>
        <v>0</v>
      </c>
      <c r="J841" s="10">
        <f>-J419*INDEX('Deliverability Upgrade Factors'!$F:$F,MATCH(SUBSTITUTE(Dashboard!$D841,"_group",Dashboard!$D$763),'Deliverability Upgrade Factors'!$B:$B,0))</f>
        <v>0</v>
      </c>
      <c r="K841" s="10">
        <f>-K419*INDEX('Deliverability Upgrade Factors'!$F:$F,MATCH(SUBSTITUTE(Dashboard!$D841,"_group",Dashboard!$D$763),'Deliverability Upgrade Factors'!$B:$B,0))</f>
        <v>0</v>
      </c>
      <c r="L841" s="10">
        <f>-L419*INDEX('Deliverability Upgrade Factors'!$F:$F,MATCH(SUBSTITUTE(Dashboard!$D841,"_group",Dashboard!$D$763),'Deliverability Upgrade Factors'!$B:$B,0))</f>
        <v>0</v>
      </c>
      <c r="M841" s="10">
        <f>-M419*INDEX('Deliverability Upgrade Factors'!$F:$F,MATCH(SUBSTITUTE(Dashboard!$D841,"_group",Dashboard!$D$763),'Deliverability Upgrade Factors'!$B:$B,0))</f>
        <v>0</v>
      </c>
      <c r="N841" s="10">
        <f>-N419*INDEX('Deliverability Upgrade Factors'!$F:$F,MATCH(SUBSTITUTE(Dashboard!$D841,"_group",Dashboard!$D$763),'Deliverability Upgrade Factors'!$B:$B,0))</f>
        <v>0</v>
      </c>
      <c r="O841" s="10">
        <f>-O419*INDEX('Deliverability Upgrade Factors'!$F:$F,MATCH(SUBSTITUTE(Dashboard!$D841,"_group",Dashboard!$D$763),'Deliverability Upgrade Factors'!$B:$B,0))</f>
        <v>0</v>
      </c>
      <c r="P841" s="10">
        <f>-P419*INDEX('Deliverability Upgrade Factors'!$F:$F,MATCH(SUBSTITUTE(Dashboard!$D841,"_group",Dashboard!$D$763),'Deliverability Upgrade Factors'!$B:$B,0))</f>
        <v>0</v>
      </c>
      <c r="Q841" s="10">
        <f>-Q419*INDEX('Deliverability Upgrade Factors'!$F:$F,MATCH(SUBSTITUTE(Dashboard!$D841,"_group",Dashboard!$D$763),'Deliverability Upgrade Factors'!$B:$B,0))</f>
        <v>0</v>
      </c>
      <c r="R841" s="10">
        <f>-R419*INDEX('Deliverability Upgrade Factors'!$F:$F,MATCH(SUBSTITUTE(Dashboard!$D841,"_group",Dashboard!$D$763),'Deliverability Upgrade Factors'!$B:$B,0))</f>
        <v>0</v>
      </c>
      <c r="S841" s="10">
        <f>-S419*INDEX('Deliverability Upgrade Factors'!$F:$F,MATCH(SUBSTITUTE(Dashboard!$D841,"_group",Dashboard!$D$763),'Deliverability Upgrade Factors'!$B:$B,0))</f>
        <v>0</v>
      </c>
      <c r="T841" s="10">
        <f>-T419*INDEX('Deliverability Upgrade Factors'!$F:$F,MATCH(SUBSTITUTE(Dashboard!$D841,"_group",Dashboard!$D$763),'Deliverability Upgrade Factors'!$B:$B,0))</f>
        <v>0</v>
      </c>
      <c r="U841" s="10">
        <f>-U419*INDEX('Deliverability Upgrade Factors'!$F:$F,MATCH(SUBSTITUTE(Dashboard!$D841,"_group",Dashboard!$D$763),'Deliverability Upgrade Factors'!$B:$B,0))</f>
        <v>0</v>
      </c>
      <c r="V841" s="10">
        <f>-V419*INDEX('Deliverability Upgrade Factors'!$F:$F,MATCH(SUBSTITUTE(Dashboard!$D841,"_group",Dashboard!$D$763),'Deliverability Upgrade Factors'!$B:$B,0))</f>
        <v>0</v>
      </c>
      <c r="W841" s="10">
        <f>-W419*INDEX('Deliverability Upgrade Factors'!$F:$F,MATCH(SUBSTITUTE(Dashboard!$D841,"_group",Dashboard!$D$763),'Deliverability Upgrade Factors'!$B:$B,0))</f>
        <v>0</v>
      </c>
      <c r="X841" s="10">
        <f>-X419*INDEX('Deliverability Upgrade Factors'!$F:$F,MATCH(SUBSTITUTE(Dashboard!$D841,"_group",Dashboard!$D$763),'Deliverability Upgrade Factors'!$B:$B,0))</f>
        <v>0</v>
      </c>
      <c r="Y841" s="10">
        <f>-Y419*INDEX('Deliverability Upgrade Factors'!$F:$F,MATCH(SUBSTITUTE(Dashboard!$D841,"_group",Dashboard!$D$763),'Deliverability Upgrade Factors'!$B:$B,0))</f>
        <v>0</v>
      </c>
      <c r="Z841" s="10">
        <f>-Z419*INDEX('Deliverability Upgrade Factors'!$F:$F,MATCH(SUBSTITUTE(Dashboard!$D841,"_group",Dashboard!$D$763),'Deliverability Upgrade Factors'!$B:$B,0))</f>
        <v>0</v>
      </c>
      <c r="AA841" s="10">
        <f>-AA419*INDEX('Deliverability Upgrade Factors'!$F:$F,MATCH(SUBSTITUTE(Dashboard!$D841,"_group",Dashboard!$D$763),'Deliverability Upgrade Factors'!$B:$B,0))</f>
        <v>0</v>
      </c>
      <c r="AB841" s="10">
        <f>-AB419*INDEX('Deliverability Upgrade Factors'!$F:$F,MATCH(SUBSTITUTE(Dashboard!$D841,"_group",Dashboard!$D$763),'Deliverability Upgrade Factors'!$B:$B,0))</f>
        <v>0</v>
      </c>
      <c r="AC841" s="10">
        <f>-AC419*INDEX('Deliverability Upgrade Factors'!$F:$F,MATCH(SUBSTITUTE(Dashboard!$D841,"_group",Dashboard!$D$763),'Deliverability Upgrade Factors'!$B:$B,0))</f>
        <v>0</v>
      </c>
      <c r="AD841" s="10">
        <f>-AD419*INDEX('Deliverability Upgrade Factors'!$F:$F,MATCH(SUBSTITUTE(Dashboard!$D841,"_group",Dashboard!$D$763),'Deliverability Upgrade Factors'!$B:$B,0))</f>
        <v>0</v>
      </c>
      <c r="AH841" s="34" t="s">
        <v>422</v>
      </c>
    </row>
    <row r="842" spans="4:34" outlineLevel="2" x14ac:dyDescent="0.2">
      <c r="D842" s="8" t="s">
        <v>269</v>
      </c>
      <c r="E842" s="10">
        <f>-E420*INDEX('Deliverability Upgrade Factors'!$F:$F,MATCH(SUBSTITUTE(Dashboard!$D842,"_group",Dashboard!$D$763),'Deliverability Upgrade Factors'!$B:$B,0))</f>
        <v>0</v>
      </c>
      <c r="F842" s="10">
        <f>-F420*INDEX('Deliverability Upgrade Factors'!$F:$F,MATCH(SUBSTITUTE(Dashboard!$D842,"_group",Dashboard!$D$763),'Deliverability Upgrade Factors'!$B:$B,0))</f>
        <v>0</v>
      </c>
      <c r="G842" s="10">
        <f>-G420*INDEX('Deliverability Upgrade Factors'!$F:$F,MATCH(SUBSTITUTE(Dashboard!$D842,"_group",Dashboard!$D$763),'Deliverability Upgrade Factors'!$B:$B,0))</f>
        <v>0</v>
      </c>
      <c r="H842" s="10">
        <f>-H420*INDEX('Deliverability Upgrade Factors'!$F:$F,MATCH(SUBSTITUTE(Dashboard!$D842,"_group",Dashboard!$D$763),'Deliverability Upgrade Factors'!$B:$B,0))</f>
        <v>0</v>
      </c>
      <c r="I842" s="10">
        <f>-I420*INDEX('Deliverability Upgrade Factors'!$F:$F,MATCH(SUBSTITUTE(Dashboard!$D842,"_group",Dashboard!$D$763),'Deliverability Upgrade Factors'!$B:$B,0))</f>
        <v>0</v>
      </c>
      <c r="J842" s="10">
        <f>-J420*INDEX('Deliverability Upgrade Factors'!$F:$F,MATCH(SUBSTITUTE(Dashboard!$D842,"_group",Dashboard!$D$763),'Deliverability Upgrade Factors'!$B:$B,0))</f>
        <v>0</v>
      </c>
      <c r="K842" s="10">
        <f>-K420*INDEX('Deliverability Upgrade Factors'!$F:$F,MATCH(SUBSTITUTE(Dashboard!$D842,"_group",Dashboard!$D$763),'Deliverability Upgrade Factors'!$B:$B,0))</f>
        <v>0</v>
      </c>
      <c r="L842" s="10">
        <f>-L420*INDEX('Deliverability Upgrade Factors'!$F:$F,MATCH(SUBSTITUTE(Dashboard!$D842,"_group",Dashboard!$D$763),'Deliverability Upgrade Factors'!$B:$B,0))</f>
        <v>0</v>
      </c>
      <c r="M842" s="10">
        <f>-M420*INDEX('Deliverability Upgrade Factors'!$F:$F,MATCH(SUBSTITUTE(Dashboard!$D842,"_group",Dashboard!$D$763),'Deliverability Upgrade Factors'!$B:$B,0))</f>
        <v>0</v>
      </c>
      <c r="N842" s="10">
        <f>-N420*INDEX('Deliverability Upgrade Factors'!$F:$F,MATCH(SUBSTITUTE(Dashboard!$D842,"_group",Dashboard!$D$763),'Deliverability Upgrade Factors'!$B:$B,0))</f>
        <v>0</v>
      </c>
      <c r="O842" s="10">
        <f>-O420*INDEX('Deliverability Upgrade Factors'!$F:$F,MATCH(SUBSTITUTE(Dashboard!$D842,"_group",Dashboard!$D$763),'Deliverability Upgrade Factors'!$B:$B,0))</f>
        <v>0</v>
      </c>
      <c r="P842" s="10">
        <f>-P420*INDEX('Deliverability Upgrade Factors'!$F:$F,MATCH(SUBSTITUTE(Dashboard!$D842,"_group",Dashboard!$D$763),'Deliverability Upgrade Factors'!$B:$B,0))</f>
        <v>0</v>
      </c>
      <c r="Q842" s="10">
        <f>-Q420*INDEX('Deliverability Upgrade Factors'!$F:$F,MATCH(SUBSTITUTE(Dashboard!$D842,"_group",Dashboard!$D$763),'Deliverability Upgrade Factors'!$B:$B,0))</f>
        <v>0</v>
      </c>
      <c r="R842" s="10">
        <f>-R420*INDEX('Deliverability Upgrade Factors'!$F:$F,MATCH(SUBSTITUTE(Dashboard!$D842,"_group",Dashboard!$D$763),'Deliverability Upgrade Factors'!$B:$B,0))</f>
        <v>0</v>
      </c>
      <c r="S842" s="10">
        <f>-S420*INDEX('Deliverability Upgrade Factors'!$F:$F,MATCH(SUBSTITUTE(Dashboard!$D842,"_group",Dashboard!$D$763),'Deliverability Upgrade Factors'!$B:$B,0))</f>
        <v>0</v>
      </c>
      <c r="T842" s="10">
        <f>-T420*INDEX('Deliverability Upgrade Factors'!$F:$F,MATCH(SUBSTITUTE(Dashboard!$D842,"_group",Dashboard!$D$763),'Deliverability Upgrade Factors'!$B:$B,0))</f>
        <v>0</v>
      </c>
      <c r="U842" s="10">
        <f>-U420*INDEX('Deliverability Upgrade Factors'!$F:$F,MATCH(SUBSTITUTE(Dashboard!$D842,"_group",Dashboard!$D$763),'Deliverability Upgrade Factors'!$B:$B,0))</f>
        <v>0</v>
      </c>
      <c r="V842" s="10">
        <f>-V420*INDEX('Deliverability Upgrade Factors'!$F:$F,MATCH(SUBSTITUTE(Dashboard!$D842,"_group",Dashboard!$D$763),'Deliverability Upgrade Factors'!$B:$B,0))</f>
        <v>0</v>
      </c>
      <c r="W842" s="10">
        <f>-W420*INDEX('Deliverability Upgrade Factors'!$F:$F,MATCH(SUBSTITUTE(Dashboard!$D842,"_group",Dashboard!$D$763),'Deliverability Upgrade Factors'!$B:$B,0))</f>
        <v>0</v>
      </c>
      <c r="X842" s="10">
        <f>-X420*INDEX('Deliverability Upgrade Factors'!$F:$F,MATCH(SUBSTITUTE(Dashboard!$D842,"_group",Dashboard!$D$763),'Deliverability Upgrade Factors'!$B:$B,0))</f>
        <v>0</v>
      </c>
      <c r="Y842" s="10">
        <f>-Y420*INDEX('Deliverability Upgrade Factors'!$F:$F,MATCH(SUBSTITUTE(Dashboard!$D842,"_group",Dashboard!$D$763),'Deliverability Upgrade Factors'!$B:$B,0))</f>
        <v>0</v>
      </c>
      <c r="Z842" s="10">
        <f>-Z420*INDEX('Deliverability Upgrade Factors'!$F:$F,MATCH(SUBSTITUTE(Dashboard!$D842,"_group",Dashboard!$D$763),'Deliverability Upgrade Factors'!$B:$B,0))</f>
        <v>0</v>
      </c>
      <c r="AA842" s="10">
        <f>-AA420*INDEX('Deliverability Upgrade Factors'!$F:$F,MATCH(SUBSTITUTE(Dashboard!$D842,"_group",Dashboard!$D$763),'Deliverability Upgrade Factors'!$B:$B,0))</f>
        <v>0</v>
      </c>
      <c r="AB842" s="10">
        <f>-AB420*INDEX('Deliverability Upgrade Factors'!$F:$F,MATCH(SUBSTITUTE(Dashboard!$D842,"_group",Dashboard!$D$763),'Deliverability Upgrade Factors'!$B:$B,0))</f>
        <v>0</v>
      </c>
      <c r="AC842" s="10">
        <f>-AC420*INDEX('Deliverability Upgrade Factors'!$F:$F,MATCH(SUBSTITUTE(Dashboard!$D842,"_group",Dashboard!$D$763),'Deliverability Upgrade Factors'!$B:$B,0))</f>
        <v>0</v>
      </c>
      <c r="AD842" s="10">
        <f>-AD420*INDEX('Deliverability Upgrade Factors'!$F:$F,MATCH(SUBSTITUTE(Dashboard!$D842,"_group",Dashboard!$D$763),'Deliverability Upgrade Factors'!$B:$B,0))</f>
        <v>0</v>
      </c>
      <c r="AH842" s="34" t="s">
        <v>422</v>
      </c>
    </row>
    <row r="843" spans="4:34" outlineLevel="2" x14ac:dyDescent="0.2">
      <c r="D843" s="8" t="s">
        <v>270</v>
      </c>
      <c r="E843" s="10">
        <f>-E421*INDEX('Deliverability Upgrade Factors'!$F:$F,MATCH(SUBSTITUTE(Dashboard!$D843,"_group",Dashboard!$D$763),'Deliverability Upgrade Factors'!$B:$B,0))</f>
        <v>0</v>
      </c>
      <c r="F843" s="10">
        <f>-F421*INDEX('Deliverability Upgrade Factors'!$F:$F,MATCH(SUBSTITUTE(Dashboard!$D843,"_group",Dashboard!$D$763),'Deliverability Upgrade Factors'!$B:$B,0))</f>
        <v>0</v>
      </c>
      <c r="G843" s="10">
        <f>-G421*INDEX('Deliverability Upgrade Factors'!$F:$F,MATCH(SUBSTITUTE(Dashboard!$D843,"_group",Dashboard!$D$763),'Deliverability Upgrade Factors'!$B:$B,0))</f>
        <v>0</v>
      </c>
      <c r="H843" s="10">
        <f>-H421*INDEX('Deliverability Upgrade Factors'!$F:$F,MATCH(SUBSTITUTE(Dashboard!$D843,"_group",Dashboard!$D$763),'Deliverability Upgrade Factors'!$B:$B,0))</f>
        <v>0</v>
      </c>
      <c r="I843" s="10">
        <f>-I421*INDEX('Deliverability Upgrade Factors'!$F:$F,MATCH(SUBSTITUTE(Dashboard!$D843,"_group",Dashboard!$D$763),'Deliverability Upgrade Factors'!$B:$B,0))</f>
        <v>0</v>
      </c>
      <c r="J843" s="10">
        <f>-J421*INDEX('Deliverability Upgrade Factors'!$F:$F,MATCH(SUBSTITUTE(Dashboard!$D843,"_group",Dashboard!$D$763),'Deliverability Upgrade Factors'!$B:$B,0))</f>
        <v>0</v>
      </c>
      <c r="K843" s="10">
        <f>-K421*INDEX('Deliverability Upgrade Factors'!$F:$F,MATCH(SUBSTITUTE(Dashboard!$D843,"_group",Dashboard!$D$763),'Deliverability Upgrade Factors'!$B:$B,0))</f>
        <v>0</v>
      </c>
      <c r="L843" s="10">
        <f>-L421*INDEX('Deliverability Upgrade Factors'!$F:$F,MATCH(SUBSTITUTE(Dashboard!$D843,"_group",Dashboard!$D$763),'Deliverability Upgrade Factors'!$B:$B,0))</f>
        <v>0</v>
      </c>
      <c r="M843" s="10">
        <f>-M421*INDEX('Deliverability Upgrade Factors'!$F:$F,MATCH(SUBSTITUTE(Dashboard!$D843,"_group",Dashboard!$D$763),'Deliverability Upgrade Factors'!$B:$B,0))</f>
        <v>0</v>
      </c>
      <c r="N843" s="10">
        <f>-N421*INDEX('Deliverability Upgrade Factors'!$F:$F,MATCH(SUBSTITUTE(Dashboard!$D843,"_group",Dashboard!$D$763),'Deliverability Upgrade Factors'!$B:$B,0))</f>
        <v>0</v>
      </c>
      <c r="O843" s="10">
        <f>-O421*INDEX('Deliverability Upgrade Factors'!$F:$F,MATCH(SUBSTITUTE(Dashboard!$D843,"_group",Dashboard!$D$763),'Deliverability Upgrade Factors'!$B:$B,0))</f>
        <v>0</v>
      </c>
      <c r="P843" s="10">
        <f>-P421*INDEX('Deliverability Upgrade Factors'!$F:$F,MATCH(SUBSTITUTE(Dashboard!$D843,"_group",Dashboard!$D$763),'Deliverability Upgrade Factors'!$B:$B,0))</f>
        <v>0</v>
      </c>
      <c r="Q843" s="10">
        <f>-Q421*INDEX('Deliverability Upgrade Factors'!$F:$F,MATCH(SUBSTITUTE(Dashboard!$D843,"_group",Dashboard!$D$763),'Deliverability Upgrade Factors'!$B:$B,0))</f>
        <v>0</v>
      </c>
      <c r="R843" s="10">
        <f>-R421*INDEX('Deliverability Upgrade Factors'!$F:$F,MATCH(SUBSTITUTE(Dashboard!$D843,"_group",Dashboard!$D$763),'Deliverability Upgrade Factors'!$B:$B,0))</f>
        <v>0</v>
      </c>
      <c r="S843" s="10">
        <f>-S421*INDEX('Deliverability Upgrade Factors'!$F:$F,MATCH(SUBSTITUTE(Dashboard!$D843,"_group",Dashboard!$D$763),'Deliverability Upgrade Factors'!$B:$B,0))</f>
        <v>0</v>
      </c>
      <c r="T843" s="10">
        <f>-T421*INDEX('Deliverability Upgrade Factors'!$F:$F,MATCH(SUBSTITUTE(Dashboard!$D843,"_group",Dashboard!$D$763),'Deliverability Upgrade Factors'!$B:$B,0))</f>
        <v>0</v>
      </c>
      <c r="U843" s="10">
        <f>-U421*INDEX('Deliverability Upgrade Factors'!$F:$F,MATCH(SUBSTITUTE(Dashboard!$D843,"_group",Dashboard!$D$763),'Deliverability Upgrade Factors'!$B:$B,0))</f>
        <v>0</v>
      </c>
      <c r="V843" s="10">
        <f>-V421*INDEX('Deliverability Upgrade Factors'!$F:$F,MATCH(SUBSTITUTE(Dashboard!$D843,"_group",Dashboard!$D$763),'Deliverability Upgrade Factors'!$B:$B,0))</f>
        <v>0</v>
      </c>
      <c r="W843" s="10">
        <f>-W421*INDEX('Deliverability Upgrade Factors'!$F:$F,MATCH(SUBSTITUTE(Dashboard!$D843,"_group",Dashboard!$D$763),'Deliverability Upgrade Factors'!$B:$B,0))</f>
        <v>0</v>
      </c>
      <c r="X843" s="10">
        <f>-X421*INDEX('Deliverability Upgrade Factors'!$F:$F,MATCH(SUBSTITUTE(Dashboard!$D843,"_group",Dashboard!$D$763),'Deliverability Upgrade Factors'!$B:$B,0))</f>
        <v>0</v>
      </c>
      <c r="Y843" s="10">
        <f>-Y421*INDEX('Deliverability Upgrade Factors'!$F:$F,MATCH(SUBSTITUTE(Dashboard!$D843,"_group",Dashboard!$D$763),'Deliverability Upgrade Factors'!$B:$B,0))</f>
        <v>0</v>
      </c>
      <c r="Z843" s="10">
        <f>-Z421*INDEX('Deliverability Upgrade Factors'!$F:$F,MATCH(SUBSTITUTE(Dashboard!$D843,"_group",Dashboard!$D$763),'Deliverability Upgrade Factors'!$B:$B,0))</f>
        <v>0</v>
      </c>
      <c r="AA843" s="10">
        <f>-AA421*INDEX('Deliverability Upgrade Factors'!$F:$F,MATCH(SUBSTITUTE(Dashboard!$D843,"_group",Dashboard!$D$763),'Deliverability Upgrade Factors'!$B:$B,0))</f>
        <v>0</v>
      </c>
      <c r="AB843" s="10">
        <f>-AB421*INDEX('Deliverability Upgrade Factors'!$F:$F,MATCH(SUBSTITUTE(Dashboard!$D843,"_group",Dashboard!$D$763),'Deliverability Upgrade Factors'!$B:$B,0))</f>
        <v>0</v>
      </c>
      <c r="AC843" s="10">
        <f>-AC421*INDEX('Deliverability Upgrade Factors'!$F:$F,MATCH(SUBSTITUTE(Dashboard!$D843,"_group",Dashboard!$D$763),'Deliverability Upgrade Factors'!$B:$B,0))</f>
        <v>0</v>
      </c>
      <c r="AD843" s="10">
        <f>-AD421*INDEX('Deliverability Upgrade Factors'!$F:$F,MATCH(SUBSTITUTE(Dashboard!$D843,"_group",Dashboard!$D$763),'Deliverability Upgrade Factors'!$B:$B,0))</f>
        <v>0</v>
      </c>
      <c r="AH843" s="34" t="s">
        <v>422</v>
      </c>
    </row>
    <row r="844" spans="4:34" outlineLevel="2" x14ac:dyDescent="0.2">
      <c r="D844" s="8" t="s">
        <v>271</v>
      </c>
      <c r="E844" s="10">
        <f>-E422*INDEX('Deliverability Upgrade Factors'!$F:$F,MATCH(SUBSTITUTE(Dashboard!$D844,"_group",Dashboard!$D$763),'Deliverability Upgrade Factors'!$B:$B,0))</f>
        <v>0</v>
      </c>
      <c r="F844" s="10">
        <f>-F422*INDEX('Deliverability Upgrade Factors'!$F:$F,MATCH(SUBSTITUTE(Dashboard!$D844,"_group",Dashboard!$D$763),'Deliverability Upgrade Factors'!$B:$B,0))</f>
        <v>0</v>
      </c>
      <c r="G844" s="10">
        <f>-G422*INDEX('Deliverability Upgrade Factors'!$F:$F,MATCH(SUBSTITUTE(Dashboard!$D844,"_group",Dashboard!$D$763),'Deliverability Upgrade Factors'!$B:$B,0))</f>
        <v>0</v>
      </c>
      <c r="H844" s="10">
        <f>-H422*INDEX('Deliverability Upgrade Factors'!$F:$F,MATCH(SUBSTITUTE(Dashboard!$D844,"_group",Dashboard!$D$763),'Deliverability Upgrade Factors'!$B:$B,0))</f>
        <v>0</v>
      </c>
      <c r="I844" s="10">
        <f>-I422*INDEX('Deliverability Upgrade Factors'!$F:$F,MATCH(SUBSTITUTE(Dashboard!$D844,"_group",Dashboard!$D$763),'Deliverability Upgrade Factors'!$B:$B,0))</f>
        <v>0</v>
      </c>
      <c r="J844" s="10">
        <f>-J422*INDEX('Deliverability Upgrade Factors'!$F:$F,MATCH(SUBSTITUTE(Dashboard!$D844,"_group",Dashboard!$D$763),'Deliverability Upgrade Factors'!$B:$B,0))</f>
        <v>0</v>
      </c>
      <c r="K844" s="10">
        <f>-K422*INDEX('Deliverability Upgrade Factors'!$F:$F,MATCH(SUBSTITUTE(Dashboard!$D844,"_group",Dashboard!$D$763),'Deliverability Upgrade Factors'!$B:$B,0))</f>
        <v>0</v>
      </c>
      <c r="L844" s="10">
        <f>-L422*INDEX('Deliverability Upgrade Factors'!$F:$F,MATCH(SUBSTITUTE(Dashboard!$D844,"_group",Dashboard!$D$763),'Deliverability Upgrade Factors'!$B:$B,0))</f>
        <v>0</v>
      </c>
      <c r="M844" s="10">
        <f>-M422*INDEX('Deliverability Upgrade Factors'!$F:$F,MATCH(SUBSTITUTE(Dashboard!$D844,"_group",Dashboard!$D$763),'Deliverability Upgrade Factors'!$B:$B,0))</f>
        <v>0</v>
      </c>
      <c r="N844" s="10">
        <f>-N422*INDEX('Deliverability Upgrade Factors'!$F:$F,MATCH(SUBSTITUTE(Dashboard!$D844,"_group",Dashboard!$D$763),'Deliverability Upgrade Factors'!$B:$B,0))</f>
        <v>0</v>
      </c>
      <c r="O844" s="10">
        <f>-O422*INDEX('Deliverability Upgrade Factors'!$F:$F,MATCH(SUBSTITUTE(Dashboard!$D844,"_group",Dashboard!$D$763),'Deliverability Upgrade Factors'!$B:$B,0))</f>
        <v>0</v>
      </c>
      <c r="P844" s="10">
        <f>-P422*INDEX('Deliverability Upgrade Factors'!$F:$F,MATCH(SUBSTITUTE(Dashboard!$D844,"_group",Dashboard!$D$763),'Deliverability Upgrade Factors'!$B:$B,0))</f>
        <v>0</v>
      </c>
      <c r="Q844" s="10">
        <f>-Q422*INDEX('Deliverability Upgrade Factors'!$F:$F,MATCH(SUBSTITUTE(Dashboard!$D844,"_group",Dashboard!$D$763),'Deliverability Upgrade Factors'!$B:$B,0))</f>
        <v>0</v>
      </c>
      <c r="R844" s="10">
        <f>-R422*INDEX('Deliverability Upgrade Factors'!$F:$F,MATCH(SUBSTITUTE(Dashboard!$D844,"_group",Dashboard!$D$763),'Deliverability Upgrade Factors'!$B:$B,0))</f>
        <v>0</v>
      </c>
      <c r="S844" s="10">
        <f>-S422*INDEX('Deliverability Upgrade Factors'!$F:$F,MATCH(SUBSTITUTE(Dashboard!$D844,"_group",Dashboard!$D$763),'Deliverability Upgrade Factors'!$B:$B,0))</f>
        <v>0</v>
      </c>
      <c r="T844" s="10">
        <f>-T422*INDEX('Deliverability Upgrade Factors'!$F:$F,MATCH(SUBSTITUTE(Dashboard!$D844,"_group",Dashboard!$D$763),'Deliverability Upgrade Factors'!$B:$B,0))</f>
        <v>0</v>
      </c>
      <c r="U844" s="10">
        <f>-U422*INDEX('Deliverability Upgrade Factors'!$F:$F,MATCH(SUBSTITUTE(Dashboard!$D844,"_group",Dashboard!$D$763),'Deliverability Upgrade Factors'!$B:$B,0))</f>
        <v>0</v>
      </c>
      <c r="V844" s="10">
        <f>-V422*INDEX('Deliverability Upgrade Factors'!$F:$F,MATCH(SUBSTITUTE(Dashboard!$D844,"_group",Dashboard!$D$763),'Deliverability Upgrade Factors'!$B:$B,0))</f>
        <v>0</v>
      </c>
      <c r="W844" s="10">
        <f>-W422*INDEX('Deliverability Upgrade Factors'!$F:$F,MATCH(SUBSTITUTE(Dashboard!$D844,"_group",Dashboard!$D$763),'Deliverability Upgrade Factors'!$B:$B,0))</f>
        <v>0</v>
      </c>
      <c r="X844" s="10">
        <f>-X422*INDEX('Deliverability Upgrade Factors'!$F:$F,MATCH(SUBSTITUTE(Dashboard!$D844,"_group",Dashboard!$D$763),'Deliverability Upgrade Factors'!$B:$B,0))</f>
        <v>0</v>
      </c>
      <c r="Y844" s="10">
        <f>-Y422*INDEX('Deliverability Upgrade Factors'!$F:$F,MATCH(SUBSTITUTE(Dashboard!$D844,"_group",Dashboard!$D$763),'Deliverability Upgrade Factors'!$B:$B,0))</f>
        <v>0</v>
      </c>
      <c r="Z844" s="10">
        <f>-Z422*INDEX('Deliverability Upgrade Factors'!$F:$F,MATCH(SUBSTITUTE(Dashboard!$D844,"_group",Dashboard!$D$763),'Deliverability Upgrade Factors'!$B:$B,0))</f>
        <v>0</v>
      </c>
      <c r="AA844" s="10">
        <f>-AA422*INDEX('Deliverability Upgrade Factors'!$F:$F,MATCH(SUBSTITUTE(Dashboard!$D844,"_group",Dashboard!$D$763),'Deliverability Upgrade Factors'!$B:$B,0))</f>
        <v>0</v>
      </c>
      <c r="AB844" s="10">
        <f>-AB422*INDEX('Deliverability Upgrade Factors'!$F:$F,MATCH(SUBSTITUTE(Dashboard!$D844,"_group",Dashboard!$D$763),'Deliverability Upgrade Factors'!$B:$B,0))</f>
        <v>0</v>
      </c>
      <c r="AC844" s="10">
        <f>-AC422*INDEX('Deliverability Upgrade Factors'!$F:$F,MATCH(SUBSTITUTE(Dashboard!$D844,"_group",Dashboard!$D$763),'Deliverability Upgrade Factors'!$B:$B,0))</f>
        <v>0</v>
      </c>
      <c r="AD844" s="10">
        <f>-AD422*INDEX('Deliverability Upgrade Factors'!$F:$F,MATCH(SUBSTITUTE(Dashboard!$D844,"_group",Dashboard!$D$763),'Deliverability Upgrade Factors'!$B:$B,0))</f>
        <v>257.089</v>
      </c>
      <c r="AH844" s="34" t="s">
        <v>422</v>
      </c>
    </row>
    <row r="845" spans="4:34" outlineLevel="2" x14ac:dyDescent="0.2">
      <c r="D845" s="8" t="s">
        <v>272</v>
      </c>
      <c r="E845" s="10">
        <f>-E423*INDEX('Deliverability Upgrade Factors'!$F:$F,MATCH(SUBSTITUTE(Dashboard!$D845,"_group",Dashboard!$D$763),'Deliverability Upgrade Factors'!$B:$B,0))</f>
        <v>0</v>
      </c>
      <c r="F845" s="10">
        <f>-F423*INDEX('Deliverability Upgrade Factors'!$F:$F,MATCH(SUBSTITUTE(Dashboard!$D845,"_group",Dashboard!$D$763),'Deliverability Upgrade Factors'!$B:$B,0))</f>
        <v>0</v>
      </c>
      <c r="G845" s="10">
        <f>-G423*INDEX('Deliverability Upgrade Factors'!$F:$F,MATCH(SUBSTITUTE(Dashboard!$D845,"_group",Dashboard!$D$763),'Deliverability Upgrade Factors'!$B:$B,0))</f>
        <v>0</v>
      </c>
      <c r="H845" s="10">
        <f>-H423*INDEX('Deliverability Upgrade Factors'!$F:$F,MATCH(SUBSTITUTE(Dashboard!$D845,"_group",Dashboard!$D$763),'Deliverability Upgrade Factors'!$B:$B,0))</f>
        <v>0</v>
      </c>
      <c r="I845" s="10">
        <f>-I423*INDEX('Deliverability Upgrade Factors'!$F:$F,MATCH(SUBSTITUTE(Dashboard!$D845,"_group",Dashboard!$D$763),'Deliverability Upgrade Factors'!$B:$B,0))</f>
        <v>0</v>
      </c>
      <c r="J845" s="10">
        <f>-J423*INDEX('Deliverability Upgrade Factors'!$F:$F,MATCH(SUBSTITUTE(Dashboard!$D845,"_group",Dashboard!$D$763),'Deliverability Upgrade Factors'!$B:$B,0))</f>
        <v>0</v>
      </c>
      <c r="K845" s="10">
        <f>-K423*INDEX('Deliverability Upgrade Factors'!$F:$F,MATCH(SUBSTITUTE(Dashboard!$D845,"_group",Dashboard!$D$763),'Deliverability Upgrade Factors'!$B:$B,0))</f>
        <v>0</v>
      </c>
      <c r="L845" s="10">
        <f>-L423*INDEX('Deliverability Upgrade Factors'!$F:$F,MATCH(SUBSTITUTE(Dashboard!$D845,"_group",Dashboard!$D$763),'Deliverability Upgrade Factors'!$B:$B,0))</f>
        <v>0</v>
      </c>
      <c r="M845" s="10">
        <f>-M423*INDEX('Deliverability Upgrade Factors'!$F:$F,MATCH(SUBSTITUTE(Dashboard!$D845,"_group",Dashboard!$D$763),'Deliverability Upgrade Factors'!$B:$B,0))</f>
        <v>0</v>
      </c>
      <c r="N845" s="10">
        <f>-N423*INDEX('Deliverability Upgrade Factors'!$F:$F,MATCH(SUBSTITUTE(Dashboard!$D845,"_group",Dashboard!$D$763),'Deliverability Upgrade Factors'!$B:$B,0))</f>
        <v>0</v>
      </c>
      <c r="O845" s="10">
        <f>-O423*INDEX('Deliverability Upgrade Factors'!$F:$F,MATCH(SUBSTITUTE(Dashboard!$D845,"_group",Dashboard!$D$763),'Deliverability Upgrade Factors'!$B:$B,0))</f>
        <v>0</v>
      </c>
      <c r="P845" s="10">
        <f>-P423*INDEX('Deliverability Upgrade Factors'!$F:$F,MATCH(SUBSTITUTE(Dashboard!$D845,"_group",Dashboard!$D$763),'Deliverability Upgrade Factors'!$B:$B,0))</f>
        <v>0</v>
      </c>
      <c r="Q845" s="10">
        <f>-Q423*INDEX('Deliverability Upgrade Factors'!$F:$F,MATCH(SUBSTITUTE(Dashboard!$D845,"_group",Dashboard!$D$763),'Deliverability Upgrade Factors'!$B:$B,0))</f>
        <v>0</v>
      </c>
      <c r="R845" s="10">
        <f>-R423*INDEX('Deliverability Upgrade Factors'!$F:$F,MATCH(SUBSTITUTE(Dashboard!$D845,"_group",Dashboard!$D$763),'Deliverability Upgrade Factors'!$B:$B,0))</f>
        <v>0</v>
      </c>
      <c r="S845" s="10">
        <f>-S423*INDEX('Deliverability Upgrade Factors'!$F:$F,MATCH(SUBSTITUTE(Dashboard!$D845,"_group",Dashboard!$D$763),'Deliverability Upgrade Factors'!$B:$B,0))</f>
        <v>0</v>
      </c>
      <c r="T845" s="10">
        <f>-T423*INDEX('Deliverability Upgrade Factors'!$F:$F,MATCH(SUBSTITUTE(Dashboard!$D845,"_group",Dashboard!$D$763),'Deliverability Upgrade Factors'!$B:$B,0))</f>
        <v>0</v>
      </c>
      <c r="U845" s="10">
        <f>-U423*INDEX('Deliverability Upgrade Factors'!$F:$F,MATCH(SUBSTITUTE(Dashboard!$D845,"_group",Dashboard!$D$763),'Deliverability Upgrade Factors'!$B:$B,0))</f>
        <v>0</v>
      </c>
      <c r="V845" s="10">
        <f>-V423*INDEX('Deliverability Upgrade Factors'!$F:$F,MATCH(SUBSTITUTE(Dashboard!$D845,"_group",Dashboard!$D$763),'Deliverability Upgrade Factors'!$B:$B,0))</f>
        <v>0</v>
      </c>
      <c r="W845" s="10">
        <f>-W423*INDEX('Deliverability Upgrade Factors'!$F:$F,MATCH(SUBSTITUTE(Dashboard!$D845,"_group",Dashboard!$D$763),'Deliverability Upgrade Factors'!$B:$B,0))</f>
        <v>0</v>
      </c>
      <c r="X845" s="10">
        <f>-X423*INDEX('Deliverability Upgrade Factors'!$F:$F,MATCH(SUBSTITUTE(Dashboard!$D845,"_group",Dashboard!$D$763),'Deliverability Upgrade Factors'!$B:$B,0))</f>
        <v>0</v>
      </c>
      <c r="Y845" s="10">
        <f>-Y423*INDEX('Deliverability Upgrade Factors'!$F:$F,MATCH(SUBSTITUTE(Dashboard!$D845,"_group",Dashboard!$D$763),'Deliverability Upgrade Factors'!$B:$B,0))</f>
        <v>0</v>
      </c>
      <c r="Z845" s="10">
        <f>-Z423*INDEX('Deliverability Upgrade Factors'!$F:$F,MATCH(SUBSTITUTE(Dashboard!$D845,"_group",Dashboard!$D$763),'Deliverability Upgrade Factors'!$B:$B,0))</f>
        <v>0</v>
      </c>
      <c r="AA845" s="10">
        <f>-AA423*INDEX('Deliverability Upgrade Factors'!$F:$F,MATCH(SUBSTITUTE(Dashboard!$D845,"_group",Dashboard!$D$763),'Deliverability Upgrade Factors'!$B:$B,0))</f>
        <v>0</v>
      </c>
      <c r="AB845" s="10">
        <f>-AB423*INDEX('Deliverability Upgrade Factors'!$F:$F,MATCH(SUBSTITUTE(Dashboard!$D845,"_group",Dashboard!$D$763),'Deliverability Upgrade Factors'!$B:$B,0))</f>
        <v>0</v>
      </c>
      <c r="AC845" s="10">
        <f>-AC423*INDEX('Deliverability Upgrade Factors'!$F:$F,MATCH(SUBSTITUTE(Dashboard!$D845,"_group",Dashboard!$D$763),'Deliverability Upgrade Factors'!$B:$B,0))</f>
        <v>0</v>
      </c>
      <c r="AD845" s="10">
        <f>-AD423*INDEX('Deliverability Upgrade Factors'!$F:$F,MATCH(SUBSTITUTE(Dashboard!$D845,"_group",Dashboard!$D$763),'Deliverability Upgrade Factors'!$B:$B,0))</f>
        <v>0</v>
      </c>
      <c r="AH845" s="34" t="s">
        <v>422</v>
      </c>
    </row>
    <row r="846" spans="4:34" outlineLevel="2" x14ac:dyDescent="0.2">
      <c r="D846" s="8" t="s">
        <v>273</v>
      </c>
      <c r="E846" s="10">
        <f>-E424*INDEX('Deliverability Upgrade Factors'!$F:$F,MATCH(SUBSTITUTE(Dashboard!$D846,"_group",Dashboard!$D$763),'Deliverability Upgrade Factors'!$B:$B,0))</f>
        <v>0</v>
      </c>
      <c r="F846" s="10">
        <f>-F424*INDEX('Deliverability Upgrade Factors'!$F:$F,MATCH(SUBSTITUTE(Dashboard!$D846,"_group",Dashboard!$D$763),'Deliverability Upgrade Factors'!$B:$B,0))</f>
        <v>0</v>
      </c>
      <c r="G846" s="10">
        <f>-G424*INDEX('Deliverability Upgrade Factors'!$F:$F,MATCH(SUBSTITUTE(Dashboard!$D846,"_group",Dashboard!$D$763),'Deliverability Upgrade Factors'!$B:$B,0))</f>
        <v>0</v>
      </c>
      <c r="H846" s="10">
        <f>-H424*INDEX('Deliverability Upgrade Factors'!$F:$F,MATCH(SUBSTITUTE(Dashboard!$D846,"_group",Dashboard!$D$763),'Deliverability Upgrade Factors'!$B:$B,0))</f>
        <v>0</v>
      </c>
      <c r="I846" s="10">
        <f>-I424*INDEX('Deliverability Upgrade Factors'!$F:$F,MATCH(SUBSTITUTE(Dashboard!$D846,"_group",Dashboard!$D$763),'Deliverability Upgrade Factors'!$B:$B,0))</f>
        <v>0</v>
      </c>
      <c r="J846" s="10">
        <f>-J424*INDEX('Deliverability Upgrade Factors'!$F:$F,MATCH(SUBSTITUTE(Dashboard!$D846,"_group",Dashboard!$D$763),'Deliverability Upgrade Factors'!$B:$B,0))</f>
        <v>0</v>
      </c>
      <c r="K846" s="10">
        <f>-K424*INDEX('Deliverability Upgrade Factors'!$F:$F,MATCH(SUBSTITUTE(Dashboard!$D846,"_group",Dashboard!$D$763),'Deliverability Upgrade Factors'!$B:$B,0))</f>
        <v>0</v>
      </c>
      <c r="L846" s="10">
        <f>-L424*INDEX('Deliverability Upgrade Factors'!$F:$F,MATCH(SUBSTITUTE(Dashboard!$D846,"_group",Dashboard!$D$763),'Deliverability Upgrade Factors'!$B:$B,0))</f>
        <v>0</v>
      </c>
      <c r="M846" s="10">
        <f>-M424*INDEX('Deliverability Upgrade Factors'!$F:$F,MATCH(SUBSTITUTE(Dashboard!$D846,"_group",Dashboard!$D$763),'Deliverability Upgrade Factors'!$B:$B,0))</f>
        <v>0</v>
      </c>
      <c r="N846" s="10">
        <f>-N424*INDEX('Deliverability Upgrade Factors'!$F:$F,MATCH(SUBSTITUTE(Dashboard!$D846,"_group",Dashboard!$D$763),'Deliverability Upgrade Factors'!$B:$B,0))</f>
        <v>0</v>
      </c>
      <c r="O846" s="10">
        <f>-O424*INDEX('Deliverability Upgrade Factors'!$F:$F,MATCH(SUBSTITUTE(Dashboard!$D846,"_group",Dashboard!$D$763),'Deliverability Upgrade Factors'!$B:$B,0))</f>
        <v>0</v>
      </c>
      <c r="P846" s="10">
        <f>-P424*INDEX('Deliverability Upgrade Factors'!$F:$F,MATCH(SUBSTITUTE(Dashboard!$D846,"_group",Dashboard!$D$763),'Deliverability Upgrade Factors'!$B:$B,0))</f>
        <v>0</v>
      </c>
      <c r="Q846" s="10">
        <f>-Q424*INDEX('Deliverability Upgrade Factors'!$F:$F,MATCH(SUBSTITUTE(Dashboard!$D846,"_group",Dashboard!$D$763),'Deliverability Upgrade Factors'!$B:$B,0))</f>
        <v>0</v>
      </c>
      <c r="R846" s="10">
        <f>-R424*INDEX('Deliverability Upgrade Factors'!$F:$F,MATCH(SUBSTITUTE(Dashboard!$D846,"_group",Dashboard!$D$763),'Deliverability Upgrade Factors'!$B:$B,0))</f>
        <v>0</v>
      </c>
      <c r="S846" s="10">
        <f>-S424*INDEX('Deliverability Upgrade Factors'!$F:$F,MATCH(SUBSTITUTE(Dashboard!$D846,"_group",Dashboard!$D$763),'Deliverability Upgrade Factors'!$B:$B,0))</f>
        <v>0</v>
      </c>
      <c r="T846" s="10">
        <f>-T424*INDEX('Deliverability Upgrade Factors'!$F:$F,MATCH(SUBSTITUTE(Dashboard!$D846,"_group",Dashboard!$D$763),'Deliverability Upgrade Factors'!$B:$B,0))</f>
        <v>0</v>
      </c>
      <c r="U846" s="10">
        <f>-U424*INDEX('Deliverability Upgrade Factors'!$F:$F,MATCH(SUBSTITUTE(Dashboard!$D846,"_group",Dashboard!$D$763),'Deliverability Upgrade Factors'!$B:$B,0))</f>
        <v>0</v>
      </c>
      <c r="V846" s="10">
        <f>-V424*INDEX('Deliverability Upgrade Factors'!$F:$F,MATCH(SUBSTITUTE(Dashboard!$D846,"_group",Dashboard!$D$763),'Deliverability Upgrade Factors'!$B:$B,0))</f>
        <v>0</v>
      </c>
      <c r="W846" s="10">
        <f>-W424*INDEX('Deliverability Upgrade Factors'!$F:$F,MATCH(SUBSTITUTE(Dashboard!$D846,"_group",Dashboard!$D$763),'Deliverability Upgrade Factors'!$B:$B,0))</f>
        <v>0</v>
      </c>
      <c r="X846" s="10">
        <f>-X424*INDEX('Deliverability Upgrade Factors'!$F:$F,MATCH(SUBSTITUTE(Dashboard!$D846,"_group",Dashboard!$D$763),'Deliverability Upgrade Factors'!$B:$B,0))</f>
        <v>0</v>
      </c>
      <c r="Y846" s="10">
        <f>-Y424*INDEX('Deliverability Upgrade Factors'!$F:$F,MATCH(SUBSTITUTE(Dashboard!$D846,"_group",Dashboard!$D$763),'Deliverability Upgrade Factors'!$B:$B,0))</f>
        <v>0</v>
      </c>
      <c r="Z846" s="10">
        <f>-Z424*INDEX('Deliverability Upgrade Factors'!$F:$F,MATCH(SUBSTITUTE(Dashboard!$D846,"_group",Dashboard!$D$763),'Deliverability Upgrade Factors'!$B:$B,0))</f>
        <v>0</v>
      </c>
      <c r="AA846" s="10">
        <f>-AA424*INDEX('Deliverability Upgrade Factors'!$F:$F,MATCH(SUBSTITUTE(Dashboard!$D846,"_group",Dashboard!$D$763),'Deliverability Upgrade Factors'!$B:$B,0))</f>
        <v>0</v>
      </c>
      <c r="AB846" s="10">
        <f>-AB424*INDEX('Deliverability Upgrade Factors'!$F:$F,MATCH(SUBSTITUTE(Dashboard!$D846,"_group",Dashboard!$D$763),'Deliverability Upgrade Factors'!$B:$B,0))</f>
        <v>0</v>
      </c>
      <c r="AC846" s="10">
        <f>-AC424*INDEX('Deliverability Upgrade Factors'!$F:$F,MATCH(SUBSTITUTE(Dashboard!$D846,"_group",Dashboard!$D$763),'Deliverability Upgrade Factors'!$B:$B,0))</f>
        <v>0</v>
      </c>
      <c r="AD846" s="10">
        <f>-AD424*INDEX('Deliverability Upgrade Factors'!$F:$F,MATCH(SUBSTITUTE(Dashboard!$D846,"_group",Dashboard!$D$763),'Deliverability Upgrade Factors'!$B:$B,0))</f>
        <v>0</v>
      </c>
      <c r="AH846" s="34" t="s">
        <v>422</v>
      </c>
    </row>
    <row r="847" spans="4:34" outlineLevel="2" x14ac:dyDescent="0.2">
      <c r="D847" s="8" t="s">
        <v>274</v>
      </c>
      <c r="E847" s="10">
        <f>-E425*INDEX('Deliverability Upgrade Factors'!$F:$F,MATCH(SUBSTITUTE(Dashboard!$D847,"_group",Dashboard!$D$763),'Deliverability Upgrade Factors'!$B:$B,0))</f>
        <v>0</v>
      </c>
      <c r="F847" s="10">
        <f>-F425*INDEX('Deliverability Upgrade Factors'!$F:$F,MATCH(SUBSTITUTE(Dashboard!$D847,"_group",Dashboard!$D$763),'Deliverability Upgrade Factors'!$B:$B,0))</f>
        <v>0</v>
      </c>
      <c r="G847" s="10">
        <f>-G425*INDEX('Deliverability Upgrade Factors'!$F:$F,MATCH(SUBSTITUTE(Dashboard!$D847,"_group",Dashboard!$D$763),'Deliverability Upgrade Factors'!$B:$B,0))</f>
        <v>0</v>
      </c>
      <c r="H847" s="10">
        <f>-H425*INDEX('Deliverability Upgrade Factors'!$F:$F,MATCH(SUBSTITUTE(Dashboard!$D847,"_group",Dashboard!$D$763),'Deliverability Upgrade Factors'!$B:$B,0))</f>
        <v>0</v>
      </c>
      <c r="I847" s="10">
        <f>-I425*INDEX('Deliverability Upgrade Factors'!$F:$F,MATCH(SUBSTITUTE(Dashboard!$D847,"_group",Dashboard!$D$763),'Deliverability Upgrade Factors'!$B:$B,0))</f>
        <v>0</v>
      </c>
      <c r="J847" s="10">
        <f>-J425*INDEX('Deliverability Upgrade Factors'!$F:$F,MATCH(SUBSTITUTE(Dashboard!$D847,"_group",Dashboard!$D$763),'Deliverability Upgrade Factors'!$B:$B,0))</f>
        <v>0</v>
      </c>
      <c r="K847" s="10">
        <f>-K425*INDEX('Deliverability Upgrade Factors'!$F:$F,MATCH(SUBSTITUTE(Dashboard!$D847,"_group",Dashboard!$D$763),'Deliverability Upgrade Factors'!$B:$B,0))</f>
        <v>0</v>
      </c>
      <c r="L847" s="10">
        <f>-L425*INDEX('Deliverability Upgrade Factors'!$F:$F,MATCH(SUBSTITUTE(Dashboard!$D847,"_group",Dashboard!$D$763),'Deliverability Upgrade Factors'!$B:$B,0))</f>
        <v>0</v>
      </c>
      <c r="M847" s="10">
        <f>-M425*INDEX('Deliverability Upgrade Factors'!$F:$F,MATCH(SUBSTITUTE(Dashboard!$D847,"_group",Dashboard!$D$763),'Deliverability Upgrade Factors'!$B:$B,0))</f>
        <v>0</v>
      </c>
      <c r="N847" s="10">
        <f>-N425*INDEX('Deliverability Upgrade Factors'!$F:$F,MATCH(SUBSTITUTE(Dashboard!$D847,"_group",Dashboard!$D$763),'Deliverability Upgrade Factors'!$B:$B,0))</f>
        <v>0</v>
      </c>
      <c r="O847" s="10">
        <f>-O425*INDEX('Deliverability Upgrade Factors'!$F:$F,MATCH(SUBSTITUTE(Dashboard!$D847,"_group",Dashboard!$D$763),'Deliverability Upgrade Factors'!$B:$B,0))</f>
        <v>0</v>
      </c>
      <c r="P847" s="10">
        <f>-P425*INDEX('Deliverability Upgrade Factors'!$F:$F,MATCH(SUBSTITUTE(Dashboard!$D847,"_group",Dashboard!$D$763),'Deliverability Upgrade Factors'!$B:$B,0))</f>
        <v>0</v>
      </c>
      <c r="Q847" s="10">
        <f>-Q425*INDEX('Deliverability Upgrade Factors'!$F:$F,MATCH(SUBSTITUTE(Dashboard!$D847,"_group",Dashboard!$D$763),'Deliverability Upgrade Factors'!$B:$B,0))</f>
        <v>0</v>
      </c>
      <c r="R847" s="10">
        <f>-R425*INDEX('Deliverability Upgrade Factors'!$F:$F,MATCH(SUBSTITUTE(Dashboard!$D847,"_group",Dashboard!$D$763),'Deliverability Upgrade Factors'!$B:$B,0))</f>
        <v>0</v>
      </c>
      <c r="S847" s="10">
        <f>-S425*INDEX('Deliverability Upgrade Factors'!$F:$F,MATCH(SUBSTITUTE(Dashboard!$D847,"_group",Dashboard!$D$763),'Deliverability Upgrade Factors'!$B:$B,0))</f>
        <v>0</v>
      </c>
      <c r="T847" s="10">
        <f>-T425*INDEX('Deliverability Upgrade Factors'!$F:$F,MATCH(SUBSTITUTE(Dashboard!$D847,"_group",Dashboard!$D$763),'Deliverability Upgrade Factors'!$B:$B,0))</f>
        <v>0</v>
      </c>
      <c r="U847" s="10">
        <f>-U425*INDEX('Deliverability Upgrade Factors'!$F:$F,MATCH(SUBSTITUTE(Dashboard!$D847,"_group",Dashboard!$D$763),'Deliverability Upgrade Factors'!$B:$B,0))</f>
        <v>0</v>
      </c>
      <c r="V847" s="10">
        <f>-V425*INDEX('Deliverability Upgrade Factors'!$F:$F,MATCH(SUBSTITUTE(Dashboard!$D847,"_group",Dashboard!$D$763),'Deliverability Upgrade Factors'!$B:$B,0))</f>
        <v>0</v>
      </c>
      <c r="W847" s="10">
        <f>-W425*INDEX('Deliverability Upgrade Factors'!$F:$F,MATCH(SUBSTITUTE(Dashboard!$D847,"_group",Dashboard!$D$763),'Deliverability Upgrade Factors'!$B:$B,0))</f>
        <v>0</v>
      </c>
      <c r="X847" s="10">
        <f>-X425*INDEX('Deliverability Upgrade Factors'!$F:$F,MATCH(SUBSTITUTE(Dashboard!$D847,"_group",Dashboard!$D$763),'Deliverability Upgrade Factors'!$B:$B,0))</f>
        <v>0</v>
      </c>
      <c r="Y847" s="10">
        <f>-Y425*INDEX('Deliverability Upgrade Factors'!$F:$F,MATCH(SUBSTITUTE(Dashboard!$D847,"_group",Dashboard!$D$763),'Deliverability Upgrade Factors'!$B:$B,0))</f>
        <v>0</v>
      </c>
      <c r="Z847" s="10">
        <f>-Z425*INDEX('Deliverability Upgrade Factors'!$F:$F,MATCH(SUBSTITUTE(Dashboard!$D847,"_group",Dashboard!$D$763),'Deliverability Upgrade Factors'!$B:$B,0))</f>
        <v>0</v>
      </c>
      <c r="AA847" s="10">
        <f>-AA425*INDEX('Deliverability Upgrade Factors'!$F:$F,MATCH(SUBSTITUTE(Dashboard!$D847,"_group",Dashboard!$D$763),'Deliverability Upgrade Factors'!$B:$B,0))</f>
        <v>0</v>
      </c>
      <c r="AB847" s="10">
        <f>-AB425*INDEX('Deliverability Upgrade Factors'!$F:$F,MATCH(SUBSTITUTE(Dashboard!$D847,"_group",Dashboard!$D$763),'Deliverability Upgrade Factors'!$B:$B,0))</f>
        <v>0</v>
      </c>
      <c r="AC847" s="10">
        <f>-AC425*INDEX('Deliverability Upgrade Factors'!$F:$F,MATCH(SUBSTITUTE(Dashboard!$D847,"_group",Dashboard!$D$763),'Deliverability Upgrade Factors'!$B:$B,0))</f>
        <v>0</v>
      </c>
      <c r="AD847" s="10">
        <f>-AD425*INDEX('Deliverability Upgrade Factors'!$F:$F,MATCH(SUBSTITUTE(Dashboard!$D847,"_group",Dashboard!$D$763),'Deliverability Upgrade Factors'!$B:$B,0))</f>
        <v>0</v>
      </c>
      <c r="AH847" s="34" t="s">
        <v>422</v>
      </c>
    </row>
    <row r="848" spans="4:34" outlineLevel="2" x14ac:dyDescent="0.2">
      <c r="D848" s="8" t="s">
        <v>275</v>
      </c>
      <c r="E848" s="10">
        <f>-E426*INDEX('Deliverability Upgrade Factors'!$F:$F,MATCH(SUBSTITUTE(Dashboard!$D848,"_group",Dashboard!$D$763),'Deliverability Upgrade Factors'!$B:$B,0))</f>
        <v>0</v>
      </c>
      <c r="F848" s="10">
        <f>-F426*INDEX('Deliverability Upgrade Factors'!$F:$F,MATCH(SUBSTITUTE(Dashboard!$D848,"_group",Dashboard!$D$763),'Deliverability Upgrade Factors'!$B:$B,0))</f>
        <v>0</v>
      </c>
      <c r="G848" s="10">
        <f>-G426*INDEX('Deliverability Upgrade Factors'!$F:$F,MATCH(SUBSTITUTE(Dashboard!$D848,"_group",Dashboard!$D$763),'Deliverability Upgrade Factors'!$B:$B,0))</f>
        <v>0</v>
      </c>
      <c r="H848" s="10">
        <f>-H426*INDEX('Deliverability Upgrade Factors'!$F:$F,MATCH(SUBSTITUTE(Dashboard!$D848,"_group",Dashboard!$D$763),'Deliverability Upgrade Factors'!$B:$B,0))</f>
        <v>0</v>
      </c>
      <c r="I848" s="10">
        <f>-I426*INDEX('Deliverability Upgrade Factors'!$F:$F,MATCH(SUBSTITUTE(Dashboard!$D848,"_group",Dashboard!$D$763),'Deliverability Upgrade Factors'!$B:$B,0))</f>
        <v>0</v>
      </c>
      <c r="J848" s="10">
        <f>-J426*INDEX('Deliverability Upgrade Factors'!$F:$F,MATCH(SUBSTITUTE(Dashboard!$D848,"_group",Dashboard!$D$763),'Deliverability Upgrade Factors'!$B:$B,0))</f>
        <v>0</v>
      </c>
      <c r="K848" s="10">
        <f>-K426*INDEX('Deliverability Upgrade Factors'!$F:$F,MATCH(SUBSTITUTE(Dashboard!$D848,"_group",Dashboard!$D$763),'Deliverability Upgrade Factors'!$B:$B,0))</f>
        <v>0</v>
      </c>
      <c r="L848" s="10">
        <f>-L426*INDEX('Deliverability Upgrade Factors'!$F:$F,MATCH(SUBSTITUTE(Dashboard!$D848,"_group",Dashboard!$D$763),'Deliverability Upgrade Factors'!$B:$B,0))</f>
        <v>0</v>
      </c>
      <c r="M848" s="10">
        <f>-M426*INDEX('Deliverability Upgrade Factors'!$F:$F,MATCH(SUBSTITUTE(Dashboard!$D848,"_group",Dashboard!$D$763),'Deliverability Upgrade Factors'!$B:$B,0))</f>
        <v>0</v>
      </c>
      <c r="N848" s="10">
        <f>-N426*INDEX('Deliverability Upgrade Factors'!$F:$F,MATCH(SUBSTITUTE(Dashboard!$D848,"_group",Dashboard!$D$763),'Deliverability Upgrade Factors'!$B:$B,0))</f>
        <v>0</v>
      </c>
      <c r="O848" s="10">
        <f>-O426*INDEX('Deliverability Upgrade Factors'!$F:$F,MATCH(SUBSTITUTE(Dashboard!$D848,"_group",Dashboard!$D$763),'Deliverability Upgrade Factors'!$B:$B,0))</f>
        <v>0</v>
      </c>
      <c r="P848" s="10">
        <f>-P426*INDEX('Deliverability Upgrade Factors'!$F:$F,MATCH(SUBSTITUTE(Dashboard!$D848,"_group",Dashboard!$D$763),'Deliverability Upgrade Factors'!$B:$B,0))</f>
        <v>0</v>
      </c>
      <c r="Q848" s="10">
        <f>-Q426*INDEX('Deliverability Upgrade Factors'!$F:$F,MATCH(SUBSTITUTE(Dashboard!$D848,"_group",Dashboard!$D$763),'Deliverability Upgrade Factors'!$B:$B,0))</f>
        <v>0</v>
      </c>
      <c r="R848" s="10">
        <f>-R426*INDEX('Deliverability Upgrade Factors'!$F:$F,MATCH(SUBSTITUTE(Dashboard!$D848,"_group",Dashboard!$D$763),'Deliverability Upgrade Factors'!$B:$B,0))</f>
        <v>0</v>
      </c>
      <c r="S848" s="10">
        <f>-S426*INDEX('Deliverability Upgrade Factors'!$F:$F,MATCH(SUBSTITUTE(Dashboard!$D848,"_group",Dashboard!$D$763),'Deliverability Upgrade Factors'!$B:$B,0))</f>
        <v>0</v>
      </c>
      <c r="T848" s="10">
        <f>-T426*INDEX('Deliverability Upgrade Factors'!$F:$F,MATCH(SUBSTITUTE(Dashboard!$D848,"_group",Dashboard!$D$763),'Deliverability Upgrade Factors'!$B:$B,0))</f>
        <v>0</v>
      </c>
      <c r="U848" s="10">
        <f>-U426*INDEX('Deliverability Upgrade Factors'!$F:$F,MATCH(SUBSTITUTE(Dashboard!$D848,"_group",Dashboard!$D$763),'Deliverability Upgrade Factors'!$B:$B,0))</f>
        <v>0</v>
      </c>
      <c r="V848" s="10">
        <f>-V426*INDEX('Deliverability Upgrade Factors'!$F:$F,MATCH(SUBSTITUTE(Dashboard!$D848,"_group",Dashboard!$D$763),'Deliverability Upgrade Factors'!$B:$B,0))</f>
        <v>0</v>
      </c>
      <c r="W848" s="10">
        <f>-W426*INDEX('Deliverability Upgrade Factors'!$F:$F,MATCH(SUBSTITUTE(Dashboard!$D848,"_group",Dashboard!$D$763),'Deliverability Upgrade Factors'!$B:$B,0))</f>
        <v>0</v>
      </c>
      <c r="X848" s="10">
        <f>-X426*INDEX('Deliverability Upgrade Factors'!$F:$F,MATCH(SUBSTITUTE(Dashboard!$D848,"_group",Dashboard!$D$763),'Deliverability Upgrade Factors'!$B:$B,0))</f>
        <v>0</v>
      </c>
      <c r="Y848" s="10">
        <f>-Y426*INDEX('Deliverability Upgrade Factors'!$F:$F,MATCH(SUBSTITUTE(Dashboard!$D848,"_group",Dashboard!$D$763),'Deliverability Upgrade Factors'!$B:$B,0))</f>
        <v>0</v>
      </c>
      <c r="Z848" s="10">
        <f>-Z426*INDEX('Deliverability Upgrade Factors'!$F:$F,MATCH(SUBSTITUTE(Dashboard!$D848,"_group",Dashboard!$D$763),'Deliverability Upgrade Factors'!$B:$B,0))</f>
        <v>0</v>
      </c>
      <c r="AA848" s="10">
        <f>-AA426*INDEX('Deliverability Upgrade Factors'!$F:$F,MATCH(SUBSTITUTE(Dashboard!$D848,"_group",Dashboard!$D$763),'Deliverability Upgrade Factors'!$B:$B,0))</f>
        <v>0</v>
      </c>
      <c r="AB848" s="10">
        <f>-AB426*INDEX('Deliverability Upgrade Factors'!$F:$F,MATCH(SUBSTITUTE(Dashboard!$D848,"_group",Dashboard!$D$763),'Deliverability Upgrade Factors'!$B:$B,0))</f>
        <v>0</v>
      </c>
      <c r="AC848" s="10">
        <f>-AC426*INDEX('Deliverability Upgrade Factors'!$F:$F,MATCH(SUBSTITUTE(Dashboard!$D848,"_group",Dashboard!$D$763),'Deliverability Upgrade Factors'!$B:$B,0))</f>
        <v>0</v>
      </c>
      <c r="AD848" s="10">
        <f>-AD426*INDEX('Deliverability Upgrade Factors'!$F:$F,MATCH(SUBSTITUTE(Dashboard!$D848,"_group",Dashboard!$D$763),'Deliverability Upgrade Factors'!$B:$B,0))</f>
        <v>0</v>
      </c>
      <c r="AH848" s="34" t="s">
        <v>422</v>
      </c>
    </row>
    <row r="849" spans="4:34" outlineLevel="2" x14ac:dyDescent="0.2">
      <c r="D849" s="8" t="s">
        <v>276</v>
      </c>
      <c r="E849" s="10">
        <f>-E427*INDEX('Deliverability Upgrade Factors'!$F:$F,MATCH(SUBSTITUTE(Dashboard!$D849,"_group",Dashboard!$D$763),'Deliverability Upgrade Factors'!$B:$B,0))</f>
        <v>0</v>
      </c>
      <c r="F849" s="10">
        <f>-F427*INDEX('Deliverability Upgrade Factors'!$F:$F,MATCH(SUBSTITUTE(Dashboard!$D849,"_group",Dashboard!$D$763),'Deliverability Upgrade Factors'!$B:$B,0))</f>
        <v>0</v>
      </c>
      <c r="G849" s="10">
        <f>-G427*INDEX('Deliverability Upgrade Factors'!$F:$F,MATCH(SUBSTITUTE(Dashboard!$D849,"_group",Dashboard!$D$763),'Deliverability Upgrade Factors'!$B:$B,0))</f>
        <v>0</v>
      </c>
      <c r="H849" s="10">
        <f>-H427*INDEX('Deliverability Upgrade Factors'!$F:$F,MATCH(SUBSTITUTE(Dashboard!$D849,"_group",Dashboard!$D$763),'Deliverability Upgrade Factors'!$B:$B,0))</f>
        <v>0</v>
      </c>
      <c r="I849" s="10">
        <f>-I427*INDEX('Deliverability Upgrade Factors'!$F:$F,MATCH(SUBSTITUTE(Dashboard!$D849,"_group",Dashboard!$D$763),'Deliverability Upgrade Factors'!$B:$B,0))</f>
        <v>0</v>
      </c>
      <c r="J849" s="10">
        <f>-J427*INDEX('Deliverability Upgrade Factors'!$F:$F,MATCH(SUBSTITUTE(Dashboard!$D849,"_group",Dashboard!$D$763),'Deliverability Upgrade Factors'!$B:$B,0))</f>
        <v>0</v>
      </c>
      <c r="K849" s="10">
        <f>-K427*INDEX('Deliverability Upgrade Factors'!$F:$F,MATCH(SUBSTITUTE(Dashboard!$D849,"_group",Dashboard!$D$763),'Deliverability Upgrade Factors'!$B:$B,0))</f>
        <v>0</v>
      </c>
      <c r="L849" s="10">
        <f>-L427*INDEX('Deliverability Upgrade Factors'!$F:$F,MATCH(SUBSTITUTE(Dashboard!$D849,"_group",Dashboard!$D$763),'Deliverability Upgrade Factors'!$B:$B,0))</f>
        <v>0</v>
      </c>
      <c r="M849" s="10">
        <f>-M427*INDEX('Deliverability Upgrade Factors'!$F:$F,MATCH(SUBSTITUTE(Dashboard!$D849,"_group",Dashboard!$D$763),'Deliverability Upgrade Factors'!$B:$B,0))</f>
        <v>0</v>
      </c>
      <c r="N849" s="10">
        <f>-N427*INDEX('Deliverability Upgrade Factors'!$F:$F,MATCH(SUBSTITUTE(Dashboard!$D849,"_group",Dashboard!$D$763),'Deliverability Upgrade Factors'!$B:$B,0))</f>
        <v>0</v>
      </c>
      <c r="O849" s="10">
        <f>-O427*INDEX('Deliverability Upgrade Factors'!$F:$F,MATCH(SUBSTITUTE(Dashboard!$D849,"_group",Dashboard!$D$763),'Deliverability Upgrade Factors'!$B:$B,0))</f>
        <v>0</v>
      </c>
      <c r="P849" s="10">
        <f>-P427*INDEX('Deliverability Upgrade Factors'!$F:$F,MATCH(SUBSTITUTE(Dashboard!$D849,"_group",Dashboard!$D$763),'Deliverability Upgrade Factors'!$B:$B,0))</f>
        <v>0</v>
      </c>
      <c r="Q849" s="10">
        <f>-Q427*INDEX('Deliverability Upgrade Factors'!$F:$F,MATCH(SUBSTITUTE(Dashboard!$D849,"_group",Dashboard!$D$763),'Deliverability Upgrade Factors'!$B:$B,0))</f>
        <v>0</v>
      </c>
      <c r="R849" s="10">
        <f>-R427*INDEX('Deliverability Upgrade Factors'!$F:$F,MATCH(SUBSTITUTE(Dashboard!$D849,"_group",Dashboard!$D$763),'Deliverability Upgrade Factors'!$B:$B,0))</f>
        <v>0</v>
      </c>
      <c r="S849" s="10">
        <f>-S427*INDEX('Deliverability Upgrade Factors'!$F:$F,MATCH(SUBSTITUTE(Dashboard!$D849,"_group",Dashboard!$D$763),'Deliverability Upgrade Factors'!$B:$B,0))</f>
        <v>0</v>
      </c>
      <c r="T849" s="10">
        <f>-T427*INDEX('Deliverability Upgrade Factors'!$F:$F,MATCH(SUBSTITUTE(Dashboard!$D849,"_group",Dashboard!$D$763),'Deliverability Upgrade Factors'!$B:$B,0))</f>
        <v>0</v>
      </c>
      <c r="U849" s="10">
        <f>-U427*INDEX('Deliverability Upgrade Factors'!$F:$F,MATCH(SUBSTITUTE(Dashboard!$D849,"_group",Dashboard!$D$763),'Deliverability Upgrade Factors'!$B:$B,0))</f>
        <v>0</v>
      </c>
      <c r="V849" s="10">
        <f>-V427*INDEX('Deliverability Upgrade Factors'!$F:$F,MATCH(SUBSTITUTE(Dashboard!$D849,"_group",Dashboard!$D$763),'Deliverability Upgrade Factors'!$B:$B,0))</f>
        <v>0</v>
      </c>
      <c r="W849" s="10">
        <f>-W427*INDEX('Deliverability Upgrade Factors'!$F:$F,MATCH(SUBSTITUTE(Dashboard!$D849,"_group",Dashboard!$D$763),'Deliverability Upgrade Factors'!$B:$B,0))</f>
        <v>0</v>
      </c>
      <c r="X849" s="10">
        <f>-X427*INDEX('Deliverability Upgrade Factors'!$F:$F,MATCH(SUBSTITUTE(Dashboard!$D849,"_group",Dashboard!$D$763),'Deliverability Upgrade Factors'!$B:$B,0))</f>
        <v>0</v>
      </c>
      <c r="Y849" s="10">
        <f>-Y427*INDEX('Deliverability Upgrade Factors'!$F:$F,MATCH(SUBSTITUTE(Dashboard!$D849,"_group",Dashboard!$D$763),'Deliverability Upgrade Factors'!$B:$B,0))</f>
        <v>0</v>
      </c>
      <c r="Z849" s="10">
        <f>-Z427*INDEX('Deliverability Upgrade Factors'!$F:$F,MATCH(SUBSTITUTE(Dashboard!$D849,"_group",Dashboard!$D$763),'Deliverability Upgrade Factors'!$B:$B,0))</f>
        <v>0</v>
      </c>
      <c r="AA849" s="10">
        <f>-AA427*INDEX('Deliverability Upgrade Factors'!$F:$F,MATCH(SUBSTITUTE(Dashboard!$D849,"_group",Dashboard!$D$763),'Deliverability Upgrade Factors'!$B:$B,0))</f>
        <v>0</v>
      </c>
      <c r="AB849" s="10">
        <f>-AB427*INDEX('Deliverability Upgrade Factors'!$F:$F,MATCH(SUBSTITUTE(Dashboard!$D849,"_group",Dashboard!$D$763),'Deliverability Upgrade Factors'!$B:$B,0))</f>
        <v>0</v>
      </c>
      <c r="AC849" s="10">
        <f>-AC427*INDEX('Deliverability Upgrade Factors'!$F:$F,MATCH(SUBSTITUTE(Dashboard!$D849,"_group",Dashboard!$D$763),'Deliverability Upgrade Factors'!$B:$B,0))</f>
        <v>0</v>
      </c>
      <c r="AD849" s="10">
        <f>-AD427*INDEX('Deliverability Upgrade Factors'!$F:$F,MATCH(SUBSTITUTE(Dashboard!$D849,"_group",Dashboard!$D$763),'Deliverability Upgrade Factors'!$B:$B,0))</f>
        <v>0</v>
      </c>
      <c r="AH849" s="34" t="s">
        <v>422</v>
      </c>
    </row>
    <row r="850" spans="4:34" outlineLevel="2" x14ac:dyDescent="0.2">
      <c r="D850" s="8" t="s">
        <v>277</v>
      </c>
      <c r="E850" s="10">
        <f>-E428*INDEX('Deliverability Upgrade Factors'!$F:$F,MATCH(SUBSTITUTE(Dashboard!$D850,"_group",Dashboard!$D$763),'Deliverability Upgrade Factors'!$B:$B,0))</f>
        <v>0</v>
      </c>
      <c r="F850" s="10">
        <f>-F428*INDEX('Deliverability Upgrade Factors'!$F:$F,MATCH(SUBSTITUTE(Dashboard!$D850,"_group",Dashboard!$D$763),'Deliverability Upgrade Factors'!$B:$B,0))</f>
        <v>0</v>
      </c>
      <c r="G850" s="10">
        <f>-G428*INDEX('Deliverability Upgrade Factors'!$F:$F,MATCH(SUBSTITUTE(Dashboard!$D850,"_group",Dashboard!$D$763),'Deliverability Upgrade Factors'!$B:$B,0))</f>
        <v>0</v>
      </c>
      <c r="H850" s="10">
        <f>-H428*INDEX('Deliverability Upgrade Factors'!$F:$F,MATCH(SUBSTITUTE(Dashboard!$D850,"_group",Dashboard!$D$763),'Deliverability Upgrade Factors'!$B:$B,0))</f>
        <v>0</v>
      </c>
      <c r="I850" s="10">
        <f>-I428*INDEX('Deliverability Upgrade Factors'!$F:$F,MATCH(SUBSTITUTE(Dashboard!$D850,"_group",Dashboard!$D$763),'Deliverability Upgrade Factors'!$B:$B,0))</f>
        <v>0</v>
      </c>
      <c r="J850" s="10">
        <f>-J428*INDEX('Deliverability Upgrade Factors'!$F:$F,MATCH(SUBSTITUTE(Dashboard!$D850,"_group",Dashboard!$D$763),'Deliverability Upgrade Factors'!$B:$B,0))</f>
        <v>0</v>
      </c>
      <c r="K850" s="10">
        <f>-K428*INDEX('Deliverability Upgrade Factors'!$F:$F,MATCH(SUBSTITUTE(Dashboard!$D850,"_group",Dashboard!$D$763),'Deliverability Upgrade Factors'!$B:$B,0))</f>
        <v>0</v>
      </c>
      <c r="L850" s="10">
        <f>-L428*INDEX('Deliverability Upgrade Factors'!$F:$F,MATCH(SUBSTITUTE(Dashboard!$D850,"_group",Dashboard!$D$763),'Deliverability Upgrade Factors'!$B:$B,0))</f>
        <v>0</v>
      </c>
      <c r="M850" s="10">
        <f>-M428*INDEX('Deliverability Upgrade Factors'!$F:$F,MATCH(SUBSTITUTE(Dashboard!$D850,"_group",Dashboard!$D$763),'Deliverability Upgrade Factors'!$B:$B,0))</f>
        <v>0</v>
      </c>
      <c r="N850" s="10">
        <f>-N428*INDEX('Deliverability Upgrade Factors'!$F:$F,MATCH(SUBSTITUTE(Dashboard!$D850,"_group",Dashboard!$D$763),'Deliverability Upgrade Factors'!$B:$B,0))</f>
        <v>0</v>
      </c>
      <c r="O850" s="10">
        <f>-O428*INDEX('Deliverability Upgrade Factors'!$F:$F,MATCH(SUBSTITUTE(Dashboard!$D850,"_group",Dashboard!$D$763),'Deliverability Upgrade Factors'!$B:$B,0))</f>
        <v>0</v>
      </c>
      <c r="P850" s="10">
        <f>-P428*INDEX('Deliverability Upgrade Factors'!$F:$F,MATCH(SUBSTITUTE(Dashboard!$D850,"_group",Dashboard!$D$763),'Deliverability Upgrade Factors'!$B:$B,0))</f>
        <v>0</v>
      </c>
      <c r="Q850" s="10">
        <f>-Q428*INDEX('Deliverability Upgrade Factors'!$F:$F,MATCH(SUBSTITUTE(Dashboard!$D850,"_group",Dashboard!$D$763),'Deliverability Upgrade Factors'!$B:$B,0))</f>
        <v>0</v>
      </c>
      <c r="R850" s="10">
        <f>-R428*INDEX('Deliverability Upgrade Factors'!$F:$F,MATCH(SUBSTITUTE(Dashboard!$D850,"_group",Dashboard!$D$763),'Deliverability Upgrade Factors'!$B:$B,0))</f>
        <v>0</v>
      </c>
      <c r="S850" s="10">
        <f>-S428*INDEX('Deliverability Upgrade Factors'!$F:$F,MATCH(SUBSTITUTE(Dashboard!$D850,"_group",Dashboard!$D$763),'Deliverability Upgrade Factors'!$B:$B,0))</f>
        <v>0</v>
      </c>
      <c r="T850" s="10">
        <f>-T428*INDEX('Deliverability Upgrade Factors'!$F:$F,MATCH(SUBSTITUTE(Dashboard!$D850,"_group",Dashboard!$D$763),'Deliverability Upgrade Factors'!$B:$B,0))</f>
        <v>0</v>
      </c>
      <c r="U850" s="10">
        <f>-U428*INDEX('Deliverability Upgrade Factors'!$F:$F,MATCH(SUBSTITUTE(Dashboard!$D850,"_group",Dashboard!$D$763),'Deliverability Upgrade Factors'!$B:$B,0))</f>
        <v>0</v>
      </c>
      <c r="V850" s="10">
        <f>-V428*INDEX('Deliverability Upgrade Factors'!$F:$F,MATCH(SUBSTITUTE(Dashboard!$D850,"_group",Dashboard!$D$763),'Deliverability Upgrade Factors'!$B:$B,0))</f>
        <v>0</v>
      </c>
      <c r="W850" s="10">
        <f>-W428*INDEX('Deliverability Upgrade Factors'!$F:$F,MATCH(SUBSTITUTE(Dashboard!$D850,"_group",Dashboard!$D$763),'Deliverability Upgrade Factors'!$B:$B,0))</f>
        <v>0</v>
      </c>
      <c r="X850" s="10">
        <f>-X428*INDEX('Deliverability Upgrade Factors'!$F:$F,MATCH(SUBSTITUTE(Dashboard!$D850,"_group",Dashboard!$D$763),'Deliverability Upgrade Factors'!$B:$B,0))</f>
        <v>0</v>
      </c>
      <c r="Y850" s="10">
        <f>-Y428*INDEX('Deliverability Upgrade Factors'!$F:$F,MATCH(SUBSTITUTE(Dashboard!$D850,"_group",Dashboard!$D$763),'Deliverability Upgrade Factors'!$B:$B,0))</f>
        <v>0</v>
      </c>
      <c r="Z850" s="10">
        <f>-Z428*INDEX('Deliverability Upgrade Factors'!$F:$F,MATCH(SUBSTITUTE(Dashboard!$D850,"_group",Dashboard!$D$763),'Deliverability Upgrade Factors'!$B:$B,0))</f>
        <v>0</v>
      </c>
      <c r="AA850" s="10">
        <f>-AA428*INDEX('Deliverability Upgrade Factors'!$F:$F,MATCH(SUBSTITUTE(Dashboard!$D850,"_group",Dashboard!$D$763),'Deliverability Upgrade Factors'!$B:$B,0))</f>
        <v>0</v>
      </c>
      <c r="AB850" s="10">
        <f>-AB428*INDEX('Deliverability Upgrade Factors'!$F:$F,MATCH(SUBSTITUTE(Dashboard!$D850,"_group",Dashboard!$D$763),'Deliverability Upgrade Factors'!$B:$B,0))</f>
        <v>0</v>
      </c>
      <c r="AC850" s="10">
        <f>-AC428*INDEX('Deliverability Upgrade Factors'!$F:$F,MATCH(SUBSTITUTE(Dashboard!$D850,"_group",Dashboard!$D$763),'Deliverability Upgrade Factors'!$B:$B,0))</f>
        <v>0</v>
      </c>
      <c r="AD850" s="10">
        <f>-AD428*INDEX('Deliverability Upgrade Factors'!$F:$F,MATCH(SUBSTITUTE(Dashboard!$D850,"_group",Dashboard!$D$763),'Deliverability Upgrade Factors'!$B:$B,0))</f>
        <v>0</v>
      </c>
      <c r="AH850" s="34" t="s">
        <v>422</v>
      </c>
    </row>
    <row r="851" spans="4:34" outlineLevel="2" x14ac:dyDescent="0.2">
      <c r="D851" s="8" t="s">
        <v>278</v>
      </c>
      <c r="E851" s="10">
        <f>-E429*INDEX('Deliverability Upgrade Factors'!$F:$F,MATCH(SUBSTITUTE(Dashboard!$D851,"_group",Dashboard!$D$763),'Deliverability Upgrade Factors'!$B:$B,0))</f>
        <v>0</v>
      </c>
      <c r="F851" s="10">
        <f>-F429*INDEX('Deliverability Upgrade Factors'!$F:$F,MATCH(SUBSTITUTE(Dashboard!$D851,"_group",Dashboard!$D$763),'Deliverability Upgrade Factors'!$B:$B,0))</f>
        <v>0</v>
      </c>
      <c r="G851" s="10">
        <f>-G429*INDEX('Deliverability Upgrade Factors'!$F:$F,MATCH(SUBSTITUTE(Dashboard!$D851,"_group",Dashboard!$D$763),'Deliverability Upgrade Factors'!$B:$B,0))</f>
        <v>0</v>
      </c>
      <c r="H851" s="10">
        <f>-H429*INDEX('Deliverability Upgrade Factors'!$F:$F,MATCH(SUBSTITUTE(Dashboard!$D851,"_group",Dashboard!$D$763),'Deliverability Upgrade Factors'!$B:$B,0))</f>
        <v>0</v>
      </c>
      <c r="I851" s="10">
        <f>-I429*INDEX('Deliverability Upgrade Factors'!$F:$F,MATCH(SUBSTITUTE(Dashboard!$D851,"_group",Dashboard!$D$763),'Deliverability Upgrade Factors'!$B:$B,0))</f>
        <v>0</v>
      </c>
      <c r="J851" s="10">
        <f>-J429*INDEX('Deliverability Upgrade Factors'!$F:$F,MATCH(SUBSTITUTE(Dashboard!$D851,"_group",Dashboard!$D$763),'Deliverability Upgrade Factors'!$B:$B,0))</f>
        <v>0</v>
      </c>
      <c r="K851" s="10">
        <f>-K429*INDEX('Deliverability Upgrade Factors'!$F:$F,MATCH(SUBSTITUTE(Dashboard!$D851,"_group",Dashboard!$D$763),'Deliverability Upgrade Factors'!$B:$B,0))</f>
        <v>0</v>
      </c>
      <c r="L851" s="10">
        <f>-L429*INDEX('Deliverability Upgrade Factors'!$F:$F,MATCH(SUBSTITUTE(Dashboard!$D851,"_group",Dashboard!$D$763),'Deliverability Upgrade Factors'!$B:$B,0))</f>
        <v>0</v>
      </c>
      <c r="M851" s="10">
        <f>-M429*INDEX('Deliverability Upgrade Factors'!$F:$F,MATCH(SUBSTITUTE(Dashboard!$D851,"_group",Dashboard!$D$763),'Deliverability Upgrade Factors'!$B:$B,0))</f>
        <v>0</v>
      </c>
      <c r="N851" s="10">
        <f>-N429*INDEX('Deliverability Upgrade Factors'!$F:$F,MATCH(SUBSTITUTE(Dashboard!$D851,"_group",Dashboard!$D$763),'Deliverability Upgrade Factors'!$B:$B,0))</f>
        <v>0</v>
      </c>
      <c r="O851" s="10">
        <f>-O429*INDEX('Deliverability Upgrade Factors'!$F:$F,MATCH(SUBSTITUTE(Dashboard!$D851,"_group",Dashboard!$D$763),'Deliverability Upgrade Factors'!$B:$B,0))</f>
        <v>0</v>
      </c>
      <c r="P851" s="10">
        <f>-P429*INDEX('Deliverability Upgrade Factors'!$F:$F,MATCH(SUBSTITUTE(Dashboard!$D851,"_group",Dashboard!$D$763),'Deliverability Upgrade Factors'!$B:$B,0))</f>
        <v>0</v>
      </c>
      <c r="Q851" s="10">
        <f>-Q429*INDEX('Deliverability Upgrade Factors'!$F:$F,MATCH(SUBSTITUTE(Dashboard!$D851,"_group",Dashboard!$D$763),'Deliverability Upgrade Factors'!$B:$B,0))</f>
        <v>0</v>
      </c>
      <c r="R851" s="10">
        <f>-R429*INDEX('Deliverability Upgrade Factors'!$F:$F,MATCH(SUBSTITUTE(Dashboard!$D851,"_group",Dashboard!$D$763),'Deliverability Upgrade Factors'!$B:$B,0))</f>
        <v>0</v>
      </c>
      <c r="S851" s="10">
        <f>-S429*INDEX('Deliverability Upgrade Factors'!$F:$F,MATCH(SUBSTITUTE(Dashboard!$D851,"_group",Dashboard!$D$763),'Deliverability Upgrade Factors'!$B:$B,0))</f>
        <v>0</v>
      </c>
      <c r="T851" s="10">
        <f>-T429*INDEX('Deliverability Upgrade Factors'!$F:$F,MATCH(SUBSTITUTE(Dashboard!$D851,"_group",Dashboard!$D$763),'Deliverability Upgrade Factors'!$B:$B,0))</f>
        <v>0</v>
      </c>
      <c r="U851" s="10">
        <f>-U429*INDEX('Deliverability Upgrade Factors'!$F:$F,MATCH(SUBSTITUTE(Dashboard!$D851,"_group",Dashboard!$D$763),'Deliverability Upgrade Factors'!$B:$B,0))</f>
        <v>0</v>
      </c>
      <c r="V851" s="10">
        <f>-V429*INDEX('Deliverability Upgrade Factors'!$F:$F,MATCH(SUBSTITUTE(Dashboard!$D851,"_group",Dashboard!$D$763),'Deliverability Upgrade Factors'!$B:$B,0))</f>
        <v>0</v>
      </c>
      <c r="W851" s="10">
        <f>-W429*INDEX('Deliverability Upgrade Factors'!$F:$F,MATCH(SUBSTITUTE(Dashboard!$D851,"_group",Dashboard!$D$763),'Deliverability Upgrade Factors'!$B:$B,0))</f>
        <v>0</v>
      </c>
      <c r="X851" s="10">
        <f>-X429*INDEX('Deliverability Upgrade Factors'!$F:$F,MATCH(SUBSTITUTE(Dashboard!$D851,"_group",Dashboard!$D$763),'Deliverability Upgrade Factors'!$B:$B,0))</f>
        <v>0</v>
      </c>
      <c r="Y851" s="10">
        <f>-Y429*INDEX('Deliverability Upgrade Factors'!$F:$F,MATCH(SUBSTITUTE(Dashboard!$D851,"_group",Dashboard!$D$763),'Deliverability Upgrade Factors'!$B:$B,0))</f>
        <v>0</v>
      </c>
      <c r="Z851" s="10">
        <f>-Z429*INDEX('Deliverability Upgrade Factors'!$F:$F,MATCH(SUBSTITUTE(Dashboard!$D851,"_group",Dashboard!$D$763),'Deliverability Upgrade Factors'!$B:$B,0))</f>
        <v>0</v>
      </c>
      <c r="AA851" s="10">
        <f>-AA429*INDEX('Deliverability Upgrade Factors'!$F:$F,MATCH(SUBSTITUTE(Dashboard!$D851,"_group",Dashboard!$D$763),'Deliverability Upgrade Factors'!$B:$B,0))</f>
        <v>0</v>
      </c>
      <c r="AB851" s="10">
        <f>-AB429*INDEX('Deliverability Upgrade Factors'!$F:$F,MATCH(SUBSTITUTE(Dashboard!$D851,"_group",Dashboard!$D$763),'Deliverability Upgrade Factors'!$B:$B,0))</f>
        <v>0</v>
      </c>
      <c r="AC851" s="10">
        <f>-AC429*INDEX('Deliverability Upgrade Factors'!$F:$F,MATCH(SUBSTITUTE(Dashboard!$D851,"_group",Dashboard!$D$763),'Deliverability Upgrade Factors'!$B:$B,0))</f>
        <v>0</v>
      </c>
      <c r="AD851" s="10">
        <f>-AD429*INDEX('Deliverability Upgrade Factors'!$F:$F,MATCH(SUBSTITUTE(Dashboard!$D851,"_group",Dashboard!$D$763),'Deliverability Upgrade Factors'!$B:$B,0))</f>
        <v>0</v>
      </c>
      <c r="AH851" s="34" t="s">
        <v>422</v>
      </c>
    </row>
    <row r="852" spans="4:34" outlineLevel="2" x14ac:dyDescent="0.2">
      <c r="D852" s="8" t="s">
        <v>279</v>
      </c>
      <c r="E852" s="10">
        <f>-E430*INDEX('Deliverability Upgrade Factors'!$F:$F,MATCH(SUBSTITUTE(Dashboard!$D852,"_group",Dashboard!$D$763),'Deliverability Upgrade Factors'!$B:$B,0))</f>
        <v>0</v>
      </c>
      <c r="F852" s="10">
        <f>-F430*INDEX('Deliverability Upgrade Factors'!$F:$F,MATCH(SUBSTITUTE(Dashboard!$D852,"_group",Dashboard!$D$763),'Deliverability Upgrade Factors'!$B:$B,0))</f>
        <v>0</v>
      </c>
      <c r="G852" s="10">
        <f>-G430*INDEX('Deliverability Upgrade Factors'!$F:$F,MATCH(SUBSTITUTE(Dashboard!$D852,"_group",Dashboard!$D$763),'Deliverability Upgrade Factors'!$B:$B,0))</f>
        <v>0</v>
      </c>
      <c r="H852" s="10">
        <f>-H430*INDEX('Deliverability Upgrade Factors'!$F:$F,MATCH(SUBSTITUTE(Dashboard!$D852,"_group",Dashboard!$D$763),'Deliverability Upgrade Factors'!$B:$B,0))</f>
        <v>0</v>
      </c>
      <c r="I852" s="10">
        <f>-I430*INDEX('Deliverability Upgrade Factors'!$F:$F,MATCH(SUBSTITUTE(Dashboard!$D852,"_group",Dashboard!$D$763),'Deliverability Upgrade Factors'!$B:$B,0))</f>
        <v>0</v>
      </c>
      <c r="J852" s="10">
        <f>-J430*INDEX('Deliverability Upgrade Factors'!$F:$F,MATCH(SUBSTITUTE(Dashboard!$D852,"_group",Dashboard!$D$763),'Deliverability Upgrade Factors'!$B:$B,0))</f>
        <v>0</v>
      </c>
      <c r="K852" s="10">
        <f>-K430*INDEX('Deliverability Upgrade Factors'!$F:$F,MATCH(SUBSTITUTE(Dashboard!$D852,"_group",Dashboard!$D$763),'Deliverability Upgrade Factors'!$B:$B,0))</f>
        <v>0</v>
      </c>
      <c r="L852" s="10">
        <f>-L430*INDEX('Deliverability Upgrade Factors'!$F:$F,MATCH(SUBSTITUTE(Dashboard!$D852,"_group",Dashboard!$D$763),'Deliverability Upgrade Factors'!$B:$B,0))</f>
        <v>0</v>
      </c>
      <c r="M852" s="10">
        <f>-M430*INDEX('Deliverability Upgrade Factors'!$F:$F,MATCH(SUBSTITUTE(Dashboard!$D852,"_group",Dashboard!$D$763),'Deliverability Upgrade Factors'!$B:$B,0))</f>
        <v>0</v>
      </c>
      <c r="N852" s="10">
        <f>-N430*INDEX('Deliverability Upgrade Factors'!$F:$F,MATCH(SUBSTITUTE(Dashboard!$D852,"_group",Dashboard!$D$763),'Deliverability Upgrade Factors'!$B:$B,0))</f>
        <v>0</v>
      </c>
      <c r="O852" s="10">
        <f>-O430*INDEX('Deliverability Upgrade Factors'!$F:$F,MATCH(SUBSTITUTE(Dashboard!$D852,"_group",Dashboard!$D$763),'Deliverability Upgrade Factors'!$B:$B,0))</f>
        <v>0</v>
      </c>
      <c r="P852" s="10">
        <f>-P430*INDEX('Deliverability Upgrade Factors'!$F:$F,MATCH(SUBSTITUTE(Dashboard!$D852,"_group",Dashboard!$D$763),'Deliverability Upgrade Factors'!$B:$B,0))</f>
        <v>0</v>
      </c>
      <c r="Q852" s="10">
        <f>-Q430*INDEX('Deliverability Upgrade Factors'!$F:$F,MATCH(SUBSTITUTE(Dashboard!$D852,"_group",Dashboard!$D$763),'Deliverability Upgrade Factors'!$B:$B,0))</f>
        <v>0</v>
      </c>
      <c r="R852" s="10">
        <f>-R430*INDEX('Deliverability Upgrade Factors'!$F:$F,MATCH(SUBSTITUTE(Dashboard!$D852,"_group",Dashboard!$D$763),'Deliverability Upgrade Factors'!$B:$B,0))</f>
        <v>0</v>
      </c>
      <c r="S852" s="10">
        <f>-S430*INDEX('Deliverability Upgrade Factors'!$F:$F,MATCH(SUBSTITUTE(Dashboard!$D852,"_group",Dashboard!$D$763),'Deliverability Upgrade Factors'!$B:$B,0))</f>
        <v>0</v>
      </c>
      <c r="T852" s="10">
        <f>-T430*INDEX('Deliverability Upgrade Factors'!$F:$F,MATCH(SUBSTITUTE(Dashboard!$D852,"_group",Dashboard!$D$763),'Deliverability Upgrade Factors'!$B:$B,0))</f>
        <v>0</v>
      </c>
      <c r="U852" s="10">
        <f>-U430*INDEX('Deliverability Upgrade Factors'!$F:$F,MATCH(SUBSTITUTE(Dashboard!$D852,"_group",Dashboard!$D$763),'Deliverability Upgrade Factors'!$B:$B,0))</f>
        <v>0</v>
      </c>
      <c r="V852" s="10">
        <f>-V430*INDEX('Deliverability Upgrade Factors'!$F:$F,MATCH(SUBSTITUTE(Dashboard!$D852,"_group",Dashboard!$D$763),'Deliverability Upgrade Factors'!$B:$B,0))</f>
        <v>0</v>
      </c>
      <c r="W852" s="10">
        <f>-W430*INDEX('Deliverability Upgrade Factors'!$F:$F,MATCH(SUBSTITUTE(Dashboard!$D852,"_group",Dashboard!$D$763),'Deliverability Upgrade Factors'!$B:$B,0))</f>
        <v>0</v>
      </c>
      <c r="X852" s="10">
        <f>-X430*INDEX('Deliverability Upgrade Factors'!$F:$F,MATCH(SUBSTITUTE(Dashboard!$D852,"_group",Dashboard!$D$763),'Deliverability Upgrade Factors'!$B:$B,0))</f>
        <v>0</v>
      </c>
      <c r="Y852" s="10">
        <f>-Y430*INDEX('Deliverability Upgrade Factors'!$F:$F,MATCH(SUBSTITUTE(Dashboard!$D852,"_group",Dashboard!$D$763),'Deliverability Upgrade Factors'!$B:$B,0))</f>
        <v>0</v>
      </c>
      <c r="Z852" s="10">
        <f>-Z430*INDEX('Deliverability Upgrade Factors'!$F:$F,MATCH(SUBSTITUTE(Dashboard!$D852,"_group",Dashboard!$D$763),'Deliverability Upgrade Factors'!$B:$B,0))</f>
        <v>0</v>
      </c>
      <c r="AA852" s="10">
        <f>-AA430*INDEX('Deliverability Upgrade Factors'!$F:$F,MATCH(SUBSTITUTE(Dashboard!$D852,"_group",Dashboard!$D$763),'Deliverability Upgrade Factors'!$B:$B,0))</f>
        <v>0</v>
      </c>
      <c r="AB852" s="10">
        <f>-AB430*INDEX('Deliverability Upgrade Factors'!$F:$F,MATCH(SUBSTITUTE(Dashboard!$D852,"_group",Dashboard!$D$763),'Deliverability Upgrade Factors'!$B:$B,0))</f>
        <v>0</v>
      </c>
      <c r="AC852" s="10">
        <f>-AC430*INDEX('Deliverability Upgrade Factors'!$F:$F,MATCH(SUBSTITUTE(Dashboard!$D852,"_group",Dashboard!$D$763),'Deliverability Upgrade Factors'!$B:$B,0))</f>
        <v>0</v>
      </c>
      <c r="AD852" s="10">
        <f>-AD430*INDEX('Deliverability Upgrade Factors'!$F:$F,MATCH(SUBSTITUTE(Dashboard!$D852,"_group",Dashboard!$D$763),'Deliverability Upgrade Factors'!$B:$B,0))</f>
        <v>0</v>
      </c>
      <c r="AH852" s="34" t="s">
        <v>422</v>
      </c>
    </row>
    <row r="853" spans="4:34" outlineLevel="2" x14ac:dyDescent="0.2">
      <c r="D853" s="8" t="s">
        <v>280</v>
      </c>
      <c r="E853" s="10">
        <f>-E431*INDEX('Deliverability Upgrade Factors'!$F:$F,MATCH(SUBSTITUTE(Dashboard!$D853,"_group",Dashboard!$D$763),'Deliverability Upgrade Factors'!$B:$B,0))</f>
        <v>0</v>
      </c>
      <c r="F853" s="10">
        <f>-F431*INDEX('Deliverability Upgrade Factors'!$F:$F,MATCH(SUBSTITUTE(Dashboard!$D853,"_group",Dashboard!$D$763),'Deliverability Upgrade Factors'!$B:$B,0))</f>
        <v>0</v>
      </c>
      <c r="G853" s="10">
        <f>-G431*INDEX('Deliverability Upgrade Factors'!$F:$F,MATCH(SUBSTITUTE(Dashboard!$D853,"_group",Dashboard!$D$763),'Deliverability Upgrade Factors'!$B:$B,0))</f>
        <v>0</v>
      </c>
      <c r="H853" s="10">
        <f>-H431*INDEX('Deliverability Upgrade Factors'!$F:$F,MATCH(SUBSTITUTE(Dashboard!$D853,"_group",Dashboard!$D$763),'Deliverability Upgrade Factors'!$B:$B,0))</f>
        <v>0</v>
      </c>
      <c r="I853" s="10">
        <f>-I431*INDEX('Deliverability Upgrade Factors'!$F:$F,MATCH(SUBSTITUTE(Dashboard!$D853,"_group",Dashboard!$D$763),'Deliverability Upgrade Factors'!$B:$B,0))</f>
        <v>0</v>
      </c>
      <c r="J853" s="10">
        <f>-J431*INDEX('Deliverability Upgrade Factors'!$F:$F,MATCH(SUBSTITUTE(Dashboard!$D853,"_group",Dashboard!$D$763),'Deliverability Upgrade Factors'!$B:$B,0))</f>
        <v>0</v>
      </c>
      <c r="K853" s="10">
        <f>-K431*INDEX('Deliverability Upgrade Factors'!$F:$F,MATCH(SUBSTITUTE(Dashboard!$D853,"_group",Dashboard!$D$763),'Deliverability Upgrade Factors'!$B:$B,0))</f>
        <v>0</v>
      </c>
      <c r="L853" s="10">
        <f>-L431*INDEX('Deliverability Upgrade Factors'!$F:$F,MATCH(SUBSTITUTE(Dashboard!$D853,"_group",Dashboard!$D$763),'Deliverability Upgrade Factors'!$B:$B,0))</f>
        <v>0</v>
      </c>
      <c r="M853" s="10">
        <f>-M431*INDEX('Deliverability Upgrade Factors'!$F:$F,MATCH(SUBSTITUTE(Dashboard!$D853,"_group",Dashboard!$D$763),'Deliverability Upgrade Factors'!$B:$B,0))</f>
        <v>0</v>
      </c>
      <c r="N853" s="10">
        <f>-N431*INDEX('Deliverability Upgrade Factors'!$F:$F,MATCH(SUBSTITUTE(Dashboard!$D853,"_group",Dashboard!$D$763),'Deliverability Upgrade Factors'!$B:$B,0))</f>
        <v>0</v>
      </c>
      <c r="O853" s="10">
        <f>-O431*INDEX('Deliverability Upgrade Factors'!$F:$F,MATCH(SUBSTITUTE(Dashboard!$D853,"_group",Dashboard!$D$763),'Deliverability Upgrade Factors'!$B:$B,0))</f>
        <v>0</v>
      </c>
      <c r="P853" s="10">
        <f>-P431*INDEX('Deliverability Upgrade Factors'!$F:$F,MATCH(SUBSTITUTE(Dashboard!$D853,"_group",Dashboard!$D$763),'Deliverability Upgrade Factors'!$B:$B,0))</f>
        <v>0</v>
      </c>
      <c r="Q853" s="10">
        <f>-Q431*INDEX('Deliverability Upgrade Factors'!$F:$F,MATCH(SUBSTITUTE(Dashboard!$D853,"_group",Dashboard!$D$763),'Deliverability Upgrade Factors'!$B:$B,0))</f>
        <v>0</v>
      </c>
      <c r="R853" s="10">
        <f>-R431*INDEX('Deliverability Upgrade Factors'!$F:$F,MATCH(SUBSTITUTE(Dashboard!$D853,"_group",Dashboard!$D$763),'Deliverability Upgrade Factors'!$B:$B,0))</f>
        <v>0</v>
      </c>
      <c r="S853" s="10">
        <f>-S431*INDEX('Deliverability Upgrade Factors'!$F:$F,MATCH(SUBSTITUTE(Dashboard!$D853,"_group",Dashboard!$D$763),'Deliverability Upgrade Factors'!$B:$B,0))</f>
        <v>0</v>
      </c>
      <c r="T853" s="10">
        <f>-T431*INDEX('Deliverability Upgrade Factors'!$F:$F,MATCH(SUBSTITUTE(Dashboard!$D853,"_group",Dashboard!$D$763),'Deliverability Upgrade Factors'!$B:$B,0))</f>
        <v>0</v>
      </c>
      <c r="U853" s="10">
        <f>-U431*INDEX('Deliverability Upgrade Factors'!$F:$F,MATCH(SUBSTITUTE(Dashboard!$D853,"_group",Dashboard!$D$763),'Deliverability Upgrade Factors'!$B:$B,0))</f>
        <v>0</v>
      </c>
      <c r="V853" s="10">
        <f>-V431*INDEX('Deliverability Upgrade Factors'!$F:$F,MATCH(SUBSTITUTE(Dashboard!$D853,"_group",Dashboard!$D$763),'Deliverability Upgrade Factors'!$B:$B,0))</f>
        <v>0</v>
      </c>
      <c r="W853" s="10">
        <f>-W431*INDEX('Deliverability Upgrade Factors'!$F:$F,MATCH(SUBSTITUTE(Dashboard!$D853,"_group",Dashboard!$D$763),'Deliverability Upgrade Factors'!$B:$B,0))</f>
        <v>0</v>
      </c>
      <c r="X853" s="10">
        <f>-X431*INDEX('Deliverability Upgrade Factors'!$F:$F,MATCH(SUBSTITUTE(Dashboard!$D853,"_group",Dashboard!$D$763),'Deliverability Upgrade Factors'!$B:$B,0))</f>
        <v>0</v>
      </c>
      <c r="Y853" s="10">
        <f>-Y431*INDEX('Deliverability Upgrade Factors'!$F:$F,MATCH(SUBSTITUTE(Dashboard!$D853,"_group",Dashboard!$D$763),'Deliverability Upgrade Factors'!$B:$B,0))</f>
        <v>0</v>
      </c>
      <c r="Z853" s="10">
        <f>-Z431*INDEX('Deliverability Upgrade Factors'!$F:$F,MATCH(SUBSTITUTE(Dashboard!$D853,"_group",Dashboard!$D$763),'Deliverability Upgrade Factors'!$B:$B,0))</f>
        <v>0</v>
      </c>
      <c r="AA853" s="10">
        <f>-AA431*INDEX('Deliverability Upgrade Factors'!$F:$F,MATCH(SUBSTITUTE(Dashboard!$D853,"_group",Dashboard!$D$763),'Deliverability Upgrade Factors'!$B:$B,0))</f>
        <v>0</v>
      </c>
      <c r="AB853" s="10">
        <f>-AB431*INDEX('Deliverability Upgrade Factors'!$F:$F,MATCH(SUBSTITUTE(Dashboard!$D853,"_group",Dashboard!$D$763),'Deliverability Upgrade Factors'!$B:$B,0))</f>
        <v>0</v>
      </c>
      <c r="AC853" s="10">
        <f>-AC431*INDEX('Deliverability Upgrade Factors'!$F:$F,MATCH(SUBSTITUTE(Dashboard!$D853,"_group",Dashboard!$D$763),'Deliverability Upgrade Factors'!$B:$B,0))</f>
        <v>0</v>
      </c>
      <c r="AD853" s="10">
        <f>-AD431*INDEX('Deliverability Upgrade Factors'!$F:$F,MATCH(SUBSTITUTE(Dashboard!$D853,"_group",Dashboard!$D$763),'Deliverability Upgrade Factors'!$B:$B,0))</f>
        <v>0</v>
      </c>
      <c r="AH853" s="34" t="s">
        <v>422</v>
      </c>
    </row>
    <row r="854" spans="4:34" outlineLevel="2" x14ac:dyDescent="0.2">
      <c r="D854" s="8" t="s">
        <v>281</v>
      </c>
      <c r="E854" s="10">
        <f>-E432*INDEX('Deliverability Upgrade Factors'!$F:$F,MATCH(SUBSTITUTE(Dashboard!$D854,"_group",Dashboard!$D$763),'Deliverability Upgrade Factors'!$B:$B,0))</f>
        <v>0</v>
      </c>
      <c r="F854" s="10">
        <f>-F432*INDEX('Deliverability Upgrade Factors'!$F:$F,MATCH(SUBSTITUTE(Dashboard!$D854,"_group",Dashboard!$D$763),'Deliverability Upgrade Factors'!$B:$B,0))</f>
        <v>0</v>
      </c>
      <c r="G854" s="10">
        <f>-G432*INDEX('Deliverability Upgrade Factors'!$F:$F,MATCH(SUBSTITUTE(Dashboard!$D854,"_group",Dashboard!$D$763),'Deliverability Upgrade Factors'!$B:$B,0))</f>
        <v>0</v>
      </c>
      <c r="H854" s="10">
        <f>-H432*INDEX('Deliverability Upgrade Factors'!$F:$F,MATCH(SUBSTITUTE(Dashboard!$D854,"_group",Dashboard!$D$763),'Deliverability Upgrade Factors'!$B:$B,0))</f>
        <v>0</v>
      </c>
      <c r="I854" s="10">
        <f>-I432*INDEX('Deliverability Upgrade Factors'!$F:$F,MATCH(SUBSTITUTE(Dashboard!$D854,"_group",Dashboard!$D$763),'Deliverability Upgrade Factors'!$B:$B,0))</f>
        <v>0</v>
      </c>
      <c r="J854" s="10">
        <f>-J432*INDEX('Deliverability Upgrade Factors'!$F:$F,MATCH(SUBSTITUTE(Dashboard!$D854,"_group",Dashboard!$D$763),'Deliverability Upgrade Factors'!$B:$B,0))</f>
        <v>0</v>
      </c>
      <c r="K854" s="10">
        <f>-K432*INDEX('Deliverability Upgrade Factors'!$F:$F,MATCH(SUBSTITUTE(Dashboard!$D854,"_group",Dashboard!$D$763),'Deliverability Upgrade Factors'!$B:$B,0))</f>
        <v>0</v>
      </c>
      <c r="L854" s="10">
        <f>-L432*INDEX('Deliverability Upgrade Factors'!$F:$F,MATCH(SUBSTITUTE(Dashboard!$D854,"_group",Dashboard!$D$763),'Deliverability Upgrade Factors'!$B:$B,0))</f>
        <v>0</v>
      </c>
      <c r="M854" s="10">
        <f>-M432*INDEX('Deliverability Upgrade Factors'!$F:$F,MATCH(SUBSTITUTE(Dashboard!$D854,"_group",Dashboard!$D$763),'Deliverability Upgrade Factors'!$B:$B,0))</f>
        <v>0</v>
      </c>
      <c r="N854" s="10">
        <f>-N432*INDEX('Deliverability Upgrade Factors'!$F:$F,MATCH(SUBSTITUTE(Dashboard!$D854,"_group",Dashboard!$D$763),'Deliverability Upgrade Factors'!$B:$B,0))</f>
        <v>0</v>
      </c>
      <c r="O854" s="10">
        <f>-O432*INDEX('Deliverability Upgrade Factors'!$F:$F,MATCH(SUBSTITUTE(Dashboard!$D854,"_group",Dashboard!$D$763),'Deliverability Upgrade Factors'!$B:$B,0))</f>
        <v>0</v>
      </c>
      <c r="P854" s="10">
        <f>-P432*INDEX('Deliverability Upgrade Factors'!$F:$F,MATCH(SUBSTITUTE(Dashboard!$D854,"_group",Dashboard!$D$763),'Deliverability Upgrade Factors'!$B:$B,0))</f>
        <v>0</v>
      </c>
      <c r="Q854" s="10">
        <f>-Q432*INDEX('Deliverability Upgrade Factors'!$F:$F,MATCH(SUBSTITUTE(Dashboard!$D854,"_group",Dashboard!$D$763),'Deliverability Upgrade Factors'!$B:$B,0))</f>
        <v>0</v>
      </c>
      <c r="R854" s="10">
        <f>-R432*INDEX('Deliverability Upgrade Factors'!$F:$F,MATCH(SUBSTITUTE(Dashboard!$D854,"_group",Dashboard!$D$763),'Deliverability Upgrade Factors'!$B:$B,0))</f>
        <v>0</v>
      </c>
      <c r="S854" s="10">
        <f>-S432*INDEX('Deliverability Upgrade Factors'!$F:$F,MATCH(SUBSTITUTE(Dashboard!$D854,"_group",Dashboard!$D$763),'Deliverability Upgrade Factors'!$B:$B,0))</f>
        <v>0</v>
      </c>
      <c r="T854" s="10">
        <f>-T432*INDEX('Deliverability Upgrade Factors'!$F:$F,MATCH(SUBSTITUTE(Dashboard!$D854,"_group",Dashboard!$D$763),'Deliverability Upgrade Factors'!$B:$B,0))</f>
        <v>0</v>
      </c>
      <c r="U854" s="10">
        <f>-U432*INDEX('Deliverability Upgrade Factors'!$F:$F,MATCH(SUBSTITUTE(Dashboard!$D854,"_group",Dashboard!$D$763),'Deliverability Upgrade Factors'!$B:$B,0))</f>
        <v>0</v>
      </c>
      <c r="V854" s="10">
        <f>-V432*INDEX('Deliverability Upgrade Factors'!$F:$F,MATCH(SUBSTITUTE(Dashboard!$D854,"_group",Dashboard!$D$763),'Deliverability Upgrade Factors'!$B:$B,0))</f>
        <v>0</v>
      </c>
      <c r="W854" s="10">
        <f>-W432*INDEX('Deliverability Upgrade Factors'!$F:$F,MATCH(SUBSTITUTE(Dashboard!$D854,"_group",Dashboard!$D$763),'Deliverability Upgrade Factors'!$B:$B,0))</f>
        <v>0</v>
      </c>
      <c r="X854" s="10">
        <f>-X432*INDEX('Deliverability Upgrade Factors'!$F:$F,MATCH(SUBSTITUTE(Dashboard!$D854,"_group",Dashboard!$D$763),'Deliverability Upgrade Factors'!$B:$B,0))</f>
        <v>0</v>
      </c>
      <c r="Y854" s="10">
        <f>-Y432*INDEX('Deliverability Upgrade Factors'!$F:$F,MATCH(SUBSTITUTE(Dashboard!$D854,"_group",Dashboard!$D$763),'Deliverability Upgrade Factors'!$B:$B,0))</f>
        <v>0</v>
      </c>
      <c r="Z854" s="10">
        <f>-Z432*INDEX('Deliverability Upgrade Factors'!$F:$F,MATCH(SUBSTITUTE(Dashboard!$D854,"_group",Dashboard!$D$763),'Deliverability Upgrade Factors'!$B:$B,0))</f>
        <v>0</v>
      </c>
      <c r="AA854" s="10">
        <f>-AA432*INDEX('Deliverability Upgrade Factors'!$F:$F,MATCH(SUBSTITUTE(Dashboard!$D854,"_group",Dashboard!$D$763),'Deliverability Upgrade Factors'!$B:$B,0))</f>
        <v>0</v>
      </c>
      <c r="AB854" s="10">
        <f>-AB432*INDEX('Deliverability Upgrade Factors'!$F:$F,MATCH(SUBSTITUTE(Dashboard!$D854,"_group",Dashboard!$D$763),'Deliverability Upgrade Factors'!$B:$B,0))</f>
        <v>0</v>
      </c>
      <c r="AC854" s="10">
        <f>-AC432*INDEX('Deliverability Upgrade Factors'!$F:$F,MATCH(SUBSTITUTE(Dashboard!$D854,"_group",Dashboard!$D$763),'Deliverability Upgrade Factors'!$B:$B,0))</f>
        <v>0</v>
      </c>
      <c r="AD854" s="10">
        <f>-AD432*INDEX('Deliverability Upgrade Factors'!$F:$F,MATCH(SUBSTITUTE(Dashboard!$D854,"_group",Dashboard!$D$763),'Deliverability Upgrade Factors'!$B:$B,0))</f>
        <v>0</v>
      </c>
      <c r="AH854" s="34" t="s">
        <v>422</v>
      </c>
    </row>
    <row r="855" spans="4:34" outlineLevel="2" x14ac:dyDescent="0.2">
      <c r="D855" s="8" t="s">
        <v>282</v>
      </c>
      <c r="E855" s="10">
        <f>-E433*INDEX('Deliverability Upgrade Factors'!$F:$F,MATCH(SUBSTITUTE(Dashboard!$D855,"_group",Dashboard!$D$763),'Deliverability Upgrade Factors'!$B:$B,0))</f>
        <v>0</v>
      </c>
      <c r="F855" s="10">
        <f>-F433*INDEX('Deliverability Upgrade Factors'!$F:$F,MATCH(SUBSTITUTE(Dashboard!$D855,"_group",Dashboard!$D$763),'Deliverability Upgrade Factors'!$B:$B,0))</f>
        <v>0</v>
      </c>
      <c r="G855" s="10">
        <f>-G433*INDEX('Deliverability Upgrade Factors'!$F:$F,MATCH(SUBSTITUTE(Dashboard!$D855,"_group",Dashboard!$D$763),'Deliverability Upgrade Factors'!$B:$B,0))</f>
        <v>0</v>
      </c>
      <c r="H855" s="10">
        <f>-H433*INDEX('Deliverability Upgrade Factors'!$F:$F,MATCH(SUBSTITUTE(Dashboard!$D855,"_group",Dashboard!$D$763),'Deliverability Upgrade Factors'!$B:$B,0))</f>
        <v>0</v>
      </c>
      <c r="I855" s="10">
        <f>-I433*INDEX('Deliverability Upgrade Factors'!$F:$F,MATCH(SUBSTITUTE(Dashboard!$D855,"_group",Dashboard!$D$763),'Deliverability Upgrade Factors'!$B:$B,0))</f>
        <v>0</v>
      </c>
      <c r="J855" s="10">
        <f>-J433*INDEX('Deliverability Upgrade Factors'!$F:$F,MATCH(SUBSTITUTE(Dashboard!$D855,"_group",Dashboard!$D$763),'Deliverability Upgrade Factors'!$B:$B,0))</f>
        <v>0</v>
      </c>
      <c r="K855" s="10">
        <f>-K433*INDEX('Deliverability Upgrade Factors'!$F:$F,MATCH(SUBSTITUTE(Dashboard!$D855,"_group",Dashboard!$D$763),'Deliverability Upgrade Factors'!$B:$B,0))</f>
        <v>0</v>
      </c>
      <c r="L855" s="10">
        <f>-L433*INDEX('Deliverability Upgrade Factors'!$F:$F,MATCH(SUBSTITUTE(Dashboard!$D855,"_group",Dashboard!$D$763),'Deliverability Upgrade Factors'!$B:$B,0))</f>
        <v>0</v>
      </c>
      <c r="M855" s="10">
        <f>-M433*INDEX('Deliverability Upgrade Factors'!$F:$F,MATCH(SUBSTITUTE(Dashboard!$D855,"_group",Dashboard!$D$763),'Deliverability Upgrade Factors'!$B:$B,0))</f>
        <v>0</v>
      </c>
      <c r="N855" s="10">
        <f>-N433*INDEX('Deliverability Upgrade Factors'!$F:$F,MATCH(SUBSTITUTE(Dashboard!$D855,"_group",Dashboard!$D$763),'Deliverability Upgrade Factors'!$B:$B,0))</f>
        <v>0</v>
      </c>
      <c r="O855" s="10">
        <f>-O433*INDEX('Deliverability Upgrade Factors'!$F:$F,MATCH(SUBSTITUTE(Dashboard!$D855,"_group",Dashboard!$D$763),'Deliverability Upgrade Factors'!$B:$B,0))</f>
        <v>0</v>
      </c>
      <c r="P855" s="10">
        <f>-P433*INDEX('Deliverability Upgrade Factors'!$F:$F,MATCH(SUBSTITUTE(Dashboard!$D855,"_group",Dashboard!$D$763),'Deliverability Upgrade Factors'!$B:$B,0))</f>
        <v>0</v>
      </c>
      <c r="Q855" s="10">
        <f>-Q433*INDEX('Deliverability Upgrade Factors'!$F:$F,MATCH(SUBSTITUTE(Dashboard!$D855,"_group",Dashboard!$D$763),'Deliverability Upgrade Factors'!$B:$B,0))</f>
        <v>0</v>
      </c>
      <c r="R855" s="10">
        <f>-R433*INDEX('Deliverability Upgrade Factors'!$F:$F,MATCH(SUBSTITUTE(Dashboard!$D855,"_group",Dashboard!$D$763),'Deliverability Upgrade Factors'!$B:$B,0))</f>
        <v>0</v>
      </c>
      <c r="S855" s="10">
        <f>-S433*INDEX('Deliverability Upgrade Factors'!$F:$F,MATCH(SUBSTITUTE(Dashboard!$D855,"_group",Dashboard!$D$763),'Deliverability Upgrade Factors'!$B:$B,0))</f>
        <v>0</v>
      </c>
      <c r="T855" s="10">
        <f>-T433*INDEX('Deliverability Upgrade Factors'!$F:$F,MATCH(SUBSTITUTE(Dashboard!$D855,"_group",Dashboard!$D$763),'Deliverability Upgrade Factors'!$B:$B,0))</f>
        <v>0</v>
      </c>
      <c r="U855" s="10">
        <f>-U433*INDEX('Deliverability Upgrade Factors'!$F:$F,MATCH(SUBSTITUTE(Dashboard!$D855,"_group",Dashboard!$D$763),'Deliverability Upgrade Factors'!$B:$B,0))</f>
        <v>0</v>
      </c>
      <c r="V855" s="10">
        <f>-V433*INDEX('Deliverability Upgrade Factors'!$F:$F,MATCH(SUBSTITUTE(Dashboard!$D855,"_group",Dashboard!$D$763),'Deliverability Upgrade Factors'!$B:$B,0))</f>
        <v>0</v>
      </c>
      <c r="W855" s="10">
        <f>-W433*INDEX('Deliverability Upgrade Factors'!$F:$F,MATCH(SUBSTITUTE(Dashboard!$D855,"_group",Dashboard!$D$763),'Deliverability Upgrade Factors'!$B:$B,0))</f>
        <v>0</v>
      </c>
      <c r="X855" s="10">
        <f>-X433*INDEX('Deliverability Upgrade Factors'!$F:$F,MATCH(SUBSTITUTE(Dashboard!$D855,"_group",Dashboard!$D$763),'Deliverability Upgrade Factors'!$B:$B,0))</f>
        <v>0</v>
      </c>
      <c r="Y855" s="10">
        <f>-Y433*INDEX('Deliverability Upgrade Factors'!$F:$F,MATCH(SUBSTITUTE(Dashboard!$D855,"_group",Dashboard!$D$763),'Deliverability Upgrade Factors'!$B:$B,0))</f>
        <v>0</v>
      </c>
      <c r="Z855" s="10">
        <f>-Z433*INDEX('Deliverability Upgrade Factors'!$F:$F,MATCH(SUBSTITUTE(Dashboard!$D855,"_group",Dashboard!$D$763),'Deliverability Upgrade Factors'!$B:$B,0))</f>
        <v>0</v>
      </c>
      <c r="AA855" s="10">
        <f>-AA433*INDEX('Deliverability Upgrade Factors'!$F:$F,MATCH(SUBSTITUTE(Dashboard!$D855,"_group",Dashboard!$D$763),'Deliverability Upgrade Factors'!$B:$B,0))</f>
        <v>0</v>
      </c>
      <c r="AB855" s="10">
        <f>-AB433*INDEX('Deliverability Upgrade Factors'!$F:$F,MATCH(SUBSTITUTE(Dashboard!$D855,"_group",Dashboard!$D$763),'Deliverability Upgrade Factors'!$B:$B,0))</f>
        <v>0</v>
      </c>
      <c r="AC855" s="10">
        <f>-AC433*INDEX('Deliverability Upgrade Factors'!$F:$F,MATCH(SUBSTITUTE(Dashboard!$D855,"_group",Dashboard!$D$763),'Deliverability Upgrade Factors'!$B:$B,0))</f>
        <v>0</v>
      </c>
      <c r="AD855" s="10">
        <f>-AD433*INDEX('Deliverability Upgrade Factors'!$F:$F,MATCH(SUBSTITUTE(Dashboard!$D855,"_group",Dashboard!$D$763),'Deliverability Upgrade Factors'!$B:$B,0))</f>
        <v>0</v>
      </c>
      <c r="AH855" s="34" t="s">
        <v>422</v>
      </c>
    </row>
    <row r="856" spans="4:34" outlineLevel="2" x14ac:dyDescent="0.2">
      <c r="D856" s="8" t="s">
        <v>283</v>
      </c>
      <c r="E856" s="10">
        <f>-E434*INDEX('Deliverability Upgrade Factors'!$F:$F,MATCH(SUBSTITUTE(Dashboard!$D856,"_group",Dashboard!$D$763),'Deliverability Upgrade Factors'!$B:$B,0))</f>
        <v>0</v>
      </c>
      <c r="F856" s="10">
        <f>-F434*INDEX('Deliverability Upgrade Factors'!$F:$F,MATCH(SUBSTITUTE(Dashboard!$D856,"_group",Dashboard!$D$763),'Deliverability Upgrade Factors'!$B:$B,0))</f>
        <v>0</v>
      </c>
      <c r="G856" s="10">
        <f>-G434*INDEX('Deliverability Upgrade Factors'!$F:$F,MATCH(SUBSTITUTE(Dashboard!$D856,"_group",Dashboard!$D$763),'Deliverability Upgrade Factors'!$B:$B,0))</f>
        <v>0</v>
      </c>
      <c r="H856" s="10">
        <f>-H434*INDEX('Deliverability Upgrade Factors'!$F:$F,MATCH(SUBSTITUTE(Dashboard!$D856,"_group",Dashboard!$D$763),'Deliverability Upgrade Factors'!$B:$B,0))</f>
        <v>0</v>
      </c>
      <c r="I856" s="10">
        <f>-I434*INDEX('Deliverability Upgrade Factors'!$F:$F,MATCH(SUBSTITUTE(Dashboard!$D856,"_group",Dashboard!$D$763),'Deliverability Upgrade Factors'!$B:$B,0))</f>
        <v>0</v>
      </c>
      <c r="J856" s="10">
        <f>-J434*INDEX('Deliverability Upgrade Factors'!$F:$F,MATCH(SUBSTITUTE(Dashboard!$D856,"_group",Dashboard!$D$763),'Deliverability Upgrade Factors'!$B:$B,0))</f>
        <v>0</v>
      </c>
      <c r="K856" s="10">
        <f>-K434*INDEX('Deliverability Upgrade Factors'!$F:$F,MATCH(SUBSTITUTE(Dashboard!$D856,"_group",Dashboard!$D$763),'Deliverability Upgrade Factors'!$B:$B,0))</f>
        <v>0</v>
      </c>
      <c r="L856" s="10">
        <f>-L434*INDEX('Deliverability Upgrade Factors'!$F:$F,MATCH(SUBSTITUTE(Dashboard!$D856,"_group",Dashboard!$D$763),'Deliverability Upgrade Factors'!$B:$B,0))</f>
        <v>0</v>
      </c>
      <c r="M856" s="10">
        <f>-M434*INDEX('Deliverability Upgrade Factors'!$F:$F,MATCH(SUBSTITUTE(Dashboard!$D856,"_group",Dashboard!$D$763),'Deliverability Upgrade Factors'!$B:$B,0))</f>
        <v>0</v>
      </c>
      <c r="N856" s="10">
        <f>-N434*INDEX('Deliverability Upgrade Factors'!$F:$F,MATCH(SUBSTITUTE(Dashboard!$D856,"_group",Dashboard!$D$763),'Deliverability Upgrade Factors'!$B:$B,0))</f>
        <v>0</v>
      </c>
      <c r="O856" s="10">
        <f>-O434*INDEX('Deliverability Upgrade Factors'!$F:$F,MATCH(SUBSTITUTE(Dashboard!$D856,"_group",Dashboard!$D$763),'Deliverability Upgrade Factors'!$B:$B,0))</f>
        <v>0</v>
      </c>
      <c r="P856" s="10">
        <f>-P434*INDEX('Deliverability Upgrade Factors'!$F:$F,MATCH(SUBSTITUTE(Dashboard!$D856,"_group",Dashboard!$D$763),'Deliverability Upgrade Factors'!$B:$B,0))</f>
        <v>0</v>
      </c>
      <c r="Q856" s="10">
        <f>-Q434*INDEX('Deliverability Upgrade Factors'!$F:$F,MATCH(SUBSTITUTE(Dashboard!$D856,"_group",Dashboard!$D$763),'Deliverability Upgrade Factors'!$B:$B,0))</f>
        <v>0</v>
      </c>
      <c r="R856" s="10">
        <f>-R434*INDEX('Deliverability Upgrade Factors'!$F:$F,MATCH(SUBSTITUTE(Dashboard!$D856,"_group",Dashboard!$D$763),'Deliverability Upgrade Factors'!$B:$B,0))</f>
        <v>0</v>
      </c>
      <c r="S856" s="10">
        <f>-S434*INDEX('Deliverability Upgrade Factors'!$F:$F,MATCH(SUBSTITUTE(Dashboard!$D856,"_group",Dashboard!$D$763),'Deliverability Upgrade Factors'!$B:$B,0))</f>
        <v>0</v>
      </c>
      <c r="T856" s="10">
        <f>-T434*INDEX('Deliverability Upgrade Factors'!$F:$F,MATCH(SUBSTITUTE(Dashboard!$D856,"_group",Dashboard!$D$763),'Deliverability Upgrade Factors'!$B:$B,0))</f>
        <v>0</v>
      </c>
      <c r="U856" s="10">
        <f>-U434*INDEX('Deliverability Upgrade Factors'!$F:$F,MATCH(SUBSTITUTE(Dashboard!$D856,"_group",Dashboard!$D$763),'Deliverability Upgrade Factors'!$B:$B,0))</f>
        <v>0</v>
      </c>
      <c r="V856" s="10">
        <f>-V434*INDEX('Deliverability Upgrade Factors'!$F:$F,MATCH(SUBSTITUTE(Dashboard!$D856,"_group",Dashboard!$D$763),'Deliverability Upgrade Factors'!$B:$B,0))</f>
        <v>0</v>
      </c>
      <c r="W856" s="10">
        <f>-W434*INDEX('Deliverability Upgrade Factors'!$F:$F,MATCH(SUBSTITUTE(Dashboard!$D856,"_group",Dashboard!$D$763),'Deliverability Upgrade Factors'!$B:$B,0))</f>
        <v>0</v>
      </c>
      <c r="X856" s="10">
        <f>-X434*INDEX('Deliverability Upgrade Factors'!$F:$F,MATCH(SUBSTITUTE(Dashboard!$D856,"_group",Dashboard!$D$763),'Deliverability Upgrade Factors'!$B:$B,0))</f>
        <v>0</v>
      </c>
      <c r="Y856" s="10">
        <f>-Y434*INDEX('Deliverability Upgrade Factors'!$F:$F,MATCH(SUBSTITUTE(Dashboard!$D856,"_group",Dashboard!$D$763),'Deliverability Upgrade Factors'!$B:$B,0))</f>
        <v>0</v>
      </c>
      <c r="Z856" s="10">
        <f>-Z434*INDEX('Deliverability Upgrade Factors'!$F:$F,MATCH(SUBSTITUTE(Dashboard!$D856,"_group",Dashboard!$D$763),'Deliverability Upgrade Factors'!$B:$B,0))</f>
        <v>0</v>
      </c>
      <c r="AA856" s="10">
        <f>-AA434*INDEX('Deliverability Upgrade Factors'!$F:$F,MATCH(SUBSTITUTE(Dashboard!$D856,"_group",Dashboard!$D$763),'Deliverability Upgrade Factors'!$B:$B,0))</f>
        <v>0</v>
      </c>
      <c r="AB856" s="10">
        <f>-AB434*INDEX('Deliverability Upgrade Factors'!$F:$F,MATCH(SUBSTITUTE(Dashboard!$D856,"_group",Dashboard!$D$763),'Deliverability Upgrade Factors'!$B:$B,0))</f>
        <v>0</v>
      </c>
      <c r="AC856" s="10">
        <f>-AC434*INDEX('Deliverability Upgrade Factors'!$F:$F,MATCH(SUBSTITUTE(Dashboard!$D856,"_group",Dashboard!$D$763),'Deliverability Upgrade Factors'!$B:$B,0))</f>
        <v>0</v>
      </c>
      <c r="AD856" s="10">
        <f>-AD434*INDEX('Deliverability Upgrade Factors'!$F:$F,MATCH(SUBSTITUTE(Dashboard!$D856,"_group",Dashboard!$D$763),'Deliverability Upgrade Factors'!$B:$B,0))</f>
        <v>0</v>
      </c>
      <c r="AH856" s="34" t="s">
        <v>422</v>
      </c>
    </row>
    <row r="857" spans="4:34" outlineLevel="2" x14ac:dyDescent="0.2">
      <c r="D857" s="8" t="s">
        <v>284</v>
      </c>
      <c r="E857" s="10">
        <f>-E435*INDEX('Deliverability Upgrade Factors'!$F:$F,MATCH(SUBSTITUTE(Dashboard!$D857,"_group",Dashboard!$D$763),'Deliverability Upgrade Factors'!$B:$B,0))</f>
        <v>0</v>
      </c>
      <c r="F857" s="10">
        <f>-F435*INDEX('Deliverability Upgrade Factors'!$F:$F,MATCH(SUBSTITUTE(Dashboard!$D857,"_group",Dashboard!$D$763),'Deliverability Upgrade Factors'!$B:$B,0))</f>
        <v>0</v>
      </c>
      <c r="G857" s="10">
        <f>-G435*INDEX('Deliverability Upgrade Factors'!$F:$F,MATCH(SUBSTITUTE(Dashboard!$D857,"_group",Dashboard!$D$763),'Deliverability Upgrade Factors'!$B:$B,0))</f>
        <v>0</v>
      </c>
      <c r="H857" s="10">
        <f>-H435*INDEX('Deliverability Upgrade Factors'!$F:$F,MATCH(SUBSTITUTE(Dashboard!$D857,"_group",Dashboard!$D$763),'Deliverability Upgrade Factors'!$B:$B,0))</f>
        <v>0</v>
      </c>
      <c r="I857" s="10">
        <f>-I435*INDEX('Deliverability Upgrade Factors'!$F:$F,MATCH(SUBSTITUTE(Dashboard!$D857,"_group",Dashboard!$D$763),'Deliverability Upgrade Factors'!$B:$B,0))</f>
        <v>0</v>
      </c>
      <c r="J857" s="10">
        <f>-J435*INDEX('Deliverability Upgrade Factors'!$F:$F,MATCH(SUBSTITUTE(Dashboard!$D857,"_group",Dashboard!$D$763),'Deliverability Upgrade Factors'!$B:$B,0))</f>
        <v>0</v>
      </c>
      <c r="K857" s="10">
        <f>-K435*INDEX('Deliverability Upgrade Factors'!$F:$F,MATCH(SUBSTITUTE(Dashboard!$D857,"_group",Dashboard!$D$763),'Deliverability Upgrade Factors'!$B:$B,0))</f>
        <v>0</v>
      </c>
      <c r="L857" s="10">
        <f>-L435*INDEX('Deliverability Upgrade Factors'!$F:$F,MATCH(SUBSTITUTE(Dashboard!$D857,"_group",Dashboard!$D$763),'Deliverability Upgrade Factors'!$B:$B,0))</f>
        <v>0</v>
      </c>
      <c r="M857" s="10">
        <f>-M435*INDEX('Deliverability Upgrade Factors'!$F:$F,MATCH(SUBSTITUTE(Dashboard!$D857,"_group",Dashboard!$D$763),'Deliverability Upgrade Factors'!$B:$B,0))</f>
        <v>0</v>
      </c>
      <c r="N857" s="10">
        <f>-N435*INDEX('Deliverability Upgrade Factors'!$F:$F,MATCH(SUBSTITUTE(Dashboard!$D857,"_group",Dashboard!$D$763),'Deliverability Upgrade Factors'!$B:$B,0))</f>
        <v>0</v>
      </c>
      <c r="O857" s="10">
        <f>-O435*INDEX('Deliverability Upgrade Factors'!$F:$F,MATCH(SUBSTITUTE(Dashboard!$D857,"_group",Dashboard!$D$763),'Deliverability Upgrade Factors'!$B:$B,0))</f>
        <v>0</v>
      </c>
      <c r="P857" s="10">
        <f>-P435*INDEX('Deliverability Upgrade Factors'!$F:$F,MATCH(SUBSTITUTE(Dashboard!$D857,"_group",Dashboard!$D$763),'Deliverability Upgrade Factors'!$B:$B,0))</f>
        <v>0</v>
      </c>
      <c r="Q857" s="10">
        <f>-Q435*INDEX('Deliverability Upgrade Factors'!$F:$F,MATCH(SUBSTITUTE(Dashboard!$D857,"_group",Dashboard!$D$763),'Deliverability Upgrade Factors'!$B:$B,0))</f>
        <v>0</v>
      </c>
      <c r="R857" s="10">
        <f>-R435*INDEX('Deliverability Upgrade Factors'!$F:$F,MATCH(SUBSTITUTE(Dashboard!$D857,"_group",Dashboard!$D$763),'Deliverability Upgrade Factors'!$B:$B,0))</f>
        <v>0</v>
      </c>
      <c r="S857" s="10">
        <f>-S435*INDEX('Deliverability Upgrade Factors'!$F:$F,MATCH(SUBSTITUTE(Dashboard!$D857,"_group",Dashboard!$D$763),'Deliverability Upgrade Factors'!$B:$B,0))</f>
        <v>0</v>
      </c>
      <c r="T857" s="10">
        <f>-T435*INDEX('Deliverability Upgrade Factors'!$F:$F,MATCH(SUBSTITUTE(Dashboard!$D857,"_group",Dashboard!$D$763),'Deliverability Upgrade Factors'!$B:$B,0))</f>
        <v>0</v>
      </c>
      <c r="U857" s="10">
        <f>-U435*INDEX('Deliverability Upgrade Factors'!$F:$F,MATCH(SUBSTITUTE(Dashboard!$D857,"_group",Dashboard!$D$763),'Deliverability Upgrade Factors'!$B:$B,0))</f>
        <v>0</v>
      </c>
      <c r="V857" s="10">
        <f>-V435*INDEX('Deliverability Upgrade Factors'!$F:$F,MATCH(SUBSTITUTE(Dashboard!$D857,"_group",Dashboard!$D$763),'Deliverability Upgrade Factors'!$B:$B,0))</f>
        <v>0</v>
      </c>
      <c r="W857" s="10">
        <f>-W435*INDEX('Deliverability Upgrade Factors'!$F:$F,MATCH(SUBSTITUTE(Dashboard!$D857,"_group",Dashboard!$D$763),'Deliverability Upgrade Factors'!$B:$B,0))</f>
        <v>0</v>
      </c>
      <c r="X857" s="10">
        <f>-X435*INDEX('Deliverability Upgrade Factors'!$F:$F,MATCH(SUBSTITUTE(Dashboard!$D857,"_group",Dashboard!$D$763),'Deliverability Upgrade Factors'!$B:$B,0))</f>
        <v>0</v>
      </c>
      <c r="Y857" s="10">
        <f>-Y435*INDEX('Deliverability Upgrade Factors'!$F:$F,MATCH(SUBSTITUTE(Dashboard!$D857,"_group",Dashboard!$D$763),'Deliverability Upgrade Factors'!$B:$B,0))</f>
        <v>0</v>
      </c>
      <c r="Z857" s="10">
        <f>-Z435*INDEX('Deliverability Upgrade Factors'!$F:$F,MATCH(SUBSTITUTE(Dashboard!$D857,"_group",Dashboard!$D$763),'Deliverability Upgrade Factors'!$B:$B,0))</f>
        <v>0</v>
      </c>
      <c r="AA857" s="10">
        <f>-AA435*INDEX('Deliverability Upgrade Factors'!$F:$F,MATCH(SUBSTITUTE(Dashboard!$D857,"_group",Dashboard!$D$763),'Deliverability Upgrade Factors'!$B:$B,0))</f>
        <v>0</v>
      </c>
      <c r="AB857" s="10">
        <f>-AB435*INDEX('Deliverability Upgrade Factors'!$F:$F,MATCH(SUBSTITUTE(Dashboard!$D857,"_group",Dashboard!$D$763),'Deliverability Upgrade Factors'!$B:$B,0))</f>
        <v>0</v>
      </c>
      <c r="AC857" s="10">
        <f>-AC435*INDEX('Deliverability Upgrade Factors'!$F:$F,MATCH(SUBSTITUTE(Dashboard!$D857,"_group",Dashboard!$D$763),'Deliverability Upgrade Factors'!$B:$B,0))</f>
        <v>0</v>
      </c>
      <c r="AD857" s="10">
        <f>-AD435*INDEX('Deliverability Upgrade Factors'!$F:$F,MATCH(SUBSTITUTE(Dashboard!$D857,"_group",Dashboard!$D$763),'Deliverability Upgrade Factors'!$B:$B,0))</f>
        <v>0</v>
      </c>
      <c r="AH857" s="34" t="s">
        <v>422</v>
      </c>
    </row>
    <row r="858" spans="4:34" ht="12.6" outlineLevel="2" thickBot="1" x14ac:dyDescent="0.25">
      <c r="D858" s="9" t="s">
        <v>139</v>
      </c>
      <c r="E858" s="17">
        <f t="shared" ref="E858" si="984">SUM(E830:E857)</f>
        <v>0</v>
      </c>
      <c r="F858" s="17">
        <f t="shared" ref="F858:AD858" si="985">SUM(F830:F857)</f>
        <v>0</v>
      </c>
      <c r="G858" s="17">
        <f t="shared" si="985"/>
        <v>0</v>
      </c>
      <c r="H858" s="17">
        <f t="shared" si="985"/>
        <v>0</v>
      </c>
      <c r="I858" s="17">
        <f t="shared" si="985"/>
        <v>0</v>
      </c>
      <c r="J858" s="17">
        <f t="shared" si="985"/>
        <v>0</v>
      </c>
      <c r="K858" s="17">
        <f t="shared" si="985"/>
        <v>0</v>
      </c>
      <c r="L858" s="17">
        <f t="shared" si="985"/>
        <v>0</v>
      </c>
      <c r="M858" s="17">
        <f t="shared" si="985"/>
        <v>0</v>
      </c>
      <c r="N858" s="17">
        <f t="shared" si="985"/>
        <v>0</v>
      </c>
      <c r="O858" s="17">
        <f t="shared" si="985"/>
        <v>0</v>
      </c>
      <c r="P858" s="17">
        <f t="shared" si="985"/>
        <v>0</v>
      </c>
      <c r="Q858" s="17">
        <f t="shared" si="985"/>
        <v>0</v>
      </c>
      <c r="R858" s="17">
        <f t="shared" si="985"/>
        <v>0</v>
      </c>
      <c r="S858" s="17">
        <f t="shared" si="985"/>
        <v>0</v>
      </c>
      <c r="T858" s="17">
        <f t="shared" si="985"/>
        <v>0</v>
      </c>
      <c r="U858" s="17">
        <f t="shared" si="985"/>
        <v>0</v>
      </c>
      <c r="V858" s="17">
        <f t="shared" si="985"/>
        <v>0</v>
      </c>
      <c r="W858" s="17">
        <f t="shared" si="985"/>
        <v>0</v>
      </c>
      <c r="X858" s="17">
        <f t="shared" si="985"/>
        <v>0</v>
      </c>
      <c r="Y858" s="17">
        <f t="shared" si="985"/>
        <v>0</v>
      </c>
      <c r="Z858" s="17">
        <f t="shared" si="985"/>
        <v>0</v>
      </c>
      <c r="AA858" s="17">
        <f t="shared" si="985"/>
        <v>0</v>
      </c>
      <c r="AB858" s="17">
        <f t="shared" si="985"/>
        <v>0</v>
      </c>
      <c r="AC858" s="17">
        <f t="shared" si="985"/>
        <v>0</v>
      </c>
      <c r="AD858" s="17">
        <f t="shared" si="985"/>
        <v>257.089</v>
      </c>
      <c r="AH858" s="34" t="s">
        <v>422</v>
      </c>
    </row>
    <row r="859" spans="4:34" ht="12" outlineLevel="2" thickTop="1" x14ac:dyDescent="0.2">
      <c r="AH859" s="34" t="s">
        <v>422</v>
      </c>
    </row>
    <row r="860" spans="4:34" ht="13.2" outlineLevel="2" x14ac:dyDescent="0.2">
      <c r="E860" s="2" t="s">
        <v>411</v>
      </c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H860" s="34" t="s">
        <v>422</v>
      </c>
    </row>
    <row r="861" spans="4:34" outlineLevel="2" x14ac:dyDescent="0.2">
      <c r="E861" s="7">
        <v>43831</v>
      </c>
      <c r="F861" s="7">
        <f t="shared" ref="F861" si="986">EDATE(E861,12)</f>
        <v>44197</v>
      </c>
      <c r="G861" s="7">
        <f t="shared" ref="G861" si="987">EDATE(F861,12)</f>
        <v>44562</v>
      </c>
      <c r="H861" s="7">
        <f t="shared" ref="H861" si="988">EDATE(G861,12)</f>
        <v>44927</v>
      </c>
      <c r="I861" s="7">
        <f t="shared" ref="I861" si="989">EDATE(H861,12)</f>
        <v>45292</v>
      </c>
      <c r="J861" s="7">
        <f t="shared" ref="J861" si="990">EDATE(I861,12)</f>
        <v>45658</v>
      </c>
      <c r="K861" s="7">
        <f t="shared" ref="K861" si="991">EDATE(J861,12)</f>
        <v>46023</v>
      </c>
      <c r="L861" s="7">
        <f t="shared" ref="L861" si="992">EDATE(K861,12)</f>
        <v>46388</v>
      </c>
      <c r="M861" s="7">
        <f t="shared" ref="M861" si="993">EDATE(L861,12)</f>
        <v>46753</v>
      </c>
      <c r="N861" s="7">
        <f t="shared" ref="N861" si="994">EDATE(M861,12)</f>
        <v>47119</v>
      </c>
      <c r="O861" s="7">
        <f t="shared" ref="O861" si="995">EDATE(N861,12)</f>
        <v>47484</v>
      </c>
      <c r="P861" s="7">
        <f t="shared" ref="P861" si="996">EDATE(O861,12)</f>
        <v>47849</v>
      </c>
      <c r="Q861" s="7">
        <f t="shared" ref="Q861" si="997">EDATE(P861,12)</f>
        <v>48214</v>
      </c>
      <c r="R861" s="7">
        <f t="shared" ref="R861" si="998">EDATE(Q861,12)</f>
        <v>48580</v>
      </c>
      <c r="S861" s="7">
        <f t="shared" ref="S861" si="999">EDATE(R861,12)</f>
        <v>48945</v>
      </c>
      <c r="T861" s="7">
        <f t="shared" ref="T861" si="1000">EDATE(S861,12)</f>
        <v>49310</v>
      </c>
      <c r="U861" s="7">
        <f t="shared" ref="U861" si="1001">EDATE(T861,12)</f>
        <v>49675</v>
      </c>
      <c r="V861" s="7">
        <f t="shared" ref="V861" si="1002">EDATE(U861,12)</f>
        <v>50041</v>
      </c>
      <c r="W861" s="7">
        <f t="shared" ref="W861" si="1003">EDATE(V861,12)</f>
        <v>50406</v>
      </c>
      <c r="X861" s="7">
        <f t="shared" ref="X861" si="1004">EDATE(W861,12)</f>
        <v>50771</v>
      </c>
      <c r="Y861" s="7">
        <f t="shared" ref="Y861" si="1005">EDATE(X861,12)</f>
        <v>51136</v>
      </c>
      <c r="Z861" s="7">
        <f t="shared" ref="Z861" si="1006">EDATE(Y861,12)</f>
        <v>51502</v>
      </c>
      <c r="AA861" s="7">
        <f t="shared" ref="AA861" si="1007">EDATE(Z861,12)</f>
        <v>51867</v>
      </c>
      <c r="AB861" s="7">
        <f t="shared" ref="AB861" si="1008">EDATE(AA861,12)</f>
        <v>52232</v>
      </c>
      <c r="AC861" s="7">
        <f t="shared" ref="AC861" si="1009">EDATE(AB861,12)</f>
        <v>52597</v>
      </c>
      <c r="AD861" s="7">
        <f>EDATE(AC861,12)</f>
        <v>52963</v>
      </c>
      <c r="AH861" s="34" t="s">
        <v>422</v>
      </c>
    </row>
    <row r="862" spans="4:34" outlineLevel="2" x14ac:dyDescent="0.2">
      <c r="D862" s="8" t="s">
        <v>257</v>
      </c>
      <c r="E862" s="10">
        <f>SUMIFS('Custom Constraints'!$C:$C,'Custom Constraints'!$A:$A,"caiso-deliverability_"&amp;SUBSTITUTE(Dashboard!$D862,"_group",Dashboard!$D$763)&amp;"."&amp;YEAR(Dashboard!E$537))+E830</f>
        <v>0</v>
      </c>
      <c r="F862" s="10">
        <f>SUMIFS('Custom Constraints'!$C:$C,'Custom Constraints'!$A:$A,"caiso-deliverability_"&amp;SUBSTITUTE(Dashboard!$D862,"_group",Dashboard!$D$763)&amp;"."&amp;YEAR(Dashboard!F$537))+F830</f>
        <v>0</v>
      </c>
      <c r="G862" s="10">
        <f>SUMIFS('Custom Constraints'!$C:$C,'Custom Constraints'!$A:$A,"caiso-deliverability_"&amp;SUBSTITUTE(Dashboard!$D862,"_group",Dashboard!$D$763)&amp;"."&amp;YEAR(Dashboard!G$537))+G830</f>
        <v>0</v>
      </c>
      <c r="H862" s="10">
        <f>SUMIFS('Custom Constraints'!$C:$C,'Custom Constraints'!$A:$A,"caiso-deliverability_"&amp;SUBSTITUTE(Dashboard!$D862,"_group",Dashboard!$D$763)&amp;"."&amp;YEAR(Dashboard!H$537))+H830</f>
        <v>0</v>
      </c>
      <c r="I862" s="10">
        <f>SUMIFS('Custom Constraints'!$C:$C,'Custom Constraints'!$A:$A,"caiso-deliverability_"&amp;SUBSTITUTE(Dashboard!$D862,"_group",Dashboard!$D$763)&amp;"."&amp;YEAR(Dashboard!I$537))+I830</f>
        <v>0</v>
      </c>
      <c r="J862" s="10">
        <f>SUMIFS('Custom Constraints'!$C:$C,'Custom Constraints'!$A:$A,"caiso-deliverability_"&amp;SUBSTITUTE(Dashboard!$D862,"_group",Dashboard!$D$763)&amp;"."&amp;YEAR(Dashboard!J$537))+J830</f>
        <v>0</v>
      </c>
      <c r="K862" s="10">
        <f>SUMIFS('Custom Constraints'!$C:$C,'Custom Constraints'!$A:$A,"caiso-deliverability_"&amp;SUBSTITUTE(Dashboard!$D862,"_group",Dashboard!$D$763)&amp;"."&amp;YEAR(Dashboard!K$537))+K830</f>
        <v>0</v>
      </c>
      <c r="L862" s="10">
        <f>SUMIFS('Custom Constraints'!$C:$C,'Custom Constraints'!$A:$A,"caiso-deliverability_"&amp;SUBSTITUTE(Dashboard!$D862,"_group",Dashboard!$D$763)&amp;"."&amp;YEAR(Dashboard!L$537))+L830</f>
        <v>0</v>
      </c>
      <c r="M862" s="10">
        <f>SUMIFS('Custom Constraints'!$C:$C,'Custom Constraints'!$A:$A,"caiso-deliverability_"&amp;SUBSTITUTE(Dashboard!$D862,"_group",Dashboard!$D$763)&amp;"."&amp;YEAR(Dashboard!M$537))+M830</f>
        <v>0</v>
      </c>
      <c r="N862" s="10">
        <f>SUMIFS('Custom Constraints'!$C:$C,'Custom Constraints'!$A:$A,"caiso-deliverability_"&amp;SUBSTITUTE(Dashboard!$D862,"_group",Dashboard!$D$763)&amp;"."&amp;YEAR(Dashboard!N$537))+N830</f>
        <v>0</v>
      </c>
      <c r="O862" s="10">
        <f>SUMIFS('Custom Constraints'!$C:$C,'Custom Constraints'!$A:$A,"caiso-deliverability_"&amp;SUBSTITUTE(Dashboard!$D862,"_group",Dashboard!$D$763)&amp;"."&amp;YEAR(Dashboard!O$537))+O830</f>
        <v>0</v>
      </c>
      <c r="P862" s="10">
        <f>SUMIFS('Custom Constraints'!$C:$C,'Custom Constraints'!$A:$A,"caiso-deliverability_"&amp;SUBSTITUTE(Dashboard!$D862,"_group",Dashboard!$D$763)&amp;"."&amp;YEAR(Dashboard!P$537))+P830</f>
        <v>0</v>
      </c>
      <c r="Q862" s="10">
        <f>SUMIFS('Custom Constraints'!$C:$C,'Custom Constraints'!$A:$A,"caiso-deliverability_"&amp;SUBSTITUTE(Dashboard!$D862,"_group",Dashboard!$D$763)&amp;"."&amp;YEAR(Dashboard!Q$537))+Q830</f>
        <v>0</v>
      </c>
      <c r="R862" s="10">
        <f>SUMIFS('Custom Constraints'!$C:$C,'Custom Constraints'!$A:$A,"caiso-deliverability_"&amp;SUBSTITUTE(Dashboard!$D862,"_group",Dashboard!$D$763)&amp;"."&amp;YEAR(Dashboard!R$537))+R830</f>
        <v>0</v>
      </c>
      <c r="S862" s="10">
        <f>SUMIFS('Custom Constraints'!$C:$C,'Custom Constraints'!$A:$A,"caiso-deliverability_"&amp;SUBSTITUTE(Dashboard!$D862,"_group",Dashboard!$D$763)&amp;"."&amp;YEAR(Dashboard!S$537))+S830</f>
        <v>0</v>
      </c>
      <c r="T862" s="10">
        <f>SUMIFS('Custom Constraints'!$C:$C,'Custom Constraints'!$A:$A,"caiso-deliverability_"&amp;SUBSTITUTE(Dashboard!$D862,"_group",Dashboard!$D$763)&amp;"."&amp;YEAR(Dashboard!T$537))+T830</f>
        <v>0</v>
      </c>
      <c r="U862" s="10">
        <f>SUMIFS('Custom Constraints'!$C:$C,'Custom Constraints'!$A:$A,"caiso-deliverability_"&amp;SUBSTITUTE(Dashboard!$D862,"_group",Dashboard!$D$763)&amp;"."&amp;YEAR(Dashboard!U$537))+U830</f>
        <v>0</v>
      </c>
      <c r="V862" s="10">
        <f>SUMIFS('Custom Constraints'!$C:$C,'Custom Constraints'!$A:$A,"caiso-deliverability_"&amp;SUBSTITUTE(Dashboard!$D862,"_group",Dashboard!$D$763)&amp;"."&amp;YEAR(Dashboard!V$537))+V830</f>
        <v>0</v>
      </c>
      <c r="W862" s="10">
        <f>SUMIFS('Custom Constraints'!$C:$C,'Custom Constraints'!$A:$A,"caiso-deliverability_"&amp;SUBSTITUTE(Dashboard!$D862,"_group",Dashboard!$D$763)&amp;"."&amp;YEAR(Dashboard!W$537))+W830</f>
        <v>0</v>
      </c>
      <c r="X862" s="10">
        <f>SUMIFS('Custom Constraints'!$C:$C,'Custom Constraints'!$A:$A,"caiso-deliverability_"&amp;SUBSTITUTE(Dashboard!$D862,"_group",Dashboard!$D$763)&amp;"."&amp;YEAR(Dashboard!X$537))+X830</f>
        <v>0</v>
      </c>
      <c r="Y862" s="10">
        <f>SUMIFS('Custom Constraints'!$C:$C,'Custom Constraints'!$A:$A,"caiso-deliverability_"&amp;SUBSTITUTE(Dashboard!$D862,"_group",Dashboard!$D$763)&amp;"."&amp;YEAR(Dashboard!Y$537))+Y830</f>
        <v>0</v>
      </c>
      <c r="Z862" s="10">
        <f>SUMIFS('Custom Constraints'!$C:$C,'Custom Constraints'!$A:$A,"caiso-deliverability_"&amp;SUBSTITUTE(Dashboard!$D862,"_group",Dashboard!$D$763)&amp;"."&amp;YEAR(Dashboard!Z$537))+Z830</f>
        <v>0</v>
      </c>
      <c r="AA862" s="10">
        <f>SUMIFS('Custom Constraints'!$C:$C,'Custom Constraints'!$A:$A,"caiso-deliverability_"&amp;SUBSTITUTE(Dashboard!$D862,"_group",Dashboard!$D$763)&amp;"."&amp;YEAR(Dashboard!AA$537))+AA830</f>
        <v>0</v>
      </c>
      <c r="AB862" s="10">
        <f>SUMIFS('Custom Constraints'!$C:$C,'Custom Constraints'!$A:$A,"caiso-deliverability_"&amp;SUBSTITUTE(Dashboard!$D862,"_group",Dashboard!$D$763)&amp;"."&amp;YEAR(Dashboard!AB$537))+AB830</f>
        <v>0</v>
      </c>
      <c r="AC862" s="10">
        <f>SUMIFS('Custom Constraints'!$C:$C,'Custom Constraints'!$A:$A,"caiso-deliverability_"&amp;SUBSTITUTE(Dashboard!$D862,"_group",Dashboard!$D$763)&amp;"."&amp;YEAR(Dashboard!AC$537))+AC830</f>
        <v>0</v>
      </c>
      <c r="AD862" s="10">
        <f>SUMIFS('Custom Constraints'!$C:$C,'Custom Constraints'!$A:$A,"caiso-deliverability_"&amp;SUBSTITUTE(Dashboard!$D862,"_group",Dashboard!$D$763)&amp;"."&amp;YEAR(Dashboard!AD$537))+AD830</f>
        <v>0</v>
      </c>
      <c r="AH862" s="34" t="s">
        <v>422</v>
      </c>
    </row>
    <row r="863" spans="4:34" outlineLevel="2" x14ac:dyDescent="0.2">
      <c r="D863" s="8" t="s">
        <v>258</v>
      </c>
      <c r="E863" s="10">
        <f>SUMIFS('Custom Constraints'!$C:$C,'Custom Constraints'!$A:$A,"caiso-deliverability_"&amp;SUBSTITUTE(Dashboard!$D863,"_group",Dashboard!$D$763)&amp;"."&amp;YEAR(Dashboard!E$537))+E831</f>
        <v>0</v>
      </c>
      <c r="F863" s="10">
        <f>SUMIFS('Custom Constraints'!$C:$C,'Custom Constraints'!$A:$A,"caiso-deliverability_"&amp;SUBSTITUTE(Dashboard!$D863,"_group",Dashboard!$D$763)&amp;"."&amp;YEAR(Dashboard!F$537))+F831</f>
        <v>0</v>
      </c>
      <c r="G863" s="10">
        <f>SUMIFS('Custom Constraints'!$C:$C,'Custom Constraints'!$A:$A,"caiso-deliverability_"&amp;SUBSTITUTE(Dashboard!$D863,"_group",Dashboard!$D$763)&amp;"."&amp;YEAR(Dashboard!G$537))+G831</f>
        <v>0</v>
      </c>
      <c r="H863" s="10">
        <f>SUMIFS('Custom Constraints'!$C:$C,'Custom Constraints'!$A:$A,"caiso-deliverability_"&amp;SUBSTITUTE(Dashboard!$D863,"_group",Dashboard!$D$763)&amp;"."&amp;YEAR(Dashboard!H$537))+H831</f>
        <v>0</v>
      </c>
      <c r="I863" s="10">
        <f>SUMIFS('Custom Constraints'!$C:$C,'Custom Constraints'!$A:$A,"caiso-deliverability_"&amp;SUBSTITUTE(Dashboard!$D863,"_group",Dashboard!$D$763)&amp;"."&amp;YEAR(Dashboard!I$537))+I831</f>
        <v>0</v>
      </c>
      <c r="J863" s="10">
        <f>SUMIFS('Custom Constraints'!$C:$C,'Custom Constraints'!$A:$A,"caiso-deliverability_"&amp;SUBSTITUTE(Dashboard!$D863,"_group",Dashboard!$D$763)&amp;"."&amp;YEAR(Dashboard!J$537))+J831</f>
        <v>0</v>
      </c>
      <c r="K863" s="10">
        <f>SUMIFS('Custom Constraints'!$C:$C,'Custom Constraints'!$A:$A,"caiso-deliverability_"&amp;SUBSTITUTE(Dashboard!$D863,"_group",Dashboard!$D$763)&amp;"."&amp;YEAR(Dashboard!K$537))+K831</f>
        <v>0</v>
      </c>
      <c r="L863" s="10">
        <f>SUMIFS('Custom Constraints'!$C:$C,'Custom Constraints'!$A:$A,"caiso-deliverability_"&amp;SUBSTITUTE(Dashboard!$D863,"_group",Dashboard!$D$763)&amp;"."&amp;YEAR(Dashboard!L$537))+L831</f>
        <v>0</v>
      </c>
      <c r="M863" s="10">
        <f>SUMIFS('Custom Constraints'!$C:$C,'Custom Constraints'!$A:$A,"caiso-deliverability_"&amp;SUBSTITUTE(Dashboard!$D863,"_group",Dashboard!$D$763)&amp;"."&amp;YEAR(Dashboard!M$537))+M831</f>
        <v>0</v>
      </c>
      <c r="N863" s="10">
        <f>SUMIFS('Custom Constraints'!$C:$C,'Custom Constraints'!$A:$A,"caiso-deliverability_"&amp;SUBSTITUTE(Dashboard!$D863,"_group",Dashboard!$D$763)&amp;"."&amp;YEAR(Dashboard!N$537))+N831</f>
        <v>0</v>
      </c>
      <c r="O863" s="10">
        <f>SUMIFS('Custom Constraints'!$C:$C,'Custom Constraints'!$A:$A,"caiso-deliverability_"&amp;SUBSTITUTE(Dashboard!$D863,"_group",Dashboard!$D$763)&amp;"."&amp;YEAR(Dashboard!O$537))+O831</f>
        <v>0</v>
      </c>
      <c r="P863" s="10">
        <f>SUMIFS('Custom Constraints'!$C:$C,'Custom Constraints'!$A:$A,"caiso-deliverability_"&amp;SUBSTITUTE(Dashboard!$D863,"_group",Dashboard!$D$763)&amp;"."&amp;YEAR(Dashboard!P$537))+P831</f>
        <v>0</v>
      </c>
      <c r="Q863" s="10">
        <f>SUMIFS('Custom Constraints'!$C:$C,'Custom Constraints'!$A:$A,"caiso-deliverability_"&amp;SUBSTITUTE(Dashboard!$D863,"_group",Dashboard!$D$763)&amp;"."&amp;YEAR(Dashboard!Q$537))+Q831</f>
        <v>0</v>
      </c>
      <c r="R863" s="10">
        <f>SUMIFS('Custom Constraints'!$C:$C,'Custom Constraints'!$A:$A,"caiso-deliverability_"&amp;SUBSTITUTE(Dashboard!$D863,"_group",Dashboard!$D$763)&amp;"."&amp;YEAR(Dashboard!R$537))+R831</f>
        <v>0</v>
      </c>
      <c r="S863" s="10">
        <f>SUMIFS('Custom Constraints'!$C:$C,'Custom Constraints'!$A:$A,"caiso-deliverability_"&amp;SUBSTITUTE(Dashboard!$D863,"_group",Dashboard!$D$763)&amp;"."&amp;YEAR(Dashboard!S$537))+S831</f>
        <v>0</v>
      </c>
      <c r="T863" s="10">
        <f>SUMIFS('Custom Constraints'!$C:$C,'Custom Constraints'!$A:$A,"caiso-deliverability_"&amp;SUBSTITUTE(Dashboard!$D863,"_group",Dashboard!$D$763)&amp;"."&amp;YEAR(Dashboard!T$537))+T831</f>
        <v>0</v>
      </c>
      <c r="U863" s="10">
        <f>SUMIFS('Custom Constraints'!$C:$C,'Custom Constraints'!$A:$A,"caiso-deliverability_"&amp;SUBSTITUTE(Dashboard!$D863,"_group",Dashboard!$D$763)&amp;"."&amp;YEAR(Dashboard!U$537))+U831</f>
        <v>0</v>
      </c>
      <c r="V863" s="10">
        <f>SUMIFS('Custom Constraints'!$C:$C,'Custom Constraints'!$A:$A,"caiso-deliverability_"&amp;SUBSTITUTE(Dashboard!$D863,"_group",Dashboard!$D$763)&amp;"."&amp;YEAR(Dashboard!V$537))+V831</f>
        <v>0</v>
      </c>
      <c r="W863" s="10">
        <f>SUMIFS('Custom Constraints'!$C:$C,'Custom Constraints'!$A:$A,"caiso-deliverability_"&amp;SUBSTITUTE(Dashboard!$D863,"_group",Dashboard!$D$763)&amp;"."&amp;YEAR(Dashboard!W$537))+W831</f>
        <v>0</v>
      </c>
      <c r="X863" s="10">
        <f>SUMIFS('Custom Constraints'!$C:$C,'Custom Constraints'!$A:$A,"caiso-deliverability_"&amp;SUBSTITUTE(Dashboard!$D863,"_group",Dashboard!$D$763)&amp;"."&amp;YEAR(Dashboard!X$537))+X831</f>
        <v>0</v>
      </c>
      <c r="Y863" s="10">
        <f>SUMIFS('Custom Constraints'!$C:$C,'Custom Constraints'!$A:$A,"caiso-deliverability_"&amp;SUBSTITUTE(Dashboard!$D863,"_group",Dashboard!$D$763)&amp;"."&amp;YEAR(Dashboard!Y$537))+Y831</f>
        <v>0</v>
      </c>
      <c r="Z863" s="10">
        <f>SUMIFS('Custom Constraints'!$C:$C,'Custom Constraints'!$A:$A,"caiso-deliverability_"&amp;SUBSTITUTE(Dashboard!$D863,"_group",Dashboard!$D$763)&amp;"."&amp;YEAR(Dashboard!Z$537))+Z831</f>
        <v>0</v>
      </c>
      <c r="AA863" s="10">
        <f>SUMIFS('Custom Constraints'!$C:$C,'Custom Constraints'!$A:$A,"caiso-deliverability_"&amp;SUBSTITUTE(Dashboard!$D863,"_group",Dashboard!$D$763)&amp;"."&amp;YEAR(Dashboard!AA$537))+AA831</f>
        <v>0</v>
      </c>
      <c r="AB863" s="10">
        <f>SUMIFS('Custom Constraints'!$C:$C,'Custom Constraints'!$A:$A,"caiso-deliverability_"&amp;SUBSTITUTE(Dashboard!$D863,"_group",Dashboard!$D$763)&amp;"."&amp;YEAR(Dashboard!AB$537))+AB831</f>
        <v>0</v>
      </c>
      <c r="AC863" s="10">
        <f>SUMIFS('Custom Constraints'!$C:$C,'Custom Constraints'!$A:$A,"caiso-deliverability_"&amp;SUBSTITUTE(Dashboard!$D863,"_group",Dashboard!$D$763)&amp;"."&amp;YEAR(Dashboard!AC$537))+AC831</f>
        <v>0</v>
      </c>
      <c r="AD863" s="10">
        <f>SUMIFS('Custom Constraints'!$C:$C,'Custom Constraints'!$A:$A,"caiso-deliverability_"&amp;SUBSTITUTE(Dashboard!$D863,"_group",Dashboard!$D$763)&amp;"."&amp;YEAR(Dashboard!AD$537))+AD831</f>
        <v>358.40000000000003</v>
      </c>
      <c r="AH863" s="34" t="s">
        <v>422</v>
      </c>
    </row>
    <row r="864" spans="4:34" outlineLevel="2" x14ac:dyDescent="0.2">
      <c r="D864" s="8" t="s">
        <v>259</v>
      </c>
      <c r="E864" s="10">
        <f>SUMIFS('Custom Constraints'!$C:$C,'Custom Constraints'!$A:$A,"caiso-deliverability_"&amp;SUBSTITUTE(Dashboard!$D864,"_group",Dashboard!$D$763)&amp;"."&amp;YEAR(Dashboard!E$537))+E832</f>
        <v>0</v>
      </c>
      <c r="F864" s="10">
        <f>SUMIFS('Custom Constraints'!$C:$C,'Custom Constraints'!$A:$A,"caiso-deliverability_"&amp;SUBSTITUTE(Dashboard!$D864,"_group",Dashboard!$D$763)&amp;"."&amp;YEAR(Dashboard!F$537))+F832</f>
        <v>0</v>
      </c>
      <c r="G864" s="10">
        <f>SUMIFS('Custom Constraints'!$C:$C,'Custom Constraints'!$A:$A,"caiso-deliverability_"&amp;SUBSTITUTE(Dashboard!$D864,"_group",Dashboard!$D$763)&amp;"."&amp;YEAR(Dashboard!G$537))+G832</f>
        <v>0</v>
      </c>
      <c r="H864" s="10">
        <f>SUMIFS('Custom Constraints'!$C:$C,'Custom Constraints'!$A:$A,"caiso-deliverability_"&amp;SUBSTITUTE(Dashboard!$D864,"_group",Dashboard!$D$763)&amp;"."&amp;YEAR(Dashboard!H$537))+H832</f>
        <v>0</v>
      </c>
      <c r="I864" s="10">
        <f>SUMIFS('Custom Constraints'!$C:$C,'Custom Constraints'!$A:$A,"caiso-deliverability_"&amp;SUBSTITUTE(Dashboard!$D864,"_group",Dashboard!$D$763)&amp;"."&amp;YEAR(Dashboard!I$537))+I832</f>
        <v>0</v>
      </c>
      <c r="J864" s="10">
        <f>SUMIFS('Custom Constraints'!$C:$C,'Custom Constraints'!$A:$A,"caiso-deliverability_"&amp;SUBSTITUTE(Dashboard!$D864,"_group",Dashboard!$D$763)&amp;"."&amp;YEAR(Dashboard!J$537))+J832</f>
        <v>0</v>
      </c>
      <c r="K864" s="10">
        <f>SUMIFS('Custom Constraints'!$C:$C,'Custom Constraints'!$A:$A,"caiso-deliverability_"&amp;SUBSTITUTE(Dashboard!$D864,"_group",Dashboard!$D$763)&amp;"."&amp;YEAR(Dashboard!K$537))+K832</f>
        <v>0</v>
      </c>
      <c r="L864" s="10">
        <f>SUMIFS('Custom Constraints'!$C:$C,'Custom Constraints'!$A:$A,"caiso-deliverability_"&amp;SUBSTITUTE(Dashboard!$D864,"_group",Dashboard!$D$763)&amp;"."&amp;YEAR(Dashboard!L$537))+L832</f>
        <v>0</v>
      </c>
      <c r="M864" s="10">
        <f>SUMIFS('Custom Constraints'!$C:$C,'Custom Constraints'!$A:$A,"caiso-deliverability_"&amp;SUBSTITUTE(Dashboard!$D864,"_group",Dashboard!$D$763)&amp;"."&amp;YEAR(Dashboard!M$537))+M832</f>
        <v>0</v>
      </c>
      <c r="N864" s="10">
        <f>SUMIFS('Custom Constraints'!$C:$C,'Custom Constraints'!$A:$A,"caiso-deliverability_"&amp;SUBSTITUTE(Dashboard!$D864,"_group",Dashboard!$D$763)&amp;"."&amp;YEAR(Dashboard!N$537))+N832</f>
        <v>0</v>
      </c>
      <c r="O864" s="10">
        <f>SUMIFS('Custom Constraints'!$C:$C,'Custom Constraints'!$A:$A,"caiso-deliverability_"&amp;SUBSTITUTE(Dashboard!$D864,"_group",Dashboard!$D$763)&amp;"."&amp;YEAR(Dashboard!O$537))+O832</f>
        <v>0</v>
      </c>
      <c r="P864" s="10">
        <f>SUMIFS('Custom Constraints'!$C:$C,'Custom Constraints'!$A:$A,"caiso-deliverability_"&amp;SUBSTITUTE(Dashboard!$D864,"_group",Dashboard!$D$763)&amp;"."&amp;YEAR(Dashboard!P$537))+P832</f>
        <v>0</v>
      </c>
      <c r="Q864" s="10">
        <f>SUMIFS('Custom Constraints'!$C:$C,'Custom Constraints'!$A:$A,"caiso-deliverability_"&amp;SUBSTITUTE(Dashboard!$D864,"_group",Dashboard!$D$763)&amp;"."&amp;YEAR(Dashboard!Q$537))+Q832</f>
        <v>0</v>
      </c>
      <c r="R864" s="10">
        <f>SUMIFS('Custom Constraints'!$C:$C,'Custom Constraints'!$A:$A,"caiso-deliverability_"&amp;SUBSTITUTE(Dashboard!$D864,"_group",Dashboard!$D$763)&amp;"."&amp;YEAR(Dashboard!R$537))+R832</f>
        <v>0</v>
      </c>
      <c r="S864" s="10">
        <f>SUMIFS('Custom Constraints'!$C:$C,'Custom Constraints'!$A:$A,"caiso-deliverability_"&amp;SUBSTITUTE(Dashboard!$D864,"_group",Dashboard!$D$763)&amp;"."&amp;YEAR(Dashboard!S$537))+S832</f>
        <v>0</v>
      </c>
      <c r="T864" s="10">
        <f>SUMIFS('Custom Constraints'!$C:$C,'Custom Constraints'!$A:$A,"caiso-deliverability_"&amp;SUBSTITUTE(Dashboard!$D864,"_group",Dashboard!$D$763)&amp;"."&amp;YEAR(Dashboard!T$537))+T832</f>
        <v>0</v>
      </c>
      <c r="U864" s="10">
        <f>SUMIFS('Custom Constraints'!$C:$C,'Custom Constraints'!$A:$A,"caiso-deliverability_"&amp;SUBSTITUTE(Dashboard!$D864,"_group",Dashboard!$D$763)&amp;"."&amp;YEAR(Dashboard!U$537))+U832</f>
        <v>0</v>
      </c>
      <c r="V864" s="10">
        <f>SUMIFS('Custom Constraints'!$C:$C,'Custom Constraints'!$A:$A,"caiso-deliverability_"&amp;SUBSTITUTE(Dashboard!$D864,"_group",Dashboard!$D$763)&amp;"."&amp;YEAR(Dashboard!V$537))+V832</f>
        <v>0</v>
      </c>
      <c r="W864" s="10">
        <f>SUMIFS('Custom Constraints'!$C:$C,'Custom Constraints'!$A:$A,"caiso-deliverability_"&amp;SUBSTITUTE(Dashboard!$D864,"_group",Dashboard!$D$763)&amp;"."&amp;YEAR(Dashboard!W$537))+W832</f>
        <v>0</v>
      </c>
      <c r="X864" s="10">
        <f>SUMIFS('Custom Constraints'!$C:$C,'Custom Constraints'!$A:$A,"caiso-deliverability_"&amp;SUBSTITUTE(Dashboard!$D864,"_group",Dashboard!$D$763)&amp;"."&amp;YEAR(Dashboard!X$537))+X832</f>
        <v>0</v>
      </c>
      <c r="Y864" s="10">
        <f>SUMIFS('Custom Constraints'!$C:$C,'Custom Constraints'!$A:$A,"caiso-deliverability_"&amp;SUBSTITUTE(Dashboard!$D864,"_group",Dashboard!$D$763)&amp;"."&amp;YEAR(Dashboard!Y$537))+Y832</f>
        <v>0</v>
      </c>
      <c r="Z864" s="10">
        <f>SUMIFS('Custom Constraints'!$C:$C,'Custom Constraints'!$A:$A,"caiso-deliverability_"&amp;SUBSTITUTE(Dashboard!$D864,"_group",Dashboard!$D$763)&amp;"."&amp;YEAR(Dashboard!Z$537))+Z832</f>
        <v>0</v>
      </c>
      <c r="AA864" s="10">
        <f>SUMIFS('Custom Constraints'!$C:$C,'Custom Constraints'!$A:$A,"caiso-deliverability_"&amp;SUBSTITUTE(Dashboard!$D864,"_group",Dashboard!$D$763)&amp;"."&amp;YEAR(Dashboard!AA$537))+AA832</f>
        <v>0</v>
      </c>
      <c r="AB864" s="10">
        <f>SUMIFS('Custom Constraints'!$C:$C,'Custom Constraints'!$A:$A,"caiso-deliverability_"&amp;SUBSTITUTE(Dashboard!$D864,"_group",Dashboard!$D$763)&amp;"."&amp;YEAR(Dashboard!AB$537))+AB832</f>
        <v>0</v>
      </c>
      <c r="AC864" s="10">
        <f>SUMIFS('Custom Constraints'!$C:$C,'Custom Constraints'!$A:$A,"caiso-deliverability_"&amp;SUBSTITUTE(Dashboard!$D864,"_group",Dashboard!$D$763)&amp;"."&amp;YEAR(Dashboard!AC$537))+AC832</f>
        <v>0</v>
      </c>
      <c r="AD864" s="10">
        <f>SUMIFS('Custom Constraints'!$C:$C,'Custom Constraints'!$A:$A,"caiso-deliverability_"&amp;SUBSTITUTE(Dashboard!$D864,"_group",Dashboard!$D$763)&amp;"."&amp;YEAR(Dashboard!AD$537))+AD832</f>
        <v>795</v>
      </c>
      <c r="AH864" s="34" t="s">
        <v>422</v>
      </c>
    </row>
    <row r="865" spans="4:34" outlineLevel="2" x14ac:dyDescent="0.2">
      <c r="D865" s="8" t="s">
        <v>260</v>
      </c>
      <c r="E865" s="10">
        <f>SUMIFS('Custom Constraints'!$C:$C,'Custom Constraints'!$A:$A,"caiso-deliverability_"&amp;SUBSTITUTE(Dashboard!$D865,"_group",Dashboard!$D$763)&amp;"."&amp;YEAR(Dashboard!E$537))+E833</f>
        <v>0</v>
      </c>
      <c r="F865" s="10">
        <f>SUMIFS('Custom Constraints'!$C:$C,'Custom Constraints'!$A:$A,"caiso-deliverability_"&amp;SUBSTITUTE(Dashboard!$D865,"_group",Dashboard!$D$763)&amp;"."&amp;YEAR(Dashboard!F$537))+F833</f>
        <v>0</v>
      </c>
      <c r="G865" s="10">
        <f>SUMIFS('Custom Constraints'!$C:$C,'Custom Constraints'!$A:$A,"caiso-deliverability_"&amp;SUBSTITUTE(Dashboard!$D865,"_group",Dashboard!$D$763)&amp;"."&amp;YEAR(Dashboard!G$537))+G833</f>
        <v>0</v>
      </c>
      <c r="H865" s="10">
        <f>SUMIFS('Custom Constraints'!$C:$C,'Custom Constraints'!$A:$A,"caiso-deliverability_"&amp;SUBSTITUTE(Dashboard!$D865,"_group",Dashboard!$D$763)&amp;"."&amp;YEAR(Dashboard!H$537))+H833</f>
        <v>0</v>
      </c>
      <c r="I865" s="10">
        <f>SUMIFS('Custom Constraints'!$C:$C,'Custom Constraints'!$A:$A,"caiso-deliverability_"&amp;SUBSTITUTE(Dashboard!$D865,"_group",Dashboard!$D$763)&amp;"."&amp;YEAR(Dashboard!I$537))+I833</f>
        <v>0</v>
      </c>
      <c r="J865" s="10">
        <f>SUMIFS('Custom Constraints'!$C:$C,'Custom Constraints'!$A:$A,"caiso-deliverability_"&amp;SUBSTITUTE(Dashboard!$D865,"_group",Dashboard!$D$763)&amp;"."&amp;YEAR(Dashboard!J$537))+J833</f>
        <v>0</v>
      </c>
      <c r="K865" s="10">
        <f>SUMIFS('Custom Constraints'!$C:$C,'Custom Constraints'!$A:$A,"caiso-deliverability_"&amp;SUBSTITUTE(Dashboard!$D865,"_group",Dashboard!$D$763)&amp;"."&amp;YEAR(Dashboard!K$537))+K833</f>
        <v>0</v>
      </c>
      <c r="L865" s="10">
        <f>SUMIFS('Custom Constraints'!$C:$C,'Custom Constraints'!$A:$A,"caiso-deliverability_"&amp;SUBSTITUTE(Dashboard!$D865,"_group",Dashboard!$D$763)&amp;"."&amp;YEAR(Dashboard!L$537))+L833</f>
        <v>0</v>
      </c>
      <c r="M865" s="10">
        <f>SUMIFS('Custom Constraints'!$C:$C,'Custom Constraints'!$A:$A,"caiso-deliverability_"&amp;SUBSTITUTE(Dashboard!$D865,"_group",Dashboard!$D$763)&amp;"."&amp;YEAR(Dashboard!M$537))+M833</f>
        <v>0</v>
      </c>
      <c r="N865" s="10">
        <f>SUMIFS('Custom Constraints'!$C:$C,'Custom Constraints'!$A:$A,"caiso-deliverability_"&amp;SUBSTITUTE(Dashboard!$D865,"_group",Dashboard!$D$763)&amp;"."&amp;YEAR(Dashboard!N$537))+N833</f>
        <v>0</v>
      </c>
      <c r="O865" s="10">
        <f>SUMIFS('Custom Constraints'!$C:$C,'Custom Constraints'!$A:$A,"caiso-deliverability_"&amp;SUBSTITUTE(Dashboard!$D865,"_group",Dashboard!$D$763)&amp;"."&amp;YEAR(Dashboard!O$537))+O833</f>
        <v>0</v>
      </c>
      <c r="P865" s="10">
        <f>SUMIFS('Custom Constraints'!$C:$C,'Custom Constraints'!$A:$A,"caiso-deliverability_"&amp;SUBSTITUTE(Dashboard!$D865,"_group",Dashboard!$D$763)&amp;"."&amp;YEAR(Dashboard!P$537))+P833</f>
        <v>0</v>
      </c>
      <c r="Q865" s="10">
        <f>SUMIFS('Custom Constraints'!$C:$C,'Custom Constraints'!$A:$A,"caiso-deliverability_"&amp;SUBSTITUTE(Dashboard!$D865,"_group",Dashboard!$D$763)&amp;"."&amp;YEAR(Dashboard!Q$537))+Q833</f>
        <v>0</v>
      </c>
      <c r="R865" s="10">
        <f>SUMIFS('Custom Constraints'!$C:$C,'Custom Constraints'!$A:$A,"caiso-deliverability_"&amp;SUBSTITUTE(Dashboard!$D865,"_group",Dashboard!$D$763)&amp;"."&amp;YEAR(Dashboard!R$537))+R833</f>
        <v>0</v>
      </c>
      <c r="S865" s="10">
        <f>SUMIFS('Custom Constraints'!$C:$C,'Custom Constraints'!$A:$A,"caiso-deliverability_"&amp;SUBSTITUTE(Dashboard!$D865,"_group",Dashboard!$D$763)&amp;"."&amp;YEAR(Dashboard!S$537))+S833</f>
        <v>0</v>
      </c>
      <c r="T865" s="10">
        <f>SUMIFS('Custom Constraints'!$C:$C,'Custom Constraints'!$A:$A,"caiso-deliverability_"&amp;SUBSTITUTE(Dashboard!$D865,"_group",Dashboard!$D$763)&amp;"."&amp;YEAR(Dashboard!T$537))+T833</f>
        <v>0</v>
      </c>
      <c r="U865" s="10">
        <f>SUMIFS('Custom Constraints'!$C:$C,'Custom Constraints'!$A:$A,"caiso-deliverability_"&amp;SUBSTITUTE(Dashboard!$D865,"_group",Dashboard!$D$763)&amp;"."&amp;YEAR(Dashboard!U$537))+U833</f>
        <v>0</v>
      </c>
      <c r="V865" s="10">
        <f>SUMIFS('Custom Constraints'!$C:$C,'Custom Constraints'!$A:$A,"caiso-deliverability_"&amp;SUBSTITUTE(Dashboard!$D865,"_group",Dashboard!$D$763)&amp;"."&amp;YEAR(Dashboard!V$537))+V833</f>
        <v>0</v>
      </c>
      <c r="W865" s="10">
        <f>SUMIFS('Custom Constraints'!$C:$C,'Custom Constraints'!$A:$A,"caiso-deliverability_"&amp;SUBSTITUTE(Dashboard!$D865,"_group",Dashboard!$D$763)&amp;"."&amp;YEAR(Dashboard!W$537))+W833</f>
        <v>0</v>
      </c>
      <c r="X865" s="10">
        <f>SUMIFS('Custom Constraints'!$C:$C,'Custom Constraints'!$A:$A,"caiso-deliverability_"&amp;SUBSTITUTE(Dashboard!$D865,"_group",Dashboard!$D$763)&amp;"."&amp;YEAR(Dashboard!X$537))+X833</f>
        <v>0</v>
      </c>
      <c r="Y865" s="10">
        <f>SUMIFS('Custom Constraints'!$C:$C,'Custom Constraints'!$A:$A,"caiso-deliverability_"&amp;SUBSTITUTE(Dashboard!$D865,"_group",Dashboard!$D$763)&amp;"."&amp;YEAR(Dashboard!Y$537))+Y833</f>
        <v>0</v>
      </c>
      <c r="Z865" s="10">
        <f>SUMIFS('Custom Constraints'!$C:$C,'Custom Constraints'!$A:$A,"caiso-deliverability_"&amp;SUBSTITUTE(Dashboard!$D865,"_group",Dashboard!$D$763)&amp;"."&amp;YEAR(Dashboard!Z$537))+Z833</f>
        <v>0</v>
      </c>
      <c r="AA865" s="10">
        <f>SUMIFS('Custom Constraints'!$C:$C,'Custom Constraints'!$A:$A,"caiso-deliverability_"&amp;SUBSTITUTE(Dashboard!$D865,"_group",Dashboard!$D$763)&amp;"."&amp;YEAR(Dashboard!AA$537))+AA833</f>
        <v>0</v>
      </c>
      <c r="AB865" s="10">
        <f>SUMIFS('Custom Constraints'!$C:$C,'Custom Constraints'!$A:$A,"caiso-deliverability_"&amp;SUBSTITUTE(Dashboard!$D865,"_group",Dashboard!$D$763)&amp;"."&amp;YEAR(Dashboard!AB$537))+AB833</f>
        <v>0</v>
      </c>
      <c r="AC865" s="10">
        <f>SUMIFS('Custom Constraints'!$C:$C,'Custom Constraints'!$A:$A,"caiso-deliverability_"&amp;SUBSTITUTE(Dashboard!$D865,"_group",Dashboard!$D$763)&amp;"."&amp;YEAR(Dashboard!AC$537))+AC833</f>
        <v>0</v>
      </c>
      <c r="AD865" s="10">
        <f>SUMIFS('Custom Constraints'!$C:$C,'Custom Constraints'!$A:$A,"caiso-deliverability_"&amp;SUBSTITUTE(Dashboard!$D865,"_group",Dashboard!$D$763)&amp;"."&amp;YEAR(Dashboard!AD$537))+AD833</f>
        <v>583.69954137199932</v>
      </c>
      <c r="AH865" s="34" t="s">
        <v>422</v>
      </c>
    </row>
    <row r="866" spans="4:34" outlineLevel="2" x14ac:dyDescent="0.2">
      <c r="D866" s="8" t="s">
        <v>261</v>
      </c>
      <c r="E866" s="10">
        <f>SUMIFS('Custom Constraints'!$C:$C,'Custom Constraints'!$A:$A,"caiso-deliverability_"&amp;SUBSTITUTE(Dashboard!$D866,"_group",Dashboard!$D$763)&amp;"."&amp;YEAR(Dashboard!E$537))+E834</f>
        <v>0</v>
      </c>
      <c r="F866" s="10">
        <f>SUMIFS('Custom Constraints'!$C:$C,'Custom Constraints'!$A:$A,"caiso-deliverability_"&amp;SUBSTITUTE(Dashboard!$D866,"_group",Dashboard!$D$763)&amp;"."&amp;YEAR(Dashboard!F$537))+F834</f>
        <v>0</v>
      </c>
      <c r="G866" s="10">
        <f>SUMIFS('Custom Constraints'!$C:$C,'Custom Constraints'!$A:$A,"caiso-deliverability_"&amp;SUBSTITUTE(Dashboard!$D866,"_group",Dashboard!$D$763)&amp;"."&amp;YEAR(Dashboard!G$537))+G834</f>
        <v>0</v>
      </c>
      <c r="H866" s="10">
        <f>SUMIFS('Custom Constraints'!$C:$C,'Custom Constraints'!$A:$A,"caiso-deliverability_"&amp;SUBSTITUTE(Dashboard!$D866,"_group",Dashboard!$D$763)&amp;"."&amp;YEAR(Dashboard!H$537))+H834</f>
        <v>0</v>
      </c>
      <c r="I866" s="10">
        <f>SUMIFS('Custom Constraints'!$C:$C,'Custom Constraints'!$A:$A,"caiso-deliverability_"&amp;SUBSTITUTE(Dashboard!$D866,"_group",Dashboard!$D$763)&amp;"."&amp;YEAR(Dashboard!I$537))+I834</f>
        <v>0</v>
      </c>
      <c r="J866" s="10">
        <f>SUMIFS('Custom Constraints'!$C:$C,'Custom Constraints'!$A:$A,"caiso-deliverability_"&amp;SUBSTITUTE(Dashboard!$D866,"_group",Dashboard!$D$763)&amp;"."&amp;YEAR(Dashboard!J$537))+J834</f>
        <v>0</v>
      </c>
      <c r="K866" s="10">
        <f>SUMIFS('Custom Constraints'!$C:$C,'Custom Constraints'!$A:$A,"caiso-deliverability_"&amp;SUBSTITUTE(Dashboard!$D866,"_group",Dashboard!$D$763)&amp;"."&amp;YEAR(Dashboard!K$537))+K834</f>
        <v>0</v>
      </c>
      <c r="L866" s="10">
        <f>SUMIFS('Custom Constraints'!$C:$C,'Custom Constraints'!$A:$A,"caiso-deliverability_"&amp;SUBSTITUTE(Dashboard!$D866,"_group",Dashboard!$D$763)&amp;"."&amp;YEAR(Dashboard!L$537))+L834</f>
        <v>0</v>
      </c>
      <c r="M866" s="10">
        <f>SUMIFS('Custom Constraints'!$C:$C,'Custom Constraints'!$A:$A,"caiso-deliverability_"&amp;SUBSTITUTE(Dashboard!$D866,"_group",Dashboard!$D$763)&amp;"."&amp;YEAR(Dashboard!M$537))+M834</f>
        <v>0</v>
      </c>
      <c r="N866" s="10">
        <f>SUMIFS('Custom Constraints'!$C:$C,'Custom Constraints'!$A:$A,"caiso-deliverability_"&amp;SUBSTITUTE(Dashboard!$D866,"_group",Dashboard!$D$763)&amp;"."&amp;YEAR(Dashboard!N$537))+N834</f>
        <v>0</v>
      </c>
      <c r="O866" s="10">
        <f>SUMIFS('Custom Constraints'!$C:$C,'Custom Constraints'!$A:$A,"caiso-deliverability_"&amp;SUBSTITUTE(Dashboard!$D866,"_group",Dashboard!$D$763)&amp;"."&amp;YEAR(Dashboard!O$537))+O834</f>
        <v>0</v>
      </c>
      <c r="P866" s="10">
        <f>SUMIFS('Custom Constraints'!$C:$C,'Custom Constraints'!$A:$A,"caiso-deliverability_"&amp;SUBSTITUTE(Dashboard!$D866,"_group",Dashboard!$D$763)&amp;"."&amp;YEAR(Dashboard!P$537))+P834</f>
        <v>0</v>
      </c>
      <c r="Q866" s="10">
        <f>SUMIFS('Custom Constraints'!$C:$C,'Custom Constraints'!$A:$A,"caiso-deliverability_"&amp;SUBSTITUTE(Dashboard!$D866,"_group",Dashboard!$D$763)&amp;"."&amp;YEAR(Dashboard!Q$537))+Q834</f>
        <v>0</v>
      </c>
      <c r="R866" s="10">
        <f>SUMIFS('Custom Constraints'!$C:$C,'Custom Constraints'!$A:$A,"caiso-deliverability_"&amp;SUBSTITUTE(Dashboard!$D866,"_group",Dashboard!$D$763)&amp;"."&amp;YEAR(Dashboard!R$537))+R834</f>
        <v>0</v>
      </c>
      <c r="S866" s="10">
        <f>SUMIFS('Custom Constraints'!$C:$C,'Custom Constraints'!$A:$A,"caiso-deliverability_"&amp;SUBSTITUTE(Dashboard!$D866,"_group",Dashboard!$D$763)&amp;"."&amp;YEAR(Dashboard!S$537))+S834</f>
        <v>0</v>
      </c>
      <c r="T866" s="10">
        <f>SUMIFS('Custom Constraints'!$C:$C,'Custom Constraints'!$A:$A,"caiso-deliverability_"&amp;SUBSTITUTE(Dashboard!$D866,"_group",Dashboard!$D$763)&amp;"."&amp;YEAR(Dashboard!T$537))+T834</f>
        <v>0</v>
      </c>
      <c r="U866" s="10">
        <f>SUMIFS('Custom Constraints'!$C:$C,'Custom Constraints'!$A:$A,"caiso-deliverability_"&amp;SUBSTITUTE(Dashboard!$D866,"_group",Dashboard!$D$763)&amp;"."&amp;YEAR(Dashboard!U$537))+U834</f>
        <v>0</v>
      </c>
      <c r="V866" s="10">
        <f>SUMIFS('Custom Constraints'!$C:$C,'Custom Constraints'!$A:$A,"caiso-deliverability_"&amp;SUBSTITUTE(Dashboard!$D866,"_group",Dashboard!$D$763)&amp;"."&amp;YEAR(Dashboard!V$537))+V834</f>
        <v>0</v>
      </c>
      <c r="W866" s="10">
        <f>SUMIFS('Custom Constraints'!$C:$C,'Custom Constraints'!$A:$A,"caiso-deliverability_"&amp;SUBSTITUTE(Dashboard!$D866,"_group",Dashboard!$D$763)&amp;"."&amp;YEAR(Dashboard!W$537))+W834</f>
        <v>0</v>
      </c>
      <c r="X866" s="10">
        <f>SUMIFS('Custom Constraints'!$C:$C,'Custom Constraints'!$A:$A,"caiso-deliverability_"&amp;SUBSTITUTE(Dashboard!$D866,"_group",Dashboard!$D$763)&amp;"."&amp;YEAR(Dashboard!X$537))+X834</f>
        <v>0</v>
      </c>
      <c r="Y866" s="10">
        <f>SUMIFS('Custom Constraints'!$C:$C,'Custom Constraints'!$A:$A,"caiso-deliverability_"&amp;SUBSTITUTE(Dashboard!$D866,"_group",Dashboard!$D$763)&amp;"."&amp;YEAR(Dashboard!Y$537))+Y834</f>
        <v>0</v>
      </c>
      <c r="Z866" s="10">
        <f>SUMIFS('Custom Constraints'!$C:$C,'Custom Constraints'!$A:$A,"caiso-deliverability_"&amp;SUBSTITUTE(Dashboard!$D866,"_group",Dashboard!$D$763)&amp;"."&amp;YEAR(Dashboard!Z$537))+Z834</f>
        <v>0</v>
      </c>
      <c r="AA866" s="10">
        <f>SUMIFS('Custom Constraints'!$C:$C,'Custom Constraints'!$A:$A,"caiso-deliverability_"&amp;SUBSTITUTE(Dashboard!$D866,"_group",Dashboard!$D$763)&amp;"."&amp;YEAR(Dashboard!AA$537))+AA834</f>
        <v>0</v>
      </c>
      <c r="AB866" s="10">
        <f>SUMIFS('Custom Constraints'!$C:$C,'Custom Constraints'!$A:$A,"caiso-deliverability_"&amp;SUBSTITUTE(Dashboard!$D866,"_group",Dashboard!$D$763)&amp;"."&amp;YEAR(Dashboard!AB$537))+AB834</f>
        <v>0</v>
      </c>
      <c r="AC866" s="10">
        <f>SUMIFS('Custom Constraints'!$C:$C,'Custom Constraints'!$A:$A,"caiso-deliverability_"&amp;SUBSTITUTE(Dashboard!$D866,"_group",Dashboard!$D$763)&amp;"."&amp;YEAR(Dashboard!AC$537))+AC834</f>
        <v>0</v>
      </c>
      <c r="AD866" s="10">
        <f>SUMIFS('Custom Constraints'!$C:$C,'Custom Constraints'!$A:$A,"caiso-deliverability_"&amp;SUBSTITUTE(Dashboard!$D866,"_group",Dashboard!$D$763)&amp;"."&amp;YEAR(Dashboard!AD$537))+AD834</f>
        <v>950</v>
      </c>
      <c r="AH866" s="34" t="s">
        <v>422</v>
      </c>
    </row>
    <row r="867" spans="4:34" outlineLevel="2" x14ac:dyDescent="0.2">
      <c r="D867" s="8" t="s">
        <v>262</v>
      </c>
      <c r="E867" s="10">
        <f>SUMIFS('Custom Constraints'!$C:$C,'Custom Constraints'!$A:$A,"caiso-deliverability_"&amp;SUBSTITUTE(Dashboard!$D867,"_group",Dashboard!$D$763)&amp;"."&amp;YEAR(Dashboard!E$537))+E835</f>
        <v>0</v>
      </c>
      <c r="F867" s="10">
        <f>SUMIFS('Custom Constraints'!$C:$C,'Custom Constraints'!$A:$A,"caiso-deliverability_"&amp;SUBSTITUTE(Dashboard!$D867,"_group",Dashboard!$D$763)&amp;"."&amp;YEAR(Dashboard!F$537))+F835</f>
        <v>0</v>
      </c>
      <c r="G867" s="10">
        <f>SUMIFS('Custom Constraints'!$C:$C,'Custom Constraints'!$A:$A,"caiso-deliverability_"&amp;SUBSTITUTE(Dashboard!$D867,"_group",Dashboard!$D$763)&amp;"."&amp;YEAR(Dashboard!G$537))+G835</f>
        <v>0</v>
      </c>
      <c r="H867" s="10">
        <f>SUMIFS('Custom Constraints'!$C:$C,'Custom Constraints'!$A:$A,"caiso-deliverability_"&amp;SUBSTITUTE(Dashboard!$D867,"_group",Dashboard!$D$763)&amp;"."&amp;YEAR(Dashboard!H$537))+H835</f>
        <v>0</v>
      </c>
      <c r="I867" s="10">
        <f>SUMIFS('Custom Constraints'!$C:$C,'Custom Constraints'!$A:$A,"caiso-deliverability_"&amp;SUBSTITUTE(Dashboard!$D867,"_group",Dashboard!$D$763)&amp;"."&amp;YEAR(Dashboard!I$537))+I835</f>
        <v>0</v>
      </c>
      <c r="J867" s="10">
        <f>SUMIFS('Custom Constraints'!$C:$C,'Custom Constraints'!$A:$A,"caiso-deliverability_"&amp;SUBSTITUTE(Dashboard!$D867,"_group",Dashboard!$D$763)&amp;"."&amp;YEAR(Dashboard!J$537))+J835</f>
        <v>0</v>
      </c>
      <c r="K867" s="10">
        <f>SUMIFS('Custom Constraints'!$C:$C,'Custom Constraints'!$A:$A,"caiso-deliverability_"&amp;SUBSTITUTE(Dashboard!$D867,"_group",Dashboard!$D$763)&amp;"."&amp;YEAR(Dashboard!K$537))+K835</f>
        <v>0</v>
      </c>
      <c r="L867" s="10">
        <f>SUMIFS('Custom Constraints'!$C:$C,'Custom Constraints'!$A:$A,"caiso-deliverability_"&amp;SUBSTITUTE(Dashboard!$D867,"_group",Dashboard!$D$763)&amp;"."&amp;YEAR(Dashboard!L$537))+L835</f>
        <v>0</v>
      </c>
      <c r="M867" s="10">
        <f>SUMIFS('Custom Constraints'!$C:$C,'Custom Constraints'!$A:$A,"caiso-deliverability_"&amp;SUBSTITUTE(Dashboard!$D867,"_group",Dashboard!$D$763)&amp;"."&amp;YEAR(Dashboard!M$537))+M835</f>
        <v>0</v>
      </c>
      <c r="N867" s="10">
        <f>SUMIFS('Custom Constraints'!$C:$C,'Custom Constraints'!$A:$A,"caiso-deliverability_"&amp;SUBSTITUTE(Dashboard!$D867,"_group",Dashboard!$D$763)&amp;"."&amp;YEAR(Dashboard!N$537))+N835</f>
        <v>0</v>
      </c>
      <c r="O867" s="10">
        <f>SUMIFS('Custom Constraints'!$C:$C,'Custom Constraints'!$A:$A,"caiso-deliverability_"&amp;SUBSTITUTE(Dashboard!$D867,"_group",Dashboard!$D$763)&amp;"."&amp;YEAR(Dashboard!O$537))+O835</f>
        <v>0</v>
      </c>
      <c r="P867" s="10">
        <f>SUMIFS('Custom Constraints'!$C:$C,'Custom Constraints'!$A:$A,"caiso-deliverability_"&amp;SUBSTITUTE(Dashboard!$D867,"_group",Dashboard!$D$763)&amp;"."&amp;YEAR(Dashboard!P$537))+P835</f>
        <v>0</v>
      </c>
      <c r="Q867" s="10">
        <f>SUMIFS('Custom Constraints'!$C:$C,'Custom Constraints'!$A:$A,"caiso-deliverability_"&amp;SUBSTITUTE(Dashboard!$D867,"_group",Dashboard!$D$763)&amp;"."&amp;YEAR(Dashboard!Q$537))+Q835</f>
        <v>0</v>
      </c>
      <c r="R867" s="10">
        <f>SUMIFS('Custom Constraints'!$C:$C,'Custom Constraints'!$A:$A,"caiso-deliverability_"&amp;SUBSTITUTE(Dashboard!$D867,"_group",Dashboard!$D$763)&amp;"."&amp;YEAR(Dashboard!R$537))+R835</f>
        <v>0</v>
      </c>
      <c r="S867" s="10">
        <f>SUMIFS('Custom Constraints'!$C:$C,'Custom Constraints'!$A:$A,"caiso-deliverability_"&amp;SUBSTITUTE(Dashboard!$D867,"_group",Dashboard!$D$763)&amp;"."&amp;YEAR(Dashboard!S$537))+S835</f>
        <v>0</v>
      </c>
      <c r="T867" s="10">
        <f>SUMIFS('Custom Constraints'!$C:$C,'Custom Constraints'!$A:$A,"caiso-deliverability_"&amp;SUBSTITUTE(Dashboard!$D867,"_group",Dashboard!$D$763)&amp;"."&amp;YEAR(Dashboard!T$537))+T835</f>
        <v>0</v>
      </c>
      <c r="U867" s="10">
        <f>SUMIFS('Custom Constraints'!$C:$C,'Custom Constraints'!$A:$A,"caiso-deliverability_"&amp;SUBSTITUTE(Dashboard!$D867,"_group",Dashboard!$D$763)&amp;"."&amp;YEAR(Dashboard!U$537))+U835</f>
        <v>0</v>
      </c>
      <c r="V867" s="10">
        <f>SUMIFS('Custom Constraints'!$C:$C,'Custom Constraints'!$A:$A,"caiso-deliverability_"&amp;SUBSTITUTE(Dashboard!$D867,"_group",Dashboard!$D$763)&amp;"."&amp;YEAR(Dashboard!V$537))+V835</f>
        <v>0</v>
      </c>
      <c r="W867" s="10">
        <f>SUMIFS('Custom Constraints'!$C:$C,'Custom Constraints'!$A:$A,"caiso-deliverability_"&amp;SUBSTITUTE(Dashboard!$D867,"_group",Dashboard!$D$763)&amp;"."&amp;YEAR(Dashboard!W$537))+W835</f>
        <v>0</v>
      </c>
      <c r="X867" s="10">
        <f>SUMIFS('Custom Constraints'!$C:$C,'Custom Constraints'!$A:$A,"caiso-deliverability_"&amp;SUBSTITUTE(Dashboard!$D867,"_group",Dashboard!$D$763)&amp;"."&amp;YEAR(Dashboard!X$537))+X835</f>
        <v>0</v>
      </c>
      <c r="Y867" s="10">
        <f>SUMIFS('Custom Constraints'!$C:$C,'Custom Constraints'!$A:$A,"caiso-deliverability_"&amp;SUBSTITUTE(Dashboard!$D867,"_group",Dashboard!$D$763)&amp;"."&amp;YEAR(Dashboard!Y$537))+Y835</f>
        <v>0</v>
      </c>
      <c r="Z867" s="10">
        <f>SUMIFS('Custom Constraints'!$C:$C,'Custom Constraints'!$A:$A,"caiso-deliverability_"&amp;SUBSTITUTE(Dashboard!$D867,"_group",Dashboard!$D$763)&amp;"."&amp;YEAR(Dashboard!Z$537))+Z835</f>
        <v>0</v>
      </c>
      <c r="AA867" s="10">
        <f>SUMIFS('Custom Constraints'!$C:$C,'Custom Constraints'!$A:$A,"caiso-deliverability_"&amp;SUBSTITUTE(Dashboard!$D867,"_group",Dashboard!$D$763)&amp;"."&amp;YEAR(Dashboard!AA$537))+AA835</f>
        <v>0</v>
      </c>
      <c r="AB867" s="10">
        <f>SUMIFS('Custom Constraints'!$C:$C,'Custom Constraints'!$A:$A,"caiso-deliverability_"&amp;SUBSTITUTE(Dashboard!$D867,"_group",Dashboard!$D$763)&amp;"."&amp;YEAR(Dashboard!AB$537))+AB835</f>
        <v>0</v>
      </c>
      <c r="AC867" s="10">
        <f>SUMIFS('Custom Constraints'!$C:$C,'Custom Constraints'!$A:$A,"caiso-deliverability_"&amp;SUBSTITUTE(Dashboard!$D867,"_group",Dashboard!$D$763)&amp;"."&amp;YEAR(Dashboard!AC$537))+AC835</f>
        <v>0</v>
      </c>
      <c r="AD867" s="10">
        <f>SUMIFS('Custom Constraints'!$C:$C,'Custom Constraints'!$A:$A,"caiso-deliverability_"&amp;SUBSTITUTE(Dashboard!$D867,"_group",Dashboard!$D$763)&amp;"."&amp;YEAR(Dashboard!AD$537))+AD835</f>
        <v>3360</v>
      </c>
      <c r="AH867" s="34" t="s">
        <v>422</v>
      </c>
    </row>
    <row r="868" spans="4:34" outlineLevel="2" x14ac:dyDescent="0.2">
      <c r="D868" s="8" t="s">
        <v>263</v>
      </c>
      <c r="E868" s="10">
        <f>SUMIFS('Custom Constraints'!$C:$C,'Custom Constraints'!$A:$A,"caiso-deliverability_"&amp;SUBSTITUTE(Dashboard!$D868,"_group",Dashboard!$D$763)&amp;"."&amp;YEAR(Dashboard!E$537))+E836</f>
        <v>0</v>
      </c>
      <c r="F868" s="10">
        <f>SUMIFS('Custom Constraints'!$C:$C,'Custom Constraints'!$A:$A,"caiso-deliverability_"&amp;SUBSTITUTE(Dashboard!$D868,"_group",Dashboard!$D$763)&amp;"."&amp;YEAR(Dashboard!F$537))+F836</f>
        <v>0</v>
      </c>
      <c r="G868" s="10">
        <f>SUMIFS('Custom Constraints'!$C:$C,'Custom Constraints'!$A:$A,"caiso-deliverability_"&amp;SUBSTITUTE(Dashboard!$D868,"_group",Dashboard!$D$763)&amp;"."&amp;YEAR(Dashboard!G$537))+G836</f>
        <v>0</v>
      </c>
      <c r="H868" s="10">
        <f>SUMIFS('Custom Constraints'!$C:$C,'Custom Constraints'!$A:$A,"caiso-deliverability_"&amp;SUBSTITUTE(Dashboard!$D868,"_group",Dashboard!$D$763)&amp;"."&amp;YEAR(Dashboard!H$537))+H836</f>
        <v>0</v>
      </c>
      <c r="I868" s="10">
        <f>SUMIFS('Custom Constraints'!$C:$C,'Custom Constraints'!$A:$A,"caiso-deliverability_"&amp;SUBSTITUTE(Dashboard!$D868,"_group",Dashboard!$D$763)&amp;"."&amp;YEAR(Dashboard!I$537))+I836</f>
        <v>0</v>
      </c>
      <c r="J868" s="10">
        <f>SUMIFS('Custom Constraints'!$C:$C,'Custom Constraints'!$A:$A,"caiso-deliverability_"&amp;SUBSTITUTE(Dashboard!$D868,"_group",Dashboard!$D$763)&amp;"."&amp;YEAR(Dashboard!J$537))+J836</f>
        <v>0</v>
      </c>
      <c r="K868" s="10">
        <f>SUMIFS('Custom Constraints'!$C:$C,'Custom Constraints'!$A:$A,"caiso-deliverability_"&amp;SUBSTITUTE(Dashboard!$D868,"_group",Dashboard!$D$763)&amp;"."&amp;YEAR(Dashboard!K$537))+K836</f>
        <v>0</v>
      </c>
      <c r="L868" s="10">
        <f>SUMIFS('Custom Constraints'!$C:$C,'Custom Constraints'!$A:$A,"caiso-deliverability_"&amp;SUBSTITUTE(Dashboard!$D868,"_group",Dashboard!$D$763)&amp;"."&amp;YEAR(Dashboard!L$537))+L836</f>
        <v>0</v>
      </c>
      <c r="M868" s="10">
        <f>SUMIFS('Custom Constraints'!$C:$C,'Custom Constraints'!$A:$A,"caiso-deliverability_"&amp;SUBSTITUTE(Dashboard!$D868,"_group",Dashboard!$D$763)&amp;"."&amp;YEAR(Dashboard!M$537))+M836</f>
        <v>0</v>
      </c>
      <c r="N868" s="10">
        <f>SUMIFS('Custom Constraints'!$C:$C,'Custom Constraints'!$A:$A,"caiso-deliverability_"&amp;SUBSTITUTE(Dashboard!$D868,"_group",Dashboard!$D$763)&amp;"."&amp;YEAR(Dashboard!N$537))+N836</f>
        <v>0</v>
      </c>
      <c r="O868" s="10">
        <f>SUMIFS('Custom Constraints'!$C:$C,'Custom Constraints'!$A:$A,"caiso-deliverability_"&amp;SUBSTITUTE(Dashboard!$D868,"_group",Dashboard!$D$763)&amp;"."&amp;YEAR(Dashboard!O$537))+O836</f>
        <v>0</v>
      </c>
      <c r="P868" s="10">
        <f>SUMIFS('Custom Constraints'!$C:$C,'Custom Constraints'!$A:$A,"caiso-deliverability_"&amp;SUBSTITUTE(Dashboard!$D868,"_group",Dashboard!$D$763)&amp;"."&amp;YEAR(Dashboard!P$537))+P836</f>
        <v>0</v>
      </c>
      <c r="Q868" s="10">
        <f>SUMIFS('Custom Constraints'!$C:$C,'Custom Constraints'!$A:$A,"caiso-deliverability_"&amp;SUBSTITUTE(Dashboard!$D868,"_group",Dashboard!$D$763)&amp;"."&amp;YEAR(Dashboard!Q$537))+Q836</f>
        <v>0</v>
      </c>
      <c r="R868" s="10">
        <f>SUMIFS('Custom Constraints'!$C:$C,'Custom Constraints'!$A:$A,"caiso-deliverability_"&amp;SUBSTITUTE(Dashboard!$D868,"_group",Dashboard!$D$763)&amp;"."&amp;YEAR(Dashboard!R$537))+R836</f>
        <v>0</v>
      </c>
      <c r="S868" s="10">
        <f>SUMIFS('Custom Constraints'!$C:$C,'Custom Constraints'!$A:$A,"caiso-deliverability_"&amp;SUBSTITUTE(Dashboard!$D868,"_group",Dashboard!$D$763)&amp;"."&amp;YEAR(Dashboard!S$537))+S836</f>
        <v>0</v>
      </c>
      <c r="T868" s="10">
        <f>SUMIFS('Custom Constraints'!$C:$C,'Custom Constraints'!$A:$A,"caiso-deliverability_"&amp;SUBSTITUTE(Dashboard!$D868,"_group",Dashboard!$D$763)&amp;"."&amp;YEAR(Dashboard!T$537))+T836</f>
        <v>0</v>
      </c>
      <c r="U868" s="10">
        <f>SUMIFS('Custom Constraints'!$C:$C,'Custom Constraints'!$A:$A,"caiso-deliverability_"&amp;SUBSTITUTE(Dashboard!$D868,"_group",Dashboard!$D$763)&amp;"."&amp;YEAR(Dashboard!U$537))+U836</f>
        <v>0</v>
      </c>
      <c r="V868" s="10">
        <f>SUMIFS('Custom Constraints'!$C:$C,'Custom Constraints'!$A:$A,"caiso-deliverability_"&amp;SUBSTITUTE(Dashboard!$D868,"_group",Dashboard!$D$763)&amp;"."&amp;YEAR(Dashboard!V$537))+V836</f>
        <v>0</v>
      </c>
      <c r="W868" s="10">
        <f>SUMIFS('Custom Constraints'!$C:$C,'Custom Constraints'!$A:$A,"caiso-deliverability_"&amp;SUBSTITUTE(Dashboard!$D868,"_group",Dashboard!$D$763)&amp;"."&amp;YEAR(Dashboard!W$537))+W836</f>
        <v>0</v>
      </c>
      <c r="X868" s="10">
        <f>SUMIFS('Custom Constraints'!$C:$C,'Custom Constraints'!$A:$A,"caiso-deliverability_"&amp;SUBSTITUTE(Dashboard!$D868,"_group",Dashboard!$D$763)&amp;"."&amp;YEAR(Dashboard!X$537))+X836</f>
        <v>0</v>
      </c>
      <c r="Y868" s="10">
        <f>SUMIFS('Custom Constraints'!$C:$C,'Custom Constraints'!$A:$A,"caiso-deliverability_"&amp;SUBSTITUTE(Dashboard!$D868,"_group",Dashboard!$D$763)&amp;"."&amp;YEAR(Dashboard!Y$537))+Y836</f>
        <v>0</v>
      </c>
      <c r="Z868" s="10">
        <f>SUMIFS('Custom Constraints'!$C:$C,'Custom Constraints'!$A:$A,"caiso-deliverability_"&amp;SUBSTITUTE(Dashboard!$D868,"_group",Dashboard!$D$763)&amp;"."&amp;YEAR(Dashboard!Z$537))+Z836</f>
        <v>0</v>
      </c>
      <c r="AA868" s="10">
        <f>SUMIFS('Custom Constraints'!$C:$C,'Custom Constraints'!$A:$A,"caiso-deliverability_"&amp;SUBSTITUTE(Dashboard!$D868,"_group",Dashboard!$D$763)&amp;"."&amp;YEAR(Dashboard!AA$537))+AA836</f>
        <v>0</v>
      </c>
      <c r="AB868" s="10">
        <f>SUMIFS('Custom Constraints'!$C:$C,'Custom Constraints'!$A:$A,"caiso-deliverability_"&amp;SUBSTITUTE(Dashboard!$D868,"_group",Dashboard!$D$763)&amp;"."&amp;YEAR(Dashboard!AB$537))+AB836</f>
        <v>0</v>
      </c>
      <c r="AC868" s="10">
        <f>SUMIFS('Custom Constraints'!$C:$C,'Custom Constraints'!$A:$A,"caiso-deliverability_"&amp;SUBSTITUTE(Dashboard!$D868,"_group",Dashboard!$D$763)&amp;"."&amp;YEAR(Dashboard!AC$537))+AC836</f>
        <v>0</v>
      </c>
      <c r="AD868" s="10">
        <f>SUMIFS('Custom Constraints'!$C:$C,'Custom Constraints'!$A:$A,"caiso-deliverability_"&amp;SUBSTITUTE(Dashboard!$D868,"_group",Dashboard!$D$763)&amp;"."&amp;YEAR(Dashboard!AD$537))+AD836</f>
        <v>-2230.1990827440004</v>
      </c>
      <c r="AH868" s="34" t="s">
        <v>422</v>
      </c>
    </row>
    <row r="869" spans="4:34" outlineLevel="2" x14ac:dyDescent="0.2">
      <c r="D869" s="8" t="s">
        <v>264</v>
      </c>
      <c r="E869" s="10">
        <f>SUMIFS('Custom Constraints'!$C:$C,'Custom Constraints'!$A:$A,"caiso-deliverability_"&amp;SUBSTITUTE(Dashboard!$D869,"_group",Dashboard!$D$763)&amp;"."&amp;YEAR(Dashboard!E$537))+E837</f>
        <v>0</v>
      </c>
      <c r="F869" s="10">
        <f>SUMIFS('Custom Constraints'!$C:$C,'Custom Constraints'!$A:$A,"caiso-deliverability_"&amp;SUBSTITUTE(Dashboard!$D869,"_group",Dashboard!$D$763)&amp;"."&amp;YEAR(Dashboard!F$537))+F837</f>
        <v>0</v>
      </c>
      <c r="G869" s="10">
        <f>SUMIFS('Custom Constraints'!$C:$C,'Custom Constraints'!$A:$A,"caiso-deliverability_"&amp;SUBSTITUTE(Dashboard!$D869,"_group",Dashboard!$D$763)&amp;"."&amp;YEAR(Dashboard!G$537))+G837</f>
        <v>0</v>
      </c>
      <c r="H869" s="10">
        <f>SUMIFS('Custom Constraints'!$C:$C,'Custom Constraints'!$A:$A,"caiso-deliverability_"&amp;SUBSTITUTE(Dashboard!$D869,"_group",Dashboard!$D$763)&amp;"."&amp;YEAR(Dashboard!H$537))+H837</f>
        <v>0</v>
      </c>
      <c r="I869" s="10">
        <f>SUMIFS('Custom Constraints'!$C:$C,'Custom Constraints'!$A:$A,"caiso-deliverability_"&amp;SUBSTITUTE(Dashboard!$D869,"_group",Dashboard!$D$763)&amp;"."&amp;YEAR(Dashboard!I$537))+I837</f>
        <v>0</v>
      </c>
      <c r="J869" s="10">
        <f>SUMIFS('Custom Constraints'!$C:$C,'Custom Constraints'!$A:$A,"caiso-deliverability_"&amp;SUBSTITUTE(Dashboard!$D869,"_group",Dashboard!$D$763)&amp;"."&amp;YEAR(Dashboard!J$537))+J837</f>
        <v>0</v>
      </c>
      <c r="K869" s="10">
        <f>SUMIFS('Custom Constraints'!$C:$C,'Custom Constraints'!$A:$A,"caiso-deliverability_"&amp;SUBSTITUTE(Dashboard!$D869,"_group",Dashboard!$D$763)&amp;"."&amp;YEAR(Dashboard!K$537))+K837</f>
        <v>0</v>
      </c>
      <c r="L869" s="10">
        <f>SUMIFS('Custom Constraints'!$C:$C,'Custom Constraints'!$A:$A,"caiso-deliverability_"&amp;SUBSTITUTE(Dashboard!$D869,"_group",Dashboard!$D$763)&amp;"."&amp;YEAR(Dashboard!L$537))+L837</f>
        <v>0</v>
      </c>
      <c r="M869" s="10">
        <f>SUMIFS('Custom Constraints'!$C:$C,'Custom Constraints'!$A:$A,"caiso-deliverability_"&amp;SUBSTITUTE(Dashboard!$D869,"_group",Dashboard!$D$763)&amp;"."&amp;YEAR(Dashboard!M$537))+M837</f>
        <v>0</v>
      </c>
      <c r="N869" s="10">
        <f>SUMIFS('Custom Constraints'!$C:$C,'Custom Constraints'!$A:$A,"caiso-deliverability_"&amp;SUBSTITUTE(Dashboard!$D869,"_group",Dashboard!$D$763)&amp;"."&amp;YEAR(Dashboard!N$537))+N837</f>
        <v>0</v>
      </c>
      <c r="O869" s="10">
        <f>SUMIFS('Custom Constraints'!$C:$C,'Custom Constraints'!$A:$A,"caiso-deliverability_"&amp;SUBSTITUTE(Dashboard!$D869,"_group",Dashboard!$D$763)&amp;"."&amp;YEAR(Dashboard!O$537))+O837</f>
        <v>0</v>
      </c>
      <c r="P869" s="10">
        <f>SUMIFS('Custom Constraints'!$C:$C,'Custom Constraints'!$A:$A,"caiso-deliverability_"&amp;SUBSTITUTE(Dashboard!$D869,"_group",Dashboard!$D$763)&amp;"."&amp;YEAR(Dashboard!P$537))+P837</f>
        <v>0</v>
      </c>
      <c r="Q869" s="10">
        <f>SUMIFS('Custom Constraints'!$C:$C,'Custom Constraints'!$A:$A,"caiso-deliverability_"&amp;SUBSTITUTE(Dashboard!$D869,"_group",Dashboard!$D$763)&amp;"."&amp;YEAR(Dashboard!Q$537))+Q837</f>
        <v>0</v>
      </c>
      <c r="R869" s="10">
        <f>SUMIFS('Custom Constraints'!$C:$C,'Custom Constraints'!$A:$A,"caiso-deliverability_"&amp;SUBSTITUTE(Dashboard!$D869,"_group",Dashboard!$D$763)&amp;"."&amp;YEAR(Dashboard!R$537))+R837</f>
        <v>0</v>
      </c>
      <c r="S869" s="10">
        <f>SUMIFS('Custom Constraints'!$C:$C,'Custom Constraints'!$A:$A,"caiso-deliverability_"&amp;SUBSTITUTE(Dashboard!$D869,"_group",Dashboard!$D$763)&amp;"."&amp;YEAR(Dashboard!S$537))+S837</f>
        <v>0</v>
      </c>
      <c r="T869" s="10">
        <f>SUMIFS('Custom Constraints'!$C:$C,'Custom Constraints'!$A:$A,"caiso-deliverability_"&amp;SUBSTITUTE(Dashboard!$D869,"_group",Dashboard!$D$763)&amp;"."&amp;YEAR(Dashboard!T$537))+T837</f>
        <v>0</v>
      </c>
      <c r="U869" s="10">
        <f>SUMIFS('Custom Constraints'!$C:$C,'Custom Constraints'!$A:$A,"caiso-deliverability_"&amp;SUBSTITUTE(Dashboard!$D869,"_group",Dashboard!$D$763)&amp;"."&amp;YEAR(Dashboard!U$537))+U837</f>
        <v>0</v>
      </c>
      <c r="V869" s="10">
        <f>SUMIFS('Custom Constraints'!$C:$C,'Custom Constraints'!$A:$A,"caiso-deliverability_"&amp;SUBSTITUTE(Dashboard!$D869,"_group",Dashboard!$D$763)&amp;"."&amp;YEAR(Dashboard!V$537))+V837</f>
        <v>0</v>
      </c>
      <c r="W869" s="10">
        <f>SUMIFS('Custom Constraints'!$C:$C,'Custom Constraints'!$A:$A,"caiso-deliverability_"&amp;SUBSTITUTE(Dashboard!$D869,"_group",Dashboard!$D$763)&amp;"."&amp;YEAR(Dashboard!W$537))+W837</f>
        <v>0</v>
      </c>
      <c r="X869" s="10">
        <f>SUMIFS('Custom Constraints'!$C:$C,'Custom Constraints'!$A:$A,"caiso-deliverability_"&amp;SUBSTITUTE(Dashboard!$D869,"_group",Dashboard!$D$763)&amp;"."&amp;YEAR(Dashboard!X$537))+X837</f>
        <v>0</v>
      </c>
      <c r="Y869" s="10">
        <f>SUMIFS('Custom Constraints'!$C:$C,'Custom Constraints'!$A:$A,"caiso-deliverability_"&amp;SUBSTITUTE(Dashboard!$D869,"_group",Dashboard!$D$763)&amp;"."&amp;YEAR(Dashboard!Y$537))+Y837</f>
        <v>0</v>
      </c>
      <c r="Z869" s="10">
        <f>SUMIFS('Custom Constraints'!$C:$C,'Custom Constraints'!$A:$A,"caiso-deliverability_"&amp;SUBSTITUTE(Dashboard!$D869,"_group",Dashboard!$D$763)&amp;"."&amp;YEAR(Dashboard!Z$537))+Z837</f>
        <v>0</v>
      </c>
      <c r="AA869" s="10">
        <f>SUMIFS('Custom Constraints'!$C:$C,'Custom Constraints'!$A:$A,"caiso-deliverability_"&amp;SUBSTITUTE(Dashboard!$D869,"_group",Dashboard!$D$763)&amp;"."&amp;YEAR(Dashboard!AA$537))+AA837</f>
        <v>0</v>
      </c>
      <c r="AB869" s="10">
        <f>SUMIFS('Custom Constraints'!$C:$C,'Custom Constraints'!$A:$A,"caiso-deliverability_"&amp;SUBSTITUTE(Dashboard!$D869,"_group",Dashboard!$D$763)&amp;"."&amp;YEAR(Dashboard!AB$537))+AB837</f>
        <v>0</v>
      </c>
      <c r="AC869" s="10">
        <f>SUMIFS('Custom Constraints'!$C:$C,'Custom Constraints'!$A:$A,"caiso-deliverability_"&amp;SUBSTITUTE(Dashboard!$D869,"_group",Dashboard!$D$763)&amp;"."&amp;YEAR(Dashboard!AC$537))+AC837</f>
        <v>0</v>
      </c>
      <c r="AD869" s="10">
        <f>SUMIFS('Custom Constraints'!$C:$C,'Custom Constraints'!$A:$A,"caiso-deliverability_"&amp;SUBSTITUTE(Dashboard!$D869,"_group",Dashboard!$D$763)&amp;"."&amp;YEAR(Dashboard!AD$537))+AD837</f>
        <v>280.68639185000001</v>
      </c>
      <c r="AH869" s="34" t="s">
        <v>422</v>
      </c>
    </row>
    <row r="870" spans="4:34" outlineLevel="2" x14ac:dyDescent="0.2">
      <c r="D870" s="8" t="s">
        <v>265</v>
      </c>
      <c r="E870" s="10">
        <f>SUMIFS('Custom Constraints'!$C:$C,'Custom Constraints'!$A:$A,"caiso-deliverability_"&amp;SUBSTITUTE(Dashboard!$D870,"_group",Dashboard!$D$763)&amp;"."&amp;YEAR(Dashboard!E$537))+E838</f>
        <v>0</v>
      </c>
      <c r="F870" s="10">
        <f>SUMIFS('Custom Constraints'!$C:$C,'Custom Constraints'!$A:$A,"caiso-deliverability_"&amp;SUBSTITUTE(Dashboard!$D870,"_group",Dashboard!$D$763)&amp;"."&amp;YEAR(Dashboard!F$537))+F838</f>
        <v>0</v>
      </c>
      <c r="G870" s="10">
        <f>SUMIFS('Custom Constraints'!$C:$C,'Custom Constraints'!$A:$A,"caiso-deliverability_"&amp;SUBSTITUTE(Dashboard!$D870,"_group",Dashboard!$D$763)&amp;"."&amp;YEAR(Dashboard!G$537))+G838</f>
        <v>0</v>
      </c>
      <c r="H870" s="10">
        <f>SUMIFS('Custom Constraints'!$C:$C,'Custom Constraints'!$A:$A,"caiso-deliverability_"&amp;SUBSTITUTE(Dashboard!$D870,"_group",Dashboard!$D$763)&amp;"."&amp;YEAR(Dashboard!H$537))+H838</f>
        <v>0</v>
      </c>
      <c r="I870" s="10">
        <f>SUMIFS('Custom Constraints'!$C:$C,'Custom Constraints'!$A:$A,"caiso-deliverability_"&amp;SUBSTITUTE(Dashboard!$D870,"_group",Dashboard!$D$763)&amp;"."&amp;YEAR(Dashboard!I$537))+I838</f>
        <v>0</v>
      </c>
      <c r="J870" s="10">
        <f>SUMIFS('Custom Constraints'!$C:$C,'Custom Constraints'!$A:$A,"caiso-deliverability_"&amp;SUBSTITUTE(Dashboard!$D870,"_group",Dashboard!$D$763)&amp;"."&amp;YEAR(Dashboard!J$537))+J838</f>
        <v>0</v>
      </c>
      <c r="K870" s="10">
        <f>SUMIFS('Custom Constraints'!$C:$C,'Custom Constraints'!$A:$A,"caiso-deliverability_"&amp;SUBSTITUTE(Dashboard!$D870,"_group",Dashboard!$D$763)&amp;"."&amp;YEAR(Dashboard!K$537))+K838</f>
        <v>0</v>
      </c>
      <c r="L870" s="10">
        <f>SUMIFS('Custom Constraints'!$C:$C,'Custom Constraints'!$A:$A,"caiso-deliverability_"&amp;SUBSTITUTE(Dashboard!$D870,"_group",Dashboard!$D$763)&amp;"."&amp;YEAR(Dashboard!L$537))+L838</f>
        <v>0</v>
      </c>
      <c r="M870" s="10">
        <f>SUMIFS('Custom Constraints'!$C:$C,'Custom Constraints'!$A:$A,"caiso-deliverability_"&amp;SUBSTITUTE(Dashboard!$D870,"_group",Dashboard!$D$763)&amp;"."&amp;YEAR(Dashboard!M$537))+M838</f>
        <v>0</v>
      </c>
      <c r="N870" s="10">
        <f>SUMIFS('Custom Constraints'!$C:$C,'Custom Constraints'!$A:$A,"caiso-deliverability_"&amp;SUBSTITUTE(Dashboard!$D870,"_group",Dashboard!$D$763)&amp;"."&amp;YEAR(Dashboard!N$537))+N838</f>
        <v>0</v>
      </c>
      <c r="O870" s="10">
        <f>SUMIFS('Custom Constraints'!$C:$C,'Custom Constraints'!$A:$A,"caiso-deliverability_"&amp;SUBSTITUTE(Dashboard!$D870,"_group",Dashboard!$D$763)&amp;"."&amp;YEAR(Dashboard!O$537))+O838</f>
        <v>0</v>
      </c>
      <c r="P870" s="10">
        <f>SUMIFS('Custom Constraints'!$C:$C,'Custom Constraints'!$A:$A,"caiso-deliverability_"&amp;SUBSTITUTE(Dashboard!$D870,"_group",Dashboard!$D$763)&amp;"."&amp;YEAR(Dashboard!P$537))+P838</f>
        <v>0</v>
      </c>
      <c r="Q870" s="10">
        <f>SUMIFS('Custom Constraints'!$C:$C,'Custom Constraints'!$A:$A,"caiso-deliverability_"&amp;SUBSTITUTE(Dashboard!$D870,"_group",Dashboard!$D$763)&amp;"."&amp;YEAR(Dashboard!Q$537))+Q838</f>
        <v>0</v>
      </c>
      <c r="R870" s="10">
        <f>SUMIFS('Custom Constraints'!$C:$C,'Custom Constraints'!$A:$A,"caiso-deliverability_"&amp;SUBSTITUTE(Dashboard!$D870,"_group",Dashboard!$D$763)&amp;"."&amp;YEAR(Dashboard!R$537))+R838</f>
        <v>0</v>
      </c>
      <c r="S870" s="10">
        <f>SUMIFS('Custom Constraints'!$C:$C,'Custom Constraints'!$A:$A,"caiso-deliverability_"&amp;SUBSTITUTE(Dashboard!$D870,"_group",Dashboard!$D$763)&amp;"."&amp;YEAR(Dashboard!S$537))+S838</f>
        <v>0</v>
      </c>
      <c r="T870" s="10">
        <f>SUMIFS('Custom Constraints'!$C:$C,'Custom Constraints'!$A:$A,"caiso-deliverability_"&amp;SUBSTITUTE(Dashboard!$D870,"_group",Dashboard!$D$763)&amp;"."&amp;YEAR(Dashboard!T$537))+T838</f>
        <v>0</v>
      </c>
      <c r="U870" s="10">
        <f>SUMIFS('Custom Constraints'!$C:$C,'Custom Constraints'!$A:$A,"caiso-deliverability_"&amp;SUBSTITUTE(Dashboard!$D870,"_group",Dashboard!$D$763)&amp;"."&amp;YEAR(Dashboard!U$537))+U838</f>
        <v>0</v>
      </c>
      <c r="V870" s="10">
        <f>SUMIFS('Custom Constraints'!$C:$C,'Custom Constraints'!$A:$A,"caiso-deliverability_"&amp;SUBSTITUTE(Dashboard!$D870,"_group",Dashboard!$D$763)&amp;"."&amp;YEAR(Dashboard!V$537))+V838</f>
        <v>0</v>
      </c>
      <c r="W870" s="10">
        <f>SUMIFS('Custom Constraints'!$C:$C,'Custom Constraints'!$A:$A,"caiso-deliverability_"&amp;SUBSTITUTE(Dashboard!$D870,"_group",Dashboard!$D$763)&amp;"."&amp;YEAR(Dashboard!W$537))+W838</f>
        <v>0</v>
      </c>
      <c r="X870" s="10">
        <f>SUMIFS('Custom Constraints'!$C:$C,'Custom Constraints'!$A:$A,"caiso-deliverability_"&amp;SUBSTITUTE(Dashboard!$D870,"_group",Dashboard!$D$763)&amp;"."&amp;YEAR(Dashboard!X$537))+X838</f>
        <v>0</v>
      </c>
      <c r="Y870" s="10">
        <f>SUMIFS('Custom Constraints'!$C:$C,'Custom Constraints'!$A:$A,"caiso-deliverability_"&amp;SUBSTITUTE(Dashboard!$D870,"_group",Dashboard!$D$763)&amp;"."&amp;YEAR(Dashboard!Y$537))+Y838</f>
        <v>0</v>
      </c>
      <c r="Z870" s="10">
        <f>SUMIFS('Custom Constraints'!$C:$C,'Custom Constraints'!$A:$A,"caiso-deliverability_"&amp;SUBSTITUTE(Dashboard!$D870,"_group",Dashboard!$D$763)&amp;"."&amp;YEAR(Dashboard!Z$537))+Z838</f>
        <v>0</v>
      </c>
      <c r="AA870" s="10">
        <f>SUMIFS('Custom Constraints'!$C:$C,'Custom Constraints'!$A:$A,"caiso-deliverability_"&amp;SUBSTITUTE(Dashboard!$D870,"_group",Dashboard!$D$763)&amp;"."&amp;YEAR(Dashboard!AA$537))+AA838</f>
        <v>0</v>
      </c>
      <c r="AB870" s="10">
        <f>SUMIFS('Custom Constraints'!$C:$C,'Custom Constraints'!$A:$A,"caiso-deliverability_"&amp;SUBSTITUTE(Dashboard!$D870,"_group",Dashboard!$D$763)&amp;"."&amp;YEAR(Dashboard!AB$537))+AB838</f>
        <v>0</v>
      </c>
      <c r="AC870" s="10">
        <f>SUMIFS('Custom Constraints'!$C:$C,'Custom Constraints'!$A:$A,"caiso-deliverability_"&amp;SUBSTITUTE(Dashboard!$D870,"_group",Dashboard!$D$763)&amp;"."&amp;YEAR(Dashboard!AC$537))+AC838</f>
        <v>0</v>
      </c>
      <c r="AD870" s="10">
        <f>SUMIFS('Custom Constraints'!$C:$C,'Custom Constraints'!$A:$A,"caiso-deliverability_"&amp;SUBSTITUTE(Dashboard!$D870,"_group",Dashboard!$D$763)&amp;"."&amp;YEAR(Dashboard!AD$537))+AD838</f>
        <v>204.56639185</v>
      </c>
      <c r="AH870" s="34" t="s">
        <v>422</v>
      </c>
    </row>
    <row r="871" spans="4:34" outlineLevel="2" x14ac:dyDescent="0.2">
      <c r="D871" s="8" t="s">
        <v>266</v>
      </c>
      <c r="E871" s="10">
        <f>SUMIFS('Custom Constraints'!$C:$C,'Custom Constraints'!$A:$A,"caiso-deliverability_"&amp;SUBSTITUTE(Dashboard!$D871,"_group",Dashboard!$D$763)&amp;"."&amp;YEAR(Dashboard!E$537))+E839</f>
        <v>0</v>
      </c>
      <c r="F871" s="10">
        <f>SUMIFS('Custom Constraints'!$C:$C,'Custom Constraints'!$A:$A,"caiso-deliverability_"&amp;SUBSTITUTE(Dashboard!$D871,"_group",Dashboard!$D$763)&amp;"."&amp;YEAR(Dashboard!F$537))+F839</f>
        <v>0</v>
      </c>
      <c r="G871" s="10">
        <f>SUMIFS('Custom Constraints'!$C:$C,'Custom Constraints'!$A:$A,"caiso-deliverability_"&amp;SUBSTITUTE(Dashboard!$D871,"_group",Dashboard!$D$763)&amp;"."&amp;YEAR(Dashboard!G$537))+G839</f>
        <v>0</v>
      </c>
      <c r="H871" s="10">
        <f>SUMIFS('Custom Constraints'!$C:$C,'Custom Constraints'!$A:$A,"caiso-deliverability_"&amp;SUBSTITUTE(Dashboard!$D871,"_group",Dashboard!$D$763)&amp;"."&amp;YEAR(Dashboard!H$537))+H839</f>
        <v>0</v>
      </c>
      <c r="I871" s="10">
        <f>SUMIFS('Custom Constraints'!$C:$C,'Custom Constraints'!$A:$A,"caiso-deliverability_"&amp;SUBSTITUTE(Dashboard!$D871,"_group",Dashboard!$D$763)&amp;"."&amp;YEAR(Dashboard!I$537))+I839</f>
        <v>0</v>
      </c>
      <c r="J871" s="10">
        <f>SUMIFS('Custom Constraints'!$C:$C,'Custom Constraints'!$A:$A,"caiso-deliverability_"&amp;SUBSTITUTE(Dashboard!$D871,"_group",Dashboard!$D$763)&amp;"."&amp;YEAR(Dashboard!J$537))+J839</f>
        <v>0</v>
      </c>
      <c r="K871" s="10">
        <f>SUMIFS('Custom Constraints'!$C:$C,'Custom Constraints'!$A:$A,"caiso-deliverability_"&amp;SUBSTITUTE(Dashboard!$D871,"_group",Dashboard!$D$763)&amp;"."&amp;YEAR(Dashboard!K$537))+K839</f>
        <v>0</v>
      </c>
      <c r="L871" s="10">
        <f>SUMIFS('Custom Constraints'!$C:$C,'Custom Constraints'!$A:$A,"caiso-deliverability_"&amp;SUBSTITUTE(Dashboard!$D871,"_group",Dashboard!$D$763)&amp;"."&amp;YEAR(Dashboard!L$537))+L839</f>
        <v>0</v>
      </c>
      <c r="M871" s="10">
        <f>SUMIFS('Custom Constraints'!$C:$C,'Custom Constraints'!$A:$A,"caiso-deliverability_"&amp;SUBSTITUTE(Dashboard!$D871,"_group",Dashboard!$D$763)&amp;"."&amp;YEAR(Dashboard!M$537))+M839</f>
        <v>0</v>
      </c>
      <c r="N871" s="10">
        <f>SUMIFS('Custom Constraints'!$C:$C,'Custom Constraints'!$A:$A,"caiso-deliverability_"&amp;SUBSTITUTE(Dashboard!$D871,"_group",Dashboard!$D$763)&amp;"."&amp;YEAR(Dashboard!N$537))+N839</f>
        <v>0</v>
      </c>
      <c r="O871" s="10">
        <f>SUMIFS('Custom Constraints'!$C:$C,'Custom Constraints'!$A:$A,"caiso-deliverability_"&amp;SUBSTITUTE(Dashboard!$D871,"_group",Dashboard!$D$763)&amp;"."&amp;YEAR(Dashboard!O$537))+O839</f>
        <v>0</v>
      </c>
      <c r="P871" s="10">
        <f>SUMIFS('Custom Constraints'!$C:$C,'Custom Constraints'!$A:$A,"caiso-deliverability_"&amp;SUBSTITUTE(Dashboard!$D871,"_group",Dashboard!$D$763)&amp;"."&amp;YEAR(Dashboard!P$537))+P839</f>
        <v>0</v>
      </c>
      <c r="Q871" s="10">
        <f>SUMIFS('Custom Constraints'!$C:$C,'Custom Constraints'!$A:$A,"caiso-deliverability_"&amp;SUBSTITUTE(Dashboard!$D871,"_group",Dashboard!$D$763)&amp;"."&amp;YEAR(Dashboard!Q$537))+Q839</f>
        <v>0</v>
      </c>
      <c r="R871" s="10">
        <f>SUMIFS('Custom Constraints'!$C:$C,'Custom Constraints'!$A:$A,"caiso-deliverability_"&amp;SUBSTITUTE(Dashboard!$D871,"_group",Dashboard!$D$763)&amp;"."&amp;YEAR(Dashboard!R$537))+R839</f>
        <v>0</v>
      </c>
      <c r="S871" s="10">
        <f>SUMIFS('Custom Constraints'!$C:$C,'Custom Constraints'!$A:$A,"caiso-deliverability_"&amp;SUBSTITUTE(Dashboard!$D871,"_group",Dashboard!$D$763)&amp;"."&amp;YEAR(Dashboard!S$537))+S839</f>
        <v>0</v>
      </c>
      <c r="T871" s="10">
        <f>SUMIFS('Custom Constraints'!$C:$C,'Custom Constraints'!$A:$A,"caiso-deliverability_"&amp;SUBSTITUTE(Dashboard!$D871,"_group",Dashboard!$D$763)&amp;"."&amp;YEAR(Dashboard!T$537))+T839</f>
        <v>0</v>
      </c>
      <c r="U871" s="10">
        <f>SUMIFS('Custom Constraints'!$C:$C,'Custom Constraints'!$A:$A,"caiso-deliverability_"&amp;SUBSTITUTE(Dashboard!$D871,"_group",Dashboard!$D$763)&amp;"."&amp;YEAR(Dashboard!U$537))+U839</f>
        <v>0</v>
      </c>
      <c r="V871" s="10">
        <f>SUMIFS('Custom Constraints'!$C:$C,'Custom Constraints'!$A:$A,"caiso-deliverability_"&amp;SUBSTITUTE(Dashboard!$D871,"_group",Dashboard!$D$763)&amp;"."&amp;YEAR(Dashboard!V$537))+V839</f>
        <v>0</v>
      </c>
      <c r="W871" s="10">
        <f>SUMIFS('Custom Constraints'!$C:$C,'Custom Constraints'!$A:$A,"caiso-deliverability_"&amp;SUBSTITUTE(Dashboard!$D871,"_group",Dashboard!$D$763)&amp;"."&amp;YEAR(Dashboard!W$537))+W839</f>
        <v>0</v>
      </c>
      <c r="X871" s="10">
        <f>SUMIFS('Custom Constraints'!$C:$C,'Custom Constraints'!$A:$A,"caiso-deliverability_"&amp;SUBSTITUTE(Dashboard!$D871,"_group",Dashboard!$D$763)&amp;"."&amp;YEAR(Dashboard!X$537))+X839</f>
        <v>0</v>
      </c>
      <c r="Y871" s="10">
        <f>SUMIFS('Custom Constraints'!$C:$C,'Custom Constraints'!$A:$A,"caiso-deliverability_"&amp;SUBSTITUTE(Dashboard!$D871,"_group",Dashboard!$D$763)&amp;"."&amp;YEAR(Dashboard!Y$537))+Y839</f>
        <v>0</v>
      </c>
      <c r="Z871" s="10">
        <f>SUMIFS('Custom Constraints'!$C:$C,'Custom Constraints'!$A:$A,"caiso-deliverability_"&amp;SUBSTITUTE(Dashboard!$D871,"_group",Dashboard!$D$763)&amp;"."&amp;YEAR(Dashboard!Z$537))+Z839</f>
        <v>0</v>
      </c>
      <c r="AA871" s="10">
        <f>SUMIFS('Custom Constraints'!$C:$C,'Custom Constraints'!$A:$A,"caiso-deliverability_"&amp;SUBSTITUTE(Dashboard!$D871,"_group",Dashboard!$D$763)&amp;"."&amp;YEAR(Dashboard!AA$537))+AA839</f>
        <v>0</v>
      </c>
      <c r="AB871" s="10">
        <f>SUMIFS('Custom Constraints'!$C:$C,'Custom Constraints'!$A:$A,"caiso-deliverability_"&amp;SUBSTITUTE(Dashboard!$D871,"_group",Dashboard!$D$763)&amp;"."&amp;YEAR(Dashboard!AB$537))+AB839</f>
        <v>0</v>
      </c>
      <c r="AC871" s="10">
        <f>SUMIFS('Custom Constraints'!$C:$C,'Custom Constraints'!$A:$A,"caiso-deliverability_"&amp;SUBSTITUTE(Dashboard!$D871,"_group",Dashboard!$D$763)&amp;"."&amp;YEAR(Dashboard!AC$537))+AC839</f>
        <v>0</v>
      </c>
      <c r="AD871" s="10">
        <f>SUMIFS('Custom Constraints'!$C:$C,'Custom Constraints'!$A:$A,"caiso-deliverability_"&amp;SUBSTITUTE(Dashboard!$D871,"_group",Dashboard!$D$763)&amp;"."&amp;YEAR(Dashboard!AD$537))+AD839</f>
        <v>8478.0898426227723</v>
      </c>
      <c r="AH871" s="34" t="s">
        <v>422</v>
      </c>
    </row>
    <row r="872" spans="4:34" outlineLevel="2" x14ac:dyDescent="0.2">
      <c r="D872" s="8" t="s">
        <v>267</v>
      </c>
      <c r="E872" s="10">
        <f>SUMIFS('Custom Constraints'!$C:$C,'Custom Constraints'!$A:$A,"caiso-deliverability_"&amp;SUBSTITUTE(Dashboard!$D872,"_group",Dashboard!$D$763)&amp;"."&amp;YEAR(Dashboard!E$537))+E840</f>
        <v>0</v>
      </c>
      <c r="F872" s="10">
        <f>SUMIFS('Custom Constraints'!$C:$C,'Custom Constraints'!$A:$A,"caiso-deliverability_"&amp;SUBSTITUTE(Dashboard!$D872,"_group",Dashboard!$D$763)&amp;"."&amp;YEAR(Dashboard!F$537))+F840</f>
        <v>0</v>
      </c>
      <c r="G872" s="10">
        <f>SUMIFS('Custom Constraints'!$C:$C,'Custom Constraints'!$A:$A,"caiso-deliverability_"&amp;SUBSTITUTE(Dashboard!$D872,"_group",Dashboard!$D$763)&amp;"."&amp;YEAR(Dashboard!G$537))+G840</f>
        <v>0</v>
      </c>
      <c r="H872" s="10">
        <f>SUMIFS('Custom Constraints'!$C:$C,'Custom Constraints'!$A:$A,"caiso-deliverability_"&amp;SUBSTITUTE(Dashboard!$D872,"_group",Dashboard!$D$763)&amp;"."&amp;YEAR(Dashboard!H$537))+H840</f>
        <v>0</v>
      </c>
      <c r="I872" s="10">
        <f>SUMIFS('Custom Constraints'!$C:$C,'Custom Constraints'!$A:$A,"caiso-deliverability_"&amp;SUBSTITUTE(Dashboard!$D872,"_group",Dashboard!$D$763)&amp;"."&amp;YEAR(Dashboard!I$537))+I840</f>
        <v>0</v>
      </c>
      <c r="J872" s="10">
        <f>SUMIFS('Custom Constraints'!$C:$C,'Custom Constraints'!$A:$A,"caiso-deliverability_"&amp;SUBSTITUTE(Dashboard!$D872,"_group",Dashboard!$D$763)&amp;"."&amp;YEAR(Dashboard!J$537))+J840</f>
        <v>0</v>
      </c>
      <c r="K872" s="10">
        <f>SUMIFS('Custom Constraints'!$C:$C,'Custom Constraints'!$A:$A,"caiso-deliverability_"&amp;SUBSTITUTE(Dashboard!$D872,"_group",Dashboard!$D$763)&amp;"."&amp;YEAR(Dashboard!K$537))+K840</f>
        <v>0</v>
      </c>
      <c r="L872" s="10">
        <f>SUMIFS('Custom Constraints'!$C:$C,'Custom Constraints'!$A:$A,"caiso-deliverability_"&amp;SUBSTITUTE(Dashboard!$D872,"_group",Dashboard!$D$763)&amp;"."&amp;YEAR(Dashboard!L$537))+L840</f>
        <v>0</v>
      </c>
      <c r="M872" s="10">
        <f>SUMIFS('Custom Constraints'!$C:$C,'Custom Constraints'!$A:$A,"caiso-deliverability_"&amp;SUBSTITUTE(Dashboard!$D872,"_group",Dashboard!$D$763)&amp;"."&amp;YEAR(Dashboard!M$537))+M840</f>
        <v>0</v>
      </c>
      <c r="N872" s="10">
        <f>SUMIFS('Custom Constraints'!$C:$C,'Custom Constraints'!$A:$A,"caiso-deliverability_"&amp;SUBSTITUTE(Dashboard!$D872,"_group",Dashboard!$D$763)&amp;"."&amp;YEAR(Dashboard!N$537))+N840</f>
        <v>0</v>
      </c>
      <c r="O872" s="10">
        <f>SUMIFS('Custom Constraints'!$C:$C,'Custom Constraints'!$A:$A,"caiso-deliverability_"&amp;SUBSTITUTE(Dashboard!$D872,"_group",Dashboard!$D$763)&amp;"."&amp;YEAR(Dashboard!O$537))+O840</f>
        <v>0</v>
      </c>
      <c r="P872" s="10">
        <f>SUMIFS('Custom Constraints'!$C:$C,'Custom Constraints'!$A:$A,"caiso-deliverability_"&amp;SUBSTITUTE(Dashboard!$D872,"_group",Dashboard!$D$763)&amp;"."&amp;YEAR(Dashboard!P$537))+P840</f>
        <v>0</v>
      </c>
      <c r="Q872" s="10">
        <f>SUMIFS('Custom Constraints'!$C:$C,'Custom Constraints'!$A:$A,"caiso-deliverability_"&amp;SUBSTITUTE(Dashboard!$D872,"_group",Dashboard!$D$763)&amp;"."&amp;YEAR(Dashboard!Q$537))+Q840</f>
        <v>0</v>
      </c>
      <c r="R872" s="10">
        <f>SUMIFS('Custom Constraints'!$C:$C,'Custom Constraints'!$A:$A,"caiso-deliverability_"&amp;SUBSTITUTE(Dashboard!$D872,"_group",Dashboard!$D$763)&amp;"."&amp;YEAR(Dashboard!R$537))+R840</f>
        <v>0</v>
      </c>
      <c r="S872" s="10">
        <f>SUMIFS('Custom Constraints'!$C:$C,'Custom Constraints'!$A:$A,"caiso-deliverability_"&amp;SUBSTITUTE(Dashboard!$D872,"_group",Dashboard!$D$763)&amp;"."&amp;YEAR(Dashboard!S$537))+S840</f>
        <v>0</v>
      </c>
      <c r="T872" s="10">
        <f>SUMIFS('Custom Constraints'!$C:$C,'Custom Constraints'!$A:$A,"caiso-deliverability_"&amp;SUBSTITUTE(Dashboard!$D872,"_group",Dashboard!$D$763)&amp;"."&amp;YEAR(Dashboard!T$537))+T840</f>
        <v>0</v>
      </c>
      <c r="U872" s="10">
        <f>SUMIFS('Custom Constraints'!$C:$C,'Custom Constraints'!$A:$A,"caiso-deliverability_"&amp;SUBSTITUTE(Dashboard!$D872,"_group",Dashboard!$D$763)&amp;"."&amp;YEAR(Dashboard!U$537))+U840</f>
        <v>0</v>
      </c>
      <c r="V872" s="10">
        <f>SUMIFS('Custom Constraints'!$C:$C,'Custom Constraints'!$A:$A,"caiso-deliverability_"&amp;SUBSTITUTE(Dashboard!$D872,"_group",Dashboard!$D$763)&amp;"."&amp;YEAR(Dashboard!V$537))+V840</f>
        <v>0</v>
      </c>
      <c r="W872" s="10">
        <f>SUMIFS('Custom Constraints'!$C:$C,'Custom Constraints'!$A:$A,"caiso-deliverability_"&amp;SUBSTITUTE(Dashboard!$D872,"_group",Dashboard!$D$763)&amp;"."&amp;YEAR(Dashboard!W$537))+W840</f>
        <v>0</v>
      </c>
      <c r="X872" s="10">
        <f>SUMIFS('Custom Constraints'!$C:$C,'Custom Constraints'!$A:$A,"caiso-deliverability_"&amp;SUBSTITUTE(Dashboard!$D872,"_group",Dashboard!$D$763)&amp;"."&amp;YEAR(Dashboard!X$537))+X840</f>
        <v>0</v>
      </c>
      <c r="Y872" s="10">
        <f>SUMIFS('Custom Constraints'!$C:$C,'Custom Constraints'!$A:$A,"caiso-deliverability_"&amp;SUBSTITUTE(Dashboard!$D872,"_group",Dashboard!$D$763)&amp;"."&amp;YEAR(Dashboard!Y$537))+Y840</f>
        <v>0</v>
      </c>
      <c r="Z872" s="10">
        <f>SUMIFS('Custom Constraints'!$C:$C,'Custom Constraints'!$A:$A,"caiso-deliverability_"&amp;SUBSTITUTE(Dashboard!$D872,"_group",Dashboard!$D$763)&amp;"."&amp;YEAR(Dashboard!Z$537))+Z840</f>
        <v>0</v>
      </c>
      <c r="AA872" s="10">
        <f>SUMIFS('Custom Constraints'!$C:$C,'Custom Constraints'!$A:$A,"caiso-deliverability_"&amp;SUBSTITUTE(Dashboard!$D872,"_group",Dashboard!$D$763)&amp;"."&amp;YEAR(Dashboard!AA$537))+AA840</f>
        <v>0</v>
      </c>
      <c r="AB872" s="10">
        <f>SUMIFS('Custom Constraints'!$C:$C,'Custom Constraints'!$A:$A,"caiso-deliverability_"&amp;SUBSTITUTE(Dashboard!$D872,"_group",Dashboard!$D$763)&amp;"."&amp;YEAR(Dashboard!AB$537))+AB840</f>
        <v>0</v>
      </c>
      <c r="AC872" s="10">
        <f>SUMIFS('Custom Constraints'!$C:$C,'Custom Constraints'!$A:$A,"caiso-deliverability_"&amp;SUBSTITUTE(Dashboard!$D872,"_group",Dashboard!$D$763)&amp;"."&amp;YEAR(Dashboard!AC$537))+AC840</f>
        <v>0</v>
      </c>
      <c r="AD872" s="10">
        <f>SUMIFS('Custom Constraints'!$C:$C,'Custom Constraints'!$A:$A,"caiso-deliverability_"&amp;SUBSTITUTE(Dashboard!$D872,"_group",Dashboard!$D$763)&amp;"."&amp;YEAR(Dashboard!AD$537))+AD840</f>
        <v>77.88</v>
      </c>
      <c r="AH872" s="34" t="s">
        <v>422</v>
      </c>
    </row>
    <row r="873" spans="4:34" outlineLevel="2" x14ac:dyDescent="0.2">
      <c r="D873" s="8" t="s">
        <v>268</v>
      </c>
      <c r="E873" s="10">
        <f>SUMIFS('Custom Constraints'!$C:$C,'Custom Constraints'!$A:$A,"caiso-deliverability_"&amp;SUBSTITUTE(Dashboard!$D873,"_group",Dashboard!$D$763)&amp;"."&amp;YEAR(Dashboard!E$537))+E841</f>
        <v>0</v>
      </c>
      <c r="F873" s="10">
        <f>SUMIFS('Custom Constraints'!$C:$C,'Custom Constraints'!$A:$A,"caiso-deliverability_"&amp;SUBSTITUTE(Dashboard!$D873,"_group",Dashboard!$D$763)&amp;"."&amp;YEAR(Dashboard!F$537))+F841</f>
        <v>0</v>
      </c>
      <c r="G873" s="10">
        <f>SUMIFS('Custom Constraints'!$C:$C,'Custom Constraints'!$A:$A,"caiso-deliverability_"&amp;SUBSTITUTE(Dashboard!$D873,"_group",Dashboard!$D$763)&amp;"."&amp;YEAR(Dashboard!G$537))+G841</f>
        <v>0</v>
      </c>
      <c r="H873" s="10">
        <f>SUMIFS('Custom Constraints'!$C:$C,'Custom Constraints'!$A:$A,"caiso-deliverability_"&amp;SUBSTITUTE(Dashboard!$D873,"_group",Dashboard!$D$763)&amp;"."&amp;YEAR(Dashboard!H$537))+H841</f>
        <v>0</v>
      </c>
      <c r="I873" s="10">
        <f>SUMIFS('Custom Constraints'!$C:$C,'Custom Constraints'!$A:$A,"caiso-deliverability_"&amp;SUBSTITUTE(Dashboard!$D873,"_group",Dashboard!$D$763)&amp;"."&amp;YEAR(Dashboard!I$537))+I841</f>
        <v>0</v>
      </c>
      <c r="J873" s="10">
        <f>SUMIFS('Custom Constraints'!$C:$C,'Custom Constraints'!$A:$A,"caiso-deliverability_"&amp;SUBSTITUTE(Dashboard!$D873,"_group",Dashboard!$D$763)&amp;"."&amp;YEAR(Dashboard!J$537))+J841</f>
        <v>0</v>
      </c>
      <c r="K873" s="10">
        <f>SUMIFS('Custom Constraints'!$C:$C,'Custom Constraints'!$A:$A,"caiso-deliverability_"&amp;SUBSTITUTE(Dashboard!$D873,"_group",Dashboard!$D$763)&amp;"."&amp;YEAR(Dashboard!K$537))+K841</f>
        <v>0</v>
      </c>
      <c r="L873" s="10">
        <f>SUMIFS('Custom Constraints'!$C:$C,'Custom Constraints'!$A:$A,"caiso-deliverability_"&amp;SUBSTITUTE(Dashboard!$D873,"_group",Dashboard!$D$763)&amp;"."&amp;YEAR(Dashboard!L$537))+L841</f>
        <v>0</v>
      </c>
      <c r="M873" s="10">
        <f>SUMIFS('Custom Constraints'!$C:$C,'Custom Constraints'!$A:$A,"caiso-deliverability_"&amp;SUBSTITUTE(Dashboard!$D873,"_group",Dashboard!$D$763)&amp;"."&amp;YEAR(Dashboard!M$537))+M841</f>
        <v>0</v>
      </c>
      <c r="N873" s="10">
        <f>SUMIFS('Custom Constraints'!$C:$C,'Custom Constraints'!$A:$A,"caiso-deliverability_"&amp;SUBSTITUTE(Dashboard!$D873,"_group",Dashboard!$D$763)&amp;"."&amp;YEAR(Dashboard!N$537))+N841</f>
        <v>0</v>
      </c>
      <c r="O873" s="10">
        <f>SUMIFS('Custom Constraints'!$C:$C,'Custom Constraints'!$A:$A,"caiso-deliverability_"&amp;SUBSTITUTE(Dashboard!$D873,"_group",Dashboard!$D$763)&amp;"."&amp;YEAR(Dashboard!O$537))+O841</f>
        <v>0</v>
      </c>
      <c r="P873" s="10">
        <f>SUMIFS('Custom Constraints'!$C:$C,'Custom Constraints'!$A:$A,"caiso-deliverability_"&amp;SUBSTITUTE(Dashboard!$D873,"_group",Dashboard!$D$763)&amp;"."&amp;YEAR(Dashboard!P$537))+P841</f>
        <v>0</v>
      </c>
      <c r="Q873" s="10">
        <f>SUMIFS('Custom Constraints'!$C:$C,'Custom Constraints'!$A:$A,"caiso-deliverability_"&amp;SUBSTITUTE(Dashboard!$D873,"_group",Dashboard!$D$763)&amp;"."&amp;YEAR(Dashboard!Q$537))+Q841</f>
        <v>0</v>
      </c>
      <c r="R873" s="10">
        <f>SUMIFS('Custom Constraints'!$C:$C,'Custom Constraints'!$A:$A,"caiso-deliverability_"&amp;SUBSTITUTE(Dashboard!$D873,"_group",Dashboard!$D$763)&amp;"."&amp;YEAR(Dashboard!R$537))+R841</f>
        <v>0</v>
      </c>
      <c r="S873" s="10">
        <f>SUMIFS('Custom Constraints'!$C:$C,'Custom Constraints'!$A:$A,"caiso-deliverability_"&amp;SUBSTITUTE(Dashboard!$D873,"_group",Dashboard!$D$763)&amp;"."&amp;YEAR(Dashboard!S$537))+S841</f>
        <v>0</v>
      </c>
      <c r="T873" s="10">
        <f>SUMIFS('Custom Constraints'!$C:$C,'Custom Constraints'!$A:$A,"caiso-deliverability_"&amp;SUBSTITUTE(Dashboard!$D873,"_group",Dashboard!$D$763)&amp;"."&amp;YEAR(Dashboard!T$537))+T841</f>
        <v>0</v>
      </c>
      <c r="U873" s="10">
        <f>SUMIFS('Custom Constraints'!$C:$C,'Custom Constraints'!$A:$A,"caiso-deliverability_"&amp;SUBSTITUTE(Dashboard!$D873,"_group",Dashboard!$D$763)&amp;"."&amp;YEAR(Dashboard!U$537))+U841</f>
        <v>0</v>
      </c>
      <c r="V873" s="10">
        <f>SUMIFS('Custom Constraints'!$C:$C,'Custom Constraints'!$A:$A,"caiso-deliverability_"&amp;SUBSTITUTE(Dashboard!$D873,"_group",Dashboard!$D$763)&amp;"."&amp;YEAR(Dashboard!V$537))+V841</f>
        <v>0</v>
      </c>
      <c r="W873" s="10">
        <f>SUMIFS('Custom Constraints'!$C:$C,'Custom Constraints'!$A:$A,"caiso-deliverability_"&amp;SUBSTITUTE(Dashboard!$D873,"_group",Dashboard!$D$763)&amp;"."&amp;YEAR(Dashboard!W$537))+W841</f>
        <v>0</v>
      </c>
      <c r="X873" s="10">
        <f>SUMIFS('Custom Constraints'!$C:$C,'Custom Constraints'!$A:$A,"caiso-deliverability_"&amp;SUBSTITUTE(Dashboard!$D873,"_group",Dashboard!$D$763)&amp;"."&amp;YEAR(Dashboard!X$537))+X841</f>
        <v>0</v>
      </c>
      <c r="Y873" s="10">
        <f>SUMIFS('Custom Constraints'!$C:$C,'Custom Constraints'!$A:$A,"caiso-deliverability_"&amp;SUBSTITUTE(Dashboard!$D873,"_group",Dashboard!$D$763)&amp;"."&amp;YEAR(Dashboard!Y$537))+Y841</f>
        <v>0</v>
      </c>
      <c r="Z873" s="10">
        <f>SUMIFS('Custom Constraints'!$C:$C,'Custom Constraints'!$A:$A,"caiso-deliverability_"&amp;SUBSTITUTE(Dashboard!$D873,"_group",Dashboard!$D$763)&amp;"."&amp;YEAR(Dashboard!Z$537))+Z841</f>
        <v>0</v>
      </c>
      <c r="AA873" s="10">
        <f>SUMIFS('Custom Constraints'!$C:$C,'Custom Constraints'!$A:$A,"caiso-deliverability_"&amp;SUBSTITUTE(Dashboard!$D873,"_group",Dashboard!$D$763)&amp;"."&amp;YEAR(Dashboard!AA$537))+AA841</f>
        <v>0</v>
      </c>
      <c r="AB873" s="10">
        <f>SUMIFS('Custom Constraints'!$C:$C,'Custom Constraints'!$A:$A,"caiso-deliverability_"&amp;SUBSTITUTE(Dashboard!$D873,"_group",Dashboard!$D$763)&amp;"."&amp;YEAR(Dashboard!AB$537))+AB841</f>
        <v>0</v>
      </c>
      <c r="AC873" s="10">
        <f>SUMIFS('Custom Constraints'!$C:$C,'Custom Constraints'!$A:$A,"caiso-deliverability_"&amp;SUBSTITUTE(Dashboard!$D873,"_group",Dashboard!$D$763)&amp;"."&amp;YEAR(Dashboard!AC$537))+AC841</f>
        <v>0</v>
      </c>
      <c r="AD873" s="10">
        <f>SUMIFS('Custom Constraints'!$C:$C,'Custom Constraints'!$A:$A,"caiso-deliverability_"&amp;SUBSTITUTE(Dashboard!$D873,"_group",Dashboard!$D$763)&amp;"."&amp;YEAR(Dashboard!AD$537))+AD841</f>
        <v>-4931</v>
      </c>
      <c r="AH873" s="34" t="s">
        <v>422</v>
      </c>
    </row>
    <row r="874" spans="4:34" outlineLevel="2" x14ac:dyDescent="0.2">
      <c r="D874" s="8" t="s">
        <v>269</v>
      </c>
      <c r="E874" s="10">
        <f>SUMIFS('Custom Constraints'!$C:$C,'Custom Constraints'!$A:$A,"caiso-deliverability_"&amp;SUBSTITUTE(Dashboard!$D874,"_group",Dashboard!$D$763)&amp;"."&amp;YEAR(Dashboard!E$537))+E842</f>
        <v>0</v>
      </c>
      <c r="F874" s="10">
        <f>SUMIFS('Custom Constraints'!$C:$C,'Custom Constraints'!$A:$A,"caiso-deliverability_"&amp;SUBSTITUTE(Dashboard!$D874,"_group",Dashboard!$D$763)&amp;"."&amp;YEAR(Dashboard!F$537))+F842</f>
        <v>0</v>
      </c>
      <c r="G874" s="10">
        <f>SUMIFS('Custom Constraints'!$C:$C,'Custom Constraints'!$A:$A,"caiso-deliverability_"&amp;SUBSTITUTE(Dashboard!$D874,"_group",Dashboard!$D$763)&amp;"."&amp;YEAR(Dashboard!G$537))+G842</f>
        <v>0</v>
      </c>
      <c r="H874" s="10">
        <f>SUMIFS('Custom Constraints'!$C:$C,'Custom Constraints'!$A:$A,"caiso-deliverability_"&amp;SUBSTITUTE(Dashboard!$D874,"_group",Dashboard!$D$763)&amp;"."&amp;YEAR(Dashboard!H$537))+H842</f>
        <v>0</v>
      </c>
      <c r="I874" s="10">
        <f>SUMIFS('Custom Constraints'!$C:$C,'Custom Constraints'!$A:$A,"caiso-deliverability_"&amp;SUBSTITUTE(Dashboard!$D874,"_group",Dashboard!$D$763)&amp;"."&amp;YEAR(Dashboard!I$537))+I842</f>
        <v>0</v>
      </c>
      <c r="J874" s="10">
        <f>SUMIFS('Custom Constraints'!$C:$C,'Custom Constraints'!$A:$A,"caiso-deliverability_"&amp;SUBSTITUTE(Dashboard!$D874,"_group",Dashboard!$D$763)&amp;"."&amp;YEAR(Dashboard!J$537))+J842</f>
        <v>0</v>
      </c>
      <c r="K874" s="10">
        <f>SUMIFS('Custom Constraints'!$C:$C,'Custom Constraints'!$A:$A,"caiso-deliverability_"&amp;SUBSTITUTE(Dashboard!$D874,"_group",Dashboard!$D$763)&amp;"."&amp;YEAR(Dashboard!K$537))+K842</f>
        <v>0</v>
      </c>
      <c r="L874" s="10">
        <f>SUMIFS('Custom Constraints'!$C:$C,'Custom Constraints'!$A:$A,"caiso-deliverability_"&amp;SUBSTITUTE(Dashboard!$D874,"_group",Dashboard!$D$763)&amp;"."&amp;YEAR(Dashboard!L$537))+L842</f>
        <v>0</v>
      </c>
      <c r="M874" s="10">
        <f>SUMIFS('Custom Constraints'!$C:$C,'Custom Constraints'!$A:$A,"caiso-deliverability_"&amp;SUBSTITUTE(Dashboard!$D874,"_group",Dashboard!$D$763)&amp;"."&amp;YEAR(Dashboard!M$537))+M842</f>
        <v>0</v>
      </c>
      <c r="N874" s="10">
        <f>SUMIFS('Custom Constraints'!$C:$C,'Custom Constraints'!$A:$A,"caiso-deliverability_"&amp;SUBSTITUTE(Dashboard!$D874,"_group",Dashboard!$D$763)&amp;"."&amp;YEAR(Dashboard!N$537))+N842</f>
        <v>0</v>
      </c>
      <c r="O874" s="10">
        <f>SUMIFS('Custom Constraints'!$C:$C,'Custom Constraints'!$A:$A,"caiso-deliverability_"&amp;SUBSTITUTE(Dashboard!$D874,"_group",Dashboard!$D$763)&amp;"."&amp;YEAR(Dashboard!O$537))+O842</f>
        <v>0</v>
      </c>
      <c r="P874" s="10">
        <f>SUMIFS('Custom Constraints'!$C:$C,'Custom Constraints'!$A:$A,"caiso-deliverability_"&amp;SUBSTITUTE(Dashboard!$D874,"_group",Dashboard!$D$763)&amp;"."&amp;YEAR(Dashboard!P$537))+P842</f>
        <v>0</v>
      </c>
      <c r="Q874" s="10">
        <f>SUMIFS('Custom Constraints'!$C:$C,'Custom Constraints'!$A:$A,"caiso-deliverability_"&amp;SUBSTITUTE(Dashboard!$D874,"_group",Dashboard!$D$763)&amp;"."&amp;YEAR(Dashboard!Q$537))+Q842</f>
        <v>0</v>
      </c>
      <c r="R874" s="10">
        <f>SUMIFS('Custom Constraints'!$C:$C,'Custom Constraints'!$A:$A,"caiso-deliverability_"&amp;SUBSTITUTE(Dashboard!$D874,"_group",Dashboard!$D$763)&amp;"."&amp;YEAR(Dashboard!R$537))+R842</f>
        <v>0</v>
      </c>
      <c r="S874" s="10">
        <f>SUMIFS('Custom Constraints'!$C:$C,'Custom Constraints'!$A:$A,"caiso-deliverability_"&amp;SUBSTITUTE(Dashboard!$D874,"_group",Dashboard!$D$763)&amp;"."&amp;YEAR(Dashboard!S$537))+S842</f>
        <v>0</v>
      </c>
      <c r="T874" s="10">
        <f>SUMIFS('Custom Constraints'!$C:$C,'Custom Constraints'!$A:$A,"caiso-deliverability_"&amp;SUBSTITUTE(Dashboard!$D874,"_group",Dashboard!$D$763)&amp;"."&amp;YEAR(Dashboard!T$537))+T842</f>
        <v>0</v>
      </c>
      <c r="U874" s="10">
        <f>SUMIFS('Custom Constraints'!$C:$C,'Custom Constraints'!$A:$A,"caiso-deliverability_"&amp;SUBSTITUTE(Dashboard!$D874,"_group",Dashboard!$D$763)&amp;"."&amp;YEAR(Dashboard!U$537))+U842</f>
        <v>0</v>
      </c>
      <c r="V874" s="10">
        <f>SUMIFS('Custom Constraints'!$C:$C,'Custom Constraints'!$A:$A,"caiso-deliverability_"&amp;SUBSTITUTE(Dashboard!$D874,"_group",Dashboard!$D$763)&amp;"."&amp;YEAR(Dashboard!V$537))+V842</f>
        <v>0</v>
      </c>
      <c r="W874" s="10">
        <f>SUMIFS('Custom Constraints'!$C:$C,'Custom Constraints'!$A:$A,"caiso-deliverability_"&amp;SUBSTITUTE(Dashboard!$D874,"_group",Dashboard!$D$763)&amp;"."&amp;YEAR(Dashboard!W$537))+W842</f>
        <v>0</v>
      </c>
      <c r="X874" s="10">
        <f>SUMIFS('Custom Constraints'!$C:$C,'Custom Constraints'!$A:$A,"caiso-deliverability_"&amp;SUBSTITUTE(Dashboard!$D874,"_group",Dashboard!$D$763)&amp;"."&amp;YEAR(Dashboard!X$537))+X842</f>
        <v>0</v>
      </c>
      <c r="Y874" s="10">
        <f>SUMIFS('Custom Constraints'!$C:$C,'Custom Constraints'!$A:$A,"caiso-deliverability_"&amp;SUBSTITUTE(Dashboard!$D874,"_group",Dashboard!$D$763)&amp;"."&amp;YEAR(Dashboard!Y$537))+Y842</f>
        <v>0</v>
      </c>
      <c r="Z874" s="10">
        <f>SUMIFS('Custom Constraints'!$C:$C,'Custom Constraints'!$A:$A,"caiso-deliverability_"&amp;SUBSTITUTE(Dashboard!$D874,"_group",Dashboard!$D$763)&amp;"."&amp;YEAR(Dashboard!Z$537))+Z842</f>
        <v>0</v>
      </c>
      <c r="AA874" s="10">
        <f>SUMIFS('Custom Constraints'!$C:$C,'Custom Constraints'!$A:$A,"caiso-deliverability_"&amp;SUBSTITUTE(Dashboard!$D874,"_group",Dashboard!$D$763)&amp;"."&amp;YEAR(Dashboard!AA$537))+AA842</f>
        <v>0</v>
      </c>
      <c r="AB874" s="10">
        <f>SUMIFS('Custom Constraints'!$C:$C,'Custom Constraints'!$A:$A,"caiso-deliverability_"&amp;SUBSTITUTE(Dashboard!$D874,"_group",Dashboard!$D$763)&amp;"."&amp;YEAR(Dashboard!AB$537))+AB842</f>
        <v>0</v>
      </c>
      <c r="AC874" s="10">
        <f>SUMIFS('Custom Constraints'!$C:$C,'Custom Constraints'!$A:$A,"caiso-deliverability_"&amp;SUBSTITUTE(Dashboard!$D874,"_group",Dashboard!$D$763)&amp;"."&amp;YEAR(Dashboard!AC$537))+AC842</f>
        <v>0</v>
      </c>
      <c r="AD874" s="10">
        <f>SUMIFS('Custom Constraints'!$C:$C,'Custom Constraints'!$A:$A,"caiso-deliverability_"&amp;SUBSTITUTE(Dashboard!$D874,"_group",Dashboard!$D$763)&amp;"."&amp;YEAR(Dashboard!AD$537))+AD842</f>
        <v>40.36</v>
      </c>
      <c r="AH874" s="34" t="s">
        <v>422</v>
      </c>
    </row>
    <row r="875" spans="4:34" outlineLevel="2" x14ac:dyDescent="0.2">
      <c r="D875" s="8" t="s">
        <v>270</v>
      </c>
      <c r="E875" s="10">
        <f>SUMIFS('Custom Constraints'!$C:$C,'Custom Constraints'!$A:$A,"caiso-deliverability_"&amp;SUBSTITUTE(Dashboard!$D875,"_group",Dashboard!$D$763)&amp;"."&amp;YEAR(Dashboard!E$537))+E843</f>
        <v>0</v>
      </c>
      <c r="F875" s="10">
        <f>SUMIFS('Custom Constraints'!$C:$C,'Custom Constraints'!$A:$A,"caiso-deliverability_"&amp;SUBSTITUTE(Dashboard!$D875,"_group",Dashboard!$D$763)&amp;"."&amp;YEAR(Dashboard!F$537))+F843</f>
        <v>0</v>
      </c>
      <c r="G875" s="10">
        <f>SUMIFS('Custom Constraints'!$C:$C,'Custom Constraints'!$A:$A,"caiso-deliverability_"&amp;SUBSTITUTE(Dashboard!$D875,"_group",Dashboard!$D$763)&amp;"."&amp;YEAR(Dashboard!G$537))+G843</f>
        <v>0</v>
      </c>
      <c r="H875" s="10">
        <f>SUMIFS('Custom Constraints'!$C:$C,'Custom Constraints'!$A:$A,"caiso-deliverability_"&amp;SUBSTITUTE(Dashboard!$D875,"_group",Dashboard!$D$763)&amp;"."&amp;YEAR(Dashboard!H$537))+H843</f>
        <v>0</v>
      </c>
      <c r="I875" s="10">
        <f>SUMIFS('Custom Constraints'!$C:$C,'Custom Constraints'!$A:$A,"caiso-deliverability_"&amp;SUBSTITUTE(Dashboard!$D875,"_group",Dashboard!$D$763)&amp;"."&amp;YEAR(Dashboard!I$537))+I843</f>
        <v>0</v>
      </c>
      <c r="J875" s="10">
        <f>SUMIFS('Custom Constraints'!$C:$C,'Custom Constraints'!$A:$A,"caiso-deliverability_"&amp;SUBSTITUTE(Dashboard!$D875,"_group",Dashboard!$D$763)&amp;"."&amp;YEAR(Dashboard!J$537))+J843</f>
        <v>0</v>
      </c>
      <c r="K875" s="10">
        <f>SUMIFS('Custom Constraints'!$C:$C,'Custom Constraints'!$A:$A,"caiso-deliverability_"&amp;SUBSTITUTE(Dashboard!$D875,"_group",Dashboard!$D$763)&amp;"."&amp;YEAR(Dashboard!K$537))+K843</f>
        <v>0</v>
      </c>
      <c r="L875" s="10">
        <f>SUMIFS('Custom Constraints'!$C:$C,'Custom Constraints'!$A:$A,"caiso-deliverability_"&amp;SUBSTITUTE(Dashboard!$D875,"_group",Dashboard!$D$763)&amp;"."&amp;YEAR(Dashboard!L$537))+L843</f>
        <v>0</v>
      </c>
      <c r="M875" s="10">
        <f>SUMIFS('Custom Constraints'!$C:$C,'Custom Constraints'!$A:$A,"caiso-deliverability_"&amp;SUBSTITUTE(Dashboard!$D875,"_group",Dashboard!$D$763)&amp;"."&amp;YEAR(Dashboard!M$537))+M843</f>
        <v>0</v>
      </c>
      <c r="N875" s="10">
        <f>SUMIFS('Custom Constraints'!$C:$C,'Custom Constraints'!$A:$A,"caiso-deliverability_"&amp;SUBSTITUTE(Dashboard!$D875,"_group",Dashboard!$D$763)&amp;"."&amp;YEAR(Dashboard!N$537))+N843</f>
        <v>0</v>
      </c>
      <c r="O875" s="10">
        <f>SUMIFS('Custom Constraints'!$C:$C,'Custom Constraints'!$A:$A,"caiso-deliverability_"&amp;SUBSTITUTE(Dashboard!$D875,"_group",Dashboard!$D$763)&amp;"."&amp;YEAR(Dashboard!O$537))+O843</f>
        <v>0</v>
      </c>
      <c r="P875" s="10">
        <f>SUMIFS('Custom Constraints'!$C:$C,'Custom Constraints'!$A:$A,"caiso-deliverability_"&amp;SUBSTITUTE(Dashboard!$D875,"_group",Dashboard!$D$763)&amp;"."&amp;YEAR(Dashboard!P$537))+P843</f>
        <v>0</v>
      </c>
      <c r="Q875" s="10">
        <f>SUMIFS('Custom Constraints'!$C:$C,'Custom Constraints'!$A:$A,"caiso-deliverability_"&amp;SUBSTITUTE(Dashboard!$D875,"_group",Dashboard!$D$763)&amp;"."&amp;YEAR(Dashboard!Q$537))+Q843</f>
        <v>0</v>
      </c>
      <c r="R875" s="10">
        <f>SUMIFS('Custom Constraints'!$C:$C,'Custom Constraints'!$A:$A,"caiso-deliverability_"&amp;SUBSTITUTE(Dashboard!$D875,"_group",Dashboard!$D$763)&amp;"."&amp;YEAR(Dashboard!R$537))+R843</f>
        <v>0</v>
      </c>
      <c r="S875" s="10">
        <f>SUMIFS('Custom Constraints'!$C:$C,'Custom Constraints'!$A:$A,"caiso-deliverability_"&amp;SUBSTITUTE(Dashboard!$D875,"_group",Dashboard!$D$763)&amp;"."&amp;YEAR(Dashboard!S$537))+S843</f>
        <v>0</v>
      </c>
      <c r="T875" s="10">
        <f>SUMIFS('Custom Constraints'!$C:$C,'Custom Constraints'!$A:$A,"caiso-deliverability_"&amp;SUBSTITUTE(Dashboard!$D875,"_group",Dashboard!$D$763)&amp;"."&amp;YEAR(Dashboard!T$537))+T843</f>
        <v>0</v>
      </c>
      <c r="U875" s="10">
        <f>SUMIFS('Custom Constraints'!$C:$C,'Custom Constraints'!$A:$A,"caiso-deliverability_"&amp;SUBSTITUTE(Dashboard!$D875,"_group",Dashboard!$D$763)&amp;"."&amp;YEAR(Dashboard!U$537))+U843</f>
        <v>0</v>
      </c>
      <c r="V875" s="10">
        <f>SUMIFS('Custom Constraints'!$C:$C,'Custom Constraints'!$A:$A,"caiso-deliverability_"&amp;SUBSTITUTE(Dashboard!$D875,"_group",Dashboard!$D$763)&amp;"."&amp;YEAR(Dashboard!V$537))+V843</f>
        <v>0</v>
      </c>
      <c r="W875" s="10">
        <f>SUMIFS('Custom Constraints'!$C:$C,'Custom Constraints'!$A:$A,"caiso-deliverability_"&amp;SUBSTITUTE(Dashboard!$D875,"_group",Dashboard!$D$763)&amp;"."&amp;YEAR(Dashboard!W$537))+W843</f>
        <v>0</v>
      </c>
      <c r="X875" s="10">
        <f>SUMIFS('Custom Constraints'!$C:$C,'Custom Constraints'!$A:$A,"caiso-deliverability_"&amp;SUBSTITUTE(Dashboard!$D875,"_group",Dashboard!$D$763)&amp;"."&amp;YEAR(Dashboard!X$537))+X843</f>
        <v>0</v>
      </c>
      <c r="Y875" s="10">
        <f>SUMIFS('Custom Constraints'!$C:$C,'Custom Constraints'!$A:$A,"caiso-deliverability_"&amp;SUBSTITUTE(Dashboard!$D875,"_group",Dashboard!$D$763)&amp;"."&amp;YEAR(Dashboard!Y$537))+Y843</f>
        <v>0</v>
      </c>
      <c r="Z875" s="10">
        <f>SUMIFS('Custom Constraints'!$C:$C,'Custom Constraints'!$A:$A,"caiso-deliverability_"&amp;SUBSTITUTE(Dashboard!$D875,"_group",Dashboard!$D$763)&amp;"."&amp;YEAR(Dashboard!Z$537))+Z843</f>
        <v>0</v>
      </c>
      <c r="AA875" s="10">
        <f>SUMIFS('Custom Constraints'!$C:$C,'Custom Constraints'!$A:$A,"caiso-deliverability_"&amp;SUBSTITUTE(Dashboard!$D875,"_group",Dashboard!$D$763)&amp;"."&amp;YEAR(Dashboard!AA$537))+AA843</f>
        <v>0</v>
      </c>
      <c r="AB875" s="10">
        <f>SUMIFS('Custom Constraints'!$C:$C,'Custom Constraints'!$A:$A,"caiso-deliverability_"&amp;SUBSTITUTE(Dashboard!$D875,"_group",Dashboard!$D$763)&amp;"."&amp;YEAR(Dashboard!AB$537))+AB843</f>
        <v>0</v>
      </c>
      <c r="AC875" s="10">
        <f>SUMIFS('Custom Constraints'!$C:$C,'Custom Constraints'!$A:$A,"caiso-deliverability_"&amp;SUBSTITUTE(Dashboard!$D875,"_group",Dashboard!$D$763)&amp;"."&amp;YEAR(Dashboard!AC$537))+AC843</f>
        <v>0</v>
      </c>
      <c r="AD875" s="10">
        <f>SUMIFS('Custom Constraints'!$C:$C,'Custom Constraints'!$A:$A,"caiso-deliverability_"&amp;SUBSTITUTE(Dashboard!$D875,"_group",Dashboard!$D$763)&amp;"."&amp;YEAR(Dashboard!AD$537))+AD843</f>
        <v>102.30045862800056</v>
      </c>
      <c r="AH875" s="34" t="s">
        <v>422</v>
      </c>
    </row>
    <row r="876" spans="4:34" outlineLevel="2" x14ac:dyDescent="0.2">
      <c r="D876" s="8" t="s">
        <v>271</v>
      </c>
      <c r="E876" s="10">
        <f>SUMIFS('Custom Constraints'!$C:$C,'Custom Constraints'!$A:$A,"caiso-deliverability_"&amp;SUBSTITUTE(Dashboard!$D876,"_group",Dashboard!$D$763)&amp;"."&amp;YEAR(Dashboard!E$537))+E844</f>
        <v>0</v>
      </c>
      <c r="F876" s="10">
        <f>SUMIFS('Custom Constraints'!$C:$C,'Custom Constraints'!$A:$A,"caiso-deliverability_"&amp;SUBSTITUTE(Dashboard!$D876,"_group",Dashboard!$D$763)&amp;"."&amp;YEAR(Dashboard!F$537))+F844</f>
        <v>0</v>
      </c>
      <c r="G876" s="10">
        <f>SUMIFS('Custom Constraints'!$C:$C,'Custom Constraints'!$A:$A,"caiso-deliverability_"&amp;SUBSTITUTE(Dashboard!$D876,"_group",Dashboard!$D$763)&amp;"."&amp;YEAR(Dashboard!G$537))+G844</f>
        <v>0</v>
      </c>
      <c r="H876" s="10">
        <f>SUMIFS('Custom Constraints'!$C:$C,'Custom Constraints'!$A:$A,"caiso-deliverability_"&amp;SUBSTITUTE(Dashboard!$D876,"_group",Dashboard!$D$763)&amp;"."&amp;YEAR(Dashboard!H$537))+H844</f>
        <v>0</v>
      </c>
      <c r="I876" s="10">
        <f>SUMIFS('Custom Constraints'!$C:$C,'Custom Constraints'!$A:$A,"caiso-deliverability_"&amp;SUBSTITUTE(Dashboard!$D876,"_group",Dashboard!$D$763)&amp;"."&amp;YEAR(Dashboard!I$537))+I844</f>
        <v>0</v>
      </c>
      <c r="J876" s="10">
        <f>SUMIFS('Custom Constraints'!$C:$C,'Custom Constraints'!$A:$A,"caiso-deliverability_"&amp;SUBSTITUTE(Dashboard!$D876,"_group",Dashboard!$D$763)&amp;"."&amp;YEAR(Dashboard!J$537))+J844</f>
        <v>0</v>
      </c>
      <c r="K876" s="10">
        <f>SUMIFS('Custom Constraints'!$C:$C,'Custom Constraints'!$A:$A,"caiso-deliverability_"&amp;SUBSTITUTE(Dashboard!$D876,"_group",Dashboard!$D$763)&amp;"."&amp;YEAR(Dashboard!K$537))+K844</f>
        <v>0</v>
      </c>
      <c r="L876" s="10">
        <f>SUMIFS('Custom Constraints'!$C:$C,'Custom Constraints'!$A:$A,"caiso-deliverability_"&amp;SUBSTITUTE(Dashboard!$D876,"_group",Dashboard!$D$763)&amp;"."&amp;YEAR(Dashboard!L$537))+L844</f>
        <v>0</v>
      </c>
      <c r="M876" s="10">
        <f>SUMIFS('Custom Constraints'!$C:$C,'Custom Constraints'!$A:$A,"caiso-deliverability_"&amp;SUBSTITUTE(Dashboard!$D876,"_group",Dashboard!$D$763)&amp;"."&amp;YEAR(Dashboard!M$537))+M844</f>
        <v>0</v>
      </c>
      <c r="N876" s="10">
        <f>SUMIFS('Custom Constraints'!$C:$C,'Custom Constraints'!$A:$A,"caiso-deliverability_"&amp;SUBSTITUTE(Dashboard!$D876,"_group",Dashboard!$D$763)&amp;"."&amp;YEAR(Dashboard!N$537))+N844</f>
        <v>0</v>
      </c>
      <c r="O876" s="10">
        <f>SUMIFS('Custom Constraints'!$C:$C,'Custom Constraints'!$A:$A,"caiso-deliverability_"&amp;SUBSTITUTE(Dashboard!$D876,"_group",Dashboard!$D$763)&amp;"."&amp;YEAR(Dashboard!O$537))+O844</f>
        <v>0</v>
      </c>
      <c r="P876" s="10">
        <f>SUMIFS('Custom Constraints'!$C:$C,'Custom Constraints'!$A:$A,"caiso-deliverability_"&amp;SUBSTITUTE(Dashboard!$D876,"_group",Dashboard!$D$763)&amp;"."&amp;YEAR(Dashboard!P$537))+P844</f>
        <v>0</v>
      </c>
      <c r="Q876" s="10">
        <f>SUMIFS('Custom Constraints'!$C:$C,'Custom Constraints'!$A:$A,"caiso-deliverability_"&amp;SUBSTITUTE(Dashboard!$D876,"_group",Dashboard!$D$763)&amp;"."&amp;YEAR(Dashboard!Q$537))+Q844</f>
        <v>0</v>
      </c>
      <c r="R876" s="10">
        <f>SUMIFS('Custom Constraints'!$C:$C,'Custom Constraints'!$A:$A,"caiso-deliverability_"&amp;SUBSTITUTE(Dashboard!$D876,"_group",Dashboard!$D$763)&amp;"."&amp;YEAR(Dashboard!R$537))+R844</f>
        <v>0</v>
      </c>
      <c r="S876" s="10">
        <f>SUMIFS('Custom Constraints'!$C:$C,'Custom Constraints'!$A:$A,"caiso-deliverability_"&amp;SUBSTITUTE(Dashboard!$D876,"_group",Dashboard!$D$763)&amp;"."&amp;YEAR(Dashboard!S$537))+S844</f>
        <v>0</v>
      </c>
      <c r="T876" s="10">
        <f>SUMIFS('Custom Constraints'!$C:$C,'Custom Constraints'!$A:$A,"caiso-deliverability_"&amp;SUBSTITUTE(Dashboard!$D876,"_group",Dashboard!$D$763)&amp;"."&amp;YEAR(Dashboard!T$537))+T844</f>
        <v>0</v>
      </c>
      <c r="U876" s="10">
        <f>SUMIFS('Custom Constraints'!$C:$C,'Custom Constraints'!$A:$A,"caiso-deliverability_"&amp;SUBSTITUTE(Dashboard!$D876,"_group",Dashboard!$D$763)&amp;"."&amp;YEAR(Dashboard!U$537))+U844</f>
        <v>0</v>
      </c>
      <c r="V876" s="10">
        <f>SUMIFS('Custom Constraints'!$C:$C,'Custom Constraints'!$A:$A,"caiso-deliverability_"&amp;SUBSTITUTE(Dashboard!$D876,"_group",Dashboard!$D$763)&amp;"."&amp;YEAR(Dashboard!V$537))+V844</f>
        <v>0</v>
      </c>
      <c r="W876" s="10">
        <f>SUMIFS('Custom Constraints'!$C:$C,'Custom Constraints'!$A:$A,"caiso-deliverability_"&amp;SUBSTITUTE(Dashboard!$D876,"_group",Dashboard!$D$763)&amp;"."&amp;YEAR(Dashboard!W$537))+W844</f>
        <v>0</v>
      </c>
      <c r="X876" s="10">
        <f>SUMIFS('Custom Constraints'!$C:$C,'Custom Constraints'!$A:$A,"caiso-deliverability_"&amp;SUBSTITUTE(Dashboard!$D876,"_group",Dashboard!$D$763)&amp;"."&amp;YEAR(Dashboard!X$537))+X844</f>
        <v>0</v>
      </c>
      <c r="Y876" s="10">
        <f>SUMIFS('Custom Constraints'!$C:$C,'Custom Constraints'!$A:$A,"caiso-deliverability_"&amp;SUBSTITUTE(Dashboard!$D876,"_group",Dashboard!$D$763)&amp;"."&amp;YEAR(Dashboard!Y$537))+Y844</f>
        <v>0</v>
      </c>
      <c r="Z876" s="10">
        <f>SUMIFS('Custom Constraints'!$C:$C,'Custom Constraints'!$A:$A,"caiso-deliverability_"&amp;SUBSTITUTE(Dashboard!$D876,"_group",Dashboard!$D$763)&amp;"."&amp;YEAR(Dashboard!Z$537))+Z844</f>
        <v>0</v>
      </c>
      <c r="AA876" s="10">
        <f>SUMIFS('Custom Constraints'!$C:$C,'Custom Constraints'!$A:$A,"caiso-deliverability_"&amp;SUBSTITUTE(Dashboard!$D876,"_group",Dashboard!$D$763)&amp;"."&amp;YEAR(Dashboard!AA$537))+AA844</f>
        <v>0</v>
      </c>
      <c r="AB876" s="10">
        <f>SUMIFS('Custom Constraints'!$C:$C,'Custom Constraints'!$A:$A,"caiso-deliverability_"&amp;SUBSTITUTE(Dashboard!$D876,"_group",Dashboard!$D$763)&amp;"."&amp;YEAR(Dashboard!AB$537))+AB844</f>
        <v>0</v>
      </c>
      <c r="AC876" s="10">
        <f>SUMIFS('Custom Constraints'!$C:$C,'Custom Constraints'!$A:$A,"caiso-deliverability_"&amp;SUBSTITUTE(Dashboard!$D876,"_group",Dashboard!$D$763)&amp;"."&amp;YEAR(Dashboard!AC$537))+AC844</f>
        <v>0</v>
      </c>
      <c r="AD876" s="10">
        <f>SUMIFS('Custom Constraints'!$C:$C,'Custom Constraints'!$A:$A,"caiso-deliverability_"&amp;SUBSTITUTE(Dashboard!$D876,"_group",Dashboard!$D$763)&amp;"."&amp;YEAR(Dashboard!AD$537))+AD844</f>
        <v>-2229.3471419890002</v>
      </c>
      <c r="AH876" s="34" t="s">
        <v>422</v>
      </c>
    </row>
    <row r="877" spans="4:34" outlineLevel="2" x14ac:dyDescent="0.2">
      <c r="D877" s="8" t="s">
        <v>272</v>
      </c>
      <c r="E877" s="10">
        <f>SUMIFS('Custom Constraints'!$C:$C,'Custom Constraints'!$A:$A,"caiso-deliverability_"&amp;SUBSTITUTE(Dashboard!$D877,"_group",Dashboard!$D$763)&amp;"."&amp;YEAR(Dashboard!E$537))+E845</f>
        <v>0</v>
      </c>
      <c r="F877" s="10">
        <f>SUMIFS('Custom Constraints'!$C:$C,'Custom Constraints'!$A:$A,"caiso-deliverability_"&amp;SUBSTITUTE(Dashboard!$D877,"_group",Dashboard!$D$763)&amp;"."&amp;YEAR(Dashboard!F$537))+F845</f>
        <v>0</v>
      </c>
      <c r="G877" s="10">
        <f>SUMIFS('Custom Constraints'!$C:$C,'Custom Constraints'!$A:$A,"caiso-deliverability_"&amp;SUBSTITUTE(Dashboard!$D877,"_group",Dashboard!$D$763)&amp;"."&amp;YEAR(Dashboard!G$537))+G845</f>
        <v>0</v>
      </c>
      <c r="H877" s="10">
        <f>SUMIFS('Custom Constraints'!$C:$C,'Custom Constraints'!$A:$A,"caiso-deliverability_"&amp;SUBSTITUTE(Dashboard!$D877,"_group",Dashboard!$D$763)&amp;"."&amp;YEAR(Dashboard!H$537))+H845</f>
        <v>0</v>
      </c>
      <c r="I877" s="10">
        <f>SUMIFS('Custom Constraints'!$C:$C,'Custom Constraints'!$A:$A,"caiso-deliverability_"&amp;SUBSTITUTE(Dashboard!$D877,"_group",Dashboard!$D$763)&amp;"."&amp;YEAR(Dashboard!I$537))+I845</f>
        <v>0</v>
      </c>
      <c r="J877" s="10">
        <f>SUMIFS('Custom Constraints'!$C:$C,'Custom Constraints'!$A:$A,"caiso-deliverability_"&amp;SUBSTITUTE(Dashboard!$D877,"_group",Dashboard!$D$763)&amp;"."&amp;YEAR(Dashboard!J$537))+J845</f>
        <v>0</v>
      </c>
      <c r="K877" s="10">
        <f>SUMIFS('Custom Constraints'!$C:$C,'Custom Constraints'!$A:$A,"caiso-deliverability_"&amp;SUBSTITUTE(Dashboard!$D877,"_group",Dashboard!$D$763)&amp;"."&amp;YEAR(Dashboard!K$537))+K845</f>
        <v>0</v>
      </c>
      <c r="L877" s="10">
        <f>SUMIFS('Custom Constraints'!$C:$C,'Custom Constraints'!$A:$A,"caiso-deliverability_"&amp;SUBSTITUTE(Dashboard!$D877,"_group",Dashboard!$D$763)&amp;"."&amp;YEAR(Dashboard!L$537))+L845</f>
        <v>0</v>
      </c>
      <c r="M877" s="10">
        <f>SUMIFS('Custom Constraints'!$C:$C,'Custom Constraints'!$A:$A,"caiso-deliverability_"&amp;SUBSTITUTE(Dashboard!$D877,"_group",Dashboard!$D$763)&amp;"."&amp;YEAR(Dashboard!M$537))+M845</f>
        <v>0</v>
      </c>
      <c r="N877" s="10">
        <f>SUMIFS('Custom Constraints'!$C:$C,'Custom Constraints'!$A:$A,"caiso-deliverability_"&amp;SUBSTITUTE(Dashboard!$D877,"_group",Dashboard!$D$763)&amp;"."&amp;YEAR(Dashboard!N$537))+N845</f>
        <v>0</v>
      </c>
      <c r="O877" s="10">
        <f>SUMIFS('Custom Constraints'!$C:$C,'Custom Constraints'!$A:$A,"caiso-deliverability_"&amp;SUBSTITUTE(Dashboard!$D877,"_group",Dashboard!$D$763)&amp;"."&amp;YEAR(Dashboard!O$537))+O845</f>
        <v>0</v>
      </c>
      <c r="P877" s="10">
        <f>SUMIFS('Custom Constraints'!$C:$C,'Custom Constraints'!$A:$A,"caiso-deliverability_"&amp;SUBSTITUTE(Dashboard!$D877,"_group",Dashboard!$D$763)&amp;"."&amp;YEAR(Dashboard!P$537))+P845</f>
        <v>0</v>
      </c>
      <c r="Q877" s="10">
        <f>SUMIFS('Custom Constraints'!$C:$C,'Custom Constraints'!$A:$A,"caiso-deliverability_"&amp;SUBSTITUTE(Dashboard!$D877,"_group",Dashboard!$D$763)&amp;"."&amp;YEAR(Dashboard!Q$537))+Q845</f>
        <v>0</v>
      </c>
      <c r="R877" s="10">
        <f>SUMIFS('Custom Constraints'!$C:$C,'Custom Constraints'!$A:$A,"caiso-deliverability_"&amp;SUBSTITUTE(Dashboard!$D877,"_group",Dashboard!$D$763)&amp;"."&amp;YEAR(Dashboard!R$537))+R845</f>
        <v>0</v>
      </c>
      <c r="S877" s="10">
        <f>SUMIFS('Custom Constraints'!$C:$C,'Custom Constraints'!$A:$A,"caiso-deliverability_"&amp;SUBSTITUTE(Dashboard!$D877,"_group",Dashboard!$D$763)&amp;"."&amp;YEAR(Dashboard!S$537))+S845</f>
        <v>0</v>
      </c>
      <c r="T877" s="10">
        <f>SUMIFS('Custom Constraints'!$C:$C,'Custom Constraints'!$A:$A,"caiso-deliverability_"&amp;SUBSTITUTE(Dashboard!$D877,"_group",Dashboard!$D$763)&amp;"."&amp;YEAR(Dashboard!T$537))+T845</f>
        <v>0</v>
      </c>
      <c r="U877" s="10">
        <f>SUMIFS('Custom Constraints'!$C:$C,'Custom Constraints'!$A:$A,"caiso-deliverability_"&amp;SUBSTITUTE(Dashboard!$D877,"_group",Dashboard!$D$763)&amp;"."&amp;YEAR(Dashboard!U$537))+U845</f>
        <v>0</v>
      </c>
      <c r="V877" s="10">
        <f>SUMIFS('Custom Constraints'!$C:$C,'Custom Constraints'!$A:$A,"caiso-deliverability_"&amp;SUBSTITUTE(Dashboard!$D877,"_group",Dashboard!$D$763)&amp;"."&amp;YEAR(Dashboard!V$537))+V845</f>
        <v>0</v>
      </c>
      <c r="W877" s="10">
        <f>SUMIFS('Custom Constraints'!$C:$C,'Custom Constraints'!$A:$A,"caiso-deliverability_"&amp;SUBSTITUTE(Dashboard!$D877,"_group",Dashboard!$D$763)&amp;"."&amp;YEAR(Dashboard!W$537))+W845</f>
        <v>0</v>
      </c>
      <c r="X877" s="10">
        <f>SUMIFS('Custom Constraints'!$C:$C,'Custom Constraints'!$A:$A,"caiso-deliverability_"&amp;SUBSTITUTE(Dashboard!$D877,"_group",Dashboard!$D$763)&amp;"."&amp;YEAR(Dashboard!X$537))+X845</f>
        <v>0</v>
      </c>
      <c r="Y877" s="10">
        <f>SUMIFS('Custom Constraints'!$C:$C,'Custom Constraints'!$A:$A,"caiso-deliverability_"&amp;SUBSTITUTE(Dashboard!$D877,"_group",Dashboard!$D$763)&amp;"."&amp;YEAR(Dashboard!Y$537))+Y845</f>
        <v>0</v>
      </c>
      <c r="Z877" s="10">
        <f>SUMIFS('Custom Constraints'!$C:$C,'Custom Constraints'!$A:$A,"caiso-deliverability_"&amp;SUBSTITUTE(Dashboard!$D877,"_group",Dashboard!$D$763)&amp;"."&amp;YEAR(Dashboard!Z$537))+Z845</f>
        <v>0</v>
      </c>
      <c r="AA877" s="10">
        <f>SUMIFS('Custom Constraints'!$C:$C,'Custom Constraints'!$A:$A,"caiso-deliverability_"&amp;SUBSTITUTE(Dashboard!$D877,"_group",Dashboard!$D$763)&amp;"."&amp;YEAR(Dashboard!AA$537))+AA845</f>
        <v>0</v>
      </c>
      <c r="AB877" s="10">
        <f>SUMIFS('Custom Constraints'!$C:$C,'Custom Constraints'!$A:$A,"caiso-deliverability_"&amp;SUBSTITUTE(Dashboard!$D877,"_group",Dashboard!$D$763)&amp;"."&amp;YEAR(Dashboard!AB$537))+AB845</f>
        <v>0</v>
      </c>
      <c r="AC877" s="10">
        <f>SUMIFS('Custom Constraints'!$C:$C,'Custom Constraints'!$A:$A,"caiso-deliverability_"&amp;SUBSTITUTE(Dashboard!$D877,"_group",Dashboard!$D$763)&amp;"."&amp;YEAR(Dashboard!AC$537))+AC845</f>
        <v>0</v>
      </c>
      <c r="AD877" s="10">
        <f>SUMIFS('Custom Constraints'!$C:$C,'Custom Constraints'!$A:$A,"caiso-deliverability_"&amp;SUBSTITUTE(Dashboard!$D877,"_group",Dashboard!$D$763)&amp;"."&amp;YEAR(Dashboard!AD$537))+AD845</f>
        <v>76.12</v>
      </c>
      <c r="AH877" s="34" t="s">
        <v>422</v>
      </c>
    </row>
    <row r="878" spans="4:34" outlineLevel="2" x14ac:dyDescent="0.2">
      <c r="D878" s="8" t="s">
        <v>273</v>
      </c>
      <c r="E878" s="10">
        <f>SUMIFS('Custom Constraints'!$C:$C,'Custom Constraints'!$A:$A,"caiso-deliverability_"&amp;SUBSTITUTE(Dashboard!$D878,"_group",Dashboard!$D$763)&amp;"."&amp;YEAR(Dashboard!E$537))+E846</f>
        <v>0</v>
      </c>
      <c r="F878" s="10">
        <f>SUMIFS('Custom Constraints'!$C:$C,'Custom Constraints'!$A:$A,"caiso-deliverability_"&amp;SUBSTITUTE(Dashboard!$D878,"_group",Dashboard!$D$763)&amp;"."&amp;YEAR(Dashboard!F$537))+F846</f>
        <v>0</v>
      </c>
      <c r="G878" s="10">
        <f>SUMIFS('Custom Constraints'!$C:$C,'Custom Constraints'!$A:$A,"caiso-deliverability_"&amp;SUBSTITUTE(Dashboard!$D878,"_group",Dashboard!$D$763)&amp;"."&amp;YEAR(Dashboard!G$537))+G846</f>
        <v>0</v>
      </c>
      <c r="H878" s="10">
        <f>SUMIFS('Custom Constraints'!$C:$C,'Custom Constraints'!$A:$A,"caiso-deliverability_"&amp;SUBSTITUTE(Dashboard!$D878,"_group",Dashboard!$D$763)&amp;"."&amp;YEAR(Dashboard!H$537))+H846</f>
        <v>0</v>
      </c>
      <c r="I878" s="10">
        <f>SUMIFS('Custom Constraints'!$C:$C,'Custom Constraints'!$A:$A,"caiso-deliverability_"&amp;SUBSTITUTE(Dashboard!$D878,"_group",Dashboard!$D$763)&amp;"."&amp;YEAR(Dashboard!I$537))+I846</f>
        <v>0</v>
      </c>
      <c r="J878" s="10">
        <f>SUMIFS('Custom Constraints'!$C:$C,'Custom Constraints'!$A:$A,"caiso-deliverability_"&amp;SUBSTITUTE(Dashboard!$D878,"_group",Dashboard!$D$763)&amp;"."&amp;YEAR(Dashboard!J$537))+J846</f>
        <v>0</v>
      </c>
      <c r="K878" s="10">
        <f>SUMIFS('Custom Constraints'!$C:$C,'Custom Constraints'!$A:$A,"caiso-deliverability_"&amp;SUBSTITUTE(Dashboard!$D878,"_group",Dashboard!$D$763)&amp;"."&amp;YEAR(Dashboard!K$537))+K846</f>
        <v>0</v>
      </c>
      <c r="L878" s="10">
        <f>SUMIFS('Custom Constraints'!$C:$C,'Custom Constraints'!$A:$A,"caiso-deliverability_"&amp;SUBSTITUTE(Dashboard!$D878,"_group",Dashboard!$D$763)&amp;"."&amp;YEAR(Dashboard!L$537))+L846</f>
        <v>0</v>
      </c>
      <c r="M878" s="10">
        <f>SUMIFS('Custom Constraints'!$C:$C,'Custom Constraints'!$A:$A,"caiso-deliverability_"&amp;SUBSTITUTE(Dashboard!$D878,"_group",Dashboard!$D$763)&amp;"."&amp;YEAR(Dashboard!M$537))+M846</f>
        <v>0</v>
      </c>
      <c r="N878" s="10">
        <f>SUMIFS('Custom Constraints'!$C:$C,'Custom Constraints'!$A:$A,"caiso-deliverability_"&amp;SUBSTITUTE(Dashboard!$D878,"_group",Dashboard!$D$763)&amp;"."&amp;YEAR(Dashboard!N$537))+N846</f>
        <v>0</v>
      </c>
      <c r="O878" s="10">
        <f>SUMIFS('Custom Constraints'!$C:$C,'Custom Constraints'!$A:$A,"caiso-deliverability_"&amp;SUBSTITUTE(Dashboard!$D878,"_group",Dashboard!$D$763)&amp;"."&amp;YEAR(Dashboard!O$537))+O846</f>
        <v>0</v>
      </c>
      <c r="P878" s="10">
        <f>SUMIFS('Custom Constraints'!$C:$C,'Custom Constraints'!$A:$A,"caiso-deliverability_"&amp;SUBSTITUTE(Dashboard!$D878,"_group",Dashboard!$D$763)&amp;"."&amp;YEAR(Dashboard!P$537))+P846</f>
        <v>0</v>
      </c>
      <c r="Q878" s="10">
        <f>SUMIFS('Custom Constraints'!$C:$C,'Custom Constraints'!$A:$A,"caiso-deliverability_"&amp;SUBSTITUTE(Dashboard!$D878,"_group",Dashboard!$D$763)&amp;"."&amp;YEAR(Dashboard!Q$537))+Q846</f>
        <v>0</v>
      </c>
      <c r="R878" s="10">
        <f>SUMIFS('Custom Constraints'!$C:$C,'Custom Constraints'!$A:$A,"caiso-deliverability_"&amp;SUBSTITUTE(Dashboard!$D878,"_group",Dashboard!$D$763)&amp;"."&amp;YEAR(Dashboard!R$537))+R846</f>
        <v>0</v>
      </c>
      <c r="S878" s="10">
        <f>SUMIFS('Custom Constraints'!$C:$C,'Custom Constraints'!$A:$A,"caiso-deliverability_"&amp;SUBSTITUTE(Dashboard!$D878,"_group",Dashboard!$D$763)&amp;"."&amp;YEAR(Dashboard!S$537))+S846</f>
        <v>0</v>
      </c>
      <c r="T878" s="10">
        <f>SUMIFS('Custom Constraints'!$C:$C,'Custom Constraints'!$A:$A,"caiso-deliverability_"&amp;SUBSTITUTE(Dashboard!$D878,"_group",Dashboard!$D$763)&amp;"."&amp;YEAR(Dashboard!T$537))+T846</f>
        <v>0</v>
      </c>
      <c r="U878" s="10">
        <f>SUMIFS('Custom Constraints'!$C:$C,'Custom Constraints'!$A:$A,"caiso-deliverability_"&amp;SUBSTITUTE(Dashboard!$D878,"_group",Dashboard!$D$763)&amp;"."&amp;YEAR(Dashboard!U$537))+U846</f>
        <v>0</v>
      </c>
      <c r="V878" s="10">
        <f>SUMIFS('Custom Constraints'!$C:$C,'Custom Constraints'!$A:$A,"caiso-deliverability_"&amp;SUBSTITUTE(Dashboard!$D878,"_group",Dashboard!$D$763)&amp;"."&amp;YEAR(Dashboard!V$537))+V846</f>
        <v>0</v>
      </c>
      <c r="W878" s="10">
        <f>SUMIFS('Custom Constraints'!$C:$C,'Custom Constraints'!$A:$A,"caiso-deliverability_"&amp;SUBSTITUTE(Dashboard!$D878,"_group",Dashboard!$D$763)&amp;"."&amp;YEAR(Dashboard!W$537))+W846</f>
        <v>0</v>
      </c>
      <c r="X878" s="10">
        <f>SUMIFS('Custom Constraints'!$C:$C,'Custom Constraints'!$A:$A,"caiso-deliverability_"&amp;SUBSTITUTE(Dashboard!$D878,"_group",Dashboard!$D$763)&amp;"."&amp;YEAR(Dashboard!X$537))+X846</f>
        <v>0</v>
      </c>
      <c r="Y878" s="10">
        <f>SUMIFS('Custom Constraints'!$C:$C,'Custom Constraints'!$A:$A,"caiso-deliverability_"&amp;SUBSTITUTE(Dashboard!$D878,"_group",Dashboard!$D$763)&amp;"."&amp;YEAR(Dashboard!Y$537))+Y846</f>
        <v>0</v>
      </c>
      <c r="Z878" s="10">
        <f>SUMIFS('Custom Constraints'!$C:$C,'Custom Constraints'!$A:$A,"caiso-deliverability_"&amp;SUBSTITUTE(Dashboard!$D878,"_group",Dashboard!$D$763)&amp;"."&amp;YEAR(Dashboard!Z$537))+Z846</f>
        <v>0</v>
      </c>
      <c r="AA878" s="10">
        <f>SUMIFS('Custom Constraints'!$C:$C,'Custom Constraints'!$A:$A,"caiso-deliverability_"&amp;SUBSTITUTE(Dashboard!$D878,"_group",Dashboard!$D$763)&amp;"."&amp;YEAR(Dashboard!AA$537))+AA846</f>
        <v>0</v>
      </c>
      <c r="AB878" s="10">
        <f>SUMIFS('Custom Constraints'!$C:$C,'Custom Constraints'!$A:$A,"caiso-deliverability_"&amp;SUBSTITUTE(Dashboard!$D878,"_group",Dashboard!$D$763)&amp;"."&amp;YEAR(Dashboard!AB$537))+AB846</f>
        <v>0</v>
      </c>
      <c r="AC878" s="10">
        <f>SUMIFS('Custom Constraints'!$C:$C,'Custom Constraints'!$A:$A,"caiso-deliverability_"&amp;SUBSTITUTE(Dashboard!$D878,"_group",Dashboard!$D$763)&amp;"."&amp;YEAR(Dashboard!AC$537))+AC846</f>
        <v>0</v>
      </c>
      <c r="AD878" s="10">
        <f>SUMIFS('Custom Constraints'!$C:$C,'Custom Constraints'!$A:$A,"caiso-deliverability_"&amp;SUBSTITUTE(Dashboard!$D878,"_group",Dashboard!$D$763)&amp;"."&amp;YEAR(Dashboard!AD$537))+AD846</f>
        <v>152.68</v>
      </c>
      <c r="AH878" s="34" t="s">
        <v>422</v>
      </c>
    </row>
    <row r="879" spans="4:34" outlineLevel="2" x14ac:dyDescent="0.2">
      <c r="D879" s="8" t="s">
        <v>274</v>
      </c>
      <c r="E879" s="10">
        <f>SUMIFS('Custom Constraints'!$C:$C,'Custom Constraints'!$A:$A,"caiso-deliverability_"&amp;SUBSTITUTE(Dashboard!$D879,"_group",Dashboard!$D$763)&amp;"."&amp;YEAR(Dashboard!E$537))+E847</f>
        <v>0</v>
      </c>
      <c r="F879" s="10">
        <f>SUMIFS('Custom Constraints'!$C:$C,'Custom Constraints'!$A:$A,"caiso-deliverability_"&amp;SUBSTITUTE(Dashboard!$D879,"_group",Dashboard!$D$763)&amp;"."&amp;YEAR(Dashboard!F$537))+F847</f>
        <v>0</v>
      </c>
      <c r="G879" s="10">
        <f>SUMIFS('Custom Constraints'!$C:$C,'Custom Constraints'!$A:$A,"caiso-deliverability_"&amp;SUBSTITUTE(Dashboard!$D879,"_group",Dashboard!$D$763)&amp;"."&amp;YEAR(Dashboard!G$537))+G847</f>
        <v>0</v>
      </c>
      <c r="H879" s="10">
        <f>SUMIFS('Custom Constraints'!$C:$C,'Custom Constraints'!$A:$A,"caiso-deliverability_"&amp;SUBSTITUTE(Dashboard!$D879,"_group",Dashboard!$D$763)&amp;"."&amp;YEAR(Dashboard!H$537))+H847</f>
        <v>0</v>
      </c>
      <c r="I879" s="10">
        <f>SUMIFS('Custom Constraints'!$C:$C,'Custom Constraints'!$A:$A,"caiso-deliverability_"&amp;SUBSTITUTE(Dashboard!$D879,"_group",Dashboard!$D$763)&amp;"."&amp;YEAR(Dashboard!I$537))+I847</f>
        <v>0</v>
      </c>
      <c r="J879" s="10">
        <f>SUMIFS('Custom Constraints'!$C:$C,'Custom Constraints'!$A:$A,"caiso-deliverability_"&amp;SUBSTITUTE(Dashboard!$D879,"_group",Dashboard!$D$763)&amp;"."&amp;YEAR(Dashboard!J$537))+J847</f>
        <v>0</v>
      </c>
      <c r="K879" s="10">
        <f>SUMIFS('Custom Constraints'!$C:$C,'Custom Constraints'!$A:$A,"caiso-deliverability_"&amp;SUBSTITUTE(Dashboard!$D879,"_group",Dashboard!$D$763)&amp;"."&amp;YEAR(Dashboard!K$537))+K847</f>
        <v>0</v>
      </c>
      <c r="L879" s="10">
        <f>SUMIFS('Custom Constraints'!$C:$C,'Custom Constraints'!$A:$A,"caiso-deliverability_"&amp;SUBSTITUTE(Dashboard!$D879,"_group",Dashboard!$D$763)&amp;"."&amp;YEAR(Dashboard!L$537))+L847</f>
        <v>0</v>
      </c>
      <c r="M879" s="10">
        <f>SUMIFS('Custom Constraints'!$C:$C,'Custom Constraints'!$A:$A,"caiso-deliverability_"&amp;SUBSTITUTE(Dashboard!$D879,"_group",Dashboard!$D$763)&amp;"."&amp;YEAR(Dashboard!M$537))+M847</f>
        <v>0</v>
      </c>
      <c r="N879" s="10">
        <f>SUMIFS('Custom Constraints'!$C:$C,'Custom Constraints'!$A:$A,"caiso-deliverability_"&amp;SUBSTITUTE(Dashboard!$D879,"_group",Dashboard!$D$763)&amp;"."&amp;YEAR(Dashboard!N$537))+N847</f>
        <v>0</v>
      </c>
      <c r="O879" s="10">
        <f>SUMIFS('Custom Constraints'!$C:$C,'Custom Constraints'!$A:$A,"caiso-deliverability_"&amp;SUBSTITUTE(Dashboard!$D879,"_group",Dashboard!$D$763)&amp;"."&amp;YEAR(Dashboard!O$537))+O847</f>
        <v>0</v>
      </c>
      <c r="P879" s="10">
        <f>SUMIFS('Custom Constraints'!$C:$C,'Custom Constraints'!$A:$A,"caiso-deliverability_"&amp;SUBSTITUTE(Dashboard!$D879,"_group",Dashboard!$D$763)&amp;"."&amp;YEAR(Dashboard!P$537))+P847</f>
        <v>0</v>
      </c>
      <c r="Q879" s="10">
        <f>SUMIFS('Custom Constraints'!$C:$C,'Custom Constraints'!$A:$A,"caiso-deliverability_"&amp;SUBSTITUTE(Dashboard!$D879,"_group",Dashboard!$D$763)&amp;"."&amp;YEAR(Dashboard!Q$537))+Q847</f>
        <v>0</v>
      </c>
      <c r="R879" s="10">
        <f>SUMIFS('Custom Constraints'!$C:$C,'Custom Constraints'!$A:$A,"caiso-deliverability_"&amp;SUBSTITUTE(Dashboard!$D879,"_group",Dashboard!$D$763)&amp;"."&amp;YEAR(Dashboard!R$537))+R847</f>
        <v>0</v>
      </c>
      <c r="S879" s="10">
        <f>SUMIFS('Custom Constraints'!$C:$C,'Custom Constraints'!$A:$A,"caiso-deliverability_"&amp;SUBSTITUTE(Dashboard!$D879,"_group",Dashboard!$D$763)&amp;"."&amp;YEAR(Dashboard!S$537))+S847</f>
        <v>0</v>
      </c>
      <c r="T879" s="10">
        <f>SUMIFS('Custom Constraints'!$C:$C,'Custom Constraints'!$A:$A,"caiso-deliverability_"&amp;SUBSTITUTE(Dashboard!$D879,"_group",Dashboard!$D$763)&amp;"."&amp;YEAR(Dashboard!T$537))+T847</f>
        <v>0</v>
      </c>
      <c r="U879" s="10">
        <f>SUMIFS('Custom Constraints'!$C:$C,'Custom Constraints'!$A:$A,"caiso-deliverability_"&amp;SUBSTITUTE(Dashboard!$D879,"_group",Dashboard!$D$763)&amp;"."&amp;YEAR(Dashboard!U$537))+U847</f>
        <v>0</v>
      </c>
      <c r="V879" s="10">
        <f>SUMIFS('Custom Constraints'!$C:$C,'Custom Constraints'!$A:$A,"caiso-deliverability_"&amp;SUBSTITUTE(Dashboard!$D879,"_group",Dashboard!$D$763)&amp;"."&amp;YEAR(Dashboard!V$537))+V847</f>
        <v>0</v>
      </c>
      <c r="W879" s="10">
        <f>SUMIFS('Custom Constraints'!$C:$C,'Custom Constraints'!$A:$A,"caiso-deliverability_"&amp;SUBSTITUTE(Dashboard!$D879,"_group",Dashboard!$D$763)&amp;"."&amp;YEAR(Dashboard!W$537))+W847</f>
        <v>0</v>
      </c>
      <c r="X879" s="10">
        <f>SUMIFS('Custom Constraints'!$C:$C,'Custom Constraints'!$A:$A,"caiso-deliverability_"&amp;SUBSTITUTE(Dashboard!$D879,"_group",Dashboard!$D$763)&amp;"."&amp;YEAR(Dashboard!X$537))+X847</f>
        <v>0</v>
      </c>
      <c r="Y879" s="10">
        <f>SUMIFS('Custom Constraints'!$C:$C,'Custom Constraints'!$A:$A,"caiso-deliverability_"&amp;SUBSTITUTE(Dashboard!$D879,"_group",Dashboard!$D$763)&amp;"."&amp;YEAR(Dashboard!Y$537))+Y847</f>
        <v>0</v>
      </c>
      <c r="Z879" s="10">
        <f>SUMIFS('Custom Constraints'!$C:$C,'Custom Constraints'!$A:$A,"caiso-deliverability_"&amp;SUBSTITUTE(Dashboard!$D879,"_group",Dashboard!$D$763)&amp;"."&amp;YEAR(Dashboard!Z$537))+Z847</f>
        <v>0</v>
      </c>
      <c r="AA879" s="10">
        <f>SUMIFS('Custom Constraints'!$C:$C,'Custom Constraints'!$A:$A,"caiso-deliverability_"&amp;SUBSTITUTE(Dashboard!$D879,"_group",Dashboard!$D$763)&amp;"."&amp;YEAR(Dashboard!AA$537))+AA847</f>
        <v>0</v>
      </c>
      <c r="AB879" s="10">
        <f>SUMIFS('Custom Constraints'!$C:$C,'Custom Constraints'!$A:$A,"caiso-deliverability_"&amp;SUBSTITUTE(Dashboard!$D879,"_group",Dashboard!$D$763)&amp;"."&amp;YEAR(Dashboard!AB$537))+AB847</f>
        <v>0</v>
      </c>
      <c r="AC879" s="10">
        <f>SUMIFS('Custom Constraints'!$C:$C,'Custom Constraints'!$A:$A,"caiso-deliverability_"&amp;SUBSTITUTE(Dashboard!$D879,"_group",Dashboard!$D$763)&amp;"."&amp;YEAR(Dashboard!AC$537))+AC847</f>
        <v>0</v>
      </c>
      <c r="AD879" s="10">
        <f>SUMIFS('Custom Constraints'!$C:$C,'Custom Constraints'!$A:$A,"caiso-deliverability_"&amp;SUBSTITUTE(Dashboard!$D879,"_group",Dashboard!$D$763)&amp;"."&amp;YEAR(Dashboard!AD$537))+AD847</f>
        <v>-1901.2683425970999</v>
      </c>
      <c r="AH879" s="34" t="s">
        <v>422</v>
      </c>
    </row>
    <row r="880" spans="4:34" outlineLevel="2" x14ac:dyDescent="0.2">
      <c r="D880" s="8" t="s">
        <v>275</v>
      </c>
      <c r="E880" s="10">
        <f>SUMIFS('Custom Constraints'!$C:$C,'Custom Constraints'!$A:$A,"caiso-deliverability_"&amp;SUBSTITUTE(Dashboard!$D880,"_group",Dashboard!$D$763)&amp;"."&amp;YEAR(Dashboard!E$537))+E848</f>
        <v>0</v>
      </c>
      <c r="F880" s="10">
        <f>SUMIFS('Custom Constraints'!$C:$C,'Custom Constraints'!$A:$A,"caiso-deliverability_"&amp;SUBSTITUTE(Dashboard!$D880,"_group",Dashboard!$D$763)&amp;"."&amp;YEAR(Dashboard!F$537))+F848</f>
        <v>0</v>
      </c>
      <c r="G880" s="10">
        <f>SUMIFS('Custom Constraints'!$C:$C,'Custom Constraints'!$A:$A,"caiso-deliverability_"&amp;SUBSTITUTE(Dashboard!$D880,"_group",Dashboard!$D$763)&amp;"."&amp;YEAR(Dashboard!G$537))+G848</f>
        <v>0</v>
      </c>
      <c r="H880" s="10">
        <f>SUMIFS('Custom Constraints'!$C:$C,'Custom Constraints'!$A:$A,"caiso-deliverability_"&amp;SUBSTITUTE(Dashboard!$D880,"_group",Dashboard!$D$763)&amp;"."&amp;YEAR(Dashboard!H$537))+H848</f>
        <v>0</v>
      </c>
      <c r="I880" s="10">
        <f>SUMIFS('Custom Constraints'!$C:$C,'Custom Constraints'!$A:$A,"caiso-deliverability_"&amp;SUBSTITUTE(Dashboard!$D880,"_group",Dashboard!$D$763)&amp;"."&amp;YEAR(Dashboard!I$537))+I848</f>
        <v>0</v>
      </c>
      <c r="J880" s="10">
        <f>SUMIFS('Custom Constraints'!$C:$C,'Custom Constraints'!$A:$A,"caiso-deliverability_"&amp;SUBSTITUTE(Dashboard!$D880,"_group",Dashboard!$D$763)&amp;"."&amp;YEAR(Dashboard!J$537))+J848</f>
        <v>0</v>
      </c>
      <c r="K880" s="10">
        <f>SUMIFS('Custom Constraints'!$C:$C,'Custom Constraints'!$A:$A,"caiso-deliverability_"&amp;SUBSTITUTE(Dashboard!$D880,"_group",Dashboard!$D$763)&amp;"."&amp;YEAR(Dashboard!K$537))+K848</f>
        <v>0</v>
      </c>
      <c r="L880" s="10">
        <f>SUMIFS('Custom Constraints'!$C:$C,'Custom Constraints'!$A:$A,"caiso-deliverability_"&amp;SUBSTITUTE(Dashboard!$D880,"_group",Dashboard!$D$763)&amp;"."&amp;YEAR(Dashboard!L$537))+L848</f>
        <v>0</v>
      </c>
      <c r="M880" s="10">
        <f>SUMIFS('Custom Constraints'!$C:$C,'Custom Constraints'!$A:$A,"caiso-deliverability_"&amp;SUBSTITUTE(Dashboard!$D880,"_group",Dashboard!$D$763)&amp;"."&amp;YEAR(Dashboard!M$537))+M848</f>
        <v>0</v>
      </c>
      <c r="N880" s="10">
        <f>SUMIFS('Custom Constraints'!$C:$C,'Custom Constraints'!$A:$A,"caiso-deliverability_"&amp;SUBSTITUTE(Dashboard!$D880,"_group",Dashboard!$D$763)&amp;"."&amp;YEAR(Dashboard!N$537))+N848</f>
        <v>0</v>
      </c>
      <c r="O880" s="10">
        <f>SUMIFS('Custom Constraints'!$C:$C,'Custom Constraints'!$A:$A,"caiso-deliverability_"&amp;SUBSTITUTE(Dashboard!$D880,"_group",Dashboard!$D$763)&amp;"."&amp;YEAR(Dashboard!O$537))+O848</f>
        <v>0</v>
      </c>
      <c r="P880" s="10">
        <f>SUMIFS('Custom Constraints'!$C:$C,'Custom Constraints'!$A:$A,"caiso-deliverability_"&amp;SUBSTITUTE(Dashboard!$D880,"_group",Dashboard!$D$763)&amp;"."&amp;YEAR(Dashboard!P$537))+P848</f>
        <v>0</v>
      </c>
      <c r="Q880" s="10">
        <f>SUMIFS('Custom Constraints'!$C:$C,'Custom Constraints'!$A:$A,"caiso-deliverability_"&amp;SUBSTITUTE(Dashboard!$D880,"_group",Dashboard!$D$763)&amp;"."&amp;YEAR(Dashboard!Q$537))+Q848</f>
        <v>0</v>
      </c>
      <c r="R880" s="10">
        <f>SUMIFS('Custom Constraints'!$C:$C,'Custom Constraints'!$A:$A,"caiso-deliverability_"&amp;SUBSTITUTE(Dashboard!$D880,"_group",Dashboard!$D$763)&amp;"."&amp;YEAR(Dashboard!R$537))+R848</f>
        <v>0</v>
      </c>
      <c r="S880" s="10">
        <f>SUMIFS('Custom Constraints'!$C:$C,'Custom Constraints'!$A:$A,"caiso-deliverability_"&amp;SUBSTITUTE(Dashboard!$D880,"_group",Dashboard!$D$763)&amp;"."&amp;YEAR(Dashboard!S$537))+S848</f>
        <v>0</v>
      </c>
      <c r="T880" s="10">
        <f>SUMIFS('Custom Constraints'!$C:$C,'Custom Constraints'!$A:$A,"caiso-deliverability_"&amp;SUBSTITUTE(Dashboard!$D880,"_group",Dashboard!$D$763)&amp;"."&amp;YEAR(Dashboard!T$537))+T848</f>
        <v>0</v>
      </c>
      <c r="U880" s="10">
        <f>SUMIFS('Custom Constraints'!$C:$C,'Custom Constraints'!$A:$A,"caiso-deliverability_"&amp;SUBSTITUTE(Dashboard!$D880,"_group",Dashboard!$D$763)&amp;"."&amp;YEAR(Dashboard!U$537))+U848</f>
        <v>0</v>
      </c>
      <c r="V880" s="10">
        <f>SUMIFS('Custom Constraints'!$C:$C,'Custom Constraints'!$A:$A,"caiso-deliverability_"&amp;SUBSTITUTE(Dashboard!$D880,"_group",Dashboard!$D$763)&amp;"."&amp;YEAR(Dashboard!V$537))+V848</f>
        <v>0</v>
      </c>
      <c r="W880" s="10">
        <f>SUMIFS('Custom Constraints'!$C:$C,'Custom Constraints'!$A:$A,"caiso-deliverability_"&amp;SUBSTITUTE(Dashboard!$D880,"_group",Dashboard!$D$763)&amp;"."&amp;YEAR(Dashboard!W$537))+W848</f>
        <v>0</v>
      </c>
      <c r="X880" s="10">
        <f>SUMIFS('Custom Constraints'!$C:$C,'Custom Constraints'!$A:$A,"caiso-deliverability_"&amp;SUBSTITUTE(Dashboard!$D880,"_group",Dashboard!$D$763)&amp;"."&amp;YEAR(Dashboard!X$537))+X848</f>
        <v>0</v>
      </c>
      <c r="Y880" s="10">
        <f>SUMIFS('Custom Constraints'!$C:$C,'Custom Constraints'!$A:$A,"caiso-deliverability_"&amp;SUBSTITUTE(Dashboard!$D880,"_group",Dashboard!$D$763)&amp;"."&amp;YEAR(Dashboard!Y$537))+Y848</f>
        <v>0</v>
      </c>
      <c r="Z880" s="10">
        <f>SUMIFS('Custom Constraints'!$C:$C,'Custom Constraints'!$A:$A,"caiso-deliverability_"&amp;SUBSTITUTE(Dashboard!$D880,"_group",Dashboard!$D$763)&amp;"."&amp;YEAR(Dashboard!Z$537))+Z848</f>
        <v>0</v>
      </c>
      <c r="AA880" s="10">
        <f>SUMIFS('Custom Constraints'!$C:$C,'Custom Constraints'!$A:$A,"caiso-deliverability_"&amp;SUBSTITUTE(Dashboard!$D880,"_group",Dashboard!$D$763)&amp;"."&amp;YEAR(Dashboard!AA$537))+AA848</f>
        <v>0</v>
      </c>
      <c r="AB880" s="10">
        <f>SUMIFS('Custom Constraints'!$C:$C,'Custom Constraints'!$A:$A,"caiso-deliverability_"&amp;SUBSTITUTE(Dashboard!$D880,"_group",Dashboard!$D$763)&amp;"."&amp;YEAR(Dashboard!AB$537))+AB848</f>
        <v>0</v>
      </c>
      <c r="AC880" s="10">
        <f>SUMIFS('Custom Constraints'!$C:$C,'Custom Constraints'!$A:$A,"caiso-deliverability_"&amp;SUBSTITUTE(Dashboard!$D880,"_group",Dashboard!$D$763)&amp;"."&amp;YEAR(Dashboard!AC$537))+AC848</f>
        <v>0</v>
      </c>
      <c r="AD880" s="10">
        <f>SUMIFS('Custom Constraints'!$C:$C,'Custom Constraints'!$A:$A,"caiso-deliverability_"&amp;SUBSTITUTE(Dashboard!$D880,"_group",Dashboard!$D$763)&amp;"."&amp;YEAR(Dashboard!AD$537))+AD848</f>
        <v>1232.31597956313</v>
      </c>
      <c r="AH880" s="34" t="s">
        <v>422</v>
      </c>
    </row>
    <row r="881" spans="3:36" outlineLevel="2" x14ac:dyDescent="0.2">
      <c r="D881" s="8" t="s">
        <v>276</v>
      </c>
      <c r="E881" s="10">
        <f>SUMIFS('Custom Constraints'!$C:$C,'Custom Constraints'!$A:$A,"caiso-deliverability_"&amp;SUBSTITUTE(Dashboard!$D881,"_group",Dashboard!$D$763)&amp;"."&amp;YEAR(Dashboard!E$537))+E849</f>
        <v>0</v>
      </c>
      <c r="F881" s="10">
        <f>SUMIFS('Custom Constraints'!$C:$C,'Custom Constraints'!$A:$A,"caiso-deliverability_"&amp;SUBSTITUTE(Dashboard!$D881,"_group",Dashboard!$D$763)&amp;"."&amp;YEAR(Dashboard!F$537))+F849</f>
        <v>0</v>
      </c>
      <c r="G881" s="10">
        <f>SUMIFS('Custom Constraints'!$C:$C,'Custom Constraints'!$A:$A,"caiso-deliverability_"&amp;SUBSTITUTE(Dashboard!$D881,"_group",Dashboard!$D$763)&amp;"."&amp;YEAR(Dashboard!G$537))+G849</f>
        <v>0</v>
      </c>
      <c r="H881" s="10">
        <f>SUMIFS('Custom Constraints'!$C:$C,'Custom Constraints'!$A:$A,"caiso-deliverability_"&amp;SUBSTITUTE(Dashboard!$D881,"_group",Dashboard!$D$763)&amp;"."&amp;YEAR(Dashboard!H$537))+H849</f>
        <v>0</v>
      </c>
      <c r="I881" s="10">
        <f>SUMIFS('Custom Constraints'!$C:$C,'Custom Constraints'!$A:$A,"caiso-deliverability_"&amp;SUBSTITUTE(Dashboard!$D881,"_group",Dashboard!$D$763)&amp;"."&amp;YEAR(Dashboard!I$537))+I849</f>
        <v>0</v>
      </c>
      <c r="J881" s="10">
        <f>SUMIFS('Custom Constraints'!$C:$C,'Custom Constraints'!$A:$A,"caiso-deliverability_"&amp;SUBSTITUTE(Dashboard!$D881,"_group",Dashboard!$D$763)&amp;"."&amp;YEAR(Dashboard!J$537))+J849</f>
        <v>0</v>
      </c>
      <c r="K881" s="10">
        <f>SUMIFS('Custom Constraints'!$C:$C,'Custom Constraints'!$A:$A,"caiso-deliverability_"&amp;SUBSTITUTE(Dashboard!$D881,"_group",Dashboard!$D$763)&amp;"."&amp;YEAR(Dashboard!K$537))+K849</f>
        <v>0</v>
      </c>
      <c r="L881" s="10">
        <f>SUMIFS('Custom Constraints'!$C:$C,'Custom Constraints'!$A:$A,"caiso-deliverability_"&amp;SUBSTITUTE(Dashboard!$D881,"_group",Dashboard!$D$763)&amp;"."&amp;YEAR(Dashboard!L$537))+L849</f>
        <v>0</v>
      </c>
      <c r="M881" s="10">
        <f>SUMIFS('Custom Constraints'!$C:$C,'Custom Constraints'!$A:$A,"caiso-deliverability_"&amp;SUBSTITUTE(Dashboard!$D881,"_group",Dashboard!$D$763)&amp;"."&amp;YEAR(Dashboard!M$537))+M849</f>
        <v>0</v>
      </c>
      <c r="N881" s="10">
        <f>SUMIFS('Custom Constraints'!$C:$C,'Custom Constraints'!$A:$A,"caiso-deliverability_"&amp;SUBSTITUTE(Dashboard!$D881,"_group",Dashboard!$D$763)&amp;"."&amp;YEAR(Dashboard!N$537))+N849</f>
        <v>0</v>
      </c>
      <c r="O881" s="10">
        <f>SUMIFS('Custom Constraints'!$C:$C,'Custom Constraints'!$A:$A,"caiso-deliverability_"&amp;SUBSTITUTE(Dashboard!$D881,"_group",Dashboard!$D$763)&amp;"."&amp;YEAR(Dashboard!O$537))+O849</f>
        <v>0</v>
      </c>
      <c r="P881" s="10">
        <f>SUMIFS('Custom Constraints'!$C:$C,'Custom Constraints'!$A:$A,"caiso-deliverability_"&amp;SUBSTITUTE(Dashboard!$D881,"_group",Dashboard!$D$763)&amp;"."&amp;YEAR(Dashboard!P$537))+P849</f>
        <v>0</v>
      </c>
      <c r="Q881" s="10">
        <f>SUMIFS('Custom Constraints'!$C:$C,'Custom Constraints'!$A:$A,"caiso-deliverability_"&amp;SUBSTITUTE(Dashboard!$D881,"_group",Dashboard!$D$763)&amp;"."&amp;YEAR(Dashboard!Q$537))+Q849</f>
        <v>0</v>
      </c>
      <c r="R881" s="10">
        <f>SUMIFS('Custom Constraints'!$C:$C,'Custom Constraints'!$A:$A,"caiso-deliverability_"&amp;SUBSTITUTE(Dashboard!$D881,"_group",Dashboard!$D$763)&amp;"."&amp;YEAR(Dashboard!R$537))+R849</f>
        <v>0</v>
      </c>
      <c r="S881" s="10">
        <f>SUMIFS('Custom Constraints'!$C:$C,'Custom Constraints'!$A:$A,"caiso-deliverability_"&amp;SUBSTITUTE(Dashboard!$D881,"_group",Dashboard!$D$763)&amp;"."&amp;YEAR(Dashboard!S$537))+S849</f>
        <v>0</v>
      </c>
      <c r="T881" s="10">
        <f>SUMIFS('Custom Constraints'!$C:$C,'Custom Constraints'!$A:$A,"caiso-deliverability_"&amp;SUBSTITUTE(Dashboard!$D881,"_group",Dashboard!$D$763)&amp;"."&amp;YEAR(Dashboard!T$537))+T849</f>
        <v>0</v>
      </c>
      <c r="U881" s="10">
        <f>SUMIFS('Custom Constraints'!$C:$C,'Custom Constraints'!$A:$A,"caiso-deliverability_"&amp;SUBSTITUTE(Dashboard!$D881,"_group",Dashboard!$D$763)&amp;"."&amp;YEAR(Dashboard!U$537))+U849</f>
        <v>0</v>
      </c>
      <c r="V881" s="10">
        <f>SUMIFS('Custom Constraints'!$C:$C,'Custom Constraints'!$A:$A,"caiso-deliverability_"&amp;SUBSTITUTE(Dashboard!$D881,"_group",Dashboard!$D$763)&amp;"."&amp;YEAR(Dashboard!V$537))+V849</f>
        <v>0</v>
      </c>
      <c r="W881" s="10">
        <f>SUMIFS('Custom Constraints'!$C:$C,'Custom Constraints'!$A:$A,"caiso-deliverability_"&amp;SUBSTITUTE(Dashboard!$D881,"_group",Dashboard!$D$763)&amp;"."&amp;YEAR(Dashboard!W$537))+W849</f>
        <v>0</v>
      </c>
      <c r="X881" s="10">
        <f>SUMIFS('Custom Constraints'!$C:$C,'Custom Constraints'!$A:$A,"caiso-deliverability_"&amp;SUBSTITUTE(Dashboard!$D881,"_group",Dashboard!$D$763)&amp;"."&amp;YEAR(Dashboard!X$537))+X849</f>
        <v>0</v>
      </c>
      <c r="Y881" s="10">
        <f>SUMIFS('Custom Constraints'!$C:$C,'Custom Constraints'!$A:$A,"caiso-deliverability_"&amp;SUBSTITUTE(Dashboard!$D881,"_group",Dashboard!$D$763)&amp;"."&amp;YEAR(Dashboard!Y$537))+Y849</f>
        <v>0</v>
      </c>
      <c r="Z881" s="10">
        <f>SUMIFS('Custom Constraints'!$C:$C,'Custom Constraints'!$A:$A,"caiso-deliverability_"&amp;SUBSTITUTE(Dashboard!$D881,"_group",Dashboard!$D$763)&amp;"."&amp;YEAR(Dashboard!Z$537))+Z849</f>
        <v>0</v>
      </c>
      <c r="AA881" s="10">
        <f>SUMIFS('Custom Constraints'!$C:$C,'Custom Constraints'!$A:$A,"caiso-deliverability_"&amp;SUBSTITUTE(Dashboard!$D881,"_group",Dashboard!$D$763)&amp;"."&amp;YEAR(Dashboard!AA$537))+AA849</f>
        <v>0</v>
      </c>
      <c r="AB881" s="10">
        <f>SUMIFS('Custom Constraints'!$C:$C,'Custom Constraints'!$A:$A,"caiso-deliverability_"&amp;SUBSTITUTE(Dashboard!$D881,"_group",Dashboard!$D$763)&amp;"."&amp;YEAR(Dashboard!AB$537))+AB849</f>
        <v>0</v>
      </c>
      <c r="AC881" s="10">
        <f>SUMIFS('Custom Constraints'!$C:$C,'Custom Constraints'!$A:$A,"caiso-deliverability_"&amp;SUBSTITUTE(Dashboard!$D881,"_group",Dashboard!$D$763)&amp;"."&amp;YEAR(Dashboard!AC$537))+AC849</f>
        <v>0</v>
      </c>
      <c r="AD881" s="10">
        <f>SUMIFS('Custom Constraints'!$C:$C,'Custom Constraints'!$A:$A,"caiso-deliverability_"&amp;SUBSTITUTE(Dashboard!$D881,"_group",Dashboard!$D$763)&amp;"."&amp;YEAR(Dashboard!AD$537))+AD849</f>
        <v>280.68639185000001</v>
      </c>
      <c r="AH881" s="34" t="s">
        <v>422</v>
      </c>
    </row>
    <row r="882" spans="3:36" outlineLevel="2" x14ac:dyDescent="0.2">
      <c r="D882" s="8" t="s">
        <v>277</v>
      </c>
      <c r="E882" s="10">
        <f>SUMIFS('Custom Constraints'!$C:$C,'Custom Constraints'!$A:$A,"caiso-deliverability_"&amp;SUBSTITUTE(Dashboard!$D882,"_group",Dashboard!$D$763)&amp;"."&amp;YEAR(Dashboard!E$537))+E850</f>
        <v>0</v>
      </c>
      <c r="F882" s="10">
        <f>SUMIFS('Custom Constraints'!$C:$C,'Custom Constraints'!$A:$A,"caiso-deliverability_"&amp;SUBSTITUTE(Dashboard!$D882,"_group",Dashboard!$D$763)&amp;"."&amp;YEAR(Dashboard!F$537))+F850</f>
        <v>0</v>
      </c>
      <c r="G882" s="10">
        <f>SUMIFS('Custom Constraints'!$C:$C,'Custom Constraints'!$A:$A,"caiso-deliverability_"&amp;SUBSTITUTE(Dashboard!$D882,"_group",Dashboard!$D$763)&amp;"."&amp;YEAR(Dashboard!G$537))+G850</f>
        <v>0</v>
      </c>
      <c r="H882" s="10">
        <f>SUMIFS('Custom Constraints'!$C:$C,'Custom Constraints'!$A:$A,"caiso-deliverability_"&amp;SUBSTITUTE(Dashboard!$D882,"_group",Dashboard!$D$763)&amp;"."&amp;YEAR(Dashboard!H$537))+H850</f>
        <v>0</v>
      </c>
      <c r="I882" s="10">
        <f>SUMIFS('Custom Constraints'!$C:$C,'Custom Constraints'!$A:$A,"caiso-deliverability_"&amp;SUBSTITUTE(Dashboard!$D882,"_group",Dashboard!$D$763)&amp;"."&amp;YEAR(Dashboard!I$537))+I850</f>
        <v>0</v>
      </c>
      <c r="J882" s="10">
        <f>SUMIFS('Custom Constraints'!$C:$C,'Custom Constraints'!$A:$A,"caiso-deliverability_"&amp;SUBSTITUTE(Dashboard!$D882,"_group",Dashboard!$D$763)&amp;"."&amp;YEAR(Dashboard!J$537))+J850</f>
        <v>0</v>
      </c>
      <c r="K882" s="10">
        <f>SUMIFS('Custom Constraints'!$C:$C,'Custom Constraints'!$A:$A,"caiso-deliverability_"&amp;SUBSTITUTE(Dashboard!$D882,"_group",Dashboard!$D$763)&amp;"."&amp;YEAR(Dashboard!K$537))+K850</f>
        <v>0</v>
      </c>
      <c r="L882" s="10">
        <f>SUMIFS('Custom Constraints'!$C:$C,'Custom Constraints'!$A:$A,"caiso-deliverability_"&amp;SUBSTITUTE(Dashboard!$D882,"_group",Dashboard!$D$763)&amp;"."&amp;YEAR(Dashboard!L$537))+L850</f>
        <v>0</v>
      </c>
      <c r="M882" s="10">
        <f>SUMIFS('Custom Constraints'!$C:$C,'Custom Constraints'!$A:$A,"caiso-deliverability_"&amp;SUBSTITUTE(Dashboard!$D882,"_group",Dashboard!$D$763)&amp;"."&amp;YEAR(Dashboard!M$537))+M850</f>
        <v>0</v>
      </c>
      <c r="N882" s="10">
        <f>SUMIFS('Custom Constraints'!$C:$C,'Custom Constraints'!$A:$A,"caiso-deliverability_"&amp;SUBSTITUTE(Dashboard!$D882,"_group",Dashboard!$D$763)&amp;"."&amp;YEAR(Dashboard!N$537))+N850</f>
        <v>0</v>
      </c>
      <c r="O882" s="10">
        <f>SUMIFS('Custom Constraints'!$C:$C,'Custom Constraints'!$A:$A,"caiso-deliverability_"&amp;SUBSTITUTE(Dashboard!$D882,"_group",Dashboard!$D$763)&amp;"."&amp;YEAR(Dashboard!O$537))+O850</f>
        <v>0</v>
      </c>
      <c r="P882" s="10">
        <f>SUMIFS('Custom Constraints'!$C:$C,'Custom Constraints'!$A:$A,"caiso-deliverability_"&amp;SUBSTITUTE(Dashboard!$D882,"_group",Dashboard!$D$763)&amp;"."&amp;YEAR(Dashboard!P$537))+P850</f>
        <v>0</v>
      </c>
      <c r="Q882" s="10">
        <f>SUMIFS('Custom Constraints'!$C:$C,'Custom Constraints'!$A:$A,"caiso-deliverability_"&amp;SUBSTITUTE(Dashboard!$D882,"_group",Dashboard!$D$763)&amp;"."&amp;YEAR(Dashboard!Q$537))+Q850</f>
        <v>0</v>
      </c>
      <c r="R882" s="10">
        <f>SUMIFS('Custom Constraints'!$C:$C,'Custom Constraints'!$A:$A,"caiso-deliverability_"&amp;SUBSTITUTE(Dashboard!$D882,"_group",Dashboard!$D$763)&amp;"."&amp;YEAR(Dashboard!R$537))+R850</f>
        <v>0</v>
      </c>
      <c r="S882" s="10">
        <f>SUMIFS('Custom Constraints'!$C:$C,'Custom Constraints'!$A:$A,"caiso-deliverability_"&amp;SUBSTITUTE(Dashboard!$D882,"_group",Dashboard!$D$763)&amp;"."&amp;YEAR(Dashboard!S$537))+S850</f>
        <v>0</v>
      </c>
      <c r="T882" s="10">
        <f>SUMIFS('Custom Constraints'!$C:$C,'Custom Constraints'!$A:$A,"caiso-deliverability_"&amp;SUBSTITUTE(Dashboard!$D882,"_group",Dashboard!$D$763)&amp;"."&amp;YEAR(Dashboard!T$537))+T850</f>
        <v>0</v>
      </c>
      <c r="U882" s="10">
        <f>SUMIFS('Custom Constraints'!$C:$C,'Custom Constraints'!$A:$A,"caiso-deliverability_"&amp;SUBSTITUTE(Dashboard!$D882,"_group",Dashboard!$D$763)&amp;"."&amp;YEAR(Dashboard!U$537))+U850</f>
        <v>0</v>
      </c>
      <c r="V882" s="10">
        <f>SUMIFS('Custom Constraints'!$C:$C,'Custom Constraints'!$A:$A,"caiso-deliverability_"&amp;SUBSTITUTE(Dashboard!$D882,"_group",Dashboard!$D$763)&amp;"."&amp;YEAR(Dashboard!V$537))+V850</f>
        <v>0</v>
      </c>
      <c r="W882" s="10">
        <f>SUMIFS('Custom Constraints'!$C:$C,'Custom Constraints'!$A:$A,"caiso-deliverability_"&amp;SUBSTITUTE(Dashboard!$D882,"_group",Dashboard!$D$763)&amp;"."&amp;YEAR(Dashboard!W$537))+W850</f>
        <v>0</v>
      </c>
      <c r="X882" s="10">
        <f>SUMIFS('Custom Constraints'!$C:$C,'Custom Constraints'!$A:$A,"caiso-deliverability_"&amp;SUBSTITUTE(Dashboard!$D882,"_group",Dashboard!$D$763)&amp;"."&amp;YEAR(Dashboard!X$537))+X850</f>
        <v>0</v>
      </c>
      <c r="Y882" s="10">
        <f>SUMIFS('Custom Constraints'!$C:$C,'Custom Constraints'!$A:$A,"caiso-deliverability_"&amp;SUBSTITUTE(Dashboard!$D882,"_group",Dashboard!$D$763)&amp;"."&amp;YEAR(Dashboard!Y$537))+Y850</f>
        <v>0</v>
      </c>
      <c r="Z882" s="10">
        <f>SUMIFS('Custom Constraints'!$C:$C,'Custom Constraints'!$A:$A,"caiso-deliverability_"&amp;SUBSTITUTE(Dashboard!$D882,"_group",Dashboard!$D$763)&amp;"."&amp;YEAR(Dashboard!Z$537))+Z850</f>
        <v>0</v>
      </c>
      <c r="AA882" s="10">
        <f>SUMIFS('Custom Constraints'!$C:$C,'Custom Constraints'!$A:$A,"caiso-deliverability_"&amp;SUBSTITUTE(Dashboard!$D882,"_group",Dashboard!$D$763)&amp;"."&amp;YEAR(Dashboard!AA$537))+AA850</f>
        <v>0</v>
      </c>
      <c r="AB882" s="10">
        <f>SUMIFS('Custom Constraints'!$C:$C,'Custom Constraints'!$A:$A,"caiso-deliverability_"&amp;SUBSTITUTE(Dashboard!$D882,"_group",Dashboard!$D$763)&amp;"."&amp;YEAR(Dashboard!AB$537))+AB850</f>
        <v>0</v>
      </c>
      <c r="AC882" s="10">
        <f>SUMIFS('Custom Constraints'!$C:$C,'Custom Constraints'!$A:$A,"caiso-deliverability_"&amp;SUBSTITUTE(Dashboard!$D882,"_group",Dashboard!$D$763)&amp;"."&amp;YEAR(Dashboard!AC$537))+AC850</f>
        <v>0</v>
      </c>
      <c r="AD882" s="10">
        <f>SUMIFS('Custom Constraints'!$C:$C,'Custom Constraints'!$A:$A,"caiso-deliverability_"&amp;SUBSTITUTE(Dashboard!$D882,"_group",Dashboard!$D$763)&amp;"."&amp;YEAR(Dashboard!AD$537))+AD850</f>
        <v>228.8</v>
      </c>
      <c r="AH882" s="34" t="s">
        <v>422</v>
      </c>
    </row>
    <row r="883" spans="3:36" outlineLevel="2" x14ac:dyDescent="0.2">
      <c r="D883" s="8" t="s">
        <v>278</v>
      </c>
      <c r="E883" s="10">
        <f>SUMIFS('Custom Constraints'!$C:$C,'Custom Constraints'!$A:$A,"caiso-deliverability_"&amp;SUBSTITUTE(Dashboard!$D883,"_group",Dashboard!$D$763)&amp;"."&amp;YEAR(Dashboard!E$537))+E851</f>
        <v>0</v>
      </c>
      <c r="F883" s="10">
        <f>SUMIFS('Custom Constraints'!$C:$C,'Custom Constraints'!$A:$A,"caiso-deliverability_"&amp;SUBSTITUTE(Dashboard!$D883,"_group",Dashboard!$D$763)&amp;"."&amp;YEAR(Dashboard!F$537))+F851</f>
        <v>0</v>
      </c>
      <c r="G883" s="10">
        <f>SUMIFS('Custom Constraints'!$C:$C,'Custom Constraints'!$A:$A,"caiso-deliverability_"&amp;SUBSTITUTE(Dashboard!$D883,"_group",Dashboard!$D$763)&amp;"."&amp;YEAR(Dashboard!G$537))+G851</f>
        <v>0</v>
      </c>
      <c r="H883" s="10">
        <f>SUMIFS('Custom Constraints'!$C:$C,'Custom Constraints'!$A:$A,"caiso-deliverability_"&amp;SUBSTITUTE(Dashboard!$D883,"_group",Dashboard!$D$763)&amp;"."&amp;YEAR(Dashboard!H$537))+H851</f>
        <v>0</v>
      </c>
      <c r="I883" s="10">
        <f>SUMIFS('Custom Constraints'!$C:$C,'Custom Constraints'!$A:$A,"caiso-deliverability_"&amp;SUBSTITUTE(Dashboard!$D883,"_group",Dashboard!$D$763)&amp;"."&amp;YEAR(Dashboard!I$537))+I851</f>
        <v>0</v>
      </c>
      <c r="J883" s="10">
        <f>SUMIFS('Custom Constraints'!$C:$C,'Custom Constraints'!$A:$A,"caiso-deliverability_"&amp;SUBSTITUTE(Dashboard!$D883,"_group",Dashboard!$D$763)&amp;"."&amp;YEAR(Dashboard!J$537))+J851</f>
        <v>0</v>
      </c>
      <c r="K883" s="10">
        <f>SUMIFS('Custom Constraints'!$C:$C,'Custom Constraints'!$A:$A,"caiso-deliverability_"&amp;SUBSTITUTE(Dashboard!$D883,"_group",Dashboard!$D$763)&amp;"."&amp;YEAR(Dashboard!K$537))+K851</f>
        <v>0</v>
      </c>
      <c r="L883" s="10">
        <f>SUMIFS('Custom Constraints'!$C:$C,'Custom Constraints'!$A:$A,"caiso-deliverability_"&amp;SUBSTITUTE(Dashboard!$D883,"_group",Dashboard!$D$763)&amp;"."&amp;YEAR(Dashboard!L$537))+L851</f>
        <v>0</v>
      </c>
      <c r="M883" s="10">
        <f>SUMIFS('Custom Constraints'!$C:$C,'Custom Constraints'!$A:$A,"caiso-deliverability_"&amp;SUBSTITUTE(Dashboard!$D883,"_group",Dashboard!$D$763)&amp;"."&amp;YEAR(Dashboard!M$537))+M851</f>
        <v>0</v>
      </c>
      <c r="N883" s="10">
        <f>SUMIFS('Custom Constraints'!$C:$C,'Custom Constraints'!$A:$A,"caiso-deliverability_"&amp;SUBSTITUTE(Dashboard!$D883,"_group",Dashboard!$D$763)&amp;"."&amp;YEAR(Dashboard!N$537))+N851</f>
        <v>0</v>
      </c>
      <c r="O883" s="10">
        <f>SUMIFS('Custom Constraints'!$C:$C,'Custom Constraints'!$A:$A,"caiso-deliverability_"&amp;SUBSTITUTE(Dashboard!$D883,"_group",Dashboard!$D$763)&amp;"."&amp;YEAR(Dashboard!O$537))+O851</f>
        <v>0</v>
      </c>
      <c r="P883" s="10">
        <f>SUMIFS('Custom Constraints'!$C:$C,'Custom Constraints'!$A:$A,"caiso-deliverability_"&amp;SUBSTITUTE(Dashboard!$D883,"_group",Dashboard!$D$763)&amp;"."&amp;YEAR(Dashboard!P$537))+P851</f>
        <v>0</v>
      </c>
      <c r="Q883" s="10">
        <f>SUMIFS('Custom Constraints'!$C:$C,'Custom Constraints'!$A:$A,"caiso-deliverability_"&amp;SUBSTITUTE(Dashboard!$D883,"_group",Dashboard!$D$763)&amp;"."&amp;YEAR(Dashboard!Q$537))+Q851</f>
        <v>0</v>
      </c>
      <c r="R883" s="10">
        <f>SUMIFS('Custom Constraints'!$C:$C,'Custom Constraints'!$A:$A,"caiso-deliverability_"&amp;SUBSTITUTE(Dashboard!$D883,"_group",Dashboard!$D$763)&amp;"."&amp;YEAR(Dashboard!R$537))+R851</f>
        <v>0</v>
      </c>
      <c r="S883" s="10">
        <f>SUMIFS('Custom Constraints'!$C:$C,'Custom Constraints'!$A:$A,"caiso-deliverability_"&amp;SUBSTITUTE(Dashboard!$D883,"_group",Dashboard!$D$763)&amp;"."&amp;YEAR(Dashboard!S$537))+S851</f>
        <v>0</v>
      </c>
      <c r="T883" s="10">
        <f>SUMIFS('Custom Constraints'!$C:$C,'Custom Constraints'!$A:$A,"caiso-deliverability_"&amp;SUBSTITUTE(Dashboard!$D883,"_group",Dashboard!$D$763)&amp;"."&amp;YEAR(Dashboard!T$537))+T851</f>
        <v>0</v>
      </c>
      <c r="U883" s="10">
        <f>SUMIFS('Custom Constraints'!$C:$C,'Custom Constraints'!$A:$A,"caiso-deliverability_"&amp;SUBSTITUTE(Dashboard!$D883,"_group",Dashboard!$D$763)&amp;"."&amp;YEAR(Dashboard!U$537))+U851</f>
        <v>0</v>
      </c>
      <c r="V883" s="10">
        <f>SUMIFS('Custom Constraints'!$C:$C,'Custom Constraints'!$A:$A,"caiso-deliverability_"&amp;SUBSTITUTE(Dashboard!$D883,"_group",Dashboard!$D$763)&amp;"."&amp;YEAR(Dashboard!V$537))+V851</f>
        <v>0</v>
      </c>
      <c r="W883" s="10">
        <f>SUMIFS('Custom Constraints'!$C:$C,'Custom Constraints'!$A:$A,"caiso-deliverability_"&amp;SUBSTITUTE(Dashboard!$D883,"_group",Dashboard!$D$763)&amp;"."&amp;YEAR(Dashboard!W$537))+W851</f>
        <v>0</v>
      </c>
      <c r="X883" s="10">
        <f>SUMIFS('Custom Constraints'!$C:$C,'Custom Constraints'!$A:$A,"caiso-deliverability_"&amp;SUBSTITUTE(Dashboard!$D883,"_group",Dashboard!$D$763)&amp;"."&amp;YEAR(Dashboard!X$537))+X851</f>
        <v>0</v>
      </c>
      <c r="Y883" s="10">
        <f>SUMIFS('Custom Constraints'!$C:$C,'Custom Constraints'!$A:$A,"caiso-deliverability_"&amp;SUBSTITUTE(Dashboard!$D883,"_group",Dashboard!$D$763)&amp;"."&amp;YEAR(Dashboard!Y$537))+Y851</f>
        <v>0</v>
      </c>
      <c r="Z883" s="10">
        <f>SUMIFS('Custom Constraints'!$C:$C,'Custom Constraints'!$A:$A,"caiso-deliverability_"&amp;SUBSTITUTE(Dashboard!$D883,"_group",Dashboard!$D$763)&amp;"."&amp;YEAR(Dashboard!Z$537))+Z851</f>
        <v>0</v>
      </c>
      <c r="AA883" s="10">
        <f>SUMIFS('Custom Constraints'!$C:$C,'Custom Constraints'!$A:$A,"caiso-deliverability_"&amp;SUBSTITUTE(Dashboard!$D883,"_group",Dashboard!$D$763)&amp;"."&amp;YEAR(Dashboard!AA$537))+AA851</f>
        <v>0</v>
      </c>
      <c r="AB883" s="10">
        <f>SUMIFS('Custom Constraints'!$C:$C,'Custom Constraints'!$A:$A,"caiso-deliverability_"&amp;SUBSTITUTE(Dashboard!$D883,"_group",Dashboard!$D$763)&amp;"."&amp;YEAR(Dashboard!AB$537))+AB851</f>
        <v>0</v>
      </c>
      <c r="AC883" s="10">
        <f>SUMIFS('Custom Constraints'!$C:$C,'Custom Constraints'!$A:$A,"caiso-deliverability_"&amp;SUBSTITUTE(Dashboard!$D883,"_group",Dashboard!$D$763)&amp;"."&amp;YEAR(Dashboard!AC$537))+AC851</f>
        <v>0</v>
      </c>
      <c r="AD883" s="10">
        <f>SUMIFS('Custom Constraints'!$C:$C,'Custom Constraints'!$A:$A,"caiso-deliverability_"&amp;SUBSTITUTE(Dashboard!$D883,"_group",Dashboard!$D$763)&amp;"."&amp;YEAR(Dashboard!AD$537))+AD851</f>
        <v>-2230.1990827440004</v>
      </c>
      <c r="AH883" s="34" t="s">
        <v>422</v>
      </c>
    </row>
    <row r="884" spans="3:36" outlineLevel="2" x14ac:dyDescent="0.2">
      <c r="D884" s="8" t="s">
        <v>279</v>
      </c>
      <c r="E884" s="10">
        <f>SUMIFS('Custom Constraints'!$C:$C,'Custom Constraints'!$A:$A,"caiso-deliverability_"&amp;SUBSTITUTE(Dashboard!$D884,"_group",Dashboard!$D$763)&amp;"."&amp;YEAR(Dashboard!E$537))+E852</f>
        <v>0</v>
      </c>
      <c r="F884" s="10">
        <f>SUMIFS('Custom Constraints'!$C:$C,'Custom Constraints'!$A:$A,"caiso-deliverability_"&amp;SUBSTITUTE(Dashboard!$D884,"_group",Dashboard!$D$763)&amp;"."&amp;YEAR(Dashboard!F$537))+F852</f>
        <v>0</v>
      </c>
      <c r="G884" s="10">
        <f>SUMIFS('Custom Constraints'!$C:$C,'Custom Constraints'!$A:$A,"caiso-deliverability_"&amp;SUBSTITUTE(Dashboard!$D884,"_group",Dashboard!$D$763)&amp;"."&amp;YEAR(Dashboard!G$537))+G852</f>
        <v>0</v>
      </c>
      <c r="H884" s="10">
        <f>SUMIFS('Custom Constraints'!$C:$C,'Custom Constraints'!$A:$A,"caiso-deliverability_"&amp;SUBSTITUTE(Dashboard!$D884,"_group",Dashboard!$D$763)&amp;"."&amp;YEAR(Dashboard!H$537))+H852</f>
        <v>0</v>
      </c>
      <c r="I884" s="10">
        <f>SUMIFS('Custom Constraints'!$C:$C,'Custom Constraints'!$A:$A,"caiso-deliverability_"&amp;SUBSTITUTE(Dashboard!$D884,"_group",Dashboard!$D$763)&amp;"."&amp;YEAR(Dashboard!I$537))+I852</f>
        <v>0</v>
      </c>
      <c r="J884" s="10">
        <f>SUMIFS('Custom Constraints'!$C:$C,'Custom Constraints'!$A:$A,"caiso-deliverability_"&amp;SUBSTITUTE(Dashboard!$D884,"_group",Dashboard!$D$763)&amp;"."&amp;YEAR(Dashboard!J$537))+J852</f>
        <v>0</v>
      </c>
      <c r="K884" s="10">
        <f>SUMIFS('Custom Constraints'!$C:$C,'Custom Constraints'!$A:$A,"caiso-deliverability_"&amp;SUBSTITUTE(Dashboard!$D884,"_group",Dashboard!$D$763)&amp;"."&amp;YEAR(Dashboard!K$537))+K852</f>
        <v>0</v>
      </c>
      <c r="L884" s="10">
        <f>SUMIFS('Custom Constraints'!$C:$C,'Custom Constraints'!$A:$A,"caiso-deliverability_"&amp;SUBSTITUTE(Dashboard!$D884,"_group",Dashboard!$D$763)&amp;"."&amp;YEAR(Dashboard!L$537))+L852</f>
        <v>0</v>
      </c>
      <c r="M884" s="10">
        <f>SUMIFS('Custom Constraints'!$C:$C,'Custom Constraints'!$A:$A,"caiso-deliverability_"&amp;SUBSTITUTE(Dashboard!$D884,"_group",Dashboard!$D$763)&amp;"."&amp;YEAR(Dashboard!M$537))+M852</f>
        <v>0</v>
      </c>
      <c r="N884" s="10">
        <f>SUMIFS('Custom Constraints'!$C:$C,'Custom Constraints'!$A:$A,"caiso-deliverability_"&amp;SUBSTITUTE(Dashboard!$D884,"_group",Dashboard!$D$763)&amp;"."&amp;YEAR(Dashboard!N$537))+N852</f>
        <v>0</v>
      </c>
      <c r="O884" s="10">
        <f>SUMIFS('Custom Constraints'!$C:$C,'Custom Constraints'!$A:$A,"caiso-deliverability_"&amp;SUBSTITUTE(Dashboard!$D884,"_group",Dashboard!$D$763)&amp;"."&amp;YEAR(Dashboard!O$537))+O852</f>
        <v>0</v>
      </c>
      <c r="P884" s="10">
        <f>SUMIFS('Custom Constraints'!$C:$C,'Custom Constraints'!$A:$A,"caiso-deliverability_"&amp;SUBSTITUTE(Dashboard!$D884,"_group",Dashboard!$D$763)&amp;"."&amp;YEAR(Dashboard!P$537))+P852</f>
        <v>0</v>
      </c>
      <c r="Q884" s="10">
        <f>SUMIFS('Custom Constraints'!$C:$C,'Custom Constraints'!$A:$A,"caiso-deliverability_"&amp;SUBSTITUTE(Dashboard!$D884,"_group",Dashboard!$D$763)&amp;"."&amp;YEAR(Dashboard!Q$537))+Q852</f>
        <v>0</v>
      </c>
      <c r="R884" s="10">
        <f>SUMIFS('Custom Constraints'!$C:$C,'Custom Constraints'!$A:$A,"caiso-deliverability_"&amp;SUBSTITUTE(Dashboard!$D884,"_group",Dashboard!$D$763)&amp;"."&amp;YEAR(Dashboard!R$537))+R852</f>
        <v>0</v>
      </c>
      <c r="S884" s="10">
        <f>SUMIFS('Custom Constraints'!$C:$C,'Custom Constraints'!$A:$A,"caiso-deliverability_"&amp;SUBSTITUTE(Dashboard!$D884,"_group",Dashboard!$D$763)&amp;"."&amp;YEAR(Dashboard!S$537))+S852</f>
        <v>0</v>
      </c>
      <c r="T884" s="10">
        <f>SUMIFS('Custom Constraints'!$C:$C,'Custom Constraints'!$A:$A,"caiso-deliverability_"&amp;SUBSTITUTE(Dashboard!$D884,"_group",Dashboard!$D$763)&amp;"."&amp;YEAR(Dashboard!T$537))+T852</f>
        <v>0</v>
      </c>
      <c r="U884" s="10">
        <f>SUMIFS('Custom Constraints'!$C:$C,'Custom Constraints'!$A:$A,"caiso-deliverability_"&amp;SUBSTITUTE(Dashboard!$D884,"_group",Dashboard!$D$763)&amp;"."&amp;YEAR(Dashboard!U$537))+U852</f>
        <v>0</v>
      </c>
      <c r="V884" s="10">
        <f>SUMIFS('Custom Constraints'!$C:$C,'Custom Constraints'!$A:$A,"caiso-deliverability_"&amp;SUBSTITUTE(Dashboard!$D884,"_group",Dashboard!$D$763)&amp;"."&amp;YEAR(Dashboard!V$537))+V852</f>
        <v>0</v>
      </c>
      <c r="W884" s="10">
        <f>SUMIFS('Custom Constraints'!$C:$C,'Custom Constraints'!$A:$A,"caiso-deliverability_"&amp;SUBSTITUTE(Dashboard!$D884,"_group",Dashboard!$D$763)&amp;"."&amp;YEAR(Dashboard!W$537))+W852</f>
        <v>0</v>
      </c>
      <c r="X884" s="10">
        <f>SUMIFS('Custom Constraints'!$C:$C,'Custom Constraints'!$A:$A,"caiso-deliverability_"&amp;SUBSTITUTE(Dashboard!$D884,"_group",Dashboard!$D$763)&amp;"."&amp;YEAR(Dashboard!X$537))+X852</f>
        <v>0</v>
      </c>
      <c r="Y884" s="10">
        <f>SUMIFS('Custom Constraints'!$C:$C,'Custom Constraints'!$A:$A,"caiso-deliverability_"&amp;SUBSTITUTE(Dashboard!$D884,"_group",Dashboard!$D$763)&amp;"."&amp;YEAR(Dashboard!Y$537))+Y852</f>
        <v>0</v>
      </c>
      <c r="Z884" s="10">
        <f>SUMIFS('Custom Constraints'!$C:$C,'Custom Constraints'!$A:$A,"caiso-deliverability_"&amp;SUBSTITUTE(Dashboard!$D884,"_group",Dashboard!$D$763)&amp;"."&amp;YEAR(Dashboard!Z$537))+Z852</f>
        <v>0</v>
      </c>
      <c r="AA884" s="10">
        <f>SUMIFS('Custom Constraints'!$C:$C,'Custom Constraints'!$A:$A,"caiso-deliverability_"&amp;SUBSTITUTE(Dashboard!$D884,"_group",Dashboard!$D$763)&amp;"."&amp;YEAR(Dashboard!AA$537))+AA852</f>
        <v>0</v>
      </c>
      <c r="AB884" s="10">
        <f>SUMIFS('Custom Constraints'!$C:$C,'Custom Constraints'!$A:$A,"caiso-deliverability_"&amp;SUBSTITUTE(Dashboard!$D884,"_group",Dashboard!$D$763)&amp;"."&amp;YEAR(Dashboard!AB$537))+AB852</f>
        <v>0</v>
      </c>
      <c r="AC884" s="10">
        <f>SUMIFS('Custom Constraints'!$C:$C,'Custom Constraints'!$A:$A,"caiso-deliverability_"&amp;SUBSTITUTE(Dashboard!$D884,"_group",Dashboard!$D$763)&amp;"."&amp;YEAR(Dashboard!AC$537))+AC852</f>
        <v>0</v>
      </c>
      <c r="AD884" s="10">
        <f>SUMIFS('Custom Constraints'!$C:$C,'Custom Constraints'!$A:$A,"caiso-deliverability_"&amp;SUBSTITUTE(Dashboard!$D884,"_group",Dashboard!$D$763)&amp;"."&amp;YEAR(Dashboard!AD$537))+AD852</f>
        <v>11799.999999999998</v>
      </c>
      <c r="AH884" s="34" t="s">
        <v>422</v>
      </c>
    </row>
    <row r="885" spans="3:36" outlineLevel="2" x14ac:dyDescent="0.2">
      <c r="D885" s="8" t="s">
        <v>280</v>
      </c>
      <c r="E885" s="10">
        <f>SUMIFS('Custom Constraints'!$C:$C,'Custom Constraints'!$A:$A,"caiso-deliverability_"&amp;SUBSTITUTE(Dashboard!$D885,"_group",Dashboard!$D$763)&amp;"."&amp;YEAR(Dashboard!E$537))+E853</f>
        <v>0</v>
      </c>
      <c r="F885" s="10">
        <f>SUMIFS('Custom Constraints'!$C:$C,'Custom Constraints'!$A:$A,"caiso-deliverability_"&amp;SUBSTITUTE(Dashboard!$D885,"_group",Dashboard!$D$763)&amp;"."&amp;YEAR(Dashboard!F$537))+F853</f>
        <v>0</v>
      </c>
      <c r="G885" s="10">
        <f>SUMIFS('Custom Constraints'!$C:$C,'Custom Constraints'!$A:$A,"caiso-deliverability_"&amp;SUBSTITUTE(Dashboard!$D885,"_group",Dashboard!$D$763)&amp;"."&amp;YEAR(Dashboard!G$537))+G853</f>
        <v>0</v>
      </c>
      <c r="H885" s="10">
        <f>SUMIFS('Custom Constraints'!$C:$C,'Custom Constraints'!$A:$A,"caiso-deliverability_"&amp;SUBSTITUTE(Dashboard!$D885,"_group",Dashboard!$D$763)&amp;"."&amp;YEAR(Dashboard!H$537))+H853</f>
        <v>0</v>
      </c>
      <c r="I885" s="10">
        <f>SUMIFS('Custom Constraints'!$C:$C,'Custom Constraints'!$A:$A,"caiso-deliverability_"&amp;SUBSTITUTE(Dashboard!$D885,"_group",Dashboard!$D$763)&amp;"."&amp;YEAR(Dashboard!I$537))+I853</f>
        <v>0</v>
      </c>
      <c r="J885" s="10">
        <f>SUMIFS('Custom Constraints'!$C:$C,'Custom Constraints'!$A:$A,"caiso-deliverability_"&amp;SUBSTITUTE(Dashboard!$D885,"_group",Dashboard!$D$763)&amp;"."&amp;YEAR(Dashboard!J$537))+J853</f>
        <v>0</v>
      </c>
      <c r="K885" s="10">
        <f>SUMIFS('Custom Constraints'!$C:$C,'Custom Constraints'!$A:$A,"caiso-deliverability_"&amp;SUBSTITUTE(Dashboard!$D885,"_group",Dashboard!$D$763)&amp;"."&amp;YEAR(Dashboard!K$537))+K853</f>
        <v>0</v>
      </c>
      <c r="L885" s="10">
        <f>SUMIFS('Custom Constraints'!$C:$C,'Custom Constraints'!$A:$A,"caiso-deliverability_"&amp;SUBSTITUTE(Dashboard!$D885,"_group",Dashboard!$D$763)&amp;"."&amp;YEAR(Dashboard!L$537))+L853</f>
        <v>0</v>
      </c>
      <c r="M885" s="10">
        <f>SUMIFS('Custom Constraints'!$C:$C,'Custom Constraints'!$A:$A,"caiso-deliverability_"&amp;SUBSTITUTE(Dashboard!$D885,"_group",Dashboard!$D$763)&amp;"."&amp;YEAR(Dashboard!M$537))+M853</f>
        <v>0</v>
      </c>
      <c r="N885" s="10">
        <f>SUMIFS('Custom Constraints'!$C:$C,'Custom Constraints'!$A:$A,"caiso-deliverability_"&amp;SUBSTITUTE(Dashboard!$D885,"_group",Dashboard!$D$763)&amp;"."&amp;YEAR(Dashboard!N$537))+N853</f>
        <v>0</v>
      </c>
      <c r="O885" s="10">
        <f>SUMIFS('Custom Constraints'!$C:$C,'Custom Constraints'!$A:$A,"caiso-deliverability_"&amp;SUBSTITUTE(Dashboard!$D885,"_group",Dashboard!$D$763)&amp;"."&amp;YEAR(Dashboard!O$537))+O853</f>
        <v>0</v>
      </c>
      <c r="P885" s="10">
        <f>SUMIFS('Custom Constraints'!$C:$C,'Custom Constraints'!$A:$A,"caiso-deliverability_"&amp;SUBSTITUTE(Dashboard!$D885,"_group",Dashboard!$D$763)&amp;"."&amp;YEAR(Dashboard!P$537))+P853</f>
        <v>0</v>
      </c>
      <c r="Q885" s="10">
        <f>SUMIFS('Custom Constraints'!$C:$C,'Custom Constraints'!$A:$A,"caiso-deliverability_"&amp;SUBSTITUTE(Dashboard!$D885,"_group",Dashboard!$D$763)&amp;"."&amp;YEAR(Dashboard!Q$537))+Q853</f>
        <v>0</v>
      </c>
      <c r="R885" s="10">
        <f>SUMIFS('Custom Constraints'!$C:$C,'Custom Constraints'!$A:$A,"caiso-deliverability_"&amp;SUBSTITUTE(Dashboard!$D885,"_group",Dashboard!$D$763)&amp;"."&amp;YEAR(Dashboard!R$537))+R853</f>
        <v>0</v>
      </c>
      <c r="S885" s="10">
        <f>SUMIFS('Custom Constraints'!$C:$C,'Custom Constraints'!$A:$A,"caiso-deliverability_"&amp;SUBSTITUTE(Dashboard!$D885,"_group",Dashboard!$D$763)&amp;"."&amp;YEAR(Dashboard!S$537))+S853</f>
        <v>0</v>
      </c>
      <c r="T885" s="10">
        <f>SUMIFS('Custom Constraints'!$C:$C,'Custom Constraints'!$A:$A,"caiso-deliverability_"&amp;SUBSTITUTE(Dashboard!$D885,"_group",Dashboard!$D$763)&amp;"."&amp;YEAR(Dashboard!T$537))+T853</f>
        <v>0</v>
      </c>
      <c r="U885" s="10">
        <f>SUMIFS('Custom Constraints'!$C:$C,'Custom Constraints'!$A:$A,"caiso-deliverability_"&amp;SUBSTITUTE(Dashboard!$D885,"_group",Dashboard!$D$763)&amp;"."&amp;YEAR(Dashboard!U$537))+U853</f>
        <v>0</v>
      </c>
      <c r="V885" s="10">
        <f>SUMIFS('Custom Constraints'!$C:$C,'Custom Constraints'!$A:$A,"caiso-deliverability_"&amp;SUBSTITUTE(Dashboard!$D885,"_group",Dashboard!$D$763)&amp;"."&amp;YEAR(Dashboard!V$537))+V853</f>
        <v>0</v>
      </c>
      <c r="W885" s="10">
        <f>SUMIFS('Custom Constraints'!$C:$C,'Custom Constraints'!$A:$A,"caiso-deliverability_"&amp;SUBSTITUTE(Dashboard!$D885,"_group",Dashboard!$D$763)&amp;"."&amp;YEAR(Dashboard!W$537))+W853</f>
        <v>0</v>
      </c>
      <c r="X885" s="10">
        <f>SUMIFS('Custom Constraints'!$C:$C,'Custom Constraints'!$A:$A,"caiso-deliverability_"&amp;SUBSTITUTE(Dashboard!$D885,"_group",Dashboard!$D$763)&amp;"."&amp;YEAR(Dashboard!X$537))+X853</f>
        <v>0</v>
      </c>
      <c r="Y885" s="10">
        <f>SUMIFS('Custom Constraints'!$C:$C,'Custom Constraints'!$A:$A,"caiso-deliverability_"&amp;SUBSTITUTE(Dashboard!$D885,"_group",Dashboard!$D$763)&amp;"."&amp;YEAR(Dashboard!Y$537))+Y853</f>
        <v>0</v>
      </c>
      <c r="Z885" s="10">
        <f>SUMIFS('Custom Constraints'!$C:$C,'Custom Constraints'!$A:$A,"caiso-deliverability_"&amp;SUBSTITUTE(Dashboard!$D885,"_group",Dashboard!$D$763)&amp;"."&amp;YEAR(Dashboard!Z$537))+Z853</f>
        <v>0</v>
      </c>
      <c r="AA885" s="10">
        <f>SUMIFS('Custom Constraints'!$C:$C,'Custom Constraints'!$A:$A,"caiso-deliverability_"&amp;SUBSTITUTE(Dashboard!$D885,"_group",Dashboard!$D$763)&amp;"."&amp;YEAR(Dashboard!AA$537))+AA853</f>
        <v>0</v>
      </c>
      <c r="AB885" s="10">
        <f>SUMIFS('Custom Constraints'!$C:$C,'Custom Constraints'!$A:$A,"caiso-deliverability_"&amp;SUBSTITUTE(Dashboard!$D885,"_group",Dashboard!$D$763)&amp;"."&amp;YEAR(Dashboard!AB$537))+AB853</f>
        <v>0</v>
      </c>
      <c r="AC885" s="10">
        <f>SUMIFS('Custom Constraints'!$C:$C,'Custom Constraints'!$A:$A,"caiso-deliverability_"&amp;SUBSTITUTE(Dashboard!$D885,"_group",Dashboard!$D$763)&amp;"."&amp;YEAR(Dashboard!AC$537))+AC853</f>
        <v>0</v>
      </c>
      <c r="AD885" s="10">
        <f>SUMIFS('Custom Constraints'!$C:$C,'Custom Constraints'!$A:$A,"caiso-deliverability_"&amp;SUBSTITUTE(Dashboard!$D885,"_group",Dashboard!$D$763)&amp;"."&amp;YEAR(Dashboard!AD$537))+AD853</f>
        <v>-2080.1990827440004</v>
      </c>
      <c r="AH885" s="34" t="s">
        <v>422</v>
      </c>
    </row>
    <row r="886" spans="3:36" outlineLevel="2" x14ac:dyDescent="0.2">
      <c r="D886" s="8" t="s">
        <v>281</v>
      </c>
      <c r="E886" s="10">
        <f>SUMIFS('Custom Constraints'!$C:$C,'Custom Constraints'!$A:$A,"caiso-deliverability_"&amp;SUBSTITUTE(Dashboard!$D886,"_group",Dashboard!$D$763)&amp;"."&amp;YEAR(Dashboard!E$537))+E854</f>
        <v>0</v>
      </c>
      <c r="F886" s="10">
        <f>SUMIFS('Custom Constraints'!$C:$C,'Custom Constraints'!$A:$A,"caiso-deliverability_"&amp;SUBSTITUTE(Dashboard!$D886,"_group",Dashboard!$D$763)&amp;"."&amp;YEAR(Dashboard!F$537))+F854</f>
        <v>0</v>
      </c>
      <c r="G886" s="10">
        <f>SUMIFS('Custom Constraints'!$C:$C,'Custom Constraints'!$A:$A,"caiso-deliverability_"&amp;SUBSTITUTE(Dashboard!$D886,"_group",Dashboard!$D$763)&amp;"."&amp;YEAR(Dashboard!G$537))+G854</f>
        <v>0</v>
      </c>
      <c r="H886" s="10">
        <f>SUMIFS('Custom Constraints'!$C:$C,'Custom Constraints'!$A:$A,"caiso-deliverability_"&amp;SUBSTITUTE(Dashboard!$D886,"_group",Dashboard!$D$763)&amp;"."&amp;YEAR(Dashboard!H$537))+H854</f>
        <v>0</v>
      </c>
      <c r="I886" s="10">
        <f>SUMIFS('Custom Constraints'!$C:$C,'Custom Constraints'!$A:$A,"caiso-deliverability_"&amp;SUBSTITUTE(Dashboard!$D886,"_group",Dashboard!$D$763)&amp;"."&amp;YEAR(Dashboard!I$537))+I854</f>
        <v>0</v>
      </c>
      <c r="J886" s="10">
        <f>SUMIFS('Custom Constraints'!$C:$C,'Custom Constraints'!$A:$A,"caiso-deliverability_"&amp;SUBSTITUTE(Dashboard!$D886,"_group",Dashboard!$D$763)&amp;"."&amp;YEAR(Dashboard!J$537))+J854</f>
        <v>0</v>
      </c>
      <c r="K886" s="10">
        <f>SUMIFS('Custom Constraints'!$C:$C,'Custom Constraints'!$A:$A,"caiso-deliverability_"&amp;SUBSTITUTE(Dashboard!$D886,"_group",Dashboard!$D$763)&amp;"."&amp;YEAR(Dashboard!K$537))+K854</f>
        <v>0</v>
      </c>
      <c r="L886" s="10">
        <f>SUMIFS('Custom Constraints'!$C:$C,'Custom Constraints'!$A:$A,"caiso-deliverability_"&amp;SUBSTITUTE(Dashboard!$D886,"_group",Dashboard!$D$763)&amp;"."&amp;YEAR(Dashboard!L$537))+L854</f>
        <v>0</v>
      </c>
      <c r="M886" s="10">
        <f>SUMIFS('Custom Constraints'!$C:$C,'Custom Constraints'!$A:$A,"caiso-deliverability_"&amp;SUBSTITUTE(Dashboard!$D886,"_group",Dashboard!$D$763)&amp;"."&amp;YEAR(Dashboard!M$537))+M854</f>
        <v>0</v>
      </c>
      <c r="N886" s="10">
        <f>SUMIFS('Custom Constraints'!$C:$C,'Custom Constraints'!$A:$A,"caiso-deliverability_"&amp;SUBSTITUTE(Dashboard!$D886,"_group",Dashboard!$D$763)&amp;"."&amp;YEAR(Dashboard!N$537))+N854</f>
        <v>0</v>
      </c>
      <c r="O886" s="10">
        <f>SUMIFS('Custom Constraints'!$C:$C,'Custom Constraints'!$A:$A,"caiso-deliverability_"&amp;SUBSTITUTE(Dashboard!$D886,"_group",Dashboard!$D$763)&amp;"."&amp;YEAR(Dashboard!O$537))+O854</f>
        <v>0</v>
      </c>
      <c r="P886" s="10">
        <f>SUMIFS('Custom Constraints'!$C:$C,'Custom Constraints'!$A:$A,"caiso-deliverability_"&amp;SUBSTITUTE(Dashboard!$D886,"_group",Dashboard!$D$763)&amp;"."&amp;YEAR(Dashboard!P$537))+P854</f>
        <v>0</v>
      </c>
      <c r="Q886" s="10">
        <f>SUMIFS('Custom Constraints'!$C:$C,'Custom Constraints'!$A:$A,"caiso-deliverability_"&amp;SUBSTITUTE(Dashboard!$D886,"_group",Dashboard!$D$763)&amp;"."&amp;YEAR(Dashboard!Q$537))+Q854</f>
        <v>0</v>
      </c>
      <c r="R886" s="10">
        <f>SUMIFS('Custom Constraints'!$C:$C,'Custom Constraints'!$A:$A,"caiso-deliverability_"&amp;SUBSTITUTE(Dashboard!$D886,"_group",Dashboard!$D$763)&amp;"."&amp;YEAR(Dashboard!R$537))+R854</f>
        <v>0</v>
      </c>
      <c r="S886" s="10">
        <f>SUMIFS('Custom Constraints'!$C:$C,'Custom Constraints'!$A:$A,"caiso-deliverability_"&amp;SUBSTITUTE(Dashboard!$D886,"_group",Dashboard!$D$763)&amp;"."&amp;YEAR(Dashboard!S$537))+S854</f>
        <v>0</v>
      </c>
      <c r="T886" s="10">
        <f>SUMIFS('Custom Constraints'!$C:$C,'Custom Constraints'!$A:$A,"caiso-deliverability_"&amp;SUBSTITUTE(Dashboard!$D886,"_group",Dashboard!$D$763)&amp;"."&amp;YEAR(Dashboard!T$537))+T854</f>
        <v>0</v>
      </c>
      <c r="U886" s="10">
        <f>SUMIFS('Custom Constraints'!$C:$C,'Custom Constraints'!$A:$A,"caiso-deliverability_"&amp;SUBSTITUTE(Dashboard!$D886,"_group",Dashboard!$D$763)&amp;"."&amp;YEAR(Dashboard!U$537))+U854</f>
        <v>0</v>
      </c>
      <c r="V886" s="10">
        <f>SUMIFS('Custom Constraints'!$C:$C,'Custom Constraints'!$A:$A,"caiso-deliverability_"&amp;SUBSTITUTE(Dashboard!$D886,"_group",Dashboard!$D$763)&amp;"."&amp;YEAR(Dashboard!V$537))+V854</f>
        <v>0</v>
      </c>
      <c r="W886" s="10">
        <f>SUMIFS('Custom Constraints'!$C:$C,'Custom Constraints'!$A:$A,"caiso-deliverability_"&amp;SUBSTITUTE(Dashboard!$D886,"_group",Dashboard!$D$763)&amp;"."&amp;YEAR(Dashboard!W$537))+W854</f>
        <v>0</v>
      </c>
      <c r="X886" s="10">
        <f>SUMIFS('Custom Constraints'!$C:$C,'Custom Constraints'!$A:$A,"caiso-deliverability_"&amp;SUBSTITUTE(Dashboard!$D886,"_group",Dashboard!$D$763)&amp;"."&amp;YEAR(Dashboard!X$537))+X854</f>
        <v>0</v>
      </c>
      <c r="Y886" s="10">
        <f>SUMIFS('Custom Constraints'!$C:$C,'Custom Constraints'!$A:$A,"caiso-deliverability_"&amp;SUBSTITUTE(Dashboard!$D886,"_group",Dashboard!$D$763)&amp;"."&amp;YEAR(Dashboard!Y$537))+Y854</f>
        <v>0</v>
      </c>
      <c r="Z886" s="10">
        <f>SUMIFS('Custom Constraints'!$C:$C,'Custom Constraints'!$A:$A,"caiso-deliverability_"&amp;SUBSTITUTE(Dashboard!$D886,"_group",Dashboard!$D$763)&amp;"."&amp;YEAR(Dashboard!Z$537))+Z854</f>
        <v>0</v>
      </c>
      <c r="AA886" s="10">
        <f>SUMIFS('Custom Constraints'!$C:$C,'Custom Constraints'!$A:$A,"caiso-deliverability_"&amp;SUBSTITUTE(Dashboard!$D886,"_group",Dashboard!$D$763)&amp;"."&amp;YEAR(Dashboard!AA$537))+AA854</f>
        <v>0</v>
      </c>
      <c r="AB886" s="10">
        <f>SUMIFS('Custom Constraints'!$C:$C,'Custom Constraints'!$A:$A,"caiso-deliverability_"&amp;SUBSTITUTE(Dashboard!$D886,"_group",Dashboard!$D$763)&amp;"."&amp;YEAR(Dashboard!AB$537))+AB854</f>
        <v>0</v>
      </c>
      <c r="AC886" s="10">
        <f>SUMIFS('Custom Constraints'!$C:$C,'Custom Constraints'!$A:$A,"caiso-deliverability_"&amp;SUBSTITUTE(Dashboard!$D886,"_group",Dashboard!$D$763)&amp;"."&amp;YEAR(Dashboard!AC$537))+AC854</f>
        <v>0</v>
      </c>
      <c r="AD886" s="10">
        <f>SUMIFS('Custom Constraints'!$C:$C,'Custom Constraints'!$A:$A,"caiso-deliverability_"&amp;SUBSTITUTE(Dashboard!$D886,"_group",Dashboard!$D$763)&amp;"."&amp;YEAR(Dashboard!AD$537))+AD854</f>
        <v>0</v>
      </c>
      <c r="AH886" s="34" t="s">
        <v>422</v>
      </c>
    </row>
    <row r="887" spans="3:36" outlineLevel="2" x14ac:dyDescent="0.2">
      <c r="D887" s="8" t="s">
        <v>282</v>
      </c>
      <c r="E887" s="10">
        <f>SUMIFS('Custom Constraints'!$C:$C,'Custom Constraints'!$A:$A,"caiso-deliverability_"&amp;SUBSTITUTE(Dashboard!$D887,"_group",Dashboard!$D$763)&amp;"."&amp;YEAR(Dashboard!E$537))+E855</f>
        <v>0</v>
      </c>
      <c r="F887" s="10">
        <f>SUMIFS('Custom Constraints'!$C:$C,'Custom Constraints'!$A:$A,"caiso-deliverability_"&amp;SUBSTITUTE(Dashboard!$D887,"_group",Dashboard!$D$763)&amp;"."&amp;YEAR(Dashboard!F$537))+F855</f>
        <v>0</v>
      </c>
      <c r="G887" s="10">
        <f>SUMIFS('Custom Constraints'!$C:$C,'Custom Constraints'!$A:$A,"caiso-deliverability_"&amp;SUBSTITUTE(Dashboard!$D887,"_group",Dashboard!$D$763)&amp;"."&amp;YEAR(Dashboard!G$537))+G855</f>
        <v>0</v>
      </c>
      <c r="H887" s="10">
        <f>SUMIFS('Custom Constraints'!$C:$C,'Custom Constraints'!$A:$A,"caiso-deliverability_"&amp;SUBSTITUTE(Dashboard!$D887,"_group",Dashboard!$D$763)&amp;"."&amp;YEAR(Dashboard!H$537))+H855</f>
        <v>0</v>
      </c>
      <c r="I887" s="10">
        <f>SUMIFS('Custom Constraints'!$C:$C,'Custom Constraints'!$A:$A,"caiso-deliverability_"&amp;SUBSTITUTE(Dashboard!$D887,"_group",Dashboard!$D$763)&amp;"."&amp;YEAR(Dashboard!I$537))+I855</f>
        <v>0</v>
      </c>
      <c r="J887" s="10">
        <f>SUMIFS('Custom Constraints'!$C:$C,'Custom Constraints'!$A:$A,"caiso-deliverability_"&amp;SUBSTITUTE(Dashboard!$D887,"_group",Dashboard!$D$763)&amp;"."&amp;YEAR(Dashboard!J$537))+J855</f>
        <v>0</v>
      </c>
      <c r="K887" s="10">
        <f>SUMIFS('Custom Constraints'!$C:$C,'Custom Constraints'!$A:$A,"caiso-deliverability_"&amp;SUBSTITUTE(Dashboard!$D887,"_group",Dashboard!$D$763)&amp;"."&amp;YEAR(Dashboard!K$537))+K855</f>
        <v>0</v>
      </c>
      <c r="L887" s="10">
        <f>SUMIFS('Custom Constraints'!$C:$C,'Custom Constraints'!$A:$A,"caiso-deliverability_"&amp;SUBSTITUTE(Dashboard!$D887,"_group",Dashboard!$D$763)&amp;"."&amp;YEAR(Dashboard!L$537))+L855</f>
        <v>0</v>
      </c>
      <c r="M887" s="10">
        <f>SUMIFS('Custom Constraints'!$C:$C,'Custom Constraints'!$A:$A,"caiso-deliverability_"&amp;SUBSTITUTE(Dashboard!$D887,"_group",Dashboard!$D$763)&amp;"."&amp;YEAR(Dashboard!M$537))+M855</f>
        <v>0</v>
      </c>
      <c r="N887" s="10">
        <f>SUMIFS('Custom Constraints'!$C:$C,'Custom Constraints'!$A:$A,"caiso-deliverability_"&amp;SUBSTITUTE(Dashboard!$D887,"_group",Dashboard!$D$763)&amp;"."&amp;YEAR(Dashboard!N$537))+N855</f>
        <v>0</v>
      </c>
      <c r="O887" s="10">
        <f>SUMIFS('Custom Constraints'!$C:$C,'Custom Constraints'!$A:$A,"caiso-deliverability_"&amp;SUBSTITUTE(Dashboard!$D887,"_group",Dashboard!$D$763)&amp;"."&amp;YEAR(Dashboard!O$537))+O855</f>
        <v>0</v>
      </c>
      <c r="P887" s="10">
        <f>SUMIFS('Custom Constraints'!$C:$C,'Custom Constraints'!$A:$A,"caiso-deliverability_"&amp;SUBSTITUTE(Dashboard!$D887,"_group",Dashboard!$D$763)&amp;"."&amp;YEAR(Dashboard!P$537))+P855</f>
        <v>0</v>
      </c>
      <c r="Q887" s="10">
        <f>SUMIFS('Custom Constraints'!$C:$C,'Custom Constraints'!$A:$A,"caiso-deliverability_"&amp;SUBSTITUTE(Dashboard!$D887,"_group",Dashboard!$D$763)&amp;"."&amp;YEAR(Dashboard!Q$537))+Q855</f>
        <v>0</v>
      </c>
      <c r="R887" s="10">
        <f>SUMIFS('Custom Constraints'!$C:$C,'Custom Constraints'!$A:$A,"caiso-deliverability_"&amp;SUBSTITUTE(Dashboard!$D887,"_group",Dashboard!$D$763)&amp;"."&amp;YEAR(Dashboard!R$537))+R855</f>
        <v>0</v>
      </c>
      <c r="S887" s="10">
        <f>SUMIFS('Custom Constraints'!$C:$C,'Custom Constraints'!$A:$A,"caiso-deliverability_"&amp;SUBSTITUTE(Dashboard!$D887,"_group",Dashboard!$D$763)&amp;"."&amp;YEAR(Dashboard!S$537))+S855</f>
        <v>0</v>
      </c>
      <c r="T887" s="10">
        <f>SUMIFS('Custom Constraints'!$C:$C,'Custom Constraints'!$A:$A,"caiso-deliverability_"&amp;SUBSTITUTE(Dashboard!$D887,"_group",Dashboard!$D$763)&amp;"."&amp;YEAR(Dashboard!T$537))+T855</f>
        <v>0</v>
      </c>
      <c r="U887" s="10">
        <f>SUMIFS('Custom Constraints'!$C:$C,'Custom Constraints'!$A:$A,"caiso-deliverability_"&amp;SUBSTITUTE(Dashboard!$D887,"_group",Dashboard!$D$763)&amp;"."&amp;YEAR(Dashboard!U$537))+U855</f>
        <v>0</v>
      </c>
      <c r="V887" s="10">
        <f>SUMIFS('Custom Constraints'!$C:$C,'Custom Constraints'!$A:$A,"caiso-deliverability_"&amp;SUBSTITUTE(Dashboard!$D887,"_group",Dashboard!$D$763)&amp;"."&amp;YEAR(Dashboard!V$537))+V855</f>
        <v>0</v>
      </c>
      <c r="W887" s="10">
        <f>SUMIFS('Custom Constraints'!$C:$C,'Custom Constraints'!$A:$A,"caiso-deliverability_"&amp;SUBSTITUTE(Dashboard!$D887,"_group",Dashboard!$D$763)&amp;"."&amp;YEAR(Dashboard!W$537))+W855</f>
        <v>0</v>
      </c>
      <c r="X887" s="10">
        <f>SUMIFS('Custom Constraints'!$C:$C,'Custom Constraints'!$A:$A,"caiso-deliverability_"&amp;SUBSTITUTE(Dashboard!$D887,"_group",Dashboard!$D$763)&amp;"."&amp;YEAR(Dashboard!X$537))+X855</f>
        <v>0</v>
      </c>
      <c r="Y887" s="10">
        <f>SUMIFS('Custom Constraints'!$C:$C,'Custom Constraints'!$A:$A,"caiso-deliverability_"&amp;SUBSTITUTE(Dashboard!$D887,"_group",Dashboard!$D$763)&amp;"."&amp;YEAR(Dashboard!Y$537))+Y855</f>
        <v>0</v>
      </c>
      <c r="Z887" s="10">
        <f>SUMIFS('Custom Constraints'!$C:$C,'Custom Constraints'!$A:$A,"caiso-deliverability_"&amp;SUBSTITUTE(Dashboard!$D887,"_group",Dashboard!$D$763)&amp;"."&amp;YEAR(Dashboard!Z$537))+Z855</f>
        <v>0</v>
      </c>
      <c r="AA887" s="10">
        <f>SUMIFS('Custom Constraints'!$C:$C,'Custom Constraints'!$A:$A,"caiso-deliverability_"&amp;SUBSTITUTE(Dashboard!$D887,"_group",Dashboard!$D$763)&amp;"."&amp;YEAR(Dashboard!AA$537))+AA855</f>
        <v>0</v>
      </c>
      <c r="AB887" s="10">
        <f>SUMIFS('Custom Constraints'!$C:$C,'Custom Constraints'!$A:$A,"caiso-deliverability_"&amp;SUBSTITUTE(Dashboard!$D887,"_group",Dashboard!$D$763)&amp;"."&amp;YEAR(Dashboard!AB$537))+AB855</f>
        <v>0</v>
      </c>
      <c r="AC887" s="10">
        <f>SUMIFS('Custom Constraints'!$C:$C,'Custom Constraints'!$A:$A,"caiso-deliverability_"&amp;SUBSTITUTE(Dashboard!$D887,"_group",Dashboard!$D$763)&amp;"."&amp;YEAR(Dashboard!AC$537))+AC855</f>
        <v>0</v>
      </c>
      <c r="AD887" s="10">
        <f>SUMIFS('Custom Constraints'!$C:$C,'Custom Constraints'!$A:$A,"caiso-deliverability_"&amp;SUBSTITUTE(Dashboard!$D887,"_group",Dashboard!$D$763)&amp;"."&amp;YEAR(Dashboard!AD$537))+AD855</f>
        <v>0</v>
      </c>
      <c r="AH887" s="34" t="s">
        <v>422</v>
      </c>
    </row>
    <row r="888" spans="3:36" outlineLevel="2" x14ac:dyDescent="0.2">
      <c r="D888" s="8" t="s">
        <v>283</v>
      </c>
      <c r="E888" s="10">
        <f>SUMIFS('Custom Constraints'!$C:$C,'Custom Constraints'!$A:$A,"caiso-deliverability_"&amp;SUBSTITUTE(Dashboard!$D888,"_group",Dashboard!$D$763)&amp;"."&amp;YEAR(Dashboard!E$537))+E856</f>
        <v>0</v>
      </c>
      <c r="F888" s="10">
        <f>SUMIFS('Custom Constraints'!$C:$C,'Custom Constraints'!$A:$A,"caiso-deliverability_"&amp;SUBSTITUTE(Dashboard!$D888,"_group",Dashboard!$D$763)&amp;"."&amp;YEAR(Dashboard!F$537))+F856</f>
        <v>0</v>
      </c>
      <c r="G888" s="10">
        <f>SUMIFS('Custom Constraints'!$C:$C,'Custom Constraints'!$A:$A,"caiso-deliverability_"&amp;SUBSTITUTE(Dashboard!$D888,"_group",Dashboard!$D$763)&amp;"."&amp;YEAR(Dashboard!G$537))+G856</f>
        <v>0</v>
      </c>
      <c r="H888" s="10">
        <f>SUMIFS('Custom Constraints'!$C:$C,'Custom Constraints'!$A:$A,"caiso-deliverability_"&amp;SUBSTITUTE(Dashboard!$D888,"_group",Dashboard!$D$763)&amp;"."&amp;YEAR(Dashboard!H$537))+H856</f>
        <v>0</v>
      </c>
      <c r="I888" s="10">
        <f>SUMIFS('Custom Constraints'!$C:$C,'Custom Constraints'!$A:$A,"caiso-deliverability_"&amp;SUBSTITUTE(Dashboard!$D888,"_group",Dashboard!$D$763)&amp;"."&amp;YEAR(Dashboard!I$537))+I856</f>
        <v>0</v>
      </c>
      <c r="J888" s="10">
        <f>SUMIFS('Custom Constraints'!$C:$C,'Custom Constraints'!$A:$A,"caiso-deliverability_"&amp;SUBSTITUTE(Dashboard!$D888,"_group",Dashboard!$D$763)&amp;"."&amp;YEAR(Dashboard!J$537))+J856</f>
        <v>0</v>
      </c>
      <c r="K888" s="10">
        <f>SUMIFS('Custom Constraints'!$C:$C,'Custom Constraints'!$A:$A,"caiso-deliverability_"&amp;SUBSTITUTE(Dashboard!$D888,"_group",Dashboard!$D$763)&amp;"."&amp;YEAR(Dashboard!K$537))+K856</f>
        <v>0</v>
      </c>
      <c r="L888" s="10">
        <f>SUMIFS('Custom Constraints'!$C:$C,'Custom Constraints'!$A:$A,"caiso-deliverability_"&amp;SUBSTITUTE(Dashboard!$D888,"_group",Dashboard!$D$763)&amp;"."&amp;YEAR(Dashboard!L$537))+L856</f>
        <v>0</v>
      </c>
      <c r="M888" s="10">
        <f>SUMIFS('Custom Constraints'!$C:$C,'Custom Constraints'!$A:$A,"caiso-deliverability_"&amp;SUBSTITUTE(Dashboard!$D888,"_group",Dashboard!$D$763)&amp;"."&amp;YEAR(Dashboard!M$537))+M856</f>
        <v>0</v>
      </c>
      <c r="N888" s="10">
        <f>SUMIFS('Custom Constraints'!$C:$C,'Custom Constraints'!$A:$A,"caiso-deliverability_"&amp;SUBSTITUTE(Dashboard!$D888,"_group",Dashboard!$D$763)&amp;"."&amp;YEAR(Dashboard!N$537))+N856</f>
        <v>0</v>
      </c>
      <c r="O888" s="10">
        <f>SUMIFS('Custom Constraints'!$C:$C,'Custom Constraints'!$A:$A,"caiso-deliverability_"&amp;SUBSTITUTE(Dashboard!$D888,"_group",Dashboard!$D$763)&amp;"."&amp;YEAR(Dashboard!O$537))+O856</f>
        <v>0</v>
      </c>
      <c r="P888" s="10">
        <f>SUMIFS('Custom Constraints'!$C:$C,'Custom Constraints'!$A:$A,"caiso-deliverability_"&amp;SUBSTITUTE(Dashboard!$D888,"_group",Dashboard!$D$763)&amp;"."&amp;YEAR(Dashboard!P$537))+P856</f>
        <v>0</v>
      </c>
      <c r="Q888" s="10">
        <f>SUMIFS('Custom Constraints'!$C:$C,'Custom Constraints'!$A:$A,"caiso-deliverability_"&amp;SUBSTITUTE(Dashboard!$D888,"_group",Dashboard!$D$763)&amp;"."&amp;YEAR(Dashboard!Q$537))+Q856</f>
        <v>0</v>
      </c>
      <c r="R888" s="10">
        <f>SUMIFS('Custom Constraints'!$C:$C,'Custom Constraints'!$A:$A,"caiso-deliverability_"&amp;SUBSTITUTE(Dashboard!$D888,"_group",Dashboard!$D$763)&amp;"."&amp;YEAR(Dashboard!R$537))+R856</f>
        <v>0</v>
      </c>
      <c r="S888" s="10">
        <f>SUMIFS('Custom Constraints'!$C:$C,'Custom Constraints'!$A:$A,"caiso-deliverability_"&amp;SUBSTITUTE(Dashboard!$D888,"_group",Dashboard!$D$763)&amp;"."&amp;YEAR(Dashboard!S$537))+S856</f>
        <v>0</v>
      </c>
      <c r="T888" s="10">
        <f>SUMIFS('Custom Constraints'!$C:$C,'Custom Constraints'!$A:$A,"caiso-deliverability_"&amp;SUBSTITUTE(Dashboard!$D888,"_group",Dashboard!$D$763)&amp;"."&amp;YEAR(Dashboard!T$537))+T856</f>
        <v>0</v>
      </c>
      <c r="U888" s="10">
        <f>SUMIFS('Custom Constraints'!$C:$C,'Custom Constraints'!$A:$A,"caiso-deliverability_"&amp;SUBSTITUTE(Dashboard!$D888,"_group",Dashboard!$D$763)&amp;"."&amp;YEAR(Dashboard!U$537))+U856</f>
        <v>0</v>
      </c>
      <c r="V888" s="10">
        <f>SUMIFS('Custom Constraints'!$C:$C,'Custom Constraints'!$A:$A,"caiso-deliverability_"&amp;SUBSTITUTE(Dashboard!$D888,"_group",Dashboard!$D$763)&amp;"."&amp;YEAR(Dashboard!V$537))+V856</f>
        <v>0</v>
      </c>
      <c r="W888" s="10">
        <f>SUMIFS('Custom Constraints'!$C:$C,'Custom Constraints'!$A:$A,"caiso-deliverability_"&amp;SUBSTITUTE(Dashboard!$D888,"_group",Dashboard!$D$763)&amp;"."&amp;YEAR(Dashboard!W$537))+W856</f>
        <v>0</v>
      </c>
      <c r="X888" s="10">
        <f>SUMIFS('Custom Constraints'!$C:$C,'Custom Constraints'!$A:$A,"caiso-deliverability_"&amp;SUBSTITUTE(Dashboard!$D888,"_group",Dashboard!$D$763)&amp;"."&amp;YEAR(Dashboard!X$537))+X856</f>
        <v>0</v>
      </c>
      <c r="Y888" s="10">
        <f>SUMIFS('Custom Constraints'!$C:$C,'Custom Constraints'!$A:$A,"caiso-deliverability_"&amp;SUBSTITUTE(Dashboard!$D888,"_group",Dashboard!$D$763)&amp;"."&amp;YEAR(Dashboard!Y$537))+Y856</f>
        <v>0</v>
      </c>
      <c r="Z888" s="10">
        <f>SUMIFS('Custom Constraints'!$C:$C,'Custom Constraints'!$A:$A,"caiso-deliverability_"&amp;SUBSTITUTE(Dashboard!$D888,"_group",Dashboard!$D$763)&amp;"."&amp;YEAR(Dashboard!Z$537))+Z856</f>
        <v>0</v>
      </c>
      <c r="AA888" s="10">
        <f>SUMIFS('Custom Constraints'!$C:$C,'Custom Constraints'!$A:$A,"caiso-deliverability_"&amp;SUBSTITUTE(Dashboard!$D888,"_group",Dashboard!$D$763)&amp;"."&amp;YEAR(Dashboard!AA$537))+AA856</f>
        <v>0</v>
      </c>
      <c r="AB888" s="10">
        <f>SUMIFS('Custom Constraints'!$C:$C,'Custom Constraints'!$A:$A,"caiso-deliverability_"&amp;SUBSTITUTE(Dashboard!$D888,"_group",Dashboard!$D$763)&amp;"."&amp;YEAR(Dashboard!AB$537))+AB856</f>
        <v>0</v>
      </c>
      <c r="AC888" s="10">
        <f>SUMIFS('Custom Constraints'!$C:$C,'Custom Constraints'!$A:$A,"caiso-deliverability_"&amp;SUBSTITUTE(Dashboard!$D888,"_group",Dashboard!$D$763)&amp;"."&amp;YEAR(Dashboard!AC$537))+AC856</f>
        <v>0</v>
      </c>
      <c r="AD888" s="10">
        <f>SUMIFS('Custom Constraints'!$C:$C,'Custom Constraints'!$A:$A,"caiso-deliverability_"&amp;SUBSTITUTE(Dashboard!$D888,"_group",Dashboard!$D$763)&amp;"."&amp;YEAR(Dashboard!AD$537))+AD856</f>
        <v>-1548.0083956386234</v>
      </c>
      <c r="AH888" s="34" t="s">
        <v>422</v>
      </c>
    </row>
    <row r="889" spans="3:36" outlineLevel="2" x14ac:dyDescent="0.2">
      <c r="D889" s="8" t="s">
        <v>284</v>
      </c>
      <c r="E889" s="10">
        <f>SUMIFS('Custom Constraints'!$C:$C,'Custom Constraints'!$A:$A,"caiso-deliverability_"&amp;SUBSTITUTE(Dashboard!$D889,"_group",Dashboard!$D$763)&amp;"."&amp;YEAR(Dashboard!E$537))+E857</f>
        <v>0</v>
      </c>
      <c r="F889" s="10">
        <f>SUMIFS('Custom Constraints'!$C:$C,'Custom Constraints'!$A:$A,"caiso-deliverability_"&amp;SUBSTITUTE(Dashboard!$D889,"_group",Dashboard!$D$763)&amp;"."&amp;YEAR(Dashboard!F$537))+F857</f>
        <v>0</v>
      </c>
      <c r="G889" s="10">
        <f>SUMIFS('Custom Constraints'!$C:$C,'Custom Constraints'!$A:$A,"caiso-deliverability_"&amp;SUBSTITUTE(Dashboard!$D889,"_group",Dashboard!$D$763)&amp;"."&amp;YEAR(Dashboard!G$537))+G857</f>
        <v>0</v>
      </c>
      <c r="H889" s="10">
        <f>SUMIFS('Custom Constraints'!$C:$C,'Custom Constraints'!$A:$A,"caiso-deliverability_"&amp;SUBSTITUTE(Dashboard!$D889,"_group",Dashboard!$D$763)&amp;"."&amp;YEAR(Dashboard!H$537))+H857</f>
        <v>0</v>
      </c>
      <c r="I889" s="10">
        <f>SUMIFS('Custom Constraints'!$C:$C,'Custom Constraints'!$A:$A,"caiso-deliverability_"&amp;SUBSTITUTE(Dashboard!$D889,"_group",Dashboard!$D$763)&amp;"."&amp;YEAR(Dashboard!I$537))+I857</f>
        <v>0</v>
      </c>
      <c r="J889" s="10">
        <f>SUMIFS('Custom Constraints'!$C:$C,'Custom Constraints'!$A:$A,"caiso-deliverability_"&amp;SUBSTITUTE(Dashboard!$D889,"_group",Dashboard!$D$763)&amp;"."&amp;YEAR(Dashboard!J$537))+J857</f>
        <v>0</v>
      </c>
      <c r="K889" s="10">
        <f>SUMIFS('Custom Constraints'!$C:$C,'Custom Constraints'!$A:$A,"caiso-deliverability_"&amp;SUBSTITUTE(Dashboard!$D889,"_group",Dashboard!$D$763)&amp;"."&amp;YEAR(Dashboard!K$537))+K857</f>
        <v>0</v>
      </c>
      <c r="L889" s="10">
        <f>SUMIFS('Custom Constraints'!$C:$C,'Custom Constraints'!$A:$A,"caiso-deliverability_"&amp;SUBSTITUTE(Dashboard!$D889,"_group",Dashboard!$D$763)&amp;"."&amp;YEAR(Dashboard!L$537))+L857</f>
        <v>0</v>
      </c>
      <c r="M889" s="10">
        <f>SUMIFS('Custom Constraints'!$C:$C,'Custom Constraints'!$A:$A,"caiso-deliverability_"&amp;SUBSTITUTE(Dashboard!$D889,"_group",Dashboard!$D$763)&amp;"."&amp;YEAR(Dashboard!M$537))+M857</f>
        <v>0</v>
      </c>
      <c r="N889" s="10">
        <f>SUMIFS('Custom Constraints'!$C:$C,'Custom Constraints'!$A:$A,"caiso-deliverability_"&amp;SUBSTITUTE(Dashboard!$D889,"_group",Dashboard!$D$763)&amp;"."&amp;YEAR(Dashboard!N$537))+N857</f>
        <v>0</v>
      </c>
      <c r="O889" s="10">
        <f>SUMIFS('Custom Constraints'!$C:$C,'Custom Constraints'!$A:$A,"caiso-deliverability_"&amp;SUBSTITUTE(Dashboard!$D889,"_group",Dashboard!$D$763)&amp;"."&amp;YEAR(Dashboard!O$537))+O857</f>
        <v>0</v>
      </c>
      <c r="P889" s="10">
        <f>SUMIFS('Custom Constraints'!$C:$C,'Custom Constraints'!$A:$A,"caiso-deliverability_"&amp;SUBSTITUTE(Dashboard!$D889,"_group",Dashboard!$D$763)&amp;"."&amp;YEAR(Dashboard!P$537))+P857</f>
        <v>0</v>
      </c>
      <c r="Q889" s="10">
        <f>SUMIFS('Custom Constraints'!$C:$C,'Custom Constraints'!$A:$A,"caiso-deliverability_"&amp;SUBSTITUTE(Dashboard!$D889,"_group",Dashboard!$D$763)&amp;"."&amp;YEAR(Dashboard!Q$537))+Q857</f>
        <v>0</v>
      </c>
      <c r="R889" s="10">
        <f>SUMIFS('Custom Constraints'!$C:$C,'Custom Constraints'!$A:$A,"caiso-deliverability_"&amp;SUBSTITUTE(Dashboard!$D889,"_group",Dashboard!$D$763)&amp;"."&amp;YEAR(Dashboard!R$537))+R857</f>
        <v>0</v>
      </c>
      <c r="S889" s="10">
        <f>SUMIFS('Custom Constraints'!$C:$C,'Custom Constraints'!$A:$A,"caiso-deliverability_"&amp;SUBSTITUTE(Dashboard!$D889,"_group",Dashboard!$D$763)&amp;"."&amp;YEAR(Dashboard!S$537))+S857</f>
        <v>0</v>
      </c>
      <c r="T889" s="10">
        <f>SUMIFS('Custom Constraints'!$C:$C,'Custom Constraints'!$A:$A,"caiso-deliverability_"&amp;SUBSTITUTE(Dashboard!$D889,"_group",Dashboard!$D$763)&amp;"."&amp;YEAR(Dashboard!T$537))+T857</f>
        <v>0</v>
      </c>
      <c r="U889" s="10">
        <f>SUMIFS('Custom Constraints'!$C:$C,'Custom Constraints'!$A:$A,"caiso-deliverability_"&amp;SUBSTITUTE(Dashboard!$D889,"_group",Dashboard!$D$763)&amp;"."&amp;YEAR(Dashboard!U$537))+U857</f>
        <v>0</v>
      </c>
      <c r="V889" s="10">
        <f>SUMIFS('Custom Constraints'!$C:$C,'Custom Constraints'!$A:$A,"caiso-deliverability_"&amp;SUBSTITUTE(Dashboard!$D889,"_group",Dashboard!$D$763)&amp;"."&amp;YEAR(Dashboard!V$537))+V857</f>
        <v>0</v>
      </c>
      <c r="W889" s="10">
        <f>SUMIFS('Custom Constraints'!$C:$C,'Custom Constraints'!$A:$A,"caiso-deliverability_"&amp;SUBSTITUTE(Dashboard!$D889,"_group",Dashboard!$D$763)&amp;"."&amp;YEAR(Dashboard!W$537))+W857</f>
        <v>0</v>
      </c>
      <c r="X889" s="10">
        <f>SUMIFS('Custom Constraints'!$C:$C,'Custom Constraints'!$A:$A,"caiso-deliverability_"&amp;SUBSTITUTE(Dashboard!$D889,"_group",Dashboard!$D$763)&amp;"."&amp;YEAR(Dashboard!X$537))+X857</f>
        <v>0</v>
      </c>
      <c r="Y889" s="10">
        <f>SUMIFS('Custom Constraints'!$C:$C,'Custom Constraints'!$A:$A,"caiso-deliverability_"&amp;SUBSTITUTE(Dashboard!$D889,"_group",Dashboard!$D$763)&amp;"."&amp;YEAR(Dashboard!Y$537))+Y857</f>
        <v>0</v>
      </c>
      <c r="Z889" s="10">
        <f>SUMIFS('Custom Constraints'!$C:$C,'Custom Constraints'!$A:$A,"caiso-deliverability_"&amp;SUBSTITUTE(Dashboard!$D889,"_group",Dashboard!$D$763)&amp;"."&amp;YEAR(Dashboard!Z$537))+Z857</f>
        <v>0</v>
      </c>
      <c r="AA889" s="10">
        <f>SUMIFS('Custom Constraints'!$C:$C,'Custom Constraints'!$A:$A,"caiso-deliverability_"&amp;SUBSTITUTE(Dashboard!$D889,"_group",Dashboard!$D$763)&amp;"."&amp;YEAR(Dashboard!AA$537))+AA857</f>
        <v>0</v>
      </c>
      <c r="AB889" s="10">
        <f>SUMIFS('Custom Constraints'!$C:$C,'Custom Constraints'!$A:$A,"caiso-deliverability_"&amp;SUBSTITUTE(Dashboard!$D889,"_group",Dashboard!$D$763)&amp;"."&amp;YEAR(Dashboard!AB$537))+AB857</f>
        <v>0</v>
      </c>
      <c r="AC889" s="10">
        <f>SUMIFS('Custom Constraints'!$C:$C,'Custom Constraints'!$A:$A,"caiso-deliverability_"&amp;SUBSTITUTE(Dashboard!$D889,"_group",Dashboard!$D$763)&amp;"."&amp;YEAR(Dashboard!AC$537))+AC857</f>
        <v>0</v>
      </c>
      <c r="AD889" s="10">
        <f>SUMIFS('Custom Constraints'!$C:$C,'Custom Constraints'!$A:$A,"caiso-deliverability_"&amp;SUBSTITUTE(Dashboard!$D889,"_group",Dashboard!$D$763)&amp;"."&amp;YEAR(Dashboard!AD$537))+AD857</f>
        <v>76.12</v>
      </c>
      <c r="AH889" s="34" t="s">
        <v>422</v>
      </c>
    </row>
    <row r="890" spans="3:36" ht="12.6" outlineLevel="2" thickBot="1" x14ac:dyDescent="0.25">
      <c r="D890" s="9" t="s">
        <v>139</v>
      </c>
      <c r="E890" s="17">
        <f t="shared" ref="E890:AD890" si="1010">SUM(E862:E889)</f>
        <v>0</v>
      </c>
      <c r="F890" s="17">
        <f t="shared" si="1010"/>
        <v>0</v>
      </c>
      <c r="G890" s="17">
        <f t="shared" si="1010"/>
        <v>0</v>
      </c>
      <c r="H890" s="17">
        <f t="shared" si="1010"/>
        <v>0</v>
      </c>
      <c r="I890" s="17">
        <f t="shared" si="1010"/>
        <v>0</v>
      </c>
      <c r="J890" s="17">
        <f t="shared" si="1010"/>
        <v>0</v>
      </c>
      <c r="K890" s="17">
        <f t="shared" si="1010"/>
        <v>0</v>
      </c>
      <c r="L890" s="17">
        <f t="shared" si="1010"/>
        <v>0</v>
      </c>
      <c r="M890" s="17">
        <f t="shared" si="1010"/>
        <v>0</v>
      </c>
      <c r="N890" s="17">
        <f t="shared" si="1010"/>
        <v>0</v>
      </c>
      <c r="O890" s="17">
        <f t="shared" si="1010"/>
        <v>0</v>
      </c>
      <c r="P890" s="17">
        <f t="shared" si="1010"/>
        <v>0</v>
      </c>
      <c r="Q890" s="17">
        <f t="shared" si="1010"/>
        <v>0</v>
      </c>
      <c r="R890" s="17">
        <f t="shared" si="1010"/>
        <v>0</v>
      </c>
      <c r="S890" s="17">
        <f t="shared" si="1010"/>
        <v>0</v>
      </c>
      <c r="T890" s="17">
        <f t="shared" si="1010"/>
        <v>0</v>
      </c>
      <c r="U890" s="17">
        <f t="shared" si="1010"/>
        <v>0</v>
      </c>
      <c r="V890" s="17">
        <f t="shared" si="1010"/>
        <v>0</v>
      </c>
      <c r="W890" s="17">
        <f t="shared" si="1010"/>
        <v>0</v>
      </c>
      <c r="X890" s="17">
        <f t="shared" si="1010"/>
        <v>0</v>
      </c>
      <c r="Y890" s="17">
        <f t="shared" si="1010"/>
        <v>0</v>
      </c>
      <c r="Z890" s="17">
        <f t="shared" si="1010"/>
        <v>0</v>
      </c>
      <c r="AA890" s="17">
        <f t="shared" si="1010"/>
        <v>0</v>
      </c>
      <c r="AB890" s="17">
        <f t="shared" si="1010"/>
        <v>0</v>
      </c>
      <c r="AC890" s="17">
        <f t="shared" si="1010"/>
        <v>0</v>
      </c>
      <c r="AD890" s="17">
        <f t="shared" si="1010"/>
        <v>11927.483869279176</v>
      </c>
      <c r="AH890" s="34" t="s">
        <v>422</v>
      </c>
    </row>
    <row r="891" spans="3:36" ht="12" outlineLevel="1" thickTop="1" x14ac:dyDescent="0.2">
      <c r="AH891" s="34" t="s">
        <v>422</v>
      </c>
    </row>
    <row r="892" spans="3:36" ht="17.399999999999999" outlineLevel="1" thickBot="1" x14ac:dyDescent="0.25">
      <c r="C892" s="12" t="s">
        <v>308</v>
      </c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  <c r="AA892" s="12"/>
      <c r="AB892" s="12"/>
      <c r="AC892" s="12"/>
      <c r="AD892" s="12"/>
      <c r="AE892" s="12"/>
      <c r="AF892" s="12"/>
      <c r="AH892" s="34" t="s">
        <v>422</v>
      </c>
    </row>
    <row r="893" spans="3:36" outlineLevel="1" x14ac:dyDescent="0.2">
      <c r="AH893" s="34" t="s">
        <v>422</v>
      </c>
    </row>
    <row r="894" spans="3:36" ht="13.2" outlineLevel="1" x14ac:dyDescent="0.2">
      <c r="E894" s="2" t="s">
        <v>309</v>
      </c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H894" s="34" t="s">
        <v>422</v>
      </c>
      <c r="AJ894" t="s">
        <v>212</v>
      </c>
    </row>
    <row r="895" spans="3:36" outlineLevel="1" x14ac:dyDescent="0.2">
      <c r="E895" s="7">
        <v>43831</v>
      </c>
      <c r="F895" s="7">
        <f t="shared" ref="F895:AC895" si="1011">EDATE(E895,12)</f>
        <v>44197</v>
      </c>
      <c r="G895" s="7">
        <f t="shared" si="1011"/>
        <v>44562</v>
      </c>
      <c r="H895" s="7">
        <f t="shared" si="1011"/>
        <v>44927</v>
      </c>
      <c r="I895" s="7">
        <f t="shared" si="1011"/>
        <v>45292</v>
      </c>
      <c r="J895" s="7">
        <f t="shared" si="1011"/>
        <v>45658</v>
      </c>
      <c r="K895" s="7">
        <f t="shared" si="1011"/>
        <v>46023</v>
      </c>
      <c r="L895" s="7">
        <f t="shared" si="1011"/>
        <v>46388</v>
      </c>
      <c r="M895" s="7">
        <f t="shared" si="1011"/>
        <v>46753</v>
      </c>
      <c r="N895" s="7">
        <f t="shared" si="1011"/>
        <v>47119</v>
      </c>
      <c r="O895" s="7">
        <f t="shared" si="1011"/>
        <v>47484</v>
      </c>
      <c r="P895" s="7">
        <f t="shared" si="1011"/>
        <v>47849</v>
      </c>
      <c r="Q895" s="7">
        <f t="shared" si="1011"/>
        <v>48214</v>
      </c>
      <c r="R895" s="7">
        <f t="shared" si="1011"/>
        <v>48580</v>
      </c>
      <c r="S895" s="7">
        <f t="shared" si="1011"/>
        <v>48945</v>
      </c>
      <c r="T895" s="7">
        <f t="shared" si="1011"/>
        <v>49310</v>
      </c>
      <c r="U895" s="7">
        <f t="shared" si="1011"/>
        <v>49675</v>
      </c>
      <c r="V895" s="7">
        <f t="shared" si="1011"/>
        <v>50041</v>
      </c>
      <c r="W895" s="7">
        <f t="shared" si="1011"/>
        <v>50406</v>
      </c>
      <c r="X895" s="7">
        <f t="shared" si="1011"/>
        <v>50771</v>
      </c>
      <c r="Y895" s="7">
        <f t="shared" si="1011"/>
        <v>51136</v>
      </c>
      <c r="Z895" s="7">
        <f t="shared" si="1011"/>
        <v>51502</v>
      </c>
      <c r="AA895" s="7">
        <f t="shared" si="1011"/>
        <v>51867</v>
      </c>
      <c r="AB895" s="7">
        <f t="shared" si="1011"/>
        <v>52232</v>
      </c>
      <c r="AC895" s="7">
        <f t="shared" si="1011"/>
        <v>52597</v>
      </c>
      <c r="AD895" s="7">
        <f>EDATE(AC895,12)</f>
        <v>52963</v>
      </c>
      <c r="AH895" s="34" t="s">
        <v>422</v>
      </c>
    </row>
    <row r="896" spans="3:36" outlineLevel="1" x14ac:dyDescent="0.2">
      <c r="C896" s="8" t="s">
        <v>120</v>
      </c>
      <c r="D896" s="8" t="s">
        <v>68</v>
      </c>
      <c r="E896" s="10">
        <f>SUM(
  SUMIFS(
    'Resource Summary'!$G:$G,
    'Resource Summary'!$A:$A,$D896,
    'Resource Summary'!$C:$C,E$146
  )
)</f>
        <v>0</v>
      </c>
      <c r="F896" s="10">
        <f>SUM(
  SUMIFS(
    'Resource Summary'!$G:$G,
    'Resource Summary'!$A:$A,$D896,
    'Resource Summary'!$C:$C,F$146
  )
)</f>
        <v>0</v>
      </c>
      <c r="G896" s="10">
        <f>SUM(
  SUMIFS(
    'Resource Summary'!$G:$G,
    'Resource Summary'!$A:$A,$D896,
    'Resource Summary'!$C:$C,G$146
  )
)</f>
        <v>0</v>
      </c>
      <c r="H896" s="10">
        <f>SUM(
  SUMIFS(
    'Resource Summary'!$G:$G,
    'Resource Summary'!$A:$A,$D896,
    'Resource Summary'!$C:$C,H$146
  )
)</f>
        <v>0</v>
      </c>
      <c r="I896" s="10">
        <f>SUM(
  SUMIFS(
    'Resource Summary'!$G:$G,
    'Resource Summary'!$A:$A,$D896,
    'Resource Summary'!$C:$C,I$146
  )
)</f>
        <v>0</v>
      </c>
      <c r="J896" s="10">
        <f>SUM(
  SUMIFS(
    'Resource Summary'!$G:$G,
    'Resource Summary'!$A:$A,$D896,
    'Resource Summary'!$C:$C,J$146
  )
)</f>
        <v>0</v>
      </c>
      <c r="K896" s="10">
        <f>SUM(
  SUMIFS(
    'Resource Summary'!$G:$G,
    'Resource Summary'!$A:$A,$D896,
    'Resource Summary'!$C:$C,K$146
  )
)</f>
        <v>0</v>
      </c>
      <c r="L896" s="10">
        <f>SUM(
  SUMIFS(
    'Resource Summary'!$G:$G,
    'Resource Summary'!$A:$A,$D896,
    'Resource Summary'!$C:$C,L$146
  )
)</f>
        <v>0</v>
      </c>
      <c r="M896" s="10">
        <f>SUM(
  SUMIFS(
    'Resource Summary'!$G:$G,
    'Resource Summary'!$A:$A,$D896,
    'Resource Summary'!$C:$C,M$146
  )
)</f>
        <v>0</v>
      </c>
      <c r="N896" s="10">
        <f>SUM(
  SUMIFS(
    'Resource Summary'!$G:$G,
    'Resource Summary'!$A:$A,$D896,
    'Resource Summary'!$C:$C,N$146
  )
)</f>
        <v>0</v>
      </c>
      <c r="O896" s="10">
        <f>SUM(
  SUMIFS(
    'Resource Summary'!$G:$G,
    'Resource Summary'!$A:$A,$D896,
    'Resource Summary'!$C:$C,O$146
  )
)</f>
        <v>0</v>
      </c>
      <c r="P896" s="10">
        <f>SUM(
  SUMIFS(
    'Resource Summary'!$G:$G,
    'Resource Summary'!$A:$A,$D896,
    'Resource Summary'!$C:$C,P$146
  )
)</f>
        <v>0</v>
      </c>
      <c r="Q896" s="10">
        <f>SUM(
  SUMIFS(
    'Resource Summary'!$G:$G,
    'Resource Summary'!$A:$A,$D896,
    'Resource Summary'!$C:$C,Q$146
  )
)</f>
        <v>0</v>
      </c>
      <c r="R896" s="10">
        <f>SUM(
  SUMIFS(
    'Resource Summary'!$G:$G,
    'Resource Summary'!$A:$A,$D896,
    'Resource Summary'!$C:$C,R$146
  )
)</f>
        <v>0</v>
      </c>
      <c r="S896" s="10">
        <f>SUM(
  SUMIFS(
    'Resource Summary'!$G:$G,
    'Resource Summary'!$A:$A,$D896,
    'Resource Summary'!$C:$C,S$146
  )
)</f>
        <v>0</v>
      </c>
      <c r="T896" s="10">
        <f>SUM(
  SUMIFS(
    'Resource Summary'!$G:$G,
    'Resource Summary'!$A:$A,$D896,
    'Resource Summary'!$C:$C,T$146
  )
)</f>
        <v>0</v>
      </c>
      <c r="U896" s="10">
        <f>SUM(
  SUMIFS(
    'Resource Summary'!$G:$G,
    'Resource Summary'!$A:$A,$D896,
    'Resource Summary'!$C:$C,U$146
  )
)</f>
        <v>0</v>
      </c>
      <c r="V896" s="10">
        <f>SUM(
  SUMIFS(
    'Resource Summary'!$G:$G,
    'Resource Summary'!$A:$A,$D896,
    'Resource Summary'!$C:$C,V$146
  )
)</f>
        <v>0</v>
      </c>
      <c r="W896" s="10">
        <f>SUM(
  SUMIFS(
    'Resource Summary'!$G:$G,
    'Resource Summary'!$A:$A,$D896,
    'Resource Summary'!$C:$C,W$146
  )
)</f>
        <v>0</v>
      </c>
      <c r="X896" s="10">
        <f>SUM(
  SUMIFS(
    'Resource Summary'!$G:$G,
    'Resource Summary'!$A:$A,$D896,
    'Resource Summary'!$C:$C,X$146
  )
)</f>
        <v>0</v>
      </c>
      <c r="Y896" s="10">
        <f>SUM(
  SUMIFS(
    'Resource Summary'!$G:$G,
    'Resource Summary'!$A:$A,$D896,
    'Resource Summary'!$C:$C,Y$146
  )
)</f>
        <v>0</v>
      </c>
      <c r="Z896" s="10">
        <f>SUM(
  SUMIFS(
    'Resource Summary'!$G:$G,
    'Resource Summary'!$A:$A,$D896,
    'Resource Summary'!$C:$C,Z$146
  )
)</f>
        <v>0</v>
      </c>
      <c r="AA896" s="10">
        <f>SUM(
  SUMIFS(
    'Resource Summary'!$G:$G,
    'Resource Summary'!$A:$A,$D896,
    'Resource Summary'!$C:$C,AA$146
  )
)</f>
        <v>0</v>
      </c>
      <c r="AB896" s="10">
        <f>SUM(
  SUMIFS(
    'Resource Summary'!$G:$G,
    'Resource Summary'!$A:$A,$D896,
    'Resource Summary'!$C:$C,AB$146
  )
)</f>
        <v>0</v>
      </c>
      <c r="AC896" s="10">
        <f>SUM(
  SUMIFS(
    'Resource Summary'!$G:$G,
    'Resource Summary'!$A:$A,$D896,
    'Resource Summary'!$C:$C,AC$146
  )
)</f>
        <v>0</v>
      </c>
      <c r="AD896" s="10">
        <f>SUM(
  SUMIFS(
    'Resource Summary'!$G:$G,
    'Resource Summary'!$A:$A,$D896,
    'Resource Summary'!$C:$C,AD$146
  )
)</f>
        <v>0</v>
      </c>
      <c r="AH896" s="34" t="s">
        <v>422</v>
      </c>
    </row>
    <row r="897" spans="3:34" outlineLevel="1" x14ac:dyDescent="0.2">
      <c r="C897" s="8" t="s">
        <v>121</v>
      </c>
      <c r="D897" s="8" t="s">
        <v>56</v>
      </c>
      <c r="E897" s="10">
        <f>SUM(
  SUMIFS(
    'Resource Summary'!$G:$G,
    'Resource Summary'!$A:$A,$D897,
    'Resource Summary'!$C:$C,E$146
  )
)</f>
        <v>0</v>
      </c>
      <c r="F897" s="10">
        <f>SUM(
  SUMIFS(
    'Resource Summary'!$G:$G,
    'Resource Summary'!$A:$A,$D897,
    'Resource Summary'!$C:$C,F$146
  )
)</f>
        <v>0</v>
      </c>
      <c r="G897" s="10">
        <f>SUM(
  SUMIFS(
    'Resource Summary'!$G:$G,
    'Resource Summary'!$A:$A,$D897,
    'Resource Summary'!$C:$C,G$146
  )
)</f>
        <v>0</v>
      </c>
      <c r="H897" s="10">
        <f>SUM(
  SUMIFS(
    'Resource Summary'!$G:$G,
    'Resource Summary'!$A:$A,$D897,
    'Resource Summary'!$C:$C,H$146
  )
)</f>
        <v>0</v>
      </c>
      <c r="I897" s="10">
        <f>SUM(
  SUMIFS(
    'Resource Summary'!$G:$G,
    'Resource Summary'!$A:$A,$D897,
    'Resource Summary'!$C:$C,I$146
  )
)</f>
        <v>0</v>
      </c>
      <c r="J897" s="10">
        <f>SUM(
  SUMIFS(
    'Resource Summary'!$G:$G,
    'Resource Summary'!$A:$A,$D897,
    'Resource Summary'!$C:$C,J$146
  )
)</f>
        <v>0</v>
      </c>
      <c r="K897" s="10">
        <f>SUM(
  SUMIFS(
    'Resource Summary'!$G:$G,
    'Resource Summary'!$A:$A,$D897,
    'Resource Summary'!$C:$C,K$146
  )
)</f>
        <v>0</v>
      </c>
      <c r="L897" s="10">
        <f>SUM(
  SUMIFS(
    'Resource Summary'!$G:$G,
    'Resource Summary'!$A:$A,$D897,
    'Resource Summary'!$C:$C,L$146
  )
)</f>
        <v>0</v>
      </c>
      <c r="M897" s="10">
        <f>SUM(
  SUMIFS(
    'Resource Summary'!$G:$G,
    'Resource Summary'!$A:$A,$D897,
    'Resource Summary'!$C:$C,M$146
  )
)</f>
        <v>0</v>
      </c>
      <c r="N897" s="10">
        <f>SUM(
  SUMIFS(
    'Resource Summary'!$G:$G,
    'Resource Summary'!$A:$A,$D897,
    'Resource Summary'!$C:$C,N$146
  )
)</f>
        <v>0</v>
      </c>
      <c r="O897" s="10">
        <f>SUM(
  SUMIFS(
    'Resource Summary'!$G:$G,
    'Resource Summary'!$A:$A,$D897,
    'Resource Summary'!$C:$C,O$146
  )
)</f>
        <v>0</v>
      </c>
      <c r="P897" s="10">
        <f>SUM(
  SUMIFS(
    'Resource Summary'!$G:$G,
    'Resource Summary'!$A:$A,$D897,
    'Resource Summary'!$C:$C,P$146
  )
)</f>
        <v>0</v>
      </c>
      <c r="Q897" s="10">
        <f>SUM(
  SUMIFS(
    'Resource Summary'!$G:$G,
    'Resource Summary'!$A:$A,$D897,
    'Resource Summary'!$C:$C,Q$146
  )
)</f>
        <v>0</v>
      </c>
      <c r="R897" s="10">
        <f>SUM(
  SUMIFS(
    'Resource Summary'!$G:$G,
    'Resource Summary'!$A:$A,$D897,
    'Resource Summary'!$C:$C,R$146
  )
)</f>
        <v>0</v>
      </c>
      <c r="S897" s="10">
        <f>SUM(
  SUMIFS(
    'Resource Summary'!$G:$G,
    'Resource Summary'!$A:$A,$D897,
    'Resource Summary'!$C:$C,S$146
  )
)</f>
        <v>0</v>
      </c>
      <c r="T897" s="10">
        <f>SUM(
  SUMIFS(
    'Resource Summary'!$G:$G,
    'Resource Summary'!$A:$A,$D897,
    'Resource Summary'!$C:$C,T$146
  )
)</f>
        <v>0</v>
      </c>
      <c r="U897" s="10">
        <f>SUM(
  SUMIFS(
    'Resource Summary'!$G:$G,
    'Resource Summary'!$A:$A,$D897,
    'Resource Summary'!$C:$C,U$146
  )
)</f>
        <v>0</v>
      </c>
      <c r="V897" s="10">
        <f>SUM(
  SUMIFS(
    'Resource Summary'!$G:$G,
    'Resource Summary'!$A:$A,$D897,
    'Resource Summary'!$C:$C,V$146
  )
)</f>
        <v>0</v>
      </c>
      <c r="W897" s="10">
        <f>SUM(
  SUMIFS(
    'Resource Summary'!$G:$G,
    'Resource Summary'!$A:$A,$D897,
    'Resource Summary'!$C:$C,W$146
  )
)</f>
        <v>0</v>
      </c>
      <c r="X897" s="10">
        <f>SUM(
  SUMIFS(
    'Resource Summary'!$G:$G,
    'Resource Summary'!$A:$A,$D897,
    'Resource Summary'!$C:$C,X$146
  )
)</f>
        <v>0</v>
      </c>
      <c r="Y897" s="10">
        <f>SUM(
  SUMIFS(
    'Resource Summary'!$G:$G,
    'Resource Summary'!$A:$A,$D897,
    'Resource Summary'!$C:$C,Y$146
  )
)</f>
        <v>0</v>
      </c>
      <c r="Z897" s="10">
        <f>SUM(
  SUMIFS(
    'Resource Summary'!$G:$G,
    'Resource Summary'!$A:$A,$D897,
    'Resource Summary'!$C:$C,Z$146
  )
)</f>
        <v>0</v>
      </c>
      <c r="AA897" s="10">
        <f>SUM(
  SUMIFS(
    'Resource Summary'!$G:$G,
    'Resource Summary'!$A:$A,$D897,
    'Resource Summary'!$C:$C,AA$146
  )
)</f>
        <v>0</v>
      </c>
      <c r="AB897" s="10">
        <f>SUM(
  SUMIFS(
    'Resource Summary'!$G:$G,
    'Resource Summary'!$A:$A,$D897,
    'Resource Summary'!$C:$C,AB$146
  )
)</f>
        <v>0</v>
      </c>
      <c r="AC897" s="10">
        <f>SUM(
  SUMIFS(
    'Resource Summary'!$G:$G,
    'Resource Summary'!$A:$A,$D897,
    'Resource Summary'!$C:$C,AC$146
  )
)</f>
        <v>0</v>
      </c>
      <c r="AD897" s="10">
        <f>SUM(
  SUMIFS(
    'Resource Summary'!$G:$G,
    'Resource Summary'!$A:$A,$D897,
    'Resource Summary'!$C:$C,AD$146
  )
)</f>
        <v>102.300458628</v>
      </c>
      <c r="AH897" s="34" t="s">
        <v>422</v>
      </c>
    </row>
    <row r="898" spans="3:34" outlineLevel="1" x14ac:dyDescent="0.2">
      <c r="C898" s="8" t="s">
        <v>121</v>
      </c>
      <c r="D898" s="8" t="s">
        <v>69</v>
      </c>
      <c r="E898" s="10">
        <f>SUM(
  SUMIFS(
    'Resource Summary'!$G:$G,
    'Resource Summary'!$A:$A,$D898,
    'Resource Summary'!$C:$C,E$146
  )
)</f>
        <v>0</v>
      </c>
      <c r="F898" s="10">
        <f>SUM(
  SUMIFS(
    'Resource Summary'!$G:$G,
    'Resource Summary'!$A:$A,$D898,
    'Resource Summary'!$C:$C,F$146
  )
)</f>
        <v>0</v>
      </c>
      <c r="G898" s="10">
        <f>SUM(
  SUMIFS(
    'Resource Summary'!$G:$G,
    'Resource Summary'!$A:$A,$D898,
    'Resource Summary'!$C:$C,G$146
  )
)</f>
        <v>0</v>
      </c>
      <c r="H898" s="10">
        <f>SUM(
  SUMIFS(
    'Resource Summary'!$G:$G,
    'Resource Summary'!$A:$A,$D898,
    'Resource Summary'!$C:$C,H$146
  )
)</f>
        <v>0</v>
      </c>
      <c r="I898" s="10">
        <f>SUM(
  SUMIFS(
    'Resource Summary'!$G:$G,
    'Resource Summary'!$A:$A,$D898,
    'Resource Summary'!$C:$C,I$146
  )
)</f>
        <v>0</v>
      </c>
      <c r="J898" s="10">
        <f>SUM(
  SUMIFS(
    'Resource Summary'!$G:$G,
    'Resource Summary'!$A:$A,$D898,
    'Resource Summary'!$C:$C,J$146
  )
)</f>
        <v>0</v>
      </c>
      <c r="K898" s="10">
        <f>SUM(
  SUMIFS(
    'Resource Summary'!$G:$G,
    'Resource Summary'!$A:$A,$D898,
    'Resource Summary'!$C:$C,K$146
  )
)</f>
        <v>0</v>
      </c>
      <c r="L898" s="10">
        <f>SUM(
  SUMIFS(
    'Resource Summary'!$G:$G,
    'Resource Summary'!$A:$A,$D898,
    'Resource Summary'!$C:$C,L$146
  )
)</f>
        <v>0</v>
      </c>
      <c r="M898" s="10">
        <f>SUM(
  SUMIFS(
    'Resource Summary'!$G:$G,
    'Resource Summary'!$A:$A,$D898,
    'Resource Summary'!$C:$C,M$146
  )
)</f>
        <v>0</v>
      </c>
      <c r="N898" s="10">
        <f>SUM(
  SUMIFS(
    'Resource Summary'!$G:$G,
    'Resource Summary'!$A:$A,$D898,
    'Resource Summary'!$C:$C,N$146
  )
)</f>
        <v>0</v>
      </c>
      <c r="O898" s="10">
        <f>SUM(
  SUMIFS(
    'Resource Summary'!$G:$G,
    'Resource Summary'!$A:$A,$D898,
    'Resource Summary'!$C:$C,O$146
  )
)</f>
        <v>0</v>
      </c>
      <c r="P898" s="10">
        <f>SUM(
  SUMIFS(
    'Resource Summary'!$G:$G,
    'Resource Summary'!$A:$A,$D898,
    'Resource Summary'!$C:$C,P$146
  )
)</f>
        <v>0</v>
      </c>
      <c r="Q898" s="10">
        <f>SUM(
  SUMIFS(
    'Resource Summary'!$G:$G,
    'Resource Summary'!$A:$A,$D898,
    'Resource Summary'!$C:$C,Q$146
  )
)</f>
        <v>0</v>
      </c>
      <c r="R898" s="10">
        <f>SUM(
  SUMIFS(
    'Resource Summary'!$G:$G,
    'Resource Summary'!$A:$A,$D898,
    'Resource Summary'!$C:$C,R$146
  )
)</f>
        <v>0</v>
      </c>
      <c r="S898" s="10">
        <f>SUM(
  SUMIFS(
    'Resource Summary'!$G:$G,
    'Resource Summary'!$A:$A,$D898,
    'Resource Summary'!$C:$C,S$146
  )
)</f>
        <v>0</v>
      </c>
      <c r="T898" s="10">
        <f>SUM(
  SUMIFS(
    'Resource Summary'!$G:$G,
    'Resource Summary'!$A:$A,$D898,
    'Resource Summary'!$C:$C,T$146
  )
)</f>
        <v>0</v>
      </c>
      <c r="U898" s="10">
        <f>SUM(
  SUMIFS(
    'Resource Summary'!$G:$G,
    'Resource Summary'!$A:$A,$D898,
    'Resource Summary'!$C:$C,U$146
  )
)</f>
        <v>0</v>
      </c>
      <c r="V898" s="10">
        <f>SUM(
  SUMIFS(
    'Resource Summary'!$G:$G,
    'Resource Summary'!$A:$A,$D898,
    'Resource Summary'!$C:$C,V$146
  )
)</f>
        <v>0</v>
      </c>
      <c r="W898" s="10">
        <f>SUM(
  SUMIFS(
    'Resource Summary'!$G:$G,
    'Resource Summary'!$A:$A,$D898,
    'Resource Summary'!$C:$C,W$146
  )
)</f>
        <v>0</v>
      </c>
      <c r="X898" s="10">
        <f>SUM(
  SUMIFS(
    'Resource Summary'!$G:$G,
    'Resource Summary'!$A:$A,$D898,
    'Resource Summary'!$C:$C,X$146
  )
)</f>
        <v>0</v>
      </c>
      <c r="Y898" s="10">
        <f>SUM(
  SUMIFS(
    'Resource Summary'!$G:$G,
    'Resource Summary'!$A:$A,$D898,
    'Resource Summary'!$C:$C,Y$146
  )
)</f>
        <v>0</v>
      </c>
      <c r="Z898" s="10">
        <f>SUM(
  SUMIFS(
    'Resource Summary'!$G:$G,
    'Resource Summary'!$A:$A,$D898,
    'Resource Summary'!$C:$C,Z$146
  )
)</f>
        <v>0</v>
      </c>
      <c r="AA898" s="10">
        <f>SUM(
  SUMIFS(
    'Resource Summary'!$G:$G,
    'Resource Summary'!$A:$A,$D898,
    'Resource Summary'!$C:$C,AA$146
  )
)</f>
        <v>0</v>
      </c>
      <c r="AB898" s="10">
        <f>SUM(
  SUMIFS(
    'Resource Summary'!$G:$G,
    'Resource Summary'!$A:$A,$D898,
    'Resource Summary'!$C:$C,AB$146
  )
)</f>
        <v>0</v>
      </c>
      <c r="AC898" s="10">
        <f>SUM(
  SUMIFS(
    'Resource Summary'!$G:$G,
    'Resource Summary'!$A:$A,$D898,
    'Resource Summary'!$C:$C,AC$146
  )
)</f>
        <v>0</v>
      </c>
      <c r="AD898" s="10">
        <f>SUM(
  SUMIFS(
    'Resource Summary'!$G:$G,
    'Resource Summary'!$A:$A,$D898,
    'Resource Summary'!$C:$C,AD$146
  )
)</f>
        <v>0</v>
      </c>
      <c r="AH898" s="34" t="s">
        <v>422</v>
      </c>
    </row>
    <row r="899" spans="3:34" outlineLevel="1" x14ac:dyDescent="0.2">
      <c r="C899" s="8" t="s">
        <v>121</v>
      </c>
      <c r="D899" s="8" t="s">
        <v>77</v>
      </c>
      <c r="E899" s="10">
        <f>SUM(
  SUMIFS(
    'Resource Summary'!$G:$G,
    'Resource Summary'!$A:$A,$D899,
    'Resource Summary'!$C:$C,E$146
  )
)</f>
        <v>0</v>
      </c>
      <c r="F899" s="10">
        <f>SUM(
  SUMIFS(
    'Resource Summary'!$G:$G,
    'Resource Summary'!$A:$A,$D899,
    'Resource Summary'!$C:$C,F$146
  )
)</f>
        <v>0</v>
      </c>
      <c r="G899" s="10">
        <f>SUM(
  SUMIFS(
    'Resource Summary'!$G:$G,
    'Resource Summary'!$A:$A,$D899,
    'Resource Summary'!$C:$C,G$146
  )
)</f>
        <v>0</v>
      </c>
      <c r="H899" s="10">
        <f>SUM(
  SUMIFS(
    'Resource Summary'!$G:$G,
    'Resource Summary'!$A:$A,$D899,
    'Resource Summary'!$C:$C,H$146
  )
)</f>
        <v>0</v>
      </c>
      <c r="I899" s="10">
        <f>SUM(
  SUMIFS(
    'Resource Summary'!$G:$G,
    'Resource Summary'!$A:$A,$D899,
    'Resource Summary'!$C:$C,I$146
  )
)</f>
        <v>0</v>
      </c>
      <c r="J899" s="10">
        <f>SUM(
  SUMIFS(
    'Resource Summary'!$G:$G,
    'Resource Summary'!$A:$A,$D899,
    'Resource Summary'!$C:$C,J$146
  )
)</f>
        <v>0</v>
      </c>
      <c r="K899" s="10">
        <f>SUM(
  SUMIFS(
    'Resource Summary'!$G:$G,
    'Resource Summary'!$A:$A,$D899,
    'Resource Summary'!$C:$C,K$146
  )
)</f>
        <v>0</v>
      </c>
      <c r="L899" s="10">
        <f>SUM(
  SUMIFS(
    'Resource Summary'!$G:$G,
    'Resource Summary'!$A:$A,$D899,
    'Resource Summary'!$C:$C,L$146
  )
)</f>
        <v>0</v>
      </c>
      <c r="M899" s="10">
        <f>SUM(
  SUMIFS(
    'Resource Summary'!$G:$G,
    'Resource Summary'!$A:$A,$D899,
    'Resource Summary'!$C:$C,M$146
  )
)</f>
        <v>0</v>
      </c>
      <c r="N899" s="10">
        <f>SUM(
  SUMIFS(
    'Resource Summary'!$G:$G,
    'Resource Summary'!$A:$A,$D899,
    'Resource Summary'!$C:$C,N$146
  )
)</f>
        <v>0</v>
      </c>
      <c r="O899" s="10">
        <f>SUM(
  SUMIFS(
    'Resource Summary'!$G:$G,
    'Resource Summary'!$A:$A,$D899,
    'Resource Summary'!$C:$C,O$146
  )
)</f>
        <v>0</v>
      </c>
      <c r="P899" s="10">
        <f>SUM(
  SUMIFS(
    'Resource Summary'!$G:$G,
    'Resource Summary'!$A:$A,$D899,
    'Resource Summary'!$C:$C,P$146
  )
)</f>
        <v>0</v>
      </c>
      <c r="Q899" s="10">
        <f>SUM(
  SUMIFS(
    'Resource Summary'!$G:$G,
    'Resource Summary'!$A:$A,$D899,
    'Resource Summary'!$C:$C,Q$146
  )
)</f>
        <v>0</v>
      </c>
      <c r="R899" s="10">
        <f>SUM(
  SUMIFS(
    'Resource Summary'!$G:$G,
    'Resource Summary'!$A:$A,$D899,
    'Resource Summary'!$C:$C,R$146
  )
)</f>
        <v>0</v>
      </c>
      <c r="S899" s="10">
        <f>SUM(
  SUMIFS(
    'Resource Summary'!$G:$G,
    'Resource Summary'!$A:$A,$D899,
    'Resource Summary'!$C:$C,S$146
  )
)</f>
        <v>0</v>
      </c>
      <c r="T899" s="10">
        <f>SUM(
  SUMIFS(
    'Resource Summary'!$G:$G,
    'Resource Summary'!$A:$A,$D899,
    'Resource Summary'!$C:$C,T$146
  )
)</f>
        <v>0</v>
      </c>
      <c r="U899" s="10">
        <f>SUM(
  SUMIFS(
    'Resource Summary'!$G:$G,
    'Resource Summary'!$A:$A,$D899,
    'Resource Summary'!$C:$C,U$146
  )
)</f>
        <v>0</v>
      </c>
      <c r="V899" s="10">
        <f>SUM(
  SUMIFS(
    'Resource Summary'!$G:$G,
    'Resource Summary'!$A:$A,$D899,
    'Resource Summary'!$C:$C,V$146
  )
)</f>
        <v>0</v>
      </c>
      <c r="W899" s="10">
        <f>SUM(
  SUMIFS(
    'Resource Summary'!$G:$G,
    'Resource Summary'!$A:$A,$D899,
    'Resource Summary'!$C:$C,W$146
  )
)</f>
        <v>0</v>
      </c>
      <c r="X899" s="10">
        <f>SUM(
  SUMIFS(
    'Resource Summary'!$G:$G,
    'Resource Summary'!$A:$A,$D899,
    'Resource Summary'!$C:$C,X$146
  )
)</f>
        <v>0</v>
      </c>
      <c r="Y899" s="10">
        <f>SUM(
  SUMIFS(
    'Resource Summary'!$G:$G,
    'Resource Summary'!$A:$A,$D899,
    'Resource Summary'!$C:$C,Y$146
  )
)</f>
        <v>0</v>
      </c>
      <c r="Z899" s="10">
        <f>SUM(
  SUMIFS(
    'Resource Summary'!$G:$G,
    'Resource Summary'!$A:$A,$D899,
    'Resource Summary'!$C:$C,Z$146
  )
)</f>
        <v>0</v>
      </c>
      <c r="AA899" s="10">
        <f>SUM(
  SUMIFS(
    'Resource Summary'!$G:$G,
    'Resource Summary'!$A:$A,$D899,
    'Resource Summary'!$C:$C,AA$146
  )
)</f>
        <v>0</v>
      </c>
      <c r="AB899" s="10">
        <f>SUM(
  SUMIFS(
    'Resource Summary'!$G:$G,
    'Resource Summary'!$A:$A,$D899,
    'Resource Summary'!$C:$C,AB$146
  )
)</f>
        <v>0</v>
      </c>
      <c r="AC899" s="10">
        <f>SUM(
  SUMIFS(
    'Resource Summary'!$G:$G,
    'Resource Summary'!$A:$A,$D899,
    'Resource Summary'!$C:$C,AC$146
  )
)</f>
        <v>0</v>
      </c>
      <c r="AD899" s="10">
        <f>SUM(
  SUMIFS(
    'Resource Summary'!$G:$G,
    'Resource Summary'!$A:$A,$D899,
    'Resource Summary'!$C:$C,AD$146
  )
)</f>
        <v>0</v>
      </c>
      <c r="AH899" s="34" t="s">
        <v>422</v>
      </c>
    </row>
    <row r="900" spans="3:34" outlineLevel="1" x14ac:dyDescent="0.2">
      <c r="C900" s="8" t="s">
        <v>121</v>
      </c>
      <c r="D900" s="8" t="s">
        <v>87</v>
      </c>
      <c r="E900" s="10">
        <f>SUM(
  SUMIFS(
    'Resource Summary'!$G:$G,
    'Resource Summary'!$A:$A,$D900,
    'Resource Summary'!$C:$C,E$146
  )
)</f>
        <v>0</v>
      </c>
      <c r="F900" s="10">
        <f>SUM(
  SUMIFS(
    'Resource Summary'!$G:$G,
    'Resource Summary'!$A:$A,$D900,
    'Resource Summary'!$C:$C,F$146
  )
)</f>
        <v>0</v>
      </c>
      <c r="G900" s="10">
        <f>SUM(
  SUMIFS(
    'Resource Summary'!$G:$G,
    'Resource Summary'!$A:$A,$D900,
    'Resource Summary'!$C:$C,G$146
  )
)</f>
        <v>0</v>
      </c>
      <c r="H900" s="10">
        <f>SUM(
  SUMIFS(
    'Resource Summary'!$G:$G,
    'Resource Summary'!$A:$A,$D900,
    'Resource Summary'!$C:$C,H$146
  )
)</f>
        <v>0</v>
      </c>
      <c r="I900" s="10">
        <f>SUM(
  SUMIFS(
    'Resource Summary'!$G:$G,
    'Resource Summary'!$A:$A,$D900,
    'Resource Summary'!$C:$C,I$146
  )
)</f>
        <v>0</v>
      </c>
      <c r="J900" s="10">
        <f>SUM(
  SUMIFS(
    'Resource Summary'!$G:$G,
    'Resource Summary'!$A:$A,$D900,
    'Resource Summary'!$C:$C,J$146
  )
)</f>
        <v>0</v>
      </c>
      <c r="K900" s="10">
        <f>SUM(
  SUMIFS(
    'Resource Summary'!$G:$G,
    'Resource Summary'!$A:$A,$D900,
    'Resource Summary'!$C:$C,K$146
  )
)</f>
        <v>0</v>
      </c>
      <c r="L900" s="10">
        <f>SUM(
  SUMIFS(
    'Resource Summary'!$G:$G,
    'Resource Summary'!$A:$A,$D900,
    'Resource Summary'!$C:$C,L$146
  )
)</f>
        <v>0</v>
      </c>
      <c r="M900" s="10">
        <f>SUM(
  SUMIFS(
    'Resource Summary'!$G:$G,
    'Resource Summary'!$A:$A,$D900,
    'Resource Summary'!$C:$C,M$146
  )
)</f>
        <v>0</v>
      </c>
      <c r="N900" s="10">
        <f>SUM(
  SUMIFS(
    'Resource Summary'!$G:$G,
    'Resource Summary'!$A:$A,$D900,
    'Resource Summary'!$C:$C,N$146
  )
)</f>
        <v>0</v>
      </c>
      <c r="O900" s="10">
        <f>SUM(
  SUMIFS(
    'Resource Summary'!$G:$G,
    'Resource Summary'!$A:$A,$D900,
    'Resource Summary'!$C:$C,O$146
  )
)</f>
        <v>0</v>
      </c>
      <c r="P900" s="10">
        <f>SUM(
  SUMIFS(
    'Resource Summary'!$G:$G,
    'Resource Summary'!$A:$A,$D900,
    'Resource Summary'!$C:$C,P$146
  )
)</f>
        <v>0</v>
      </c>
      <c r="Q900" s="10">
        <f>SUM(
  SUMIFS(
    'Resource Summary'!$G:$G,
    'Resource Summary'!$A:$A,$D900,
    'Resource Summary'!$C:$C,Q$146
  )
)</f>
        <v>0</v>
      </c>
      <c r="R900" s="10">
        <f>SUM(
  SUMIFS(
    'Resource Summary'!$G:$G,
    'Resource Summary'!$A:$A,$D900,
    'Resource Summary'!$C:$C,R$146
  )
)</f>
        <v>0</v>
      </c>
      <c r="S900" s="10">
        <f>SUM(
  SUMIFS(
    'Resource Summary'!$G:$G,
    'Resource Summary'!$A:$A,$D900,
    'Resource Summary'!$C:$C,S$146
  )
)</f>
        <v>0</v>
      </c>
      <c r="T900" s="10">
        <f>SUM(
  SUMIFS(
    'Resource Summary'!$G:$G,
    'Resource Summary'!$A:$A,$D900,
    'Resource Summary'!$C:$C,T$146
  )
)</f>
        <v>0</v>
      </c>
      <c r="U900" s="10">
        <f>SUM(
  SUMIFS(
    'Resource Summary'!$G:$G,
    'Resource Summary'!$A:$A,$D900,
    'Resource Summary'!$C:$C,U$146
  )
)</f>
        <v>0</v>
      </c>
      <c r="V900" s="10">
        <f>SUM(
  SUMIFS(
    'Resource Summary'!$G:$G,
    'Resource Summary'!$A:$A,$D900,
    'Resource Summary'!$C:$C,V$146
  )
)</f>
        <v>0</v>
      </c>
      <c r="W900" s="10">
        <f>SUM(
  SUMIFS(
    'Resource Summary'!$G:$G,
    'Resource Summary'!$A:$A,$D900,
    'Resource Summary'!$C:$C,W$146
  )
)</f>
        <v>0</v>
      </c>
      <c r="X900" s="10">
        <f>SUM(
  SUMIFS(
    'Resource Summary'!$G:$G,
    'Resource Summary'!$A:$A,$D900,
    'Resource Summary'!$C:$C,X$146
  )
)</f>
        <v>0</v>
      </c>
      <c r="Y900" s="10">
        <f>SUM(
  SUMIFS(
    'Resource Summary'!$G:$G,
    'Resource Summary'!$A:$A,$D900,
    'Resource Summary'!$C:$C,Y$146
  )
)</f>
        <v>0</v>
      </c>
      <c r="Z900" s="10">
        <f>SUM(
  SUMIFS(
    'Resource Summary'!$G:$G,
    'Resource Summary'!$A:$A,$D900,
    'Resource Summary'!$C:$C,Z$146
  )
)</f>
        <v>0</v>
      </c>
      <c r="AA900" s="10">
        <f>SUM(
  SUMIFS(
    'Resource Summary'!$G:$G,
    'Resource Summary'!$A:$A,$D900,
    'Resource Summary'!$C:$C,AA$146
  )
)</f>
        <v>0</v>
      </c>
      <c r="AB900" s="10">
        <f>SUM(
  SUMIFS(
    'Resource Summary'!$G:$G,
    'Resource Summary'!$A:$A,$D900,
    'Resource Summary'!$C:$C,AB$146
  )
)</f>
        <v>0</v>
      </c>
      <c r="AC900" s="10">
        <f>SUM(
  SUMIFS(
    'Resource Summary'!$G:$G,
    'Resource Summary'!$A:$A,$D900,
    'Resource Summary'!$C:$C,AC$146
  )
)</f>
        <v>0</v>
      </c>
      <c r="AD900" s="10">
        <f>SUM(
  SUMIFS(
    'Resource Summary'!$G:$G,
    'Resource Summary'!$A:$A,$D900,
    'Resource Summary'!$C:$C,AD$146
  )
)</f>
        <v>0</v>
      </c>
      <c r="AH900" s="34" t="s">
        <v>422</v>
      </c>
    </row>
    <row r="901" spans="3:34" outlineLevel="1" x14ac:dyDescent="0.2">
      <c r="C901" s="8" t="s">
        <v>121</v>
      </c>
      <c r="D901" s="8" t="s">
        <v>91</v>
      </c>
      <c r="E901" s="10">
        <f>SUM(
  SUMIFS(
    'Resource Summary'!$G:$G,
    'Resource Summary'!$A:$A,$D901,
    'Resource Summary'!$C:$C,E$146
  )
)</f>
        <v>0</v>
      </c>
      <c r="F901" s="10">
        <f>SUM(
  SUMIFS(
    'Resource Summary'!$G:$G,
    'Resource Summary'!$A:$A,$D901,
    'Resource Summary'!$C:$C,F$146
  )
)</f>
        <v>0</v>
      </c>
      <c r="G901" s="10">
        <f>SUM(
  SUMIFS(
    'Resource Summary'!$G:$G,
    'Resource Summary'!$A:$A,$D901,
    'Resource Summary'!$C:$C,G$146
  )
)</f>
        <v>0</v>
      </c>
      <c r="H901" s="10">
        <f>SUM(
  SUMIFS(
    'Resource Summary'!$G:$G,
    'Resource Summary'!$A:$A,$D901,
    'Resource Summary'!$C:$C,H$146
  )
)</f>
        <v>0</v>
      </c>
      <c r="I901" s="10">
        <f>SUM(
  SUMIFS(
    'Resource Summary'!$G:$G,
    'Resource Summary'!$A:$A,$D901,
    'Resource Summary'!$C:$C,I$146
  )
)</f>
        <v>0</v>
      </c>
      <c r="J901" s="10">
        <f>SUM(
  SUMIFS(
    'Resource Summary'!$G:$G,
    'Resource Summary'!$A:$A,$D901,
    'Resource Summary'!$C:$C,J$146
  )
)</f>
        <v>0</v>
      </c>
      <c r="K901" s="10">
        <f>SUM(
  SUMIFS(
    'Resource Summary'!$G:$G,
    'Resource Summary'!$A:$A,$D901,
    'Resource Summary'!$C:$C,K$146
  )
)</f>
        <v>0</v>
      </c>
      <c r="L901" s="10">
        <f>SUM(
  SUMIFS(
    'Resource Summary'!$G:$G,
    'Resource Summary'!$A:$A,$D901,
    'Resource Summary'!$C:$C,L$146
  )
)</f>
        <v>0</v>
      </c>
      <c r="M901" s="10">
        <f>SUM(
  SUMIFS(
    'Resource Summary'!$G:$G,
    'Resource Summary'!$A:$A,$D901,
    'Resource Summary'!$C:$C,M$146
  )
)</f>
        <v>0</v>
      </c>
      <c r="N901" s="10">
        <f>SUM(
  SUMIFS(
    'Resource Summary'!$G:$G,
    'Resource Summary'!$A:$A,$D901,
    'Resource Summary'!$C:$C,N$146
  )
)</f>
        <v>0</v>
      </c>
      <c r="O901" s="10">
        <f>SUM(
  SUMIFS(
    'Resource Summary'!$G:$G,
    'Resource Summary'!$A:$A,$D901,
    'Resource Summary'!$C:$C,O$146
  )
)</f>
        <v>0</v>
      </c>
      <c r="P901" s="10">
        <f>SUM(
  SUMIFS(
    'Resource Summary'!$G:$G,
    'Resource Summary'!$A:$A,$D901,
    'Resource Summary'!$C:$C,P$146
  )
)</f>
        <v>0</v>
      </c>
      <c r="Q901" s="10">
        <f>SUM(
  SUMIFS(
    'Resource Summary'!$G:$G,
    'Resource Summary'!$A:$A,$D901,
    'Resource Summary'!$C:$C,Q$146
  )
)</f>
        <v>0</v>
      </c>
      <c r="R901" s="10">
        <f>SUM(
  SUMIFS(
    'Resource Summary'!$G:$G,
    'Resource Summary'!$A:$A,$D901,
    'Resource Summary'!$C:$C,R$146
  )
)</f>
        <v>0</v>
      </c>
      <c r="S901" s="10">
        <f>SUM(
  SUMIFS(
    'Resource Summary'!$G:$G,
    'Resource Summary'!$A:$A,$D901,
    'Resource Summary'!$C:$C,S$146
  )
)</f>
        <v>0</v>
      </c>
      <c r="T901" s="10">
        <f>SUM(
  SUMIFS(
    'Resource Summary'!$G:$G,
    'Resource Summary'!$A:$A,$D901,
    'Resource Summary'!$C:$C,T$146
  )
)</f>
        <v>0</v>
      </c>
      <c r="U901" s="10">
        <f>SUM(
  SUMIFS(
    'Resource Summary'!$G:$G,
    'Resource Summary'!$A:$A,$D901,
    'Resource Summary'!$C:$C,U$146
  )
)</f>
        <v>0</v>
      </c>
      <c r="V901" s="10">
        <f>SUM(
  SUMIFS(
    'Resource Summary'!$G:$G,
    'Resource Summary'!$A:$A,$D901,
    'Resource Summary'!$C:$C,V$146
  )
)</f>
        <v>0</v>
      </c>
      <c r="W901" s="10">
        <f>SUM(
  SUMIFS(
    'Resource Summary'!$G:$G,
    'Resource Summary'!$A:$A,$D901,
    'Resource Summary'!$C:$C,W$146
  )
)</f>
        <v>0</v>
      </c>
      <c r="X901" s="10">
        <f>SUM(
  SUMIFS(
    'Resource Summary'!$G:$G,
    'Resource Summary'!$A:$A,$D901,
    'Resource Summary'!$C:$C,X$146
  )
)</f>
        <v>0</v>
      </c>
      <c r="Y901" s="10">
        <f>SUM(
  SUMIFS(
    'Resource Summary'!$G:$G,
    'Resource Summary'!$A:$A,$D901,
    'Resource Summary'!$C:$C,Y$146
  )
)</f>
        <v>0</v>
      </c>
      <c r="Z901" s="10">
        <f>SUM(
  SUMIFS(
    'Resource Summary'!$G:$G,
    'Resource Summary'!$A:$A,$D901,
    'Resource Summary'!$C:$C,Z$146
  )
)</f>
        <v>0</v>
      </c>
      <c r="AA901" s="10">
        <f>SUM(
  SUMIFS(
    'Resource Summary'!$G:$G,
    'Resource Summary'!$A:$A,$D901,
    'Resource Summary'!$C:$C,AA$146
  )
)</f>
        <v>0</v>
      </c>
      <c r="AB901" s="10">
        <f>SUM(
  SUMIFS(
    'Resource Summary'!$G:$G,
    'Resource Summary'!$A:$A,$D901,
    'Resource Summary'!$C:$C,AB$146
  )
)</f>
        <v>0</v>
      </c>
      <c r="AC901" s="10">
        <f>SUM(
  SUMIFS(
    'Resource Summary'!$G:$G,
    'Resource Summary'!$A:$A,$D901,
    'Resource Summary'!$C:$C,AC$146
  )
)</f>
        <v>0</v>
      </c>
      <c r="AD901" s="10">
        <f>SUM(
  SUMIFS(
    'Resource Summary'!$G:$G,
    'Resource Summary'!$A:$A,$D901,
    'Resource Summary'!$C:$C,AD$146
  )
)</f>
        <v>0</v>
      </c>
      <c r="AH901" s="34" t="s">
        <v>422</v>
      </c>
    </row>
    <row r="902" spans="3:34" outlineLevel="1" x14ac:dyDescent="0.2">
      <c r="C902" s="8" t="s">
        <v>121</v>
      </c>
      <c r="D902" s="8" t="s">
        <v>97</v>
      </c>
      <c r="E902" s="10">
        <f>SUM(
  SUMIFS(
    'Resource Summary'!$G:$G,
    'Resource Summary'!$A:$A,$D902,
    'Resource Summary'!$C:$C,E$146
  )
)</f>
        <v>0</v>
      </c>
      <c r="F902" s="10">
        <f>SUM(
  SUMIFS(
    'Resource Summary'!$G:$G,
    'Resource Summary'!$A:$A,$D902,
    'Resource Summary'!$C:$C,F$146
  )
)</f>
        <v>0</v>
      </c>
      <c r="G902" s="10">
        <f>SUM(
  SUMIFS(
    'Resource Summary'!$G:$G,
    'Resource Summary'!$A:$A,$D902,
    'Resource Summary'!$C:$C,G$146
  )
)</f>
        <v>0</v>
      </c>
      <c r="H902" s="10">
        <f>SUM(
  SUMIFS(
    'Resource Summary'!$G:$G,
    'Resource Summary'!$A:$A,$D902,
    'Resource Summary'!$C:$C,H$146
  )
)</f>
        <v>0</v>
      </c>
      <c r="I902" s="10">
        <f>SUM(
  SUMIFS(
    'Resource Summary'!$G:$G,
    'Resource Summary'!$A:$A,$D902,
    'Resource Summary'!$C:$C,I$146
  )
)</f>
        <v>0</v>
      </c>
      <c r="J902" s="10">
        <f>SUM(
  SUMIFS(
    'Resource Summary'!$G:$G,
    'Resource Summary'!$A:$A,$D902,
    'Resource Summary'!$C:$C,J$146
  )
)</f>
        <v>0</v>
      </c>
      <c r="K902" s="10">
        <f>SUM(
  SUMIFS(
    'Resource Summary'!$G:$G,
    'Resource Summary'!$A:$A,$D902,
    'Resource Summary'!$C:$C,K$146
  )
)</f>
        <v>0</v>
      </c>
      <c r="L902" s="10">
        <f>SUM(
  SUMIFS(
    'Resource Summary'!$G:$G,
    'Resource Summary'!$A:$A,$D902,
    'Resource Summary'!$C:$C,L$146
  )
)</f>
        <v>0</v>
      </c>
      <c r="M902" s="10">
        <f>SUM(
  SUMIFS(
    'Resource Summary'!$G:$G,
    'Resource Summary'!$A:$A,$D902,
    'Resource Summary'!$C:$C,M$146
  )
)</f>
        <v>0</v>
      </c>
      <c r="N902" s="10">
        <f>SUM(
  SUMIFS(
    'Resource Summary'!$G:$G,
    'Resource Summary'!$A:$A,$D902,
    'Resource Summary'!$C:$C,N$146
  )
)</f>
        <v>0</v>
      </c>
      <c r="O902" s="10">
        <f>SUM(
  SUMIFS(
    'Resource Summary'!$G:$G,
    'Resource Summary'!$A:$A,$D902,
    'Resource Summary'!$C:$C,O$146
  )
)</f>
        <v>0</v>
      </c>
      <c r="P902" s="10">
        <f>SUM(
  SUMIFS(
    'Resource Summary'!$G:$G,
    'Resource Summary'!$A:$A,$D902,
    'Resource Summary'!$C:$C,P$146
  )
)</f>
        <v>0</v>
      </c>
      <c r="Q902" s="10">
        <f>SUM(
  SUMIFS(
    'Resource Summary'!$G:$G,
    'Resource Summary'!$A:$A,$D902,
    'Resource Summary'!$C:$C,Q$146
  )
)</f>
        <v>0</v>
      </c>
      <c r="R902" s="10">
        <f>SUM(
  SUMIFS(
    'Resource Summary'!$G:$G,
    'Resource Summary'!$A:$A,$D902,
    'Resource Summary'!$C:$C,R$146
  )
)</f>
        <v>0</v>
      </c>
      <c r="S902" s="10">
        <f>SUM(
  SUMIFS(
    'Resource Summary'!$G:$G,
    'Resource Summary'!$A:$A,$D902,
    'Resource Summary'!$C:$C,S$146
  )
)</f>
        <v>0</v>
      </c>
      <c r="T902" s="10">
        <f>SUM(
  SUMIFS(
    'Resource Summary'!$G:$G,
    'Resource Summary'!$A:$A,$D902,
    'Resource Summary'!$C:$C,T$146
  )
)</f>
        <v>0</v>
      </c>
      <c r="U902" s="10">
        <f>SUM(
  SUMIFS(
    'Resource Summary'!$G:$G,
    'Resource Summary'!$A:$A,$D902,
    'Resource Summary'!$C:$C,U$146
  )
)</f>
        <v>0</v>
      </c>
      <c r="V902" s="10">
        <f>SUM(
  SUMIFS(
    'Resource Summary'!$G:$G,
    'Resource Summary'!$A:$A,$D902,
    'Resource Summary'!$C:$C,V$146
  )
)</f>
        <v>0</v>
      </c>
      <c r="W902" s="10">
        <f>SUM(
  SUMIFS(
    'Resource Summary'!$G:$G,
    'Resource Summary'!$A:$A,$D902,
    'Resource Summary'!$C:$C,W$146
  )
)</f>
        <v>0</v>
      </c>
      <c r="X902" s="10">
        <f>SUM(
  SUMIFS(
    'Resource Summary'!$G:$G,
    'Resource Summary'!$A:$A,$D902,
    'Resource Summary'!$C:$C,X$146
  )
)</f>
        <v>0</v>
      </c>
      <c r="Y902" s="10">
        <f>SUM(
  SUMIFS(
    'Resource Summary'!$G:$G,
    'Resource Summary'!$A:$A,$D902,
    'Resource Summary'!$C:$C,Y$146
  )
)</f>
        <v>0</v>
      </c>
      <c r="Z902" s="10">
        <f>SUM(
  SUMIFS(
    'Resource Summary'!$G:$G,
    'Resource Summary'!$A:$A,$D902,
    'Resource Summary'!$C:$C,Z$146
  )
)</f>
        <v>0</v>
      </c>
      <c r="AA902" s="10">
        <f>SUM(
  SUMIFS(
    'Resource Summary'!$G:$G,
    'Resource Summary'!$A:$A,$D902,
    'Resource Summary'!$C:$C,AA$146
  )
)</f>
        <v>0</v>
      </c>
      <c r="AB902" s="10">
        <f>SUM(
  SUMIFS(
    'Resource Summary'!$G:$G,
    'Resource Summary'!$A:$A,$D902,
    'Resource Summary'!$C:$C,AB$146
  )
)</f>
        <v>0</v>
      </c>
      <c r="AC902" s="10">
        <f>SUM(
  SUMIFS(
    'Resource Summary'!$G:$G,
    'Resource Summary'!$A:$A,$D902,
    'Resource Summary'!$C:$C,AC$146
  )
)</f>
        <v>0</v>
      </c>
      <c r="AD902" s="10">
        <f>SUM(
  SUMIFS(
    'Resource Summary'!$G:$G,
    'Resource Summary'!$A:$A,$D902,
    'Resource Summary'!$C:$C,AD$146
  )
)</f>
        <v>0</v>
      </c>
      <c r="AH902" s="34" t="s">
        <v>422</v>
      </c>
    </row>
    <row r="903" spans="3:34" outlineLevel="1" x14ac:dyDescent="0.2">
      <c r="C903" s="8" t="s">
        <v>121</v>
      </c>
      <c r="D903" s="8" t="s">
        <v>99</v>
      </c>
      <c r="E903" s="10">
        <f>SUM(
  SUMIFS(
    'Resource Summary'!$G:$G,
    'Resource Summary'!$A:$A,$D903,
    'Resource Summary'!$C:$C,E$146
  )
)</f>
        <v>0</v>
      </c>
      <c r="F903" s="10">
        <f>SUM(
  SUMIFS(
    'Resource Summary'!$G:$G,
    'Resource Summary'!$A:$A,$D903,
    'Resource Summary'!$C:$C,F$146
  )
)</f>
        <v>0</v>
      </c>
      <c r="G903" s="10">
        <f>SUM(
  SUMIFS(
    'Resource Summary'!$G:$G,
    'Resource Summary'!$A:$A,$D903,
    'Resource Summary'!$C:$C,G$146
  )
)</f>
        <v>0</v>
      </c>
      <c r="H903" s="10">
        <f>SUM(
  SUMIFS(
    'Resource Summary'!$G:$G,
    'Resource Summary'!$A:$A,$D903,
    'Resource Summary'!$C:$C,H$146
  )
)</f>
        <v>0</v>
      </c>
      <c r="I903" s="10">
        <f>SUM(
  SUMIFS(
    'Resource Summary'!$G:$G,
    'Resource Summary'!$A:$A,$D903,
    'Resource Summary'!$C:$C,I$146
  )
)</f>
        <v>0</v>
      </c>
      <c r="J903" s="10">
        <f>SUM(
  SUMIFS(
    'Resource Summary'!$G:$G,
    'Resource Summary'!$A:$A,$D903,
    'Resource Summary'!$C:$C,J$146
  )
)</f>
        <v>0</v>
      </c>
      <c r="K903" s="10">
        <f>SUM(
  SUMIFS(
    'Resource Summary'!$G:$G,
    'Resource Summary'!$A:$A,$D903,
    'Resource Summary'!$C:$C,K$146
  )
)</f>
        <v>0</v>
      </c>
      <c r="L903" s="10">
        <f>SUM(
  SUMIFS(
    'Resource Summary'!$G:$G,
    'Resource Summary'!$A:$A,$D903,
    'Resource Summary'!$C:$C,L$146
  )
)</f>
        <v>0</v>
      </c>
      <c r="M903" s="10">
        <f>SUM(
  SUMIFS(
    'Resource Summary'!$G:$G,
    'Resource Summary'!$A:$A,$D903,
    'Resource Summary'!$C:$C,M$146
  )
)</f>
        <v>0</v>
      </c>
      <c r="N903" s="10">
        <f>SUM(
  SUMIFS(
    'Resource Summary'!$G:$G,
    'Resource Summary'!$A:$A,$D903,
    'Resource Summary'!$C:$C,N$146
  )
)</f>
        <v>0</v>
      </c>
      <c r="O903" s="10">
        <f>SUM(
  SUMIFS(
    'Resource Summary'!$G:$G,
    'Resource Summary'!$A:$A,$D903,
    'Resource Summary'!$C:$C,O$146
  )
)</f>
        <v>0</v>
      </c>
      <c r="P903" s="10">
        <f>SUM(
  SUMIFS(
    'Resource Summary'!$G:$G,
    'Resource Summary'!$A:$A,$D903,
    'Resource Summary'!$C:$C,P$146
  )
)</f>
        <v>0</v>
      </c>
      <c r="Q903" s="10">
        <f>SUM(
  SUMIFS(
    'Resource Summary'!$G:$G,
    'Resource Summary'!$A:$A,$D903,
    'Resource Summary'!$C:$C,Q$146
  )
)</f>
        <v>0</v>
      </c>
      <c r="R903" s="10">
        <f>SUM(
  SUMIFS(
    'Resource Summary'!$G:$G,
    'Resource Summary'!$A:$A,$D903,
    'Resource Summary'!$C:$C,R$146
  )
)</f>
        <v>0</v>
      </c>
      <c r="S903" s="10">
        <f>SUM(
  SUMIFS(
    'Resource Summary'!$G:$G,
    'Resource Summary'!$A:$A,$D903,
    'Resource Summary'!$C:$C,S$146
  )
)</f>
        <v>0</v>
      </c>
      <c r="T903" s="10">
        <f>SUM(
  SUMIFS(
    'Resource Summary'!$G:$G,
    'Resource Summary'!$A:$A,$D903,
    'Resource Summary'!$C:$C,T$146
  )
)</f>
        <v>0</v>
      </c>
      <c r="U903" s="10">
        <f>SUM(
  SUMIFS(
    'Resource Summary'!$G:$G,
    'Resource Summary'!$A:$A,$D903,
    'Resource Summary'!$C:$C,U$146
  )
)</f>
        <v>0</v>
      </c>
      <c r="V903" s="10">
        <f>SUM(
  SUMIFS(
    'Resource Summary'!$G:$G,
    'Resource Summary'!$A:$A,$D903,
    'Resource Summary'!$C:$C,V$146
  )
)</f>
        <v>0</v>
      </c>
      <c r="W903" s="10">
        <f>SUM(
  SUMIFS(
    'Resource Summary'!$G:$G,
    'Resource Summary'!$A:$A,$D903,
    'Resource Summary'!$C:$C,W$146
  )
)</f>
        <v>0</v>
      </c>
      <c r="X903" s="10">
        <f>SUM(
  SUMIFS(
    'Resource Summary'!$G:$G,
    'Resource Summary'!$A:$A,$D903,
    'Resource Summary'!$C:$C,X$146
  )
)</f>
        <v>0</v>
      </c>
      <c r="Y903" s="10">
        <f>SUM(
  SUMIFS(
    'Resource Summary'!$G:$G,
    'Resource Summary'!$A:$A,$D903,
    'Resource Summary'!$C:$C,Y$146
  )
)</f>
        <v>0</v>
      </c>
      <c r="Z903" s="10">
        <f>SUM(
  SUMIFS(
    'Resource Summary'!$G:$G,
    'Resource Summary'!$A:$A,$D903,
    'Resource Summary'!$C:$C,Z$146
  )
)</f>
        <v>0</v>
      </c>
      <c r="AA903" s="10">
        <f>SUM(
  SUMIFS(
    'Resource Summary'!$G:$G,
    'Resource Summary'!$A:$A,$D903,
    'Resource Summary'!$C:$C,AA$146
  )
)</f>
        <v>0</v>
      </c>
      <c r="AB903" s="10">
        <f>SUM(
  SUMIFS(
    'Resource Summary'!$G:$G,
    'Resource Summary'!$A:$A,$D903,
    'Resource Summary'!$C:$C,AB$146
  )
)</f>
        <v>0</v>
      </c>
      <c r="AC903" s="10">
        <f>SUM(
  SUMIFS(
    'Resource Summary'!$G:$G,
    'Resource Summary'!$A:$A,$D903,
    'Resource Summary'!$C:$C,AC$146
  )
)</f>
        <v>0</v>
      </c>
      <c r="AD903" s="10">
        <f>SUM(
  SUMIFS(
    'Resource Summary'!$G:$G,
    'Resource Summary'!$A:$A,$D903,
    'Resource Summary'!$C:$C,AD$146
  )
)</f>
        <v>0</v>
      </c>
      <c r="AH903" s="34" t="s">
        <v>422</v>
      </c>
    </row>
    <row r="904" spans="3:34" outlineLevel="1" x14ac:dyDescent="0.2">
      <c r="C904" s="8" t="s">
        <v>118</v>
      </c>
      <c r="D904" s="8" t="s">
        <v>11</v>
      </c>
      <c r="E904" s="10">
        <f>SUM(
  SUMIFS(
    'Resource Summary'!$G:$G,
    'Resource Summary'!$A:$A,$D904,
    'Resource Summary'!$C:$C,E$146
  )
)</f>
        <v>0</v>
      </c>
      <c r="F904" s="10">
        <f>SUM(
  SUMIFS(
    'Resource Summary'!$G:$G,
    'Resource Summary'!$A:$A,$D904,
    'Resource Summary'!$C:$C,F$146
  )
)</f>
        <v>0</v>
      </c>
      <c r="G904" s="10">
        <f>SUM(
  SUMIFS(
    'Resource Summary'!$G:$G,
    'Resource Summary'!$A:$A,$D904,
    'Resource Summary'!$C:$C,G$146
  )
)</f>
        <v>0</v>
      </c>
      <c r="H904" s="10">
        <f>SUM(
  SUMIFS(
    'Resource Summary'!$G:$G,
    'Resource Summary'!$A:$A,$D904,
    'Resource Summary'!$C:$C,H$146
  )
)</f>
        <v>0</v>
      </c>
      <c r="I904" s="10">
        <f>SUM(
  SUMIFS(
    'Resource Summary'!$G:$G,
    'Resource Summary'!$A:$A,$D904,
    'Resource Summary'!$C:$C,I$146
  )
)</f>
        <v>0</v>
      </c>
      <c r="J904" s="10">
        <f>SUM(
  SUMIFS(
    'Resource Summary'!$G:$G,
    'Resource Summary'!$A:$A,$D904,
    'Resource Summary'!$C:$C,J$146
  )
)</f>
        <v>0</v>
      </c>
      <c r="K904" s="10">
        <f>SUM(
  SUMIFS(
    'Resource Summary'!$G:$G,
    'Resource Summary'!$A:$A,$D904,
    'Resource Summary'!$C:$C,K$146
  )
)</f>
        <v>0</v>
      </c>
      <c r="L904" s="10">
        <f>SUM(
  SUMIFS(
    'Resource Summary'!$G:$G,
    'Resource Summary'!$A:$A,$D904,
    'Resource Summary'!$C:$C,L$146
  )
)</f>
        <v>0</v>
      </c>
      <c r="M904" s="10">
        <f>SUM(
  SUMIFS(
    'Resource Summary'!$G:$G,
    'Resource Summary'!$A:$A,$D904,
    'Resource Summary'!$C:$C,M$146
  )
)</f>
        <v>0</v>
      </c>
      <c r="N904" s="10">
        <f>SUM(
  SUMIFS(
    'Resource Summary'!$G:$G,
    'Resource Summary'!$A:$A,$D904,
    'Resource Summary'!$C:$C,N$146
  )
)</f>
        <v>0</v>
      </c>
      <c r="O904" s="10">
        <f>SUM(
  SUMIFS(
    'Resource Summary'!$G:$G,
    'Resource Summary'!$A:$A,$D904,
    'Resource Summary'!$C:$C,O$146
  )
)</f>
        <v>0</v>
      </c>
      <c r="P904" s="10">
        <f>SUM(
  SUMIFS(
    'Resource Summary'!$G:$G,
    'Resource Summary'!$A:$A,$D904,
    'Resource Summary'!$C:$C,P$146
  )
)</f>
        <v>0</v>
      </c>
      <c r="Q904" s="10">
        <f>SUM(
  SUMIFS(
    'Resource Summary'!$G:$G,
    'Resource Summary'!$A:$A,$D904,
    'Resource Summary'!$C:$C,Q$146
  )
)</f>
        <v>0</v>
      </c>
      <c r="R904" s="10">
        <f>SUM(
  SUMIFS(
    'Resource Summary'!$G:$G,
    'Resource Summary'!$A:$A,$D904,
    'Resource Summary'!$C:$C,R$146
  )
)</f>
        <v>0</v>
      </c>
      <c r="S904" s="10">
        <f>SUM(
  SUMIFS(
    'Resource Summary'!$G:$G,
    'Resource Summary'!$A:$A,$D904,
    'Resource Summary'!$C:$C,S$146
  )
)</f>
        <v>0</v>
      </c>
      <c r="T904" s="10">
        <f>SUM(
  SUMIFS(
    'Resource Summary'!$G:$G,
    'Resource Summary'!$A:$A,$D904,
    'Resource Summary'!$C:$C,T$146
  )
)</f>
        <v>0</v>
      </c>
      <c r="U904" s="10">
        <f>SUM(
  SUMIFS(
    'Resource Summary'!$G:$G,
    'Resource Summary'!$A:$A,$D904,
    'Resource Summary'!$C:$C,U$146
  )
)</f>
        <v>0</v>
      </c>
      <c r="V904" s="10">
        <f>SUM(
  SUMIFS(
    'Resource Summary'!$G:$G,
    'Resource Summary'!$A:$A,$D904,
    'Resource Summary'!$C:$C,V$146
  )
)</f>
        <v>0</v>
      </c>
      <c r="W904" s="10">
        <f>SUM(
  SUMIFS(
    'Resource Summary'!$G:$G,
    'Resource Summary'!$A:$A,$D904,
    'Resource Summary'!$C:$C,W$146
  )
)</f>
        <v>0</v>
      </c>
      <c r="X904" s="10">
        <f>SUM(
  SUMIFS(
    'Resource Summary'!$G:$G,
    'Resource Summary'!$A:$A,$D904,
    'Resource Summary'!$C:$C,X$146
  )
)</f>
        <v>0</v>
      </c>
      <c r="Y904" s="10">
        <f>SUM(
  SUMIFS(
    'Resource Summary'!$G:$G,
    'Resource Summary'!$A:$A,$D904,
    'Resource Summary'!$C:$C,Y$146
  )
)</f>
        <v>0</v>
      </c>
      <c r="Z904" s="10">
        <f>SUM(
  SUMIFS(
    'Resource Summary'!$G:$G,
    'Resource Summary'!$A:$A,$D904,
    'Resource Summary'!$C:$C,Z$146
  )
)</f>
        <v>0</v>
      </c>
      <c r="AA904" s="10">
        <f>SUM(
  SUMIFS(
    'Resource Summary'!$G:$G,
    'Resource Summary'!$A:$A,$D904,
    'Resource Summary'!$C:$C,AA$146
  )
)</f>
        <v>0</v>
      </c>
      <c r="AB904" s="10">
        <f>SUM(
  SUMIFS(
    'Resource Summary'!$G:$G,
    'Resource Summary'!$A:$A,$D904,
    'Resource Summary'!$C:$C,AB$146
  )
)</f>
        <v>0</v>
      </c>
      <c r="AC904" s="10">
        <f>SUM(
  SUMIFS(
    'Resource Summary'!$G:$G,
    'Resource Summary'!$A:$A,$D904,
    'Resource Summary'!$C:$C,AC$146
  )
)</f>
        <v>0</v>
      </c>
      <c r="AD904" s="10">
        <f>SUM(
  SUMIFS(
    'Resource Summary'!$G:$G,
    'Resource Summary'!$A:$A,$D904,
    'Resource Summary'!$C:$C,AD$146
  )
)</f>
        <v>913.30619883636359</v>
      </c>
      <c r="AH904" s="34" t="s">
        <v>422</v>
      </c>
    </row>
    <row r="905" spans="3:34" outlineLevel="1" x14ac:dyDescent="0.2">
      <c r="C905" s="8" t="s">
        <v>118</v>
      </c>
      <c r="D905" s="8" t="s">
        <v>55</v>
      </c>
      <c r="E905" s="10">
        <f>SUM(
  SUMIFS(
    'Resource Summary'!$G:$G,
    'Resource Summary'!$A:$A,$D905,
    'Resource Summary'!$C:$C,E$146
  )
)</f>
        <v>0</v>
      </c>
      <c r="F905" s="10">
        <f>SUM(
  SUMIFS(
    'Resource Summary'!$G:$G,
    'Resource Summary'!$A:$A,$D905,
    'Resource Summary'!$C:$C,F$146
  )
)</f>
        <v>0</v>
      </c>
      <c r="G905" s="10">
        <f>SUM(
  SUMIFS(
    'Resource Summary'!$G:$G,
    'Resource Summary'!$A:$A,$D905,
    'Resource Summary'!$C:$C,G$146
  )
)</f>
        <v>0</v>
      </c>
      <c r="H905" s="10">
        <f>SUM(
  SUMIFS(
    'Resource Summary'!$G:$G,
    'Resource Summary'!$A:$A,$D905,
    'Resource Summary'!$C:$C,H$146
  )
)</f>
        <v>0</v>
      </c>
      <c r="I905" s="10">
        <f>SUM(
  SUMIFS(
    'Resource Summary'!$G:$G,
    'Resource Summary'!$A:$A,$D905,
    'Resource Summary'!$C:$C,I$146
  )
)</f>
        <v>0</v>
      </c>
      <c r="J905" s="10">
        <f>SUM(
  SUMIFS(
    'Resource Summary'!$G:$G,
    'Resource Summary'!$A:$A,$D905,
    'Resource Summary'!$C:$C,J$146
  )
)</f>
        <v>0</v>
      </c>
      <c r="K905" s="10">
        <f>SUM(
  SUMIFS(
    'Resource Summary'!$G:$G,
    'Resource Summary'!$A:$A,$D905,
    'Resource Summary'!$C:$C,K$146
  )
)</f>
        <v>0</v>
      </c>
      <c r="L905" s="10">
        <f>SUM(
  SUMIFS(
    'Resource Summary'!$G:$G,
    'Resource Summary'!$A:$A,$D905,
    'Resource Summary'!$C:$C,L$146
  )
)</f>
        <v>0</v>
      </c>
      <c r="M905" s="10">
        <f>SUM(
  SUMIFS(
    'Resource Summary'!$G:$G,
    'Resource Summary'!$A:$A,$D905,
    'Resource Summary'!$C:$C,M$146
  )
)</f>
        <v>0</v>
      </c>
      <c r="N905" s="10">
        <f>SUM(
  SUMIFS(
    'Resource Summary'!$G:$G,
    'Resource Summary'!$A:$A,$D905,
    'Resource Summary'!$C:$C,N$146
  )
)</f>
        <v>0</v>
      </c>
      <c r="O905" s="10">
        <f>SUM(
  SUMIFS(
    'Resource Summary'!$G:$G,
    'Resource Summary'!$A:$A,$D905,
    'Resource Summary'!$C:$C,O$146
  )
)</f>
        <v>0</v>
      </c>
      <c r="P905" s="10">
        <f>SUM(
  SUMIFS(
    'Resource Summary'!$G:$G,
    'Resource Summary'!$A:$A,$D905,
    'Resource Summary'!$C:$C,P$146
  )
)</f>
        <v>0</v>
      </c>
      <c r="Q905" s="10">
        <f>SUM(
  SUMIFS(
    'Resource Summary'!$G:$G,
    'Resource Summary'!$A:$A,$D905,
    'Resource Summary'!$C:$C,Q$146
  )
)</f>
        <v>0</v>
      </c>
      <c r="R905" s="10">
        <f>SUM(
  SUMIFS(
    'Resource Summary'!$G:$G,
    'Resource Summary'!$A:$A,$D905,
    'Resource Summary'!$C:$C,R$146
  )
)</f>
        <v>0</v>
      </c>
      <c r="S905" s="10">
        <f>SUM(
  SUMIFS(
    'Resource Summary'!$G:$G,
    'Resource Summary'!$A:$A,$D905,
    'Resource Summary'!$C:$C,S$146
  )
)</f>
        <v>0</v>
      </c>
      <c r="T905" s="10">
        <f>SUM(
  SUMIFS(
    'Resource Summary'!$G:$G,
    'Resource Summary'!$A:$A,$D905,
    'Resource Summary'!$C:$C,T$146
  )
)</f>
        <v>0</v>
      </c>
      <c r="U905" s="10">
        <f>SUM(
  SUMIFS(
    'Resource Summary'!$G:$G,
    'Resource Summary'!$A:$A,$D905,
    'Resource Summary'!$C:$C,U$146
  )
)</f>
        <v>0</v>
      </c>
      <c r="V905" s="10">
        <f>SUM(
  SUMIFS(
    'Resource Summary'!$G:$G,
    'Resource Summary'!$A:$A,$D905,
    'Resource Summary'!$C:$C,V$146
  )
)</f>
        <v>0</v>
      </c>
      <c r="W905" s="10">
        <f>SUM(
  SUMIFS(
    'Resource Summary'!$G:$G,
    'Resource Summary'!$A:$A,$D905,
    'Resource Summary'!$C:$C,W$146
  )
)</f>
        <v>0</v>
      </c>
      <c r="X905" s="10">
        <f>SUM(
  SUMIFS(
    'Resource Summary'!$G:$G,
    'Resource Summary'!$A:$A,$D905,
    'Resource Summary'!$C:$C,X$146
  )
)</f>
        <v>0</v>
      </c>
      <c r="Y905" s="10">
        <f>SUM(
  SUMIFS(
    'Resource Summary'!$G:$G,
    'Resource Summary'!$A:$A,$D905,
    'Resource Summary'!$C:$C,Y$146
  )
)</f>
        <v>0</v>
      </c>
      <c r="Z905" s="10">
        <f>SUM(
  SUMIFS(
    'Resource Summary'!$G:$G,
    'Resource Summary'!$A:$A,$D905,
    'Resource Summary'!$C:$C,Z$146
  )
)</f>
        <v>0</v>
      </c>
      <c r="AA905" s="10">
        <f>SUM(
  SUMIFS(
    'Resource Summary'!$G:$G,
    'Resource Summary'!$A:$A,$D905,
    'Resource Summary'!$C:$C,AA$146
  )
)</f>
        <v>0</v>
      </c>
      <c r="AB905" s="10">
        <f>SUM(
  SUMIFS(
    'Resource Summary'!$G:$G,
    'Resource Summary'!$A:$A,$D905,
    'Resource Summary'!$C:$C,AB$146
  )
)</f>
        <v>0</v>
      </c>
      <c r="AC905" s="10">
        <f>SUM(
  SUMIFS(
    'Resource Summary'!$G:$G,
    'Resource Summary'!$A:$A,$D905,
    'Resource Summary'!$C:$C,AC$146
  )
)</f>
        <v>0</v>
      </c>
      <c r="AD905" s="10">
        <f>SUM(
  SUMIFS(
    'Resource Summary'!$G:$G,
    'Resource Summary'!$A:$A,$D905,
    'Resource Summary'!$C:$C,AD$146
  )
)</f>
        <v>125.18999999999998</v>
      </c>
      <c r="AH905" s="34" t="s">
        <v>422</v>
      </c>
    </row>
    <row r="906" spans="3:34" outlineLevel="1" x14ac:dyDescent="0.2">
      <c r="C906" s="8" t="s">
        <v>118</v>
      </c>
      <c r="D906" s="8" t="s">
        <v>58</v>
      </c>
      <c r="E906" s="10">
        <f>SUM(
  SUMIFS(
    'Resource Summary'!$G:$G,
    'Resource Summary'!$A:$A,$D906,
    'Resource Summary'!$C:$C,E$146
  )
)</f>
        <v>0</v>
      </c>
      <c r="F906" s="10">
        <f>SUM(
  SUMIFS(
    'Resource Summary'!$G:$G,
    'Resource Summary'!$A:$A,$D906,
    'Resource Summary'!$C:$C,F$146
  )
)</f>
        <v>0</v>
      </c>
      <c r="G906" s="10">
        <f>SUM(
  SUMIFS(
    'Resource Summary'!$G:$G,
    'Resource Summary'!$A:$A,$D906,
    'Resource Summary'!$C:$C,G$146
  )
)</f>
        <v>0</v>
      </c>
      <c r="H906" s="10">
        <f>SUM(
  SUMIFS(
    'Resource Summary'!$G:$G,
    'Resource Summary'!$A:$A,$D906,
    'Resource Summary'!$C:$C,H$146
  )
)</f>
        <v>0</v>
      </c>
      <c r="I906" s="10">
        <f>SUM(
  SUMIFS(
    'Resource Summary'!$G:$G,
    'Resource Summary'!$A:$A,$D906,
    'Resource Summary'!$C:$C,I$146
  )
)</f>
        <v>0</v>
      </c>
      <c r="J906" s="10">
        <f>SUM(
  SUMIFS(
    'Resource Summary'!$G:$G,
    'Resource Summary'!$A:$A,$D906,
    'Resource Summary'!$C:$C,J$146
  )
)</f>
        <v>0</v>
      </c>
      <c r="K906" s="10">
        <f>SUM(
  SUMIFS(
    'Resource Summary'!$G:$G,
    'Resource Summary'!$A:$A,$D906,
    'Resource Summary'!$C:$C,K$146
  )
)</f>
        <v>0</v>
      </c>
      <c r="L906" s="10">
        <f>SUM(
  SUMIFS(
    'Resource Summary'!$G:$G,
    'Resource Summary'!$A:$A,$D906,
    'Resource Summary'!$C:$C,L$146
  )
)</f>
        <v>0</v>
      </c>
      <c r="M906" s="10">
        <f>SUM(
  SUMIFS(
    'Resource Summary'!$G:$G,
    'Resource Summary'!$A:$A,$D906,
    'Resource Summary'!$C:$C,M$146
  )
)</f>
        <v>0</v>
      </c>
      <c r="N906" s="10">
        <f>SUM(
  SUMIFS(
    'Resource Summary'!$G:$G,
    'Resource Summary'!$A:$A,$D906,
    'Resource Summary'!$C:$C,N$146
  )
)</f>
        <v>0</v>
      </c>
      <c r="O906" s="10">
        <f>SUM(
  SUMIFS(
    'Resource Summary'!$G:$G,
    'Resource Summary'!$A:$A,$D906,
    'Resource Summary'!$C:$C,O$146
  )
)</f>
        <v>0</v>
      </c>
      <c r="P906" s="10">
        <f>SUM(
  SUMIFS(
    'Resource Summary'!$G:$G,
    'Resource Summary'!$A:$A,$D906,
    'Resource Summary'!$C:$C,P$146
  )
)</f>
        <v>0</v>
      </c>
      <c r="Q906" s="10">
        <f>SUM(
  SUMIFS(
    'Resource Summary'!$G:$G,
    'Resource Summary'!$A:$A,$D906,
    'Resource Summary'!$C:$C,Q$146
  )
)</f>
        <v>0</v>
      </c>
      <c r="R906" s="10">
        <f>SUM(
  SUMIFS(
    'Resource Summary'!$G:$G,
    'Resource Summary'!$A:$A,$D906,
    'Resource Summary'!$C:$C,R$146
  )
)</f>
        <v>0</v>
      </c>
      <c r="S906" s="10">
        <f>SUM(
  SUMIFS(
    'Resource Summary'!$G:$G,
    'Resource Summary'!$A:$A,$D906,
    'Resource Summary'!$C:$C,S$146
  )
)</f>
        <v>0</v>
      </c>
      <c r="T906" s="10">
        <f>SUM(
  SUMIFS(
    'Resource Summary'!$G:$G,
    'Resource Summary'!$A:$A,$D906,
    'Resource Summary'!$C:$C,T$146
  )
)</f>
        <v>0</v>
      </c>
      <c r="U906" s="10">
        <f>SUM(
  SUMIFS(
    'Resource Summary'!$G:$G,
    'Resource Summary'!$A:$A,$D906,
    'Resource Summary'!$C:$C,U$146
  )
)</f>
        <v>0</v>
      </c>
      <c r="V906" s="10">
        <f>SUM(
  SUMIFS(
    'Resource Summary'!$G:$G,
    'Resource Summary'!$A:$A,$D906,
    'Resource Summary'!$C:$C,V$146
  )
)</f>
        <v>0</v>
      </c>
      <c r="W906" s="10">
        <f>SUM(
  SUMIFS(
    'Resource Summary'!$G:$G,
    'Resource Summary'!$A:$A,$D906,
    'Resource Summary'!$C:$C,W$146
  )
)</f>
        <v>0</v>
      </c>
      <c r="X906" s="10">
        <f>SUM(
  SUMIFS(
    'Resource Summary'!$G:$G,
    'Resource Summary'!$A:$A,$D906,
    'Resource Summary'!$C:$C,X$146
  )
)</f>
        <v>0</v>
      </c>
      <c r="Y906" s="10">
        <f>SUM(
  SUMIFS(
    'Resource Summary'!$G:$G,
    'Resource Summary'!$A:$A,$D906,
    'Resource Summary'!$C:$C,Y$146
  )
)</f>
        <v>0</v>
      </c>
      <c r="Z906" s="10">
        <f>SUM(
  SUMIFS(
    'Resource Summary'!$G:$G,
    'Resource Summary'!$A:$A,$D906,
    'Resource Summary'!$C:$C,Z$146
  )
)</f>
        <v>0</v>
      </c>
      <c r="AA906" s="10">
        <f>SUM(
  SUMIFS(
    'Resource Summary'!$G:$G,
    'Resource Summary'!$A:$A,$D906,
    'Resource Summary'!$C:$C,AA$146
  )
)</f>
        <v>0</v>
      </c>
      <c r="AB906" s="10">
        <f>SUM(
  SUMIFS(
    'Resource Summary'!$G:$G,
    'Resource Summary'!$A:$A,$D906,
    'Resource Summary'!$C:$C,AB$146
  )
)</f>
        <v>0</v>
      </c>
      <c r="AC906" s="10">
        <f>SUM(
  SUMIFS(
    'Resource Summary'!$G:$G,
    'Resource Summary'!$A:$A,$D906,
    'Resource Summary'!$C:$C,AC$146
  )
)</f>
        <v>0</v>
      </c>
      <c r="AD906" s="10">
        <f>SUM(
  SUMIFS(
    'Resource Summary'!$G:$G,
    'Resource Summary'!$A:$A,$D906,
    'Resource Summary'!$C:$C,AD$146
  )
)</f>
        <v>850.30085377</v>
      </c>
      <c r="AH906" s="34" t="s">
        <v>422</v>
      </c>
    </row>
    <row r="907" spans="3:34" outlineLevel="1" x14ac:dyDescent="0.2">
      <c r="C907" s="8" t="s">
        <v>118</v>
      </c>
      <c r="D907" s="8" t="s">
        <v>60</v>
      </c>
      <c r="E907" s="10">
        <f>SUM(
  SUMIFS(
    'Resource Summary'!$G:$G,
    'Resource Summary'!$A:$A,$D907,
    'Resource Summary'!$C:$C,E$146
  )
)</f>
        <v>0</v>
      </c>
      <c r="F907" s="10">
        <f>SUM(
  SUMIFS(
    'Resource Summary'!$G:$G,
    'Resource Summary'!$A:$A,$D907,
    'Resource Summary'!$C:$C,F$146
  )
)</f>
        <v>0</v>
      </c>
      <c r="G907" s="10">
        <f>SUM(
  SUMIFS(
    'Resource Summary'!$G:$G,
    'Resource Summary'!$A:$A,$D907,
    'Resource Summary'!$C:$C,G$146
  )
)</f>
        <v>0</v>
      </c>
      <c r="H907" s="10">
        <f>SUM(
  SUMIFS(
    'Resource Summary'!$G:$G,
    'Resource Summary'!$A:$A,$D907,
    'Resource Summary'!$C:$C,H$146
  )
)</f>
        <v>0</v>
      </c>
      <c r="I907" s="10">
        <f>SUM(
  SUMIFS(
    'Resource Summary'!$G:$G,
    'Resource Summary'!$A:$A,$D907,
    'Resource Summary'!$C:$C,I$146
  )
)</f>
        <v>0</v>
      </c>
      <c r="J907" s="10">
        <f>SUM(
  SUMIFS(
    'Resource Summary'!$G:$G,
    'Resource Summary'!$A:$A,$D907,
    'Resource Summary'!$C:$C,J$146
  )
)</f>
        <v>0</v>
      </c>
      <c r="K907" s="10">
        <f>SUM(
  SUMIFS(
    'Resource Summary'!$G:$G,
    'Resource Summary'!$A:$A,$D907,
    'Resource Summary'!$C:$C,K$146
  )
)</f>
        <v>0</v>
      </c>
      <c r="L907" s="10">
        <f>SUM(
  SUMIFS(
    'Resource Summary'!$G:$G,
    'Resource Summary'!$A:$A,$D907,
    'Resource Summary'!$C:$C,L$146
  )
)</f>
        <v>0</v>
      </c>
      <c r="M907" s="10">
        <f>SUM(
  SUMIFS(
    'Resource Summary'!$G:$G,
    'Resource Summary'!$A:$A,$D907,
    'Resource Summary'!$C:$C,M$146
  )
)</f>
        <v>0</v>
      </c>
      <c r="N907" s="10">
        <f>SUM(
  SUMIFS(
    'Resource Summary'!$G:$G,
    'Resource Summary'!$A:$A,$D907,
    'Resource Summary'!$C:$C,N$146
  )
)</f>
        <v>0</v>
      </c>
      <c r="O907" s="10">
        <f>SUM(
  SUMIFS(
    'Resource Summary'!$G:$G,
    'Resource Summary'!$A:$A,$D907,
    'Resource Summary'!$C:$C,O$146
  )
)</f>
        <v>0</v>
      </c>
      <c r="P907" s="10">
        <f>SUM(
  SUMIFS(
    'Resource Summary'!$G:$G,
    'Resource Summary'!$A:$A,$D907,
    'Resource Summary'!$C:$C,P$146
  )
)</f>
        <v>0</v>
      </c>
      <c r="Q907" s="10">
        <f>SUM(
  SUMIFS(
    'Resource Summary'!$G:$G,
    'Resource Summary'!$A:$A,$D907,
    'Resource Summary'!$C:$C,Q$146
  )
)</f>
        <v>0</v>
      </c>
      <c r="R907" s="10">
        <f>SUM(
  SUMIFS(
    'Resource Summary'!$G:$G,
    'Resource Summary'!$A:$A,$D907,
    'Resource Summary'!$C:$C,R$146
  )
)</f>
        <v>0</v>
      </c>
      <c r="S907" s="10">
        <f>SUM(
  SUMIFS(
    'Resource Summary'!$G:$G,
    'Resource Summary'!$A:$A,$D907,
    'Resource Summary'!$C:$C,S$146
  )
)</f>
        <v>0</v>
      </c>
      <c r="T907" s="10">
        <f>SUM(
  SUMIFS(
    'Resource Summary'!$G:$G,
    'Resource Summary'!$A:$A,$D907,
    'Resource Summary'!$C:$C,T$146
  )
)</f>
        <v>0</v>
      </c>
      <c r="U907" s="10">
        <f>SUM(
  SUMIFS(
    'Resource Summary'!$G:$G,
    'Resource Summary'!$A:$A,$D907,
    'Resource Summary'!$C:$C,U$146
  )
)</f>
        <v>0</v>
      </c>
      <c r="V907" s="10">
        <f>SUM(
  SUMIFS(
    'Resource Summary'!$G:$G,
    'Resource Summary'!$A:$A,$D907,
    'Resource Summary'!$C:$C,V$146
  )
)</f>
        <v>0</v>
      </c>
      <c r="W907" s="10">
        <f>SUM(
  SUMIFS(
    'Resource Summary'!$G:$G,
    'Resource Summary'!$A:$A,$D907,
    'Resource Summary'!$C:$C,W$146
  )
)</f>
        <v>0</v>
      </c>
      <c r="X907" s="10">
        <f>SUM(
  SUMIFS(
    'Resource Summary'!$G:$G,
    'Resource Summary'!$A:$A,$D907,
    'Resource Summary'!$C:$C,X$146
  )
)</f>
        <v>0</v>
      </c>
      <c r="Y907" s="10">
        <f>SUM(
  SUMIFS(
    'Resource Summary'!$G:$G,
    'Resource Summary'!$A:$A,$D907,
    'Resource Summary'!$C:$C,Y$146
  )
)</f>
        <v>0</v>
      </c>
      <c r="Z907" s="10">
        <f>SUM(
  SUMIFS(
    'Resource Summary'!$G:$G,
    'Resource Summary'!$A:$A,$D907,
    'Resource Summary'!$C:$C,Z$146
  )
)</f>
        <v>0</v>
      </c>
      <c r="AA907" s="10">
        <f>SUM(
  SUMIFS(
    'Resource Summary'!$G:$G,
    'Resource Summary'!$A:$A,$D907,
    'Resource Summary'!$C:$C,AA$146
  )
)</f>
        <v>0</v>
      </c>
      <c r="AB907" s="10">
        <f>SUM(
  SUMIFS(
    'Resource Summary'!$G:$G,
    'Resource Summary'!$A:$A,$D907,
    'Resource Summary'!$C:$C,AB$146
  )
)</f>
        <v>0</v>
      </c>
      <c r="AC907" s="10">
        <f>SUM(
  SUMIFS(
    'Resource Summary'!$G:$G,
    'Resource Summary'!$A:$A,$D907,
    'Resource Summary'!$C:$C,AC$146
  )
)</f>
        <v>0</v>
      </c>
      <c r="AD907" s="10">
        <f>SUM(
  SUMIFS(
    'Resource Summary'!$G:$G,
    'Resource Summary'!$A:$A,$D907,
    'Resource Summary'!$C:$C,AD$146
  )
)</f>
        <v>3000</v>
      </c>
      <c r="AH907" s="34" t="s">
        <v>422</v>
      </c>
    </row>
    <row r="908" spans="3:34" outlineLevel="1" x14ac:dyDescent="0.2">
      <c r="C908" s="8" t="s">
        <v>118</v>
      </c>
      <c r="D908" s="8" t="s">
        <v>67</v>
      </c>
      <c r="E908" s="10">
        <f>SUM(
  SUMIFS(
    'Resource Summary'!$G:$G,
    'Resource Summary'!$A:$A,$D908,
    'Resource Summary'!$C:$C,E$146
  )
)</f>
        <v>0</v>
      </c>
      <c r="F908" s="10">
        <f>SUM(
  SUMIFS(
    'Resource Summary'!$G:$G,
    'Resource Summary'!$A:$A,$D908,
    'Resource Summary'!$C:$C,F$146
  )
)</f>
        <v>0</v>
      </c>
      <c r="G908" s="10">
        <f>SUM(
  SUMIFS(
    'Resource Summary'!$G:$G,
    'Resource Summary'!$A:$A,$D908,
    'Resource Summary'!$C:$C,G$146
  )
)</f>
        <v>0</v>
      </c>
      <c r="H908" s="10">
        <f>SUM(
  SUMIFS(
    'Resource Summary'!$G:$G,
    'Resource Summary'!$A:$A,$D908,
    'Resource Summary'!$C:$C,H$146
  )
)</f>
        <v>0</v>
      </c>
      <c r="I908" s="10">
        <f>SUM(
  SUMIFS(
    'Resource Summary'!$G:$G,
    'Resource Summary'!$A:$A,$D908,
    'Resource Summary'!$C:$C,I$146
  )
)</f>
        <v>0</v>
      </c>
      <c r="J908" s="10">
        <f>SUM(
  SUMIFS(
    'Resource Summary'!$G:$G,
    'Resource Summary'!$A:$A,$D908,
    'Resource Summary'!$C:$C,J$146
  )
)</f>
        <v>0</v>
      </c>
      <c r="K908" s="10">
        <f>SUM(
  SUMIFS(
    'Resource Summary'!$G:$G,
    'Resource Summary'!$A:$A,$D908,
    'Resource Summary'!$C:$C,K$146
  )
)</f>
        <v>0</v>
      </c>
      <c r="L908" s="10">
        <f>SUM(
  SUMIFS(
    'Resource Summary'!$G:$G,
    'Resource Summary'!$A:$A,$D908,
    'Resource Summary'!$C:$C,L$146
  )
)</f>
        <v>0</v>
      </c>
      <c r="M908" s="10">
        <f>SUM(
  SUMIFS(
    'Resource Summary'!$G:$G,
    'Resource Summary'!$A:$A,$D908,
    'Resource Summary'!$C:$C,M$146
  )
)</f>
        <v>0</v>
      </c>
      <c r="N908" s="10">
        <f>SUM(
  SUMIFS(
    'Resource Summary'!$G:$G,
    'Resource Summary'!$A:$A,$D908,
    'Resource Summary'!$C:$C,N$146
  )
)</f>
        <v>0</v>
      </c>
      <c r="O908" s="10">
        <f>SUM(
  SUMIFS(
    'Resource Summary'!$G:$G,
    'Resource Summary'!$A:$A,$D908,
    'Resource Summary'!$C:$C,O$146
  )
)</f>
        <v>0</v>
      </c>
      <c r="P908" s="10">
        <f>SUM(
  SUMIFS(
    'Resource Summary'!$G:$G,
    'Resource Summary'!$A:$A,$D908,
    'Resource Summary'!$C:$C,P$146
  )
)</f>
        <v>0</v>
      </c>
      <c r="Q908" s="10">
        <f>SUM(
  SUMIFS(
    'Resource Summary'!$G:$G,
    'Resource Summary'!$A:$A,$D908,
    'Resource Summary'!$C:$C,Q$146
  )
)</f>
        <v>0</v>
      </c>
      <c r="R908" s="10">
        <f>SUM(
  SUMIFS(
    'Resource Summary'!$G:$G,
    'Resource Summary'!$A:$A,$D908,
    'Resource Summary'!$C:$C,R$146
  )
)</f>
        <v>0</v>
      </c>
      <c r="S908" s="10">
        <f>SUM(
  SUMIFS(
    'Resource Summary'!$G:$G,
    'Resource Summary'!$A:$A,$D908,
    'Resource Summary'!$C:$C,S$146
  )
)</f>
        <v>0</v>
      </c>
      <c r="T908" s="10">
        <f>SUM(
  SUMIFS(
    'Resource Summary'!$G:$G,
    'Resource Summary'!$A:$A,$D908,
    'Resource Summary'!$C:$C,T$146
  )
)</f>
        <v>0</v>
      </c>
      <c r="U908" s="10">
        <f>SUM(
  SUMIFS(
    'Resource Summary'!$G:$G,
    'Resource Summary'!$A:$A,$D908,
    'Resource Summary'!$C:$C,U$146
  )
)</f>
        <v>0</v>
      </c>
      <c r="V908" s="10">
        <f>SUM(
  SUMIFS(
    'Resource Summary'!$G:$G,
    'Resource Summary'!$A:$A,$D908,
    'Resource Summary'!$C:$C,V$146
  )
)</f>
        <v>0</v>
      </c>
      <c r="W908" s="10">
        <f>SUM(
  SUMIFS(
    'Resource Summary'!$G:$G,
    'Resource Summary'!$A:$A,$D908,
    'Resource Summary'!$C:$C,W$146
  )
)</f>
        <v>0</v>
      </c>
      <c r="X908" s="10">
        <f>SUM(
  SUMIFS(
    'Resource Summary'!$G:$G,
    'Resource Summary'!$A:$A,$D908,
    'Resource Summary'!$C:$C,X$146
  )
)</f>
        <v>0</v>
      </c>
      <c r="Y908" s="10">
        <f>SUM(
  SUMIFS(
    'Resource Summary'!$G:$G,
    'Resource Summary'!$A:$A,$D908,
    'Resource Summary'!$C:$C,Y$146
  )
)</f>
        <v>0</v>
      </c>
      <c r="Z908" s="10">
        <f>SUM(
  SUMIFS(
    'Resource Summary'!$G:$G,
    'Resource Summary'!$A:$A,$D908,
    'Resource Summary'!$C:$C,Z$146
  )
)</f>
        <v>0</v>
      </c>
      <c r="AA908" s="10">
        <f>SUM(
  SUMIFS(
    'Resource Summary'!$G:$G,
    'Resource Summary'!$A:$A,$D908,
    'Resource Summary'!$C:$C,AA$146
  )
)</f>
        <v>0</v>
      </c>
      <c r="AB908" s="10">
        <f>SUM(
  SUMIFS(
    'Resource Summary'!$G:$G,
    'Resource Summary'!$A:$A,$D908,
    'Resource Summary'!$C:$C,AB$146
  )
)</f>
        <v>0</v>
      </c>
      <c r="AC908" s="10">
        <f>SUM(
  SUMIFS(
    'Resource Summary'!$G:$G,
    'Resource Summary'!$A:$A,$D908,
    'Resource Summary'!$C:$C,AC$146
  )
)</f>
        <v>0</v>
      </c>
      <c r="AD908" s="10">
        <f>SUM(
  SUMIFS(
    'Resource Summary'!$G:$G,
    'Resource Summary'!$A:$A,$D908,
    'Resource Summary'!$C:$C,AD$146
  )
)</f>
        <v>0</v>
      </c>
      <c r="AH908" s="34" t="s">
        <v>422</v>
      </c>
    </row>
    <row r="909" spans="3:34" outlineLevel="1" x14ac:dyDescent="0.2">
      <c r="C909" s="8" t="s">
        <v>118</v>
      </c>
      <c r="D909" s="8" t="s">
        <v>79</v>
      </c>
      <c r="E909" s="10">
        <f>SUM(
  SUMIFS(
    'Resource Summary'!$G:$G,
    'Resource Summary'!$A:$A,$D909,
    'Resource Summary'!$C:$C,E$146
  )
)</f>
        <v>0</v>
      </c>
      <c r="F909" s="10">
        <f>SUM(
  SUMIFS(
    'Resource Summary'!$G:$G,
    'Resource Summary'!$A:$A,$D909,
    'Resource Summary'!$C:$C,F$146
  )
)</f>
        <v>0</v>
      </c>
      <c r="G909" s="10">
        <f>SUM(
  SUMIFS(
    'Resource Summary'!$G:$G,
    'Resource Summary'!$A:$A,$D909,
    'Resource Summary'!$C:$C,G$146
  )
)</f>
        <v>0</v>
      </c>
      <c r="H909" s="10">
        <f>SUM(
  SUMIFS(
    'Resource Summary'!$G:$G,
    'Resource Summary'!$A:$A,$D909,
    'Resource Summary'!$C:$C,H$146
  )
)</f>
        <v>0</v>
      </c>
      <c r="I909" s="10">
        <f>SUM(
  SUMIFS(
    'Resource Summary'!$G:$G,
    'Resource Summary'!$A:$A,$D909,
    'Resource Summary'!$C:$C,I$146
  )
)</f>
        <v>0</v>
      </c>
      <c r="J909" s="10">
        <f>SUM(
  SUMIFS(
    'Resource Summary'!$G:$G,
    'Resource Summary'!$A:$A,$D909,
    'Resource Summary'!$C:$C,J$146
  )
)</f>
        <v>0</v>
      </c>
      <c r="K909" s="10">
        <f>SUM(
  SUMIFS(
    'Resource Summary'!$G:$G,
    'Resource Summary'!$A:$A,$D909,
    'Resource Summary'!$C:$C,K$146
  )
)</f>
        <v>0</v>
      </c>
      <c r="L909" s="10">
        <f>SUM(
  SUMIFS(
    'Resource Summary'!$G:$G,
    'Resource Summary'!$A:$A,$D909,
    'Resource Summary'!$C:$C,L$146
  )
)</f>
        <v>0</v>
      </c>
      <c r="M909" s="10">
        <f>SUM(
  SUMIFS(
    'Resource Summary'!$G:$G,
    'Resource Summary'!$A:$A,$D909,
    'Resource Summary'!$C:$C,M$146
  )
)</f>
        <v>0</v>
      </c>
      <c r="N909" s="10">
        <f>SUM(
  SUMIFS(
    'Resource Summary'!$G:$G,
    'Resource Summary'!$A:$A,$D909,
    'Resource Summary'!$C:$C,N$146
  )
)</f>
        <v>0</v>
      </c>
      <c r="O909" s="10">
        <f>SUM(
  SUMIFS(
    'Resource Summary'!$G:$G,
    'Resource Summary'!$A:$A,$D909,
    'Resource Summary'!$C:$C,O$146
  )
)</f>
        <v>0</v>
      </c>
      <c r="P909" s="10">
        <f>SUM(
  SUMIFS(
    'Resource Summary'!$G:$G,
    'Resource Summary'!$A:$A,$D909,
    'Resource Summary'!$C:$C,P$146
  )
)</f>
        <v>0</v>
      </c>
      <c r="Q909" s="10">
        <f>SUM(
  SUMIFS(
    'Resource Summary'!$G:$G,
    'Resource Summary'!$A:$A,$D909,
    'Resource Summary'!$C:$C,Q$146
  )
)</f>
        <v>0</v>
      </c>
      <c r="R909" s="10">
        <f>SUM(
  SUMIFS(
    'Resource Summary'!$G:$G,
    'Resource Summary'!$A:$A,$D909,
    'Resource Summary'!$C:$C,R$146
  )
)</f>
        <v>0</v>
      </c>
      <c r="S909" s="10">
        <f>SUM(
  SUMIFS(
    'Resource Summary'!$G:$G,
    'Resource Summary'!$A:$A,$D909,
    'Resource Summary'!$C:$C,S$146
  )
)</f>
        <v>0</v>
      </c>
      <c r="T909" s="10">
        <f>SUM(
  SUMIFS(
    'Resource Summary'!$G:$G,
    'Resource Summary'!$A:$A,$D909,
    'Resource Summary'!$C:$C,T$146
  )
)</f>
        <v>0</v>
      </c>
      <c r="U909" s="10">
        <f>SUM(
  SUMIFS(
    'Resource Summary'!$G:$G,
    'Resource Summary'!$A:$A,$D909,
    'Resource Summary'!$C:$C,U$146
  )
)</f>
        <v>0</v>
      </c>
      <c r="V909" s="10">
        <f>SUM(
  SUMIFS(
    'Resource Summary'!$G:$G,
    'Resource Summary'!$A:$A,$D909,
    'Resource Summary'!$C:$C,V$146
  )
)</f>
        <v>0</v>
      </c>
      <c r="W909" s="10">
        <f>SUM(
  SUMIFS(
    'Resource Summary'!$G:$G,
    'Resource Summary'!$A:$A,$D909,
    'Resource Summary'!$C:$C,W$146
  )
)</f>
        <v>0</v>
      </c>
      <c r="X909" s="10">
        <f>SUM(
  SUMIFS(
    'Resource Summary'!$G:$G,
    'Resource Summary'!$A:$A,$D909,
    'Resource Summary'!$C:$C,X$146
  )
)</f>
        <v>0</v>
      </c>
      <c r="Y909" s="10">
        <f>SUM(
  SUMIFS(
    'Resource Summary'!$G:$G,
    'Resource Summary'!$A:$A,$D909,
    'Resource Summary'!$C:$C,Y$146
  )
)</f>
        <v>0</v>
      </c>
      <c r="Z909" s="10">
        <f>SUM(
  SUMIFS(
    'Resource Summary'!$G:$G,
    'Resource Summary'!$A:$A,$D909,
    'Resource Summary'!$C:$C,Z$146
  )
)</f>
        <v>0</v>
      </c>
      <c r="AA909" s="10">
        <f>SUM(
  SUMIFS(
    'Resource Summary'!$G:$G,
    'Resource Summary'!$A:$A,$D909,
    'Resource Summary'!$C:$C,AA$146
  )
)</f>
        <v>0</v>
      </c>
      <c r="AB909" s="10">
        <f>SUM(
  SUMIFS(
    'Resource Summary'!$G:$G,
    'Resource Summary'!$A:$A,$D909,
    'Resource Summary'!$C:$C,AB$146
  )
)</f>
        <v>0</v>
      </c>
      <c r="AC909" s="10">
        <f>SUM(
  SUMIFS(
    'Resource Summary'!$G:$G,
    'Resource Summary'!$A:$A,$D909,
    'Resource Summary'!$C:$C,AC$146
  )
)</f>
        <v>0</v>
      </c>
      <c r="AD909" s="10">
        <f>SUM(
  SUMIFS(
    'Resource Summary'!$G:$G,
    'Resource Summary'!$A:$A,$D909,
    'Resource Summary'!$C:$C,AD$146
  )
)</f>
        <v>0</v>
      </c>
      <c r="AH909" s="34" t="s">
        <v>422</v>
      </c>
    </row>
    <row r="910" spans="3:34" outlineLevel="1" x14ac:dyDescent="0.2">
      <c r="C910" s="8" t="s">
        <v>118</v>
      </c>
      <c r="D910" s="8" t="s">
        <v>93</v>
      </c>
      <c r="E910" s="10">
        <f>SUM(
  SUMIFS(
    'Resource Summary'!$G:$G,
    'Resource Summary'!$A:$A,$D910,
    'Resource Summary'!$C:$C,E$146
  )
)</f>
        <v>0</v>
      </c>
      <c r="F910" s="10">
        <f>SUM(
  SUMIFS(
    'Resource Summary'!$G:$G,
    'Resource Summary'!$A:$A,$D910,
    'Resource Summary'!$C:$C,F$146
  )
)</f>
        <v>0</v>
      </c>
      <c r="G910" s="10">
        <f>SUM(
  SUMIFS(
    'Resource Summary'!$G:$G,
    'Resource Summary'!$A:$A,$D910,
    'Resource Summary'!$C:$C,G$146
  )
)</f>
        <v>0</v>
      </c>
      <c r="H910" s="10">
        <f>SUM(
  SUMIFS(
    'Resource Summary'!$G:$G,
    'Resource Summary'!$A:$A,$D910,
    'Resource Summary'!$C:$C,H$146
  )
)</f>
        <v>0</v>
      </c>
      <c r="I910" s="10">
        <f>SUM(
  SUMIFS(
    'Resource Summary'!$G:$G,
    'Resource Summary'!$A:$A,$D910,
    'Resource Summary'!$C:$C,I$146
  )
)</f>
        <v>0</v>
      </c>
      <c r="J910" s="10">
        <f>SUM(
  SUMIFS(
    'Resource Summary'!$G:$G,
    'Resource Summary'!$A:$A,$D910,
    'Resource Summary'!$C:$C,J$146
  )
)</f>
        <v>0</v>
      </c>
      <c r="K910" s="10">
        <f>SUM(
  SUMIFS(
    'Resource Summary'!$G:$G,
    'Resource Summary'!$A:$A,$D910,
    'Resource Summary'!$C:$C,K$146
  )
)</f>
        <v>0</v>
      </c>
      <c r="L910" s="10">
        <f>SUM(
  SUMIFS(
    'Resource Summary'!$G:$G,
    'Resource Summary'!$A:$A,$D910,
    'Resource Summary'!$C:$C,L$146
  )
)</f>
        <v>0</v>
      </c>
      <c r="M910" s="10">
        <f>SUM(
  SUMIFS(
    'Resource Summary'!$G:$G,
    'Resource Summary'!$A:$A,$D910,
    'Resource Summary'!$C:$C,M$146
  )
)</f>
        <v>0</v>
      </c>
      <c r="N910" s="10">
        <f>SUM(
  SUMIFS(
    'Resource Summary'!$G:$G,
    'Resource Summary'!$A:$A,$D910,
    'Resource Summary'!$C:$C,N$146
  )
)</f>
        <v>0</v>
      </c>
      <c r="O910" s="10">
        <f>SUM(
  SUMIFS(
    'Resource Summary'!$G:$G,
    'Resource Summary'!$A:$A,$D910,
    'Resource Summary'!$C:$C,O$146
  )
)</f>
        <v>0</v>
      </c>
      <c r="P910" s="10">
        <f>SUM(
  SUMIFS(
    'Resource Summary'!$G:$G,
    'Resource Summary'!$A:$A,$D910,
    'Resource Summary'!$C:$C,P$146
  )
)</f>
        <v>0</v>
      </c>
      <c r="Q910" s="10">
        <f>SUM(
  SUMIFS(
    'Resource Summary'!$G:$G,
    'Resource Summary'!$A:$A,$D910,
    'Resource Summary'!$C:$C,Q$146
  )
)</f>
        <v>0</v>
      </c>
      <c r="R910" s="10">
        <f>SUM(
  SUMIFS(
    'Resource Summary'!$G:$G,
    'Resource Summary'!$A:$A,$D910,
    'Resource Summary'!$C:$C,R$146
  )
)</f>
        <v>0</v>
      </c>
      <c r="S910" s="10">
        <f>SUM(
  SUMIFS(
    'Resource Summary'!$G:$G,
    'Resource Summary'!$A:$A,$D910,
    'Resource Summary'!$C:$C,S$146
  )
)</f>
        <v>0</v>
      </c>
      <c r="T910" s="10">
        <f>SUM(
  SUMIFS(
    'Resource Summary'!$G:$G,
    'Resource Summary'!$A:$A,$D910,
    'Resource Summary'!$C:$C,T$146
  )
)</f>
        <v>0</v>
      </c>
      <c r="U910" s="10">
        <f>SUM(
  SUMIFS(
    'Resource Summary'!$G:$G,
    'Resource Summary'!$A:$A,$D910,
    'Resource Summary'!$C:$C,U$146
  )
)</f>
        <v>0</v>
      </c>
      <c r="V910" s="10">
        <f>SUM(
  SUMIFS(
    'Resource Summary'!$G:$G,
    'Resource Summary'!$A:$A,$D910,
    'Resource Summary'!$C:$C,V$146
  )
)</f>
        <v>0</v>
      </c>
      <c r="W910" s="10">
        <f>SUM(
  SUMIFS(
    'Resource Summary'!$G:$G,
    'Resource Summary'!$A:$A,$D910,
    'Resource Summary'!$C:$C,W$146
  )
)</f>
        <v>0</v>
      </c>
      <c r="X910" s="10">
        <f>SUM(
  SUMIFS(
    'Resource Summary'!$G:$G,
    'Resource Summary'!$A:$A,$D910,
    'Resource Summary'!$C:$C,X$146
  )
)</f>
        <v>0</v>
      </c>
      <c r="Y910" s="10">
        <f>SUM(
  SUMIFS(
    'Resource Summary'!$G:$G,
    'Resource Summary'!$A:$A,$D910,
    'Resource Summary'!$C:$C,Y$146
  )
)</f>
        <v>0</v>
      </c>
      <c r="Z910" s="10">
        <f>SUM(
  SUMIFS(
    'Resource Summary'!$G:$G,
    'Resource Summary'!$A:$A,$D910,
    'Resource Summary'!$C:$C,Z$146
  )
)</f>
        <v>0</v>
      </c>
      <c r="AA910" s="10">
        <f>SUM(
  SUMIFS(
    'Resource Summary'!$G:$G,
    'Resource Summary'!$A:$A,$D910,
    'Resource Summary'!$C:$C,AA$146
  )
)</f>
        <v>0</v>
      </c>
      <c r="AB910" s="10">
        <f>SUM(
  SUMIFS(
    'Resource Summary'!$G:$G,
    'Resource Summary'!$A:$A,$D910,
    'Resource Summary'!$C:$C,AB$146
  )
)</f>
        <v>0</v>
      </c>
      <c r="AC910" s="10">
        <f>SUM(
  SUMIFS(
    'Resource Summary'!$G:$G,
    'Resource Summary'!$A:$A,$D910,
    'Resource Summary'!$C:$C,AC$146
  )
)</f>
        <v>0</v>
      </c>
      <c r="AD910" s="10">
        <f>SUM(
  SUMIFS(
    'Resource Summary'!$G:$G,
    'Resource Summary'!$A:$A,$D910,
    'Resource Summary'!$C:$C,AD$146
  )
)</f>
        <v>21149.610389610389</v>
      </c>
      <c r="AH910" s="34" t="s">
        <v>422</v>
      </c>
    </row>
    <row r="911" spans="3:34" outlineLevel="1" x14ac:dyDescent="0.2">
      <c r="C911" s="8" t="s">
        <v>118</v>
      </c>
      <c r="D911" s="8" t="s">
        <v>102</v>
      </c>
      <c r="E911" s="10">
        <f>SUM(
  SUMIFS(
    'Resource Summary'!$G:$G,
    'Resource Summary'!$A:$A,$D911,
    'Resource Summary'!$C:$C,E$146
  )
)</f>
        <v>0</v>
      </c>
      <c r="F911" s="10">
        <f>SUM(
  SUMIFS(
    'Resource Summary'!$G:$G,
    'Resource Summary'!$A:$A,$D911,
    'Resource Summary'!$C:$C,F$146
  )
)</f>
        <v>0</v>
      </c>
      <c r="G911" s="10">
        <f>SUM(
  SUMIFS(
    'Resource Summary'!$G:$G,
    'Resource Summary'!$A:$A,$D911,
    'Resource Summary'!$C:$C,G$146
  )
)</f>
        <v>0</v>
      </c>
      <c r="H911" s="10">
        <f>SUM(
  SUMIFS(
    'Resource Summary'!$G:$G,
    'Resource Summary'!$A:$A,$D911,
    'Resource Summary'!$C:$C,H$146
  )
)</f>
        <v>0</v>
      </c>
      <c r="I911" s="10">
        <f>SUM(
  SUMIFS(
    'Resource Summary'!$G:$G,
    'Resource Summary'!$A:$A,$D911,
    'Resource Summary'!$C:$C,I$146
  )
)</f>
        <v>0</v>
      </c>
      <c r="J911" s="10">
        <f>SUM(
  SUMIFS(
    'Resource Summary'!$G:$G,
    'Resource Summary'!$A:$A,$D911,
    'Resource Summary'!$C:$C,J$146
  )
)</f>
        <v>0</v>
      </c>
      <c r="K911" s="10">
        <f>SUM(
  SUMIFS(
    'Resource Summary'!$G:$G,
    'Resource Summary'!$A:$A,$D911,
    'Resource Summary'!$C:$C,K$146
  )
)</f>
        <v>0</v>
      </c>
      <c r="L911" s="10">
        <f>SUM(
  SUMIFS(
    'Resource Summary'!$G:$G,
    'Resource Summary'!$A:$A,$D911,
    'Resource Summary'!$C:$C,L$146
  )
)</f>
        <v>0</v>
      </c>
      <c r="M911" s="10">
        <f>SUM(
  SUMIFS(
    'Resource Summary'!$G:$G,
    'Resource Summary'!$A:$A,$D911,
    'Resource Summary'!$C:$C,M$146
  )
)</f>
        <v>0</v>
      </c>
      <c r="N911" s="10">
        <f>SUM(
  SUMIFS(
    'Resource Summary'!$G:$G,
    'Resource Summary'!$A:$A,$D911,
    'Resource Summary'!$C:$C,N$146
  )
)</f>
        <v>0</v>
      </c>
      <c r="O911" s="10">
        <f>SUM(
  SUMIFS(
    'Resource Summary'!$G:$G,
    'Resource Summary'!$A:$A,$D911,
    'Resource Summary'!$C:$C,O$146
  )
)</f>
        <v>0</v>
      </c>
      <c r="P911" s="10">
        <f>SUM(
  SUMIFS(
    'Resource Summary'!$G:$G,
    'Resource Summary'!$A:$A,$D911,
    'Resource Summary'!$C:$C,P$146
  )
)</f>
        <v>0</v>
      </c>
      <c r="Q911" s="10">
        <f>SUM(
  SUMIFS(
    'Resource Summary'!$G:$G,
    'Resource Summary'!$A:$A,$D911,
    'Resource Summary'!$C:$C,Q$146
  )
)</f>
        <v>0</v>
      </c>
      <c r="R911" s="10">
        <f>SUM(
  SUMIFS(
    'Resource Summary'!$G:$G,
    'Resource Summary'!$A:$A,$D911,
    'Resource Summary'!$C:$C,R$146
  )
)</f>
        <v>0</v>
      </c>
      <c r="S911" s="10">
        <f>SUM(
  SUMIFS(
    'Resource Summary'!$G:$G,
    'Resource Summary'!$A:$A,$D911,
    'Resource Summary'!$C:$C,S$146
  )
)</f>
        <v>0</v>
      </c>
      <c r="T911" s="10">
        <f>SUM(
  SUMIFS(
    'Resource Summary'!$G:$G,
    'Resource Summary'!$A:$A,$D911,
    'Resource Summary'!$C:$C,T$146
  )
)</f>
        <v>0</v>
      </c>
      <c r="U911" s="10">
        <f>SUM(
  SUMIFS(
    'Resource Summary'!$G:$G,
    'Resource Summary'!$A:$A,$D911,
    'Resource Summary'!$C:$C,U$146
  )
)</f>
        <v>0</v>
      </c>
      <c r="V911" s="10">
        <f>SUM(
  SUMIFS(
    'Resource Summary'!$G:$G,
    'Resource Summary'!$A:$A,$D911,
    'Resource Summary'!$C:$C,V$146
  )
)</f>
        <v>0</v>
      </c>
      <c r="W911" s="10">
        <f>SUM(
  SUMIFS(
    'Resource Summary'!$G:$G,
    'Resource Summary'!$A:$A,$D911,
    'Resource Summary'!$C:$C,W$146
  )
)</f>
        <v>0</v>
      </c>
      <c r="X911" s="10">
        <f>SUM(
  SUMIFS(
    'Resource Summary'!$G:$G,
    'Resource Summary'!$A:$A,$D911,
    'Resource Summary'!$C:$C,X$146
  )
)</f>
        <v>0</v>
      </c>
      <c r="Y911" s="10">
        <f>SUM(
  SUMIFS(
    'Resource Summary'!$G:$G,
    'Resource Summary'!$A:$A,$D911,
    'Resource Summary'!$C:$C,Y$146
  )
)</f>
        <v>0</v>
      </c>
      <c r="Z911" s="10">
        <f>SUM(
  SUMIFS(
    'Resource Summary'!$G:$G,
    'Resource Summary'!$A:$A,$D911,
    'Resource Summary'!$C:$C,Z$146
  )
)</f>
        <v>0</v>
      </c>
      <c r="AA911" s="10">
        <f>SUM(
  SUMIFS(
    'Resource Summary'!$G:$G,
    'Resource Summary'!$A:$A,$D911,
    'Resource Summary'!$C:$C,AA$146
  )
)</f>
        <v>0</v>
      </c>
      <c r="AB911" s="10">
        <f>SUM(
  SUMIFS(
    'Resource Summary'!$G:$G,
    'Resource Summary'!$A:$A,$D911,
    'Resource Summary'!$C:$C,AB$146
  )
)</f>
        <v>0</v>
      </c>
      <c r="AC911" s="10">
        <f>SUM(
  SUMIFS(
    'Resource Summary'!$G:$G,
    'Resource Summary'!$A:$A,$D911,
    'Resource Summary'!$C:$C,AC$146
  )
)</f>
        <v>0</v>
      </c>
      <c r="AD911" s="10">
        <f>SUM(
  SUMIFS(
    'Resource Summary'!$G:$G,
    'Resource Summary'!$A:$A,$D911,
    'Resource Summary'!$C:$C,AD$146
  )
)</f>
        <v>9017.5727272727272</v>
      </c>
      <c r="AH911" s="34" t="s">
        <v>422</v>
      </c>
    </row>
    <row r="912" spans="3:34" outlineLevel="1" x14ac:dyDescent="0.2">
      <c r="C912" s="8" t="s">
        <v>118</v>
      </c>
      <c r="D912" s="8" t="s">
        <v>104</v>
      </c>
      <c r="E912" s="10">
        <f>SUM(
  SUMIFS(
    'Resource Summary'!$G:$G,
    'Resource Summary'!$A:$A,$D912,
    'Resource Summary'!$C:$C,E$146
  )
)</f>
        <v>0</v>
      </c>
      <c r="F912" s="10">
        <f>SUM(
  SUMIFS(
    'Resource Summary'!$G:$G,
    'Resource Summary'!$A:$A,$D912,
    'Resource Summary'!$C:$C,F$146
  )
)</f>
        <v>0</v>
      </c>
      <c r="G912" s="10">
        <f>SUM(
  SUMIFS(
    'Resource Summary'!$G:$G,
    'Resource Summary'!$A:$A,$D912,
    'Resource Summary'!$C:$C,G$146
  )
)</f>
        <v>0</v>
      </c>
      <c r="H912" s="10">
        <f>SUM(
  SUMIFS(
    'Resource Summary'!$G:$G,
    'Resource Summary'!$A:$A,$D912,
    'Resource Summary'!$C:$C,H$146
  )
)</f>
        <v>0</v>
      </c>
      <c r="I912" s="10">
        <f>SUM(
  SUMIFS(
    'Resource Summary'!$G:$G,
    'Resource Summary'!$A:$A,$D912,
    'Resource Summary'!$C:$C,I$146
  )
)</f>
        <v>0</v>
      </c>
      <c r="J912" s="10">
        <f>SUM(
  SUMIFS(
    'Resource Summary'!$G:$G,
    'Resource Summary'!$A:$A,$D912,
    'Resource Summary'!$C:$C,J$146
  )
)</f>
        <v>0</v>
      </c>
      <c r="K912" s="10">
        <f>SUM(
  SUMIFS(
    'Resource Summary'!$G:$G,
    'Resource Summary'!$A:$A,$D912,
    'Resource Summary'!$C:$C,K$146
  )
)</f>
        <v>0</v>
      </c>
      <c r="L912" s="10">
        <f>SUM(
  SUMIFS(
    'Resource Summary'!$G:$G,
    'Resource Summary'!$A:$A,$D912,
    'Resource Summary'!$C:$C,L$146
  )
)</f>
        <v>0</v>
      </c>
      <c r="M912" s="10">
        <f>SUM(
  SUMIFS(
    'Resource Summary'!$G:$G,
    'Resource Summary'!$A:$A,$D912,
    'Resource Summary'!$C:$C,M$146
  )
)</f>
        <v>0</v>
      </c>
      <c r="N912" s="10">
        <f>SUM(
  SUMIFS(
    'Resource Summary'!$G:$G,
    'Resource Summary'!$A:$A,$D912,
    'Resource Summary'!$C:$C,N$146
  )
)</f>
        <v>0</v>
      </c>
      <c r="O912" s="10">
        <f>SUM(
  SUMIFS(
    'Resource Summary'!$G:$G,
    'Resource Summary'!$A:$A,$D912,
    'Resource Summary'!$C:$C,O$146
  )
)</f>
        <v>0</v>
      </c>
      <c r="P912" s="10">
        <f>SUM(
  SUMIFS(
    'Resource Summary'!$G:$G,
    'Resource Summary'!$A:$A,$D912,
    'Resource Summary'!$C:$C,P$146
  )
)</f>
        <v>0</v>
      </c>
      <c r="Q912" s="10">
        <f>SUM(
  SUMIFS(
    'Resource Summary'!$G:$G,
    'Resource Summary'!$A:$A,$D912,
    'Resource Summary'!$C:$C,Q$146
  )
)</f>
        <v>0</v>
      </c>
      <c r="R912" s="10">
        <f>SUM(
  SUMIFS(
    'Resource Summary'!$G:$G,
    'Resource Summary'!$A:$A,$D912,
    'Resource Summary'!$C:$C,R$146
  )
)</f>
        <v>0</v>
      </c>
      <c r="S912" s="10">
        <f>SUM(
  SUMIFS(
    'Resource Summary'!$G:$G,
    'Resource Summary'!$A:$A,$D912,
    'Resource Summary'!$C:$C,S$146
  )
)</f>
        <v>0</v>
      </c>
      <c r="T912" s="10">
        <f>SUM(
  SUMIFS(
    'Resource Summary'!$G:$G,
    'Resource Summary'!$A:$A,$D912,
    'Resource Summary'!$C:$C,T$146
  )
)</f>
        <v>0</v>
      </c>
      <c r="U912" s="10">
        <f>SUM(
  SUMIFS(
    'Resource Summary'!$G:$G,
    'Resource Summary'!$A:$A,$D912,
    'Resource Summary'!$C:$C,U$146
  )
)</f>
        <v>0</v>
      </c>
      <c r="V912" s="10">
        <f>SUM(
  SUMIFS(
    'Resource Summary'!$G:$G,
    'Resource Summary'!$A:$A,$D912,
    'Resource Summary'!$C:$C,V$146
  )
)</f>
        <v>0</v>
      </c>
      <c r="W912" s="10">
        <f>SUM(
  SUMIFS(
    'Resource Summary'!$G:$G,
    'Resource Summary'!$A:$A,$D912,
    'Resource Summary'!$C:$C,W$146
  )
)</f>
        <v>0</v>
      </c>
      <c r="X912" s="10">
        <f>SUM(
  SUMIFS(
    'Resource Summary'!$G:$G,
    'Resource Summary'!$A:$A,$D912,
    'Resource Summary'!$C:$C,X$146
  )
)</f>
        <v>0</v>
      </c>
      <c r="Y912" s="10">
        <f>SUM(
  SUMIFS(
    'Resource Summary'!$G:$G,
    'Resource Summary'!$A:$A,$D912,
    'Resource Summary'!$C:$C,Y$146
  )
)</f>
        <v>0</v>
      </c>
      <c r="Z912" s="10">
        <f>SUM(
  SUMIFS(
    'Resource Summary'!$G:$G,
    'Resource Summary'!$A:$A,$D912,
    'Resource Summary'!$C:$C,Z$146
  )
)</f>
        <v>0</v>
      </c>
      <c r="AA912" s="10">
        <f>SUM(
  SUMIFS(
    'Resource Summary'!$G:$G,
    'Resource Summary'!$A:$A,$D912,
    'Resource Summary'!$C:$C,AA$146
  )
)</f>
        <v>0</v>
      </c>
      <c r="AB912" s="10">
        <f>SUM(
  SUMIFS(
    'Resource Summary'!$G:$G,
    'Resource Summary'!$A:$A,$D912,
    'Resource Summary'!$C:$C,AB$146
  )
)</f>
        <v>0</v>
      </c>
      <c r="AC912" s="10">
        <f>SUM(
  SUMIFS(
    'Resource Summary'!$G:$G,
    'Resource Summary'!$A:$A,$D912,
    'Resource Summary'!$C:$C,AC$146
  )
)</f>
        <v>0</v>
      </c>
      <c r="AD912" s="10">
        <f>SUM(
  SUMIFS(
    'Resource Summary'!$G:$G,
    'Resource Summary'!$A:$A,$D912,
    'Resource Summary'!$C:$C,AD$146
  )
)</f>
        <v>23823.090074727639</v>
      </c>
      <c r="AH912" s="34" t="s">
        <v>422</v>
      </c>
    </row>
    <row r="913" spans="3:34" outlineLevel="1" x14ac:dyDescent="0.2">
      <c r="C913" s="8" t="s">
        <v>118</v>
      </c>
      <c r="D913" s="8" t="s">
        <v>112</v>
      </c>
      <c r="E913" s="10">
        <f>SUM(
  SUMIFS(
    'Resource Summary'!$G:$G,
    'Resource Summary'!$A:$A,$D913,
    'Resource Summary'!$C:$C,E$146
  )
)</f>
        <v>0</v>
      </c>
      <c r="F913" s="10">
        <f>SUM(
  SUMIFS(
    'Resource Summary'!$G:$G,
    'Resource Summary'!$A:$A,$D913,
    'Resource Summary'!$C:$C,F$146
  )
)</f>
        <v>0</v>
      </c>
      <c r="G913" s="10">
        <f>SUM(
  SUMIFS(
    'Resource Summary'!$G:$G,
    'Resource Summary'!$A:$A,$D913,
    'Resource Summary'!$C:$C,G$146
  )
)</f>
        <v>0</v>
      </c>
      <c r="H913" s="10">
        <f>SUM(
  SUMIFS(
    'Resource Summary'!$G:$G,
    'Resource Summary'!$A:$A,$D913,
    'Resource Summary'!$C:$C,H$146
  )
)</f>
        <v>0</v>
      </c>
      <c r="I913" s="10">
        <f>SUM(
  SUMIFS(
    'Resource Summary'!$G:$G,
    'Resource Summary'!$A:$A,$D913,
    'Resource Summary'!$C:$C,I$146
  )
)</f>
        <v>0</v>
      </c>
      <c r="J913" s="10">
        <f>SUM(
  SUMIFS(
    'Resource Summary'!$G:$G,
    'Resource Summary'!$A:$A,$D913,
    'Resource Summary'!$C:$C,J$146
  )
)</f>
        <v>0</v>
      </c>
      <c r="K913" s="10">
        <f>SUM(
  SUMIFS(
    'Resource Summary'!$G:$G,
    'Resource Summary'!$A:$A,$D913,
    'Resource Summary'!$C:$C,K$146
  )
)</f>
        <v>0</v>
      </c>
      <c r="L913" s="10">
        <f>SUM(
  SUMIFS(
    'Resource Summary'!$G:$G,
    'Resource Summary'!$A:$A,$D913,
    'Resource Summary'!$C:$C,L$146
  )
)</f>
        <v>0</v>
      </c>
      <c r="M913" s="10">
        <f>SUM(
  SUMIFS(
    'Resource Summary'!$G:$G,
    'Resource Summary'!$A:$A,$D913,
    'Resource Summary'!$C:$C,M$146
  )
)</f>
        <v>0</v>
      </c>
      <c r="N913" s="10">
        <f>SUM(
  SUMIFS(
    'Resource Summary'!$G:$G,
    'Resource Summary'!$A:$A,$D913,
    'Resource Summary'!$C:$C,N$146
  )
)</f>
        <v>0</v>
      </c>
      <c r="O913" s="10">
        <f>SUM(
  SUMIFS(
    'Resource Summary'!$G:$G,
    'Resource Summary'!$A:$A,$D913,
    'Resource Summary'!$C:$C,O$146
  )
)</f>
        <v>0</v>
      </c>
      <c r="P913" s="10">
        <f>SUM(
  SUMIFS(
    'Resource Summary'!$G:$G,
    'Resource Summary'!$A:$A,$D913,
    'Resource Summary'!$C:$C,P$146
  )
)</f>
        <v>0</v>
      </c>
      <c r="Q913" s="10">
        <f>SUM(
  SUMIFS(
    'Resource Summary'!$G:$G,
    'Resource Summary'!$A:$A,$D913,
    'Resource Summary'!$C:$C,Q$146
  )
)</f>
        <v>0</v>
      </c>
      <c r="R913" s="10">
        <f>SUM(
  SUMIFS(
    'Resource Summary'!$G:$G,
    'Resource Summary'!$A:$A,$D913,
    'Resource Summary'!$C:$C,R$146
  )
)</f>
        <v>0</v>
      </c>
      <c r="S913" s="10">
        <f>SUM(
  SUMIFS(
    'Resource Summary'!$G:$G,
    'Resource Summary'!$A:$A,$D913,
    'Resource Summary'!$C:$C,S$146
  )
)</f>
        <v>0</v>
      </c>
      <c r="T913" s="10">
        <f>SUM(
  SUMIFS(
    'Resource Summary'!$G:$G,
    'Resource Summary'!$A:$A,$D913,
    'Resource Summary'!$C:$C,T$146
  )
)</f>
        <v>0</v>
      </c>
      <c r="U913" s="10">
        <f>SUM(
  SUMIFS(
    'Resource Summary'!$G:$G,
    'Resource Summary'!$A:$A,$D913,
    'Resource Summary'!$C:$C,U$146
  )
)</f>
        <v>0</v>
      </c>
      <c r="V913" s="10">
        <f>SUM(
  SUMIFS(
    'Resource Summary'!$G:$G,
    'Resource Summary'!$A:$A,$D913,
    'Resource Summary'!$C:$C,V$146
  )
)</f>
        <v>0</v>
      </c>
      <c r="W913" s="10">
        <f>SUM(
  SUMIFS(
    'Resource Summary'!$G:$G,
    'Resource Summary'!$A:$A,$D913,
    'Resource Summary'!$C:$C,W$146
  )
)</f>
        <v>0</v>
      </c>
      <c r="X913" s="10">
        <f>SUM(
  SUMIFS(
    'Resource Summary'!$G:$G,
    'Resource Summary'!$A:$A,$D913,
    'Resource Summary'!$C:$C,X$146
  )
)</f>
        <v>0</v>
      </c>
      <c r="Y913" s="10">
        <f>SUM(
  SUMIFS(
    'Resource Summary'!$G:$G,
    'Resource Summary'!$A:$A,$D913,
    'Resource Summary'!$C:$C,Y$146
  )
)</f>
        <v>0</v>
      </c>
      <c r="Z913" s="10">
        <f>SUM(
  SUMIFS(
    'Resource Summary'!$G:$G,
    'Resource Summary'!$A:$A,$D913,
    'Resource Summary'!$C:$C,Z$146
  )
)</f>
        <v>0</v>
      </c>
      <c r="AA913" s="10">
        <f>SUM(
  SUMIFS(
    'Resource Summary'!$G:$G,
    'Resource Summary'!$A:$A,$D913,
    'Resource Summary'!$C:$C,AA$146
  )
)</f>
        <v>0</v>
      </c>
      <c r="AB913" s="10">
        <f>SUM(
  SUMIFS(
    'Resource Summary'!$G:$G,
    'Resource Summary'!$A:$A,$D913,
    'Resource Summary'!$C:$C,AB$146
  )
)</f>
        <v>0</v>
      </c>
      <c r="AC913" s="10">
        <f>SUM(
  SUMIFS(
    'Resource Summary'!$G:$G,
    'Resource Summary'!$A:$A,$D913,
    'Resource Summary'!$C:$C,AC$146
  )
)</f>
        <v>0</v>
      </c>
      <c r="AD913" s="10">
        <f>SUM(
  SUMIFS(
    'Resource Summary'!$G:$G,
    'Resource Summary'!$A:$A,$D913,
    'Resource Summary'!$C:$C,AD$146
  )
)</f>
        <v>6289.0000000000082</v>
      </c>
      <c r="AH913" s="34" t="s">
        <v>422</v>
      </c>
    </row>
    <row r="914" spans="3:34" outlineLevel="1" x14ac:dyDescent="0.2">
      <c r="C914" s="8" t="s">
        <v>119</v>
      </c>
      <c r="D914" s="8" t="s">
        <v>12</v>
      </c>
      <c r="E914" s="10">
        <f>SUM(
  SUMIFS(
    'Resource Summary'!$G:$G,
    'Resource Summary'!$A:$A,$D914,
    'Resource Summary'!$C:$C,E$146
  )
)</f>
        <v>0</v>
      </c>
      <c r="F914" s="10">
        <f>SUM(
  SUMIFS(
    'Resource Summary'!$G:$G,
    'Resource Summary'!$A:$A,$D914,
    'Resource Summary'!$C:$C,F$146
  )
)</f>
        <v>0</v>
      </c>
      <c r="G914" s="10">
        <f>SUM(
  SUMIFS(
    'Resource Summary'!$G:$G,
    'Resource Summary'!$A:$A,$D914,
    'Resource Summary'!$C:$C,G$146
  )
)</f>
        <v>0</v>
      </c>
      <c r="H914" s="10">
        <f>SUM(
  SUMIFS(
    'Resource Summary'!$G:$G,
    'Resource Summary'!$A:$A,$D914,
    'Resource Summary'!$C:$C,H$146
  )
)</f>
        <v>0</v>
      </c>
      <c r="I914" s="10">
        <f>SUM(
  SUMIFS(
    'Resource Summary'!$G:$G,
    'Resource Summary'!$A:$A,$D914,
    'Resource Summary'!$C:$C,I$146
  )
)</f>
        <v>0</v>
      </c>
      <c r="J914" s="10">
        <f>SUM(
  SUMIFS(
    'Resource Summary'!$G:$G,
    'Resource Summary'!$A:$A,$D914,
    'Resource Summary'!$C:$C,J$146
  )
)</f>
        <v>0</v>
      </c>
      <c r="K914" s="10">
        <f>SUM(
  SUMIFS(
    'Resource Summary'!$G:$G,
    'Resource Summary'!$A:$A,$D914,
    'Resource Summary'!$C:$C,K$146
  )
)</f>
        <v>0</v>
      </c>
      <c r="L914" s="10">
        <f>SUM(
  SUMIFS(
    'Resource Summary'!$G:$G,
    'Resource Summary'!$A:$A,$D914,
    'Resource Summary'!$C:$C,L$146
  )
)</f>
        <v>0</v>
      </c>
      <c r="M914" s="10">
        <f>SUM(
  SUMIFS(
    'Resource Summary'!$G:$G,
    'Resource Summary'!$A:$A,$D914,
    'Resource Summary'!$C:$C,M$146
  )
)</f>
        <v>0</v>
      </c>
      <c r="N914" s="10">
        <f>SUM(
  SUMIFS(
    'Resource Summary'!$G:$G,
    'Resource Summary'!$A:$A,$D914,
    'Resource Summary'!$C:$C,N$146
  )
)</f>
        <v>0</v>
      </c>
      <c r="O914" s="10">
        <f>SUM(
  SUMIFS(
    'Resource Summary'!$G:$G,
    'Resource Summary'!$A:$A,$D914,
    'Resource Summary'!$C:$C,O$146
  )
)</f>
        <v>0</v>
      </c>
      <c r="P914" s="10">
        <f>SUM(
  SUMIFS(
    'Resource Summary'!$G:$G,
    'Resource Summary'!$A:$A,$D914,
    'Resource Summary'!$C:$C,P$146
  )
)</f>
        <v>0</v>
      </c>
      <c r="Q914" s="10">
        <f>SUM(
  SUMIFS(
    'Resource Summary'!$G:$G,
    'Resource Summary'!$A:$A,$D914,
    'Resource Summary'!$C:$C,Q$146
  )
)</f>
        <v>0</v>
      </c>
      <c r="R914" s="10">
        <f>SUM(
  SUMIFS(
    'Resource Summary'!$G:$G,
    'Resource Summary'!$A:$A,$D914,
    'Resource Summary'!$C:$C,R$146
  )
)</f>
        <v>0</v>
      </c>
      <c r="S914" s="10">
        <f>SUM(
  SUMIFS(
    'Resource Summary'!$G:$G,
    'Resource Summary'!$A:$A,$D914,
    'Resource Summary'!$C:$C,S$146
  )
)</f>
        <v>0</v>
      </c>
      <c r="T914" s="10">
        <f>SUM(
  SUMIFS(
    'Resource Summary'!$G:$G,
    'Resource Summary'!$A:$A,$D914,
    'Resource Summary'!$C:$C,T$146
  )
)</f>
        <v>0</v>
      </c>
      <c r="U914" s="10">
        <f>SUM(
  SUMIFS(
    'Resource Summary'!$G:$G,
    'Resource Summary'!$A:$A,$D914,
    'Resource Summary'!$C:$C,U$146
  )
)</f>
        <v>0</v>
      </c>
      <c r="V914" s="10">
        <f>SUM(
  SUMIFS(
    'Resource Summary'!$G:$G,
    'Resource Summary'!$A:$A,$D914,
    'Resource Summary'!$C:$C,V$146
  )
)</f>
        <v>0</v>
      </c>
      <c r="W914" s="10">
        <f>SUM(
  SUMIFS(
    'Resource Summary'!$G:$G,
    'Resource Summary'!$A:$A,$D914,
    'Resource Summary'!$C:$C,W$146
  )
)</f>
        <v>0</v>
      </c>
      <c r="X914" s="10">
        <f>SUM(
  SUMIFS(
    'Resource Summary'!$G:$G,
    'Resource Summary'!$A:$A,$D914,
    'Resource Summary'!$C:$C,X$146
  )
)</f>
        <v>0</v>
      </c>
      <c r="Y914" s="10">
        <f>SUM(
  SUMIFS(
    'Resource Summary'!$G:$G,
    'Resource Summary'!$A:$A,$D914,
    'Resource Summary'!$C:$C,Y$146
  )
)</f>
        <v>0</v>
      </c>
      <c r="Z914" s="10">
        <f>SUM(
  SUMIFS(
    'Resource Summary'!$G:$G,
    'Resource Summary'!$A:$A,$D914,
    'Resource Summary'!$C:$C,Z$146
  )
)</f>
        <v>0</v>
      </c>
      <c r="AA914" s="10">
        <f>SUM(
  SUMIFS(
    'Resource Summary'!$G:$G,
    'Resource Summary'!$A:$A,$D914,
    'Resource Summary'!$C:$C,AA$146
  )
)</f>
        <v>0</v>
      </c>
      <c r="AB914" s="10">
        <f>SUM(
  SUMIFS(
    'Resource Summary'!$G:$G,
    'Resource Summary'!$A:$A,$D914,
    'Resource Summary'!$C:$C,AB$146
  )
)</f>
        <v>0</v>
      </c>
      <c r="AC914" s="10">
        <f>SUM(
  SUMIFS(
    'Resource Summary'!$G:$G,
    'Resource Summary'!$A:$A,$D914,
    'Resource Summary'!$C:$C,AC$146
  )
)</f>
        <v>0</v>
      </c>
      <c r="AD914" s="10">
        <f>SUM(
  SUMIFS(
    'Resource Summary'!$G:$G,
    'Resource Summary'!$A:$A,$D914,
    'Resource Summary'!$C:$C,AD$146
  )
)</f>
        <v>0</v>
      </c>
      <c r="AH914" s="34" t="s">
        <v>422</v>
      </c>
    </row>
    <row r="915" spans="3:34" outlineLevel="1" x14ac:dyDescent="0.2">
      <c r="C915" s="8" t="s">
        <v>119</v>
      </c>
      <c r="D915" s="8" t="s">
        <v>13</v>
      </c>
      <c r="E915" s="10">
        <f>SUM(
  SUMIFS(
    'Resource Summary'!$G:$G,
    'Resource Summary'!$A:$A,$D915,
    'Resource Summary'!$C:$C,E$146
  )
)</f>
        <v>0</v>
      </c>
      <c r="F915" s="10">
        <f>SUM(
  SUMIFS(
    'Resource Summary'!$G:$G,
    'Resource Summary'!$A:$A,$D915,
    'Resource Summary'!$C:$C,F$146
  )
)</f>
        <v>0</v>
      </c>
      <c r="G915" s="10">
        <f>SUM(
  SUMIFS(
    'Resource Summary'!$G:$G,
    'Resource Summary'!$A:$A,$D915,
    'Resource Summary'!$C:$C,G$146
  )
)</f>
        <v>0</v>
      </c>
      <c r="H915" s="10">
        <f>SUM(
  SUMIFS(
    'Resource Summary'!$G:$G,
    'Resource Summary'!$A:$A,$D915,
    'Resource Summary'!$C:$C,H$146
  )
)</f>
        <v>0</v>
      </c>
      <c r="I915" s="10">
        <f>SUM(
  SUMIFS(
    'Resource Summary'!$G:$G,
    'Resource Summary'!$A:$A,$D915,
    'Resource Summary'!$C:$C,I$146
  )
)</f>
        <v>0</v>
      </c>
      <c r="J915" s="10">
        <f>SUM(
  SUMIFS(
    'Resource Summary'!$G:$G,
    'Resource Summary'!$A:$A,$D915,
    'Resource Summary'!$C:$C,J$146
  )
)</f>
        <v>0</v>
      </c>
      <c r="K915" s="10">
        <f>SUM(
  SUMIFS(
    'Resource Summary'!$G:$G,
    'Resource Summary'!$A:$A,$D915,
    'Resource Summary'!$C:$C,K$146
  )
)</f>
        <v>0</v>
      </c>
      <c r="L915" s="10">
        <f>SUM(
  SUMIFS(
    'Resource Summary'!$G:$G,
    'Resource Summary'!$A:$A,$D915,
    'Resource Summary'!$C:$C,L$146
  )
)</f>
        <v>0</v>
      </c>
      <c r="M915" s="10">
        <f>SUM(
  SUMIFS(
    'Resource Summary'!$G:$G,
    'Resource Summary'!$A:$A,$D915,
    'Resource Summary'!$C:$C,M$146
  )
)</f>
        <v>0</v>
      </c>
      <c r="N915" s="10">
        <f>SUM(
  SUMIFS(
    'Resource Summary'!$G:$G,
    'Resource Summary'!$A:$A,$D915,
    'Resource Summary'!$C:$C,N$146
  )
)</f>
        <v>0</v>
      </c>
      <c r="O915" s="10">
        <f>SUM(
  SUMIFS(
    'Resource Summary'!$G:$G,
    'Resource Summary'!$A:$A,$D915,
    'Resource Summary'!$C:$C,O$146
  )
)</f>
        <v>0</v>
      </c>
      <c r="P915" s="10">
        <f>SUM(
  SUMIFS(
    'Resource Summary'!$G:$G,
    'Resource Summary'!$A:$A,$D915,
    'Resource Summary'!$C:$C,P$146
  )
)</f>
        <v>0</v>
      </c>
      <c r="Q915" s="10">
        <f>SUM(
  SUMIFS(
    'Resource Summary'!$G:$G,
    'Resource Summary'!$A:$A,$D915,
    'Resource Summary'!$C:$C,Q$146
  )
)</f>
        <v>0</v>
      </c>
      <c r="R915" s="10">
        <f>SUM(
  SUMIFS(
    'Resource Summary'!$G:$G,
    'Resource Summary'!$A:$A,$D915,
    'Resource Summary'!$C:$C,R$146
  )
)</f>
        <v>0</v>
      </c>
      <c r="S915" s="10">
        <f>SUM(
  SUMIFS(
    'Resource Summary'!$G:$G,
    'Resource Summary'!$A:$A,$D915,
    'Resource Summary'!$C:$C,S$146
  )
)</f>
        <v>0</v>
      </c>
      <c r="T915" s="10">
        <f>SUM(
  SUMIFS(
    'Resource Summary'!$G:$G,
    'Resource Summary'!$A:$A,$D915,
    'Resource Summary'!$C:$C,T$146
  )
)</f>
        <v>0</v>
      </c>
      <c r="U915" s="10">
        <f>SUM(
  SUMIFS(
    'Resource Summary'!$G:$G,
    'Resource Summary'!$A:$A,$D915,
    'Resource Summary'!$C:$C,U$146
  )
)</f>
        <v>0</v>
      </c>
      <c r="V915" s="10">
        <f>SUM(
  SUMIFS(
    'Resource Summary'!$G:$G,
    'Resource Summary'!$A:$A,$D915,
    'Resource Summary'!$C:$C,V$146
  )
)</f>
        <v>0</v>
      </c>
      <c r="W915" s="10">
        <f>SUM(
  SUMIFS(
    'Resource Summary'!$G:$G,
    'Resource Summary'!$A:$A,$D915,
    'Resource Summary'!$C:$C,W$146
  )
)</f>
        <v>0</v>
      </c>
      <c r="X915" s="10">
        <f>SUM(
  SUMIFS(
    'Resource Summary'!$G:$G,
    'Resource Summary'!$A:$A,$D915,
    'Resource Summary'!$C:$C,X$146
  )
)</f>
        <v>0</v>
      </c>
      <c r="Y915" s="10">
        <f>SUM(
  SUMIFS(
    'Resource Summary'!$G:$G,
    'Resource Summary'!$A:$A,$D915,
    'Resource Summary'!$C:$C,Y$146
  )
)</f>
        <v>0</v>
      </c>
      <c r="Z915" s="10">
        <f>SUM(
  SUMIFS(
    'Resource Summary'!$G:$G,
    'Resource Summary'!$A:$A,$D915,
    'Resource Summary'!$C:$C,Z$146
  )
)</f>
        <v>0</v>
      </c>
      <c r="AA915" s="10">
        <f>SUM(
  SUMIFS(
    'Resource Summary'!$G:$G,
    'Resource Summary'!$A:$A,$D915,
    'Resource Summary'!$C:$C,AA$146
  )
)</f>
        <v>0</v>
      </c>
      <c r="AB915" s="10">
        <f>SUM(
  SUMIFS(
    'Resource Summary'!$G:$G,
    'Resource Summary'!$A:$A,$D915,
    'Resource Summary'!$C:$C,AB$146
  )
)</f>
        <v>0</v>
      </c>
      <c r="AC915" s="10">
        <f>SUM(
  SUMIFS(
    'Resource Summary'!$G:$G,
    'Resource Summary'!$A:$A,$D915,
    'Resource Summary'!$C:$C,AC$146
  )
)</f>
        <v>0</v>
      </c>
      <c r="AD915" s="10">
        <f>SUM(
  SUMIFS(
    'Resource Summary'!$G:$G,
    'Resource Summary'!$A:$A,$D915,
    'Resource Summary'!$C:$C,AD$146
  )
)</f>
        <v>600</v>
      </c>
      <c r="AH915" s="34" t="s">
        <v>422</v>
      </c>
    </row>
    <row r="916" spans="3:34" outlineLevel="1" x14ac:dyDescent="0.2">
      <c r="C916" s="8" t="s">
        <v>119</v>
      </c>
      <c r="D916" s="8" t="s">
        <v>52</v>
      </c>
      <c r="E916" s="10">
        <f>SUM(
  SUMIFS(
    'Resource Summary'!$G:$G,
    'Resource Summary'!$A:$A,$D916,
    'Resource Summary'!$C:$C,E$146
  )
)</f>
        <v>0</v>
      </c>
      <c r="F916" s="10">
        <f>SUM(
  SUMIFS(
    'Resource Summary'!$G:$G,
    'Resource Summary'!$A:$A,$D916,
    'Resource Summary'!$C:$C,F$146
  )
)</f>
        <v>0</v>
      </c>
      <c r="G916" s="10">
        <f>SUM(
  SUMIFS(
    'Resource Summary'!$G:$G,
    'Resource Summary'!$A:$A,$D916,
    'Resource Summary'!$C:$C,G$146
  )
)</f>
        <v>0</v>
      </c>
      <c r="H916" s="10">
        <f>SUM(
  SUMIFS(
    'Resource Summary'!$G:$G,
    'Resource Summary'!$A:$A,$D916,
    'Resource Summary'!$C:$C,H$146
  )
)</f>
        <v>0</v>
      </c>
      <c r="I916" s="10">
        <f>SUM(
  SUMIFS(
    'Resource Summary'!$G:$G,
    'Resource Summary'!$A:$A,$D916,
    'Resource Summary'!$C:$C,I$146
  )
)</f>
        <v>0</v>
      </c>
      <c r="J916" s="10">
        <f>SUM(
  SUMIFS(
    'Resource Summary'!$G:$G,
    'Resource Summary'!$A:$A,$D916,
    'Resource Summary'!$C:$C,J$146
  )
)</f>
        <v>0</v>
      </c>
      <c r="K916" s="10">
        <f>SUM(
  SUMIFS(
    'Resource Summary'!$G:$G,
    'Resource Summary'!$A:$A,$D916,
    'Resource Summary'!$C:$C,K$146
  )
)</f>
        <v>0</v>
      </c>
      <c r="L916" s="10">
        <f>SUM(
  SUMIFS(
    'Resource Summary'!$G:$G,
    'Resource Summary'!$A:$A,$D916,
    'Resource Summary'!$C:$C,L$146
  )
)</f>
        <v>0</v>
      </c>
      <c r="M916" s="10">
        <f>SUM(
  SUMIFS(
    'Resource Summary'!$G:$G,
    'Resource Summary'!$A:$A,$D916,
    'Resource Summary'!$C:$C,M$146
  )
)</f>
        <v>0</v>
      </c>
      <c r="N916" s="10">
        <f>SUM(
  SUMIFS(
    'Resource Summary'!$G:$G,
    'Resource Summary'!$A:$A,$D916,
    'Resource Summary'!$C:$C,N$146
  )
)</f>
        <v>0</v>
      </c>
      <c r="O916" s="10">
        <f>SUM(
  SUMIFS(
    'Resource Summary'!$G:$G,
    'Resource Summary'!$A:$A,$D916,
    'Resource Summary'!$C:$C,O$146
  )
)</f>
        <v>0</v>
      </c>
      <c r="P916" s="10">
        <f>SUM(
  SUMIFS(
    'Resource Summary'!$G:$G,
    'Resource Summary'!$A:$A,$D916,
    'Resource Summary'!$C:$C,P$146
  )
)</f>
        <v>0</v>
      </c>
      <c r="Q916" s="10">
        <f>SUM(
  SUMIFS(
    'Resource Summary'!$G:$G,
    'Resource Summary'!$A:$A,$D916,
    'Resource Summary'!$C:$C,Q$146
  )
)</f>
        <v>0</v>
      </c>
      <c r="R916" s="10">
        <f>SUM(
  SUMIFS(
    'Resource Summary'!$G:$G,
    'Resource Summary'!$A:$A,$D916,
    'Resource Summary'!$C:$C,R$146
  )
)</f>
        <v>0</v>
      </c>
      <c r="S916" s="10">
        <f>SUM(
  SUMIFS(
    'Resource Summary'!$G:$G,
    'Resource Summary'!$A:$A,$D916,
    'Resource Summary'!$C:$C,S$146
  )
)</f>
        <v>0</v>
      </c>
      <c r="T916" s="10">
        <f>SUM(
  SUMIFS(
    'Resource Summary'!$G:$G,
    'Resource Summary'!$A:$A,$D916,
    'Resource Summary'!$C:$C,T$146
  )
)</f>
        <v>0</v>
      </c>
      <c r="U916" s="10">
        <f>SUM(
  SUMIFS(
    'Resource Summary'!$G:$G,
    'Resource Summary'!$A:$A,$D916,
    'Resource Summary'!$C:$C,U$146
  )
)</f>
        <v>0</v>
      </c>
      <c r="V916" s="10">
        <f>SUM(
  SUMIFS(
    'Resource Summary'!$G:$G,
    'Resource Summary'!$A:$A,$D916,
    'Resource Summary'!$C:$C,V$146
  )
)</f>
        <v>0</v>
      </c>
      <c r="W916" s="10">
        <f>SUM(
  SUMIFS(
    'Resource Summary'!$G:$G,
    'Resource Summary'!$A:$A,$D916,
    'Resource Summary'!$C:$C,W$146
  )
)</f>
        <v>0</v>
      </c>
      <c r="X916" s="10">
        <f>SUM(
  SUMIFS(
    'Resource Summary'!$G:$G,
    'Resource Summary'!$A:$A,$D916,
    'Resource Summary'!$C:$C,X$146
  )
)</f>
        <v>0</v>
      </c>
      <c r="Y916" s="10">
        <f>SUM(
  SUMIFS(
    'Resource Summary'!$G:$G,
    'Resource Summary'!$A:$A,$D916,
    'Resource Summary'!$C:$C,Y$146
  )
)</f>
        <v>0</v>
      </c>
      <c r="Z916" s="10">
        <f>SUM(
  SUMIFS(
    'Resource Summary'!$G:$G,
    'Resource Summary'!$A:$A,$D916,
    'Resource Summary'!$C:$C,Z$146
  )
)</f>
        <v>0</v>
      </c>
      <c r="AA916" s="10">
        <f>SUM(
  SUMIFS(
    'Resource Summary'!$G:$G,
    'Resource Summary'!$A:$A,$D916,
    'Resource Summary'!$C:$C,AA$146
  )
)</f>
        <v>0</v>
      </c>
      <c r="AB916" s="10">
        <f>SUM(
  SUMIFS(
    'Resource Summary'!$G:$G,
    'Resource Summary'!$A:$A,$D916,
    'Resource Summary'!$C:$C,AB$146
  )
)</f>
        <v>0</v>
      </c>
      <c r="AC916" s="10">
        <f>SUM(
  SUMIFS(
    'Resource Summary'!$G:$G,
    'Resource Summary'!$A:$A,$D916,
    'Resource Summary'!$C:$C,AC$146
  )
)</f>
        <v>0</v>
      </c>
      <c r="AD916" s="10">
        <f>SUM(
  SUMIFS(
    'Resource Summary'!$G:$G,
    'Resource Summary'!$A:$A,$D916,
    'Resource Summary'!$C:$C,AD$146
  )
)</f>
        <v>287</v>
      </c>
      <c r="AH916" s="34" t="s">
        <v>422</v>
      </c>
    </row>
    <row r="917" spans="3:34" outlineLevel="1" x14ac:dyDescent="0.2">
      <c r="C917" s="8" t="s">
        <v>119</v>
      </c>
      <c r="D917" s="8" t="s">
        <v>53</v>
      </c>
      <c r="E917" s="10">
        <f>SUM(
  SUMIFS(
    'Resource Summary'!$G:$G,
    'Resource Summary'!$A:$A,$D917,
    'Resource Summary'!$C:$C,E$146
  )
)</f>
        <v>0</v>
      </c>
      <c r="F917" s="10">
        <f>SUM(
  SUMIFS(
    'Resource Summary'!$G:$G,
    'Resource Summary'!$A:$A,$D917,
    'Resource Summary'!$C:$C,F$146
  )
)</f>
        <v>0</v>
      </c>
      <c r="G917" s="10">
        <f>SUM(
  SUMIFS(
    'Resource Summary'!$G:$G,
    'Resource Summary'!$A:$A,$D917,
    'Resource Summary'!$C:$C,G$146
  )
)</f>
        <v>0</v>
      </c>
      <c r="H917" s="10">
        <f>SUM(
  SUMIFS(
    'Resource Summary'!$G:$G,
    'Resource Summary'!$A:$A,$D917,
    'Resource Summary'!$C:$C,H$146
  )
)</f>
        <v>0</v>
      </c>
      <c r="I917" s="10">
        <f>SUM(
  SUMIFS(
    'Resource Summary'!$G:$G,
    'Resource Summary'!$A:$A,$D917,
    'Resource Summary'!$C:$C,I$146
  )
)</f>
        <v>0</v>
      </c>
      <c r="J917" s="10">
        <f>SUM(
  SUMIFS(
    'Resource Summary'!$G:$G,
    'Resource Summary'!$A:$A,$D917,
    'Resource Summary'!$C:$C,J$146
  )
)</f>
        <v>0</v>
      </c>
      <c r="K917" s="10">
        <f>SUM(
  SUMIFS(
    'Resource Summary'!$G:$G,
    'Resource Summary'!$A:$A,$D917,
    'Resource Summary'!$C:$C,K$146
  )
)</f>
        <v>0</v>
      </c>
      <c r="L917" s="10">
        <f>SUM(
  SUMIFS(
    'Resource Summary'!$G:$G,
    'Resource Summary'!$A:$A,$D917,
    'Resource Summary'!$C:$C,L$146
  )
)</f>
        <v>0</v>
      </c>
      <c r="M917" s="10">
        <f>SUM(
  SUMIFS(
    'Resource Summary'!$G:$G,
    'Resource Summary'!$A:$A,$D917,
    'Resource Summary'!$C:$C,M$146
  )
)</f>
        <v>0</v>
      </c>
      <c r="N917" s="10">
        <f>SUM(
  SUMIFS(
    'Resource Summary'!$G:$G,
    'Resource Summary'!$A:$A,$D917,
    'Resource Summary'!$C:$C,N$146
  )
)</f>
        <v>0</v>
      </c>
      <c r="O917" s="10">
        <f>SUM(
  SUMIFS(
    'Resource Summary'!$G:$G,
    'Resource Summary'!$A:$A,$D917,
    'Resource Summary'!$C:$C,O$146
  )
)</f>
        <v>0</v>
      </c>
      <c r="P917" s="10">
        <f>SUM(
  SUMIFS(
    'Resource Summary'!$G:$G,
    'Resource Summary'!$A:$A,$D917,
    'Resource Summary'!$C:$C,P$146
  )
)</f>
        <v>0</v>
      </c>
      <c r="Q917" s="10">
        <f>SUM(
  SUMIFS(
    'Resource Summary'!$G:$G,
    'Resource Summary'!$A:$A,$D917,
    'Resource Summary'!$C:$C,Q$146
  )
)</f>
        <v>0</v>
      </c>
      <c r="R917" s="10">
        <f>SUM(
  SUMIFS(
    'Resource Summary'!$G:$G,
    'Resource Summary'!$A:$A,$D917,
    'Resource Summary'!$C:$C,R$146
  )
)</f>
        <v>0</v>
      </c>
      <c r="S917" s="10">
        <f>SUM(
  SUMIFS(
    'Resource Summary'!$G:$G,
    'Resource Summary'!$A:$A,$D917,
    'Resource Summary'!$C:$C,S$146
  )
)</f>
        <v>0</v>
      </c>
      <c r="T917" s="10">
        <f>SUM(
  SUMIFS(
    'Resource Summary'!$G:$G,
    'Resource Summary'!$A:$A,$D917,
    'Resource Summary'!$C:$C,T$146
  )
)</f>
        <v>0</v>
      </c>
      <c r="U917" s="10">
        <f>SUM(
  SUMIFS(
    'Resource Summary'!$G:$G,
    'Resource Summary'!$A:$A,$D917,
    'Resource Summary'!$C:$C,U$146
  )
)</f>
        <v>0</v>
      </c>
      <c r="V917" s="10">
        <f>SUM(
  SUMIFS(
    'Resource Summary'!$G:$G,
    'Resource Summary'!$A:$A,$D917,
    'Resource Summary'!$C:$C,V$146
  )
)</f>
        <v>0</v>
      </c>
      <c r="W917" s="10">
        <f>SUM(
  SUMIFS(
    'Resource Summary'!$G:$G,
    'Resource Summary'!$A:$A,$D917,
    'Resource Summary'!$C:$C,W$146
  )
)</f>
        <v>0</v>
      </c>
      <c r="X917" s="10">
        <f>SUM(
  SUMIFS(
    'Resource Summary'!$G:$G,
    'Resource Summary'!$A:$A,$D917,
    'Resource Summary'!$C:$C,X$146
  )
)</f>
        <v>0</v>
      </c>
      <c r="Y917" s="10">
        <f>SUM(
  SUMIFS(
    'Resource Summary'!$G:$G,
    'Resource Summary'!$A:$A,$D917,
    'Resource Summary'!$C:$C,Y$146
  )
)</f>
        <v>0</v>
      </c>
      <c r="Z917" s="10">
        <f>SUM(
  SUMIFS(
    'Resource Summary'!$G:$G,
    'Resource Summary'!$A:$A,$D917,
    'Resource Summary'!$C:$C,Z$146
  )
)</f>
        <v>0</v>
      </c>
      <c r="AA917" s="10">
        <f>SUM(
  SUMIFS(
    'Resource Summary'!$G:$G,
    'Resource Summary'!$A:$A,$D917,
    'Resource Summary'!$C:$C,AA$146
  )
)</f>
        <v>0</v>
      </c>
      <c r="AB917" s="10">
        <f>SUM(
  SUMIFS(
    'Resource Summary'!$G:$G,
    'Resource Summary'!$A:$A,$D917,
    'Resource Summary'!$C:$C,AB$146
  )
)</f>
        <v>0</v>
      </c>
      <c r="AC917" s="10">
        <f>SUM(
  SUMIFS(
    'Resource Summary'!$G:$G,
    'Resource Summary'!$A:$A,$D917,
    'Resource Summary'!$C:$C,AC$146
  )
)</f>
        <v>0</v>
      </c>
      <c r="AD917" s="10">
        <f>SUM(
  SUMIFS(
    'Resource Summary'!$G:$G,
    'Resource Summary'!$A:$A,$D917,
    'Resource Summary'!$C:$C,AD$146
  )
)</f>
        <v>173</v>
      </c>
      <c r="AH917" s="34" t="s">
        <v>422</v>
      </c>
    </row>
    <row r="918" spans="3:34" outlineLevel="1" x14ac:dyDescent="0.2">
      <c r="C918" s="8" t="s">
        <v>119</v>
      </c>
      <c r="D918" s="8" t="s">
        <v>304</v>
      </c>
      <c r="E918" s="10">
        <f>SUM(
  SUMIFS(
    'Resource Summary'!$G:$G,
    'Resource Summary'!$A:$A,$D918,
    'Resource Summary'!$C:$C,E$146
  )
)</f>
        <v>0</v>
      </c>
      <c r="F918" s="10">
        <f>SUM(
  SUMIFS(
    'Resource Summary'!$G:$G,
    'Resource Summary'!$A:$A,$D918,
    'Resource Summary'!$C:$C,F$146
  )
)</f>
        <v>0</v>
      </c>
      <c r="G918" s="10">
        <f>SUM(
  SUMIFS(
    'Resource Summary'!$G:$G,
    'Resource Summary'!$A:$A,$D918,
    'Resource Summary'!$C:$C,G$146
  )
)</f>
        <v>0</v>
      </c>
      <c r="H918" s="10">
        <f>SUM(
  SUMIFS(
    'Resource Summary'!$G:$G,
    'Resource Summary'!$A:$A,$D918,
    'Resource Summary'!$C:$C,H$146
  )
)</f>
        <v>0</v>
      </c>
      <c r="I918" s="10">
        <f>SUM(
  SUMIFS(
    'Resource Summary'!$G:$G,
    'Resource Summary'!$A:$A,$D918,
    'Resource Summary'!$C:$C,I$146
  )
)</f>
        <v>0</v>
      </c>
      <c r="J918" s="10">
        <f>SUM(
  SUMIFS(
    'Resource Summary'!$G:$G,
    'Resource Summary'!$A:$A,$D918,
    'Resource Summary'!$C:$C,J$146
  )
)</f>
        <v>0</v>
      </c>
      <c r="K918" s="10">
        <f>SUM(
  SUMIFS(
    'Resource Summary'!$G:$G,
    'Resource Summary'!$A:$A,$D918,
    'Resource Summary'!$C:$C,K$146
  )
)</f>
        <v>0</v>
      </c>
      <c r="L918" s="10">
        <f>SUM(
  SUMIFS(
    'Resource Summary'!$G:$G,
    'Resource Summary'!$A:$A,$D918,
    'Resource Summary'!$C:$C,L$146
  )
)</f>
        <v>0</v>
      </c>
      <c r="M918" s="10">
        <f>SUM(
  SUMIFS(
    'Resource Summary'!$G:$G,
    'Resource Summary'!$A:$A,$D918,
    'Resource Summary'!$C:$C,M$146
  )
)</f>
        <v>0</v>
      </c>
      <c r="N918" s="10">
        <f>SUM(
  SUMIFS(
    'Resource Summary'!$G:$G,
    'Resource Summary'!$A:$A,$D918,
    'Resource Summary'!$C:$C,N$146
  )
)</f>
        <v>0</v>
      </c>
      <c r="O918" s="10">
        <f>SUM(
  SUMIFS(
    'Resource Summary'!$G:$G,
    'Resource Summary'!$A:$A,$D918,
    'Resource Summary'!$C:$C,O$146
  )
)</f>
        <v>0</v>
      </c>
      <c r="P918" s="10">
        <f>SUM(
  SUMIFS(
    'Resource Summary'!$G:$G,
    'Resource Summary'!$A:$A,$D918,
    'Resource Summary'!$C:$C,P$146
  )
)</f>
        <v>0</v>
      </c>
      <c r="Q918" s="10">
        <f>SUM(
  SUMIFS(
    'Resource Summary'!$G:$G,
    'Resource Summary'!$A:$A,$D918,
    'Resource Summary'!$C:$C,Q$146
  )
)</f>
        <v>0</v>
      </c>
      <c r="R918" s="10">
        <f>SUM(
  SUMIFS(
    'Resource Summary'!$G:$G,
    'Resource Summary'!$A:$A,$D918,
    'Resource Summary'!$C:$C,R$146
  )
)</f>
        <v>0</v>
      </c>
      <c r="S918" s="10">
        <f>SUM(
  SUMIFS(
    'Resource Summary'!$G:$G,
    'Resource Summary'!$A:$A,$D918,
    'Resource Summary'!$C:$C,S$146
  )
)</f>
        <v>0</v>
      </c>
      <c r="T918" s="10">
        <f>SUM(
  SUMIFS(
    'Resource Summary'!$G:$G,
    'Resource Summary'!$A:$A,$D918,
    'Resource Summary'!$C:$C,T$146
  )
)</f>
        <v>0</v>
      </c>
      <c r="U918" s="10">
        <f>SUM(
  SUMIFS(
    'Resource Summary'!$G:$G,
    'Resource Summary'!$A:$A,$D918,
    'Resource Summary'!$C:$C,U$146
  )
)</f>
        <v>0</v>
      </c>
      <c r="V918" s="10">
        <f>SUM(
  SUMIFS(
    'Resource Summary'!$G:$G,
    'Resource Summary'!$A:$A,$D918,
    'Resource Summary'!$C:$C,V$146
  )
)</f>
        <v>0</v>
      </c>
      <c r="W918" s="10">
        <f>SUM(
  SUMIFS(
    'Resource Summary'!$G:$G,
    'Resource Summary'!$A:$A,$D918,
    'Resource Summary'!$C:$C,W$146
  )
)</f>
        <v>0</v>
      </c>
      <c r="X918" s="10">
        <f>SUM(
  SUMIFS(
    'Resource Summary'!$G:$G,
    'Resource Summary'!$A:$A,$D918,
    'Resource Summary'!$C:$C,X$146
  )
)</f>
        <v>0</v>
      </c>
      <c r="Y918" s="10">
        <f>SUM(
  SUMIFS(
    'Resource Summary'!$G:$G,
    'Resource Summary'!$A:$A,$D918,
    'Resource Summary'!$C:$C,Y$146
  )
)</f>
        <v>0</v>
      </c>
      <c r="Z918" s="10">
        <f>SUM(
  SUMIFS(
    'Resource Summary'!$G:$G,
    'Resource Summary'!$A:$A,$D918,
    'Resource Summary'!$C:$C,Z$146
  )
)</f>
        <v>0</v>
      </c>
      <c r="AA918" s="10">
        <f>SUM(
  SUMIFS(
    'Resource Summary'!$G:$G,
    'Resource Summary'!$A:$A,$D918,
    'Resource Summary'!$C:$C,AA$146
  )
)</f>
        <v>0</v>
      </c>
      <c r="AB918" s="10">
        <f>SUM(
  SUMIFS(
    'Resource Summary'!$G:$G,
    'Resource Summary'!$A:$A,$D918,
    'Resource Summary'!$C:$C,AB$146
  )
)</f>
        <v>0</v>
      </c>
      <c r="AC918" s="10">
        <f>SUM(
  SUMIFS(
    'Resource Summary'!$G:$G,
    'Resource Summary'!$A:$A,$D918,
    'Resource Summary'!$C:$C,AC$146
  )
)</f>
        <v>0</v>
      </c>
      <c r="AD918" s="10">
        <f>SUM(
  SUMIFS(
    'Resource Summary'!$G:$G,
    'Resource Summary'!$A:$A,$D918,
    'Resource Summary'!$C:$C,AD$146
  )
)</f>
        <v>0</v>
      </c>
      <c r="AH918" s="34" t="s">
        <v>422</v>
      </c>
    </row>
    <row r="919" spans="3:34" outlineLevel="1" x14ac:dyDescent="0.2">
      <c r="C919" s="8" t="s">
        <v>119</v>
      </c>
      <c r="D919" s="8" t="s">
        <v>62</v>
      </c>
      <c r="E919" s="10">
        <f>SUM(
  SUMIFS(
    'Resource Summary'!$G:$G,
    'Resource Summary'!$A:$A,$D919,
    'Resource Summary'!$C:$C,E$146
  )
)</f>
        <v>0</v>
      </c>
      <c r="F919" s="10">
        <f>SUM(
  SUMIFS(
    'Resource Summary'!$G:$G,
    'Resource Summary'!$A:$A,$D919,
    'Resource Summary'!$C:$C,F$146
  )
)</f>
        <v>0</v>
      </c>
      <c r="G919" s="10">
        <f>SUM(
  SUMIFS(
    'Resource Summary'!$G:$G,
    'Resource Summary'!$A:$A,$D919,
    'Resource Summary'!$C:$C,G$146
  )
)</f>
        <v>0</v>
      </c>
      <c r="H919" s="10">
        <f>SUM(
  SUMIFS(
    'Resource Summary'!$G:$G,
    'Resource Summary'!$A:$A,$D919,
    'Resource Summary'!$C:$C,H$146
  )
)</f>
        <v>0</v>
      </c>
      <c r="I919" s="10">
        <f>SUM(
  SUMIFS(
    'Resource Summary'!$G:$G,
    'Resource Summary'!$A:$A,$D919,
    'Resource Summary'!$C:$C,I$146
  )
)</f>
        <v>0</v>
      </c>
      <c r="J919" s="10">
        <f>SUM(
  SUMIFS(
    'Resource Summary'!$G:$G,
    'Resource Summary'!$A:$A,$D919,
    'Resource Summary'!$C:$C,J$146
  )
)</f>
        <v>0</v>
      </c>
      <c r="K919" s="10">
        <f>SUM(
  SUMIFS(
    'Resource Summary'!$G:$G,
    'Resource Summary'!$A:$A,$D919,
    'Resource Summary'!$C:$C,K$146
  )
)</f>
        <v>0</v>
      </c>
      <c r="L919" s="10">
        <f>SUM(
  SUMIFS(
    'Resource Summary'!$G:$G,
    'Resource Summary'!$A:$A,$D919,
    'Resource Summary'!$C:$C,L$146
  )
)</f>
        <v>0</v>
      </c>
      <c r="M919" s="10">
        <f>SUM(
  SUMIFS(
    'Resource Summary'!$G:$G,
    'Resource Summary'!$A:$A,$D919,
    'Resource Summary'!$C:$C,M$146
  )
)</f>
        <v>0</v>
      </c>
      <c r="N919" s="10">
        <f>SUM(
  SUMIFS(
    'Resource Summary'!$G:$G,
    'Resource Summary'!$A:$A,$D919,
    'Resource Summary'!$C:$C,N$146
  )
)</f>
        <v>0</v>
      </c>
      <c r="O919" s="10">
        <f>SUM(
  SUMIFS(
    'Resource Summary'!$G:$G,
    'Resource Summary'!$A:$A,$D919,
    'Resource Summary'!$C:$C,O$146
  )
)</f>
        <v>0</v>
      </c>
      <c r="P919" s="10">
        <f>SUM(
  SUMIFS(
    'Resource Summary'!$G:$G,
    'Resource Summary'!$A:$A,$D919,
    'Resource Summary'!$C:$C,P$146
  )
)</f>
        <v>0</v>
      </c>
      <c r="Q919" s="10">
        <f>SUM(
  SUMIFS(
    'Resource Summary'!$G:$G,
    'Resource Summary'!$A:$A,$D919,
    'Resource Summary'!$C:$C,Q$146
  )
)</f>
        <v>0</v>
      </c>
      <c r="R919" s="10">
        <f>SUM(
  SUMIFS(
    'Resource Summary'!$G:$G,
    'Resource Summary'!$A:$A,$D919,
    'Resource Summary'!$C:$C,R$146
  )
)</f>
        <v>0</v>
      </c>
      <c r="S919" s="10">
        <f>SUM(
  SUMIFS(
    'Resource Summary'!$G:$G,
    'Resource Summary'!$A:$A,$D919,
    'Resource Summary'!$C:$C,S$146
  )
)</f>
        <v>0</v>
      </c>
      <c r="T919" s="10">
        <f>SUM(
  SUMIFS(
    'Resource Summary'!$G:$G,
    'Resource Summary'!$A:$A,$D919,
    'Resource Summary'!$C:$C,T$146
  )
)</f>
        <v>0</v>
      </c>
      <c r="U919" s="10">
        <f>SUM(
  SUMIFS(
    'Resource Summary'!$G:$G,
    'Resource Summary'!$A:$A,$D919,
    'Resource Summary'!$C:$C,U$146
  )
)</f>
        <v>0</v>
      </c>
      <c r="V919" s="10">
        <f>SUM(
  SUMIFS(
    'Resource Summary'!$G:$G,
    'Resource Summary'!$A:$A,$D919,
    'Resource Summary'!$C:$C,V$146
  )
)</f>
        <v>0</v>
      </c>
      <c r="W919" s="10">
        <f>SUM(
  SUMIFS(
    'Resource Summary'!$G:$G,
    'Resource Summary'!$A:$A,$D919,
    'Resource Summary'!$C:$C,W$146
  )
)</f>
        <v>0</v>
      </c>
      <c r="X919" s="10">
        <f>SUM(
  SUMIFS(
    'Resource Summary'!$G:$G,
    'Resource Summary'!$A:$A,$D919,
    'Resource Summary'!$C:$C,X$146
  )
)</f>
        <v>0</v>
      </c>
      <c r="Y919" s="10">
        <f>SUM(
  SUMIFS(
    'Resource Summary'!$G:$G,
    'Resource Summary'!$A:$A,$D919,
    'Resource Summary'!$C:$C,Y$146
  )
)</f>
        <v>0</v>
      </c>
      <c r="Z919" s="10">
        <f>SUM(
  SUMIFS(
    'Resource Summary'!$G:$G,
    'Resource Summary'!$A:$A,$D919,
    'Resource Summary'!$C:$C,Z$146
  )
)</f>
        <v>0</v>
      </c>
      <c r="AA919" s="10">
        <f>SUM(
  SUMIFS(
    'Resource Summary'!$G:$G,
    'Resource Summary'!$A:$A,$D919,
    'Resource Summary'!$C:$C,AA$146
  )
)</f>
        <v>0</v>
      </c>
      <c r="AB919" s="10">
        <f>SUM(
  SUMIFS(
    'Resource Summary'!$G:$G,
    'Resource Summary'!$A:$A,$D919,
    'Resource Summary'!$C:$C,AB$146
  )
)</f>
        <v>0</v>
      </c>
      <c r="AC919" s="10">
        <f>SUM(
  SUMIFS(
    'Resource Summary'!$G:$G,
    'Resource Summary'!$A:$A,$D919,
    'Resource Summary'!$C:$C,AC$146
  )
)</f>
        <v>0</v>
      </c>
      <c r="AD919" s="10">
        <f>SUM(
  SUMIFS(
    'Resource Summary'!$G:$G,
    'Resource Summary'!$A:$A,$D919,
    'Resource Summary'!$C:$C,AD$146
  )
)</f>
        <v>31</v>
      </c>
      <c r="AH919" s="34" t="s">
        <v>422</v>
      </c>
    </row>
    <row r="920" spans="3:34" outlineLevel="1" x14ac:dyDescent="0.2">
      <c r="C920" s="8" t="s">
        <v>119</v>
      </c>
      <c r="D920" s="8" t="s">
        <v>63</v>
      </c>
      <c r="E920" s="10">
        <f>SUM(
  SUMIFS(
    'Resource Summary'!$G:$G,
    'Resource Summary'!$A:$A,$D920,
    'Resource Summary'!$C:$C,E$146
  )
)</f>
        <v>0</v>
      </c>
      <c r="F920" s="10">
        <f>SUM(
  SUMIFS(
    'Resource Summary'!$G:$G,
    'Resource Summary'!$A:$A,$D920,
    'Resource Summary'!$C:$C,F$146
  )
)</f>
        <v>0</v>
      </c>
      <c r="G920" s="10">
        <f>SUM(
  SUMIFS(
    'Resource Summary'!$G:$G,
    'Resource Summary'!$A:$A,$D920,
    'Resource Summary'!$C:$C,G$146
  )
)</f>
        <v>0</v>
      </c>
      <c r="H920" s="10">
        <f>SUM(
  SUMIFS(
    'Resource Summary'!$G:$G,
    'Resource Summary'!$A:$A,$D920,
    'Resource Summary'!$C:$C,H$146
  )
)</f>
        <v>0</v>
      </c>
      <c r="I920" s="10">
        <f>SUM(
  SUMIFS(
    'Resource Summary'!$G:$G,
    'Resource Summary'!$A:$A,$D920,
    'Resource Summary'!$C:$C,I$146
  )
)</f>
        <v>0</v>
      </c>
      <c r="J920" s="10">
        <f>SUM(
  SUMIFS(
    'Resource Summary'!$G:$G,
    'Resource Summary'!$A:$A,$D920,
    'Resource Summary'!$C:$C,J$146
  )
)</f>
        <v>0</v>
      </c>
      <c r="K920" s="10">
        <f>SUM(
  SUMIFS(
    'Resource Summary'!$G:$G,
    'Resource Summary'!$A:$A,$D920,
    'Resource Summary'!$C:$C,K$146
  )
)</f>
        <v>0</v>
      </c>
      <c r="L920" s="10">
        <f>SUM(
  SUMIFS(
    'Resource Summary'!$G:$G,
    'Resource Summary'!$A:$A,$D920,
    'Resource Summary'!$C:$C,L$146
  )
)</f>
        <v>0</v>
      </c>
      <c r="M920" s="10">
        <f>SUM(
  SUMIFS(
    'Resource Summary'!$G:$G,
    'Resource Summary'!$A:$A,$D920,
    'Resource Summary'!$C:$C,M$146
  )
)</f>
        <v>0</v>
      </c>
      <c r="N920" s="10">
        <f>SUM(
  SUMIFS(
    'Resource Summary'!$G:$G,
    'Resource Summary'!$A:$A,$D920,
    'Resource Summary'!$C:$C,N$146
  )
)</f>
        <v>0</v>
      </c>
      <c r="O920" s="10">
        <f>SUM(
  SUMIFS(
    'Resource Summary'!$G:$G,
    'Resource Summary'!$A:$A,$D920,
    'Resource Summary'!$C:$C,O$146
  )
)</f>
        <v>0</v>
      </c>
      <c r="P920" s="10">
        <f>SUM(
  SUMIFS(
    'Resource Summary'!$G:$G,
    'Resource Summary'!$A:$A,$D920,
    'Resource Summary'!$C:$C,P$146
  )
)</f>
        <v>0</v>
      </c>
      <c r="Q920" s="10">
        <f>SUM(
  SUMIFS(
    'Resource Summary'!$G:$G,
    'Resource Summary'!$A:$A,$D920,
    'Resource Summary'!$C:$C,Q$146
  )
)</f>
        <v>0</v>
      </c>
      <c r="R920" s="10">
        <f>SUM(
  SUMIFS(
    'Resource Summary'!$G:$G,
    'Resource Summary'!$A:$A,$D920,
    'Resource Summary'!$C:$C,R$146
  )
)</f>
        <v>0</v>
      </c>
      <c r="S920" s="10">
        <f>SUM(
  SUMIFS(
    'Resource Summary'!$G:$G,
    'Resource Summary'!$A:$A,$D920,
    'Resource Summary'!$C:$C,S$146
  )
)</f>
        <v>0</v>
      </c>
      <c r="T920" s="10">
        <f>SUM(
  SUMIFS(
    'Resource Summary'!$G:$G,
    'Resource Summary'!$A:$A,$D920,
    'Resource Summary'!$C:$C,T$146
  )
)</f>
        <v>0</v>
      </c>
      <c r="U920" s="10">
        <f>SUM(
  SUMIFS(
    'Resource Summary'!$G:$G,
    'Resource Summary'!$A:$A,$D920,
    'Resource Summary'!$C:$C,U$146
  )
)</f>
        <v>0</v>
      </c>
      <c r="V920" s="10">
        <f>SUM(
  SUMIFS(
    'Resource Summary'!$G:$G,
    'Resource Summary'!$A:$A,$D920,
    'Resource Summary'!$C:$C,V$146
  )
)</f>
        <v>0</v>
      </c>
      <c r="W920" s="10">
        <f>SUM(
  SUMIFS(
    'Resource Summary'!$G:$G,
    'Resource Summary'!$A:$A,$D920,
    'Resource Summary'!$C:$C,W$146
  )
)</f>
        <v>0</v>
      </c>
      <c r="X920" s="10">
        <f>SUM(
  SUMIFS(
    'Resource Summary'!$G:$G,
    'Resource Summary'!$A:$A,$D920,
    'Resource Summary'!$C:$C,X$146
  )
)</f>
        <v>0</v>
      </c>
      <c r="Y920" s="10">
        <f>SUM(
  SUMIFS(
    'Resource Summary'!$G:$G,
    'Resource Summary'!$A:$A,$D920,
    'Resource Summary'!$C:$C,Y$146
  )
)</f>
        <v>0</v>
      </c>
      <c r="Z920" s="10">
        <f>SUM(
  SUMIFS(
    'Resource Summary'!$G:$G,
    'Resource Summary'!$A:$A,$D920,
    'Resource Summary'!$C:$C,Z$146
  )
)</f>
        <v>0</v>
      </c>
      <c r="AA920" s="10">
        <f>SUM(
  SUMIFS(
    'Resource Summary'!$G:$G,
    'Resource Summary'!$A:$A,$D920,
    'Resource Summary'!$C:$C,AA$146
  )
)</f>
        <v>0</v>
      </c>
      <c r="AB920" s="10">
        <f>SUM(
  SUMIFS(
    'Resource Summary'!$G:$G,
    'Resource Summary'!$A:$A,$D920,
    'Resource Summary'!$C:$C,AB$146
  )
)</f>
        <v>0</v>
      </c>
      <c r="AC920" s="10">
        <f>SUM(
  SUMIFS(
    'Resource Summary'!$G:$G,
    'Resource Summary'!$A:$A,$D920,
    'Resource Summary'!$C:$C,AC$146
  )
)</f>
        <v>0</v>
      </c>
      <c r="AD920" s="10">
        <f>SUM(
  SUMIFS(
    'Resource Summary'!$G:$G,
    'Resource Summary'!$A:$A,$D920,
    'Resource Summary'!$C:$C,AD$146
  )
)</f>
        <v>0</v>
      </c>
      <c r="AH920" s="34" t="s">
        <v>422</v>
      </c>
    </row>
    <row r="921" spans="3:34" outlineLevel="1" x14ac:dyDescent="0.2">
      <c r="C921" s="8" t="s">
        <v>119</v>
      </c>
      <c r="D921" s="8" t="s">
        <v>70</v>
      </c>
      <c r="E921" s="10">
        <f>SUM(
  SUMIFS(
    'Resource Summary'!$G:$G,
    'Resource Summary'!$A:$A,$D921,
    'Resource Summary'!$C:$C,E$146
  )
)</f>
        <v>0</v>
      </c>
      <c r="F921" s="10">
        <f>SUM(
  SUMIFS(
    'Resource Summary'!$G:$G,
    'Resource Summary'!$A:$A,$D921,
    'Resource Summary'!$C:$C,F$146
  )
)</f>
        <v>0</v>
      </c>
      <c r="G921" s="10">
        <f>SUM(
  SUMIFS(
    'Resource Summary'!$G:$G,
    'Resource Summary'!$A:$A,$D921,
    'Resource Summary'!$C:$C,G$146
  )
)</f>
        <v>0</v>
      </c>
      <c r="H921" s="10">
        <f>SUM(
  SUMIFS(
    'Resource Summary'!$G:$G,
    'Resource Summary'!$A:$A,$D921,
    'Resource Summary'!$C:$C,H$146
  )
)</f>
        <v>0</v>
      </c>
      <c r="I921" s="10">
        <f>SUM(
  SUMIFS(
    'Resource Summary'!$G:$G,
    'Resource Summary'!$A:$A,$D921,
    'Resource Summary'!$C:$C,I$146
  )
)</f>
        <v>0</v>
      </c>
      <c r="J921" s="10">
        <f>SUM(
  SUMIFS(
    'Resource Summary'!$G:$G,
    'Resource Summary'!$A:$A,$D921,
    'Resource Summary'!$C:$C,J$146
  )
)</f>
        <v>0</v>
      </c>
      <c r="K921" s="10">
        <f>SUM(
  SUMIFS(
    'Resource Summary'!$G:$G,
    'Resource Summary'!$A:$A,$D921,
    'Resource Summary'!$C:$C,K$146
  )
)</f>
        <v>0</v>
      </c>
      <c r="L921" s="10">
        <f>SUM(
  SUMIFS(
    'Resource Summary'!$G:$G,
    'Resource Summary'!$A:$A,$D921,
    'Resource Summary'!$C:$C,L$146
  )
)</f>
        <v>0</v>
      </c>
      <c r="M921" s="10">
        <f>SUM(
  SUMIFS(
    'Resource Summary'!$G:$G,
    'Resource Summary'!$A:$A,$D921,
    'Resource Summary'!$C:$C,M$146
  )
)</f>
        <v>0</v>
      </c>
      <c r="N921" s="10">
        <f>SUM(
  SUMIFS(
    'Resource Summary'!$G:$G,
    'Resource Summary'!$A:$A,$D921,
    'Resource Summary'!$C:$C,N$146
  )
)</f>
        <v>0</v>
      </c>
      <c r="O921" s="10">
        <f>SUM(
  SUMIFS(
    'Resource Summary'!$G:$G,
    'Resource Summary'!$A:$A,$D921,
    'Resource Summary'!$C:$C,O$146
  )
)</f>
        <v>0</v>
      </c>
      <c r="P921" s="10">
        <f>SUM(
  SUMIFS(
    'Resource Summary'!$G:$G,
    'Resource Summary'!$A:$A,$D921,
    'Resource Summary'!$C:$C,P$146
  )
)</f>
        <v>0</v>
      </c>
      <c r="Q921" s="10">
        <f>SUM(
  SUMIFS(
    'Resource Summary'!$G:$G,
    'Resource Summary'!$A:$A,$D921,
    'Resource Summary'!$C:$C,Q$146
  )
)</f>
        <v>0</v>
      </c>
      <c r="R921" s="10">
        <f>SUM(
  SUMIFS(
    'Resource Summary'!$G:$G,
    'Resource Summary'!$A:$A,$D921,
    'Resource Summary'!$C:$C,R$146
  )
)</f>
        <v>0</v>
      </c>
      <c r="S921" s="10">
        <f>SUM(
  SUMIFS(
    'Resource Summary'!$G:$G,
    'Resource Summary'!$A:$A,$D921,
    'Resource Summary'!$C:$C,S$146
  )
)</f>
        <v>0</v>
      </c>
      <c r="T921" s="10">
        <f>SUM(
  SUMIFS(
    'Resource Summary'!$G:$G,
    'Resource Summary'!$A:$A,$D921,
    'Resource Summary'!$C:$C,T$146
  )
)</f>
        <v>0</v>
      </c>
      <c r="U921" s="10">
        <f>SUM(
  SUMIFS(
    'Resource Summary'!$G:$G,
    'Resource Summary'!$A:$A,$D921,
    'Resource Summary'!$C:$C,U$146
  )
)</f>
        <v>0</v>
      </c>
      <c r="V921" s="10">
        <f>SUM(
  SUMIFS(
    'Resource Summary'!$G:$G,
    'Resource Summary'!$A:$A,$D921,
    'Resource Summary'!$C:$C,V$146
  )
)</f>
        <v>0</v>
      </c>
      <c r="W921" s="10">
        <f>SUM(
  SUMIFS(
    'Resource Summary'!$G:$G,
    'Resource Summary'!$A:$A,$D921,
    'Resource Summary'!$C:$C,W$146
  )
)</f>
        <v>0</v>
      </c>
      <c r="X921" s="10">
        <f>SUM(
  SUMIFS(
    'Resource Summary'!$G:$G,
    'Resource Summary'!$A:$A,$D921,
    'Resource Summary'!$C:$C,X$146
  )
)</f>
        <v>0</v>
      </c>
      <c r="Y921" s="10">
        <f>SUM(
  SUMIFS(
    'Resource Summary'!$G:$G,
    'Resource Summary'!$A:$A,$D921,
    'Resource Summary'!$C:$C,Y$146
  )
)</f>
        <v>0</v>
      </c>
      <c r="Z921" s="10">
        <f>SUM(
  SUMIFS(
    'Resource Summary'!$G:$G,
    'Resource Summary'!$A:$A,$D921,
    'Resource Summary'!$C:$C,Z$146
  )
)</f>
        <v>0</v>
      </c>
      <c r="AA921" s="10">
        <f>SUM(
  SUMIFS(
    'Resource Summary'!$G:$G,
    'Resource Summary'!$A:$A,$D921,
    'Resource Summary'!$C:$C,AA$146
  )
)</f>
        <v>0</v>
      </c>
      <c r="AB921" s="10">
        <f>SUM(
  SUMIFS(
    'Resource Summary'!$G:$G,
    'Resource Summary'!$A:$A,$D921,
    'Resource Summary'!$C:$C,AB$146
  )
)</f>
        <v>0</v>
      </c>
      <c r="AC921" s="10">
        <f>SUM(
  SUMIFS(
    'Resource Summary'!$G:$G,
    'Resource Summary'!$A:$A,$D921,
    'Resource Summary'!$C:$C,AC$146
  )
)</f>
        <v>0</v>
      </c>
      <c r="AD921" s="10">
        <f>SUM(
  SUMIFS(
    'Resource Summary'!$G:$G,
    'Resource Summary'!$A:$A,$D921,
    'Resource Summary'!$C:$C,AD$146
  )
)</f>
        <v>60</v>
      </c>
      <c r="AH921" s="34" t="s">
        <v>422</v>
      </c>
    </row>
    <row r="922" spans="3:34" outlineLevel="1" x14ac:dyDescent="0.2">
      <c r="C922" s="8" t="s">
        <v>119</v>
      </c>
      <c r="D922" s="8" t="s">
        <v>76</v>
      </c>
      <c r="E922" s="10">
        <f>SUM(
  SUMIFS(
    'Resource Summary'!$G:$G,
    'Resource Summary'!$A:$A,$D922,
    'Resource Summary'!$C:$C,E$146
  )
)</f>
        <v>0</v>
      </c>
      <c r="F922" s="10">
        <f>SUM(
  SUMIFS(
    'Resource Summary'!$G:$G,
    'Resource Summary'!$A:$A,$D922,
    'Resource Summary'!$C:$C,F$146
  )
)</f>
        <v>0</v>
      </c>
      <c r="G922" s="10">
        <f>SUM(
  SUMIFS(
    'Resource Summary'!$G:$G,
    'Resource Summary'!$A:$A,$D922,
    'Resource Summary'!$C:$C,G$146
  )
)</f>
        <v>0</v>
      </c>
      <c r="H922" s="10">
        <f>SUM(
  SUMIFS(
    'Resource Summary'!$G:$G,
    'Resource Summary'!$A:$A,$D922,
    'Resource Summary'!$C:$C,H$146
  )
)</f>
        <v>0</v>
      </c>
      <c r="I922" s="10">
        <f>SUM(
  SUMIFS(
    'Resource Summary'!$G:$G,
    'Resource Summary'!$A:$A,$D922,
    'Resource Summary'!$C:$C,I$146
  )
)</f>
        <v>0</v>
      </c>
      <c r="J922" s="10">
        <f>SUM(
  SUMIFS(
    'Resource Summary'!$G:$G,
    'Resource Summary'!$A:$A,$D922,
    'Resource Summary'!$C:$C,J$146
  )
)</f>
        <v>0</v>
      </c>
      <c r="K922" s="10">
        <f>SUM(
  SUMIFS(
    'Resource Summary'!$G:$G,
    'Resource Summary'!$A:$A,$D922,
    'Resource Summary'!$C:$C,K$146
  )
)</f>
        <v>0</v>
      </c>
      <c r="L922" s="10">
        <f>SUM(
  SUMIFS(
    'Resource Summary'!$G:$G,
    'Resource Summary'!$A:$A,$D922,
    'Resource Summary'!$C:$C,L$146
  )
)</f>
        <v>0</v>
      </c>
      <c r="M922" s="10">
        <f>SUM(
  SUMIFS(
    'Resource Summary'!$G:$G,
    'Resource Summary'!$A:$A,$D922,
    'Resource Summary'!$C:$C,M$146
  )
)</f>
        <v>0</v>
      </c>
      <c r="N922" s="10">
        <f>SUM(
  SUMIFS(
    'Resource Summary'!$G:$G,
    'Resource Summary'!$A:$A,$D922,
    'Resource Summary'!$C:$C,N$146
  )
)</f>
        <v>0</v>
      </c>
      <c r="O922" s="10">
        <f>SUM(
  SUMIFS(
    'Resource Summary'!$G:$G,
    'Resource Summary'!$A:$A,$D922,
    'Resource Summary'!$C:$C,O$146
  )
)</f>
        <v>0</v>
      </c>
      <c r="P922" s="10">
        <f>SUM(
  SUMIFS(
    'Resource Summary'!$G:$G,
    'Resource Summary'!$A:$A,$D922,
    'Resource Summary'!$C:$C,P$146
  )
)</f>
        <v>0</v>
      </c>
      <c r="Q922" s="10">
        <f>SUM(
  SUMIFS(
    'Resource Summary'!$G:$G,
    'Resource Summary'!$A:$A,$D922,
    'Resource Summary'!$C:$C,Q$146
  )
)</f>
        <v>0</v>
      </c>
      <c r="R922" s="10">
        <f>SUM(
  SUMIFS(
    'Resource Summary'!$G:$G,
    'Resource Summary'!$A:$A,$D922,
    'Resource Summary'!$C:$C,R$146
  )
)</f>
        <v>0</v>
      </c>
      <c r="S922" s="10">
        <f>SUM(
  SUMIFS(
    'Resource Summary'!$G:$G,
    'Resource Summary'!$A:$A,$D922,
    'Resource Summary'!$C:$C,S$146
  )
)</f>
        <v>0</v>
      </c>
      <c r="T922" s="10">
        <f>SUM(
  SUMIFS(
    'Resource Summary'!$G:$G,
    'Resource Summary'!$A:$A,$D922,
    'Resource Summary'!$C:$C,T$146
  )
)</f>
        <v>0</v>
      </c>
      <c r="U922" s="10">
        <f>SUM(
  SUMIFS(
    'Resource Summary'!$G:$G,
    'Resource Summary'!$A:$A,$D922,
    'Resource Summary'!$C:$C,U$146
  )
)</f>
        <v>0</v>
      </c>
      <c r="V922" s="10">
        <f>SUM(
  SUMIFS(
    'Resource Summary'!$G:$G,
    'Resource Summary'!$A:$A,$D922,
    'Resource Summary'!$C:$C,V$146
  )
)</f>
        <v>0</v>
      </c>
      <c r="W922" s="10">
        <f>SUM(
  SUMIFS(
    'Resource Summary'!$G:$G,
    'Resource Summary'!$A:$A,$D922,
    'Resource Summary'!$C:$C,W$146
  )
)</f>
        <v>0</v>
      </c>
      <c r="X922" s="10">
        <f>SUM(
  SUMIFS(
    'Resource Summary'!$G:$G,
    'Resource Summary'!$A:$A,$D922,
    'Resource Summary'!$C:$C,X$146
  )
)</f>
        <v>0</v>
      </c>
      <c r="Y922" s="10">
        <f>SUM(
  SUMIFS(
    'Resource Summary'!$G:$G,
    'Resource Summary'!$A:$A,$D922,
    'Resource Summary'!$C:$C,Y$146
  )
)</f>
        <v>0</v>
      </c>
      <c r="Z922" s="10">
        <f>SUM(
  SUMIFS(
    'Resource Summary'!$G:$G,
    'Resource Summary'!$A:$A,$D922,
    'Resource Summary'!$C:$C,Z$146
  )
)</f>
        <v>0</v>
      </c>
      <c r="AA922" s="10">
        <f>SUM(
  SUMIFS(
    'Resource Summary'!$G:$G,
    'Resource Summary'!$A:$A,$D922,
    'Resource Summary'!$C:$C,AA$146
  )
)</f>
        <v>0</v>
      </c>
      <c r="AB922" s="10">
        <f>SUM(
  SUMIFS(
    'Resource Summary'!$G:$G,
    'Resource Summary'!$A:$A,$D922,
    'Resource Summary'!$C:$C,AB$146
  )
)</f>
        <v>0</v>
      </c>
      <c r="AC922" s="10">
        <f>SUM(
  SUMIFS(
    'Resource Summary'!$G:$G,
    'Resource Summary'!$A:$A,$D922,
    'Resource Summary'!$C:$C,AC$146
  )
)</f>
        <v>0</v>
      </c>
      <c r="AD922" s="10">
        <f>SUM(
  SUMIFS(
    'Resource Summary'!$G:$G,
    'Resource Summary'!$A:$A,$D922,
    'Resource Summary'!$C:$C,AD$146
  )
)</f>
        <v>0</v>
      </c>
      <c r="AH922" s="34" t="s">
        <v>422</v>
      </c>
    </row>
    <row r="923" spans="3:34" outlineLevel="1" x14ac:dyDescent="0.2">
      <c r="C923" s="8" t="s">
        <v>119</v>
      </c>
      <c r="D923" s="8" t="s">
        <v>80</v>
      </c>
      <c r="E923" s="10">
        <f>SUM(
  SUMIFS(
    'Resource Summary'!$G:$G,
    'Resource Summary'!$A:$A,$D923,
    'Resource Summary'!$C:$C,E$146
  )
)</f>
        <v>0</v>
      </c>
      <c r="F923" s="10">
        <f>SUM(
  SUMIFS(
    'Resource Summary'!$G:$G,
    'Resource Summary'!$A:$A,$D923,
    'Resource Summary'!$C:$C,F$146
  )
)</f>
        <v>0</v>
      </c>
      <c r="G923" s="10">
        <f>SUM(
  SUMIFS(
    'Resource Summary'!$G:$G,
    'Resource Summary'!$A:$A,$D923,
    'Resource Summary'!$C:$C,G$146
  )
)</f>
        <v>0</v>
      </c>
      <c r="H923" s="10">
        <f>SUM(
  SUMIFS(
    'Resource Summary'!$G:$G,
    'Resource Summary'!$A:$A,$D923,
    'Resource Summary'!$C:$C,H$146
  )
)</f>
        <v>0</v>
      </c>
      <c r="I923" s="10">
        <f>SUM(
  SUMIFS(
    'Resource Summary'!$G:$G,
    'Resource Summary'!$A:$A,$D923,
    'Resource Summary'!$C:$C,I$146
  )
)</f>
        <v>0</v>
      </c>
      <c r="J923" s="10">
        <f>SUM(
  SUMIFS(
    'Resource Summary'!$G:$G,
    'Resource Summary'!$A:$A,$D923,
    'Resource Summary'!$C:$C,J$146
  )
)</f>
        <v>0</v>
      </c>
      <c r="K923" s="10">
        <f>SUM(
  SUMIFS(
    'Resource Summary'!$G:$G,
    'Resource Summary'!$A:$A,$D923,
    'Resource Summary'!$C:$C,K$146
  )
)</f>
        <v>0</v>
      </c>
      <c r="L923" s="10">
        <f>SUM(
  SUMIFS(
    'Resource Summary'!$G:$G,
    'Resource Summary'!$A:$A,$D923,
    'Resource Summary'!$C:$C,L$146
  )
)</f>
        <v>0</v>
      </c>
      <c r="M923" s="10">
        <f>SUM(
  SUMIFS(
    'Resource Summary'!$G:$G,
    'Resource Summary'!$A:$A,$D923,
    'Resource Summary'!$C:$C,M$146
  )
)</f>
        <v>0</v>
      </c>
      <c r="N923" s="10">
        <f>SUM(
  SUMIFS(
    'Resource Summary'!$G:$G,
    'Resource Summary'!$A:$A,$D923,
    'Resource Summary'!$C:$C,N$146
  )
)</f>
        <v>0</v>
      </c>
      <c r="O923" s="10">
        <f>SUM(
  SUMIFS(
    'Resource Summary'!$G:$G,
    'Resource Summary'!$A:$A,$D923,
    'Resource Summary'!$C:$C,O$146
  )
)</f>
        <v>0</v>
      </c>
      <c r="P923" s="10">
        <f>SUM(
  SUMIFS(
    'Resource Summary'!$G:$G,
    'Resource Summary'!$A:$A,$D923,
    'Resource Summary'!$C:$C,P$146
  )
)</f>
        <v>0</v>
      </c>
      <c r="Q923" s="10">
        <f>SUM(
  SUMIFS(
    'Resource Summary'!$G:$G,
    'Resource Summary'!$A:$A,$D923,
    'Resource Summary'!$C:$C,Q$146
  )
)</f>
        <v>0</v>
      </c>
      <c r="R923" s="10">
        <f>SUM(
  SUMIFS(
    'Resource Summary'!$G:$G,
    'Resource Summary'!$A:$A,$D923,
    'Resource Summary'!$C:$C,R$146
  )
)</f>
        <v>0</v>
      </c>
      <c r="S923" s="10">
        <f>SUM(
  SUMIFS(
    'Resource Summary'!$G:$G,
    'Resource Summary'!$A:$A,$D923,
    'Resource Summary'!$C:$C,S$146
  )
)</f>
        <v>0</v>
      </c>
      <c r="T923" s="10">
        <f>SUM(
  SUMIFS(
    'Resource Summary'!$G:$G,
    'Resource Summary'!$A:$A,$D923,
    'Resource Summary'!$C:$C,T$146
  )
)</f>
        <v>0</v>
      </c>
      <c r="U923" s="10">
        <f>SUM(
  SUMIFS(
    'Resource Summary'!$G:$G,
    'Resource Summary'!$A:$A,$D923,
    'Resource Summary'!$C:$C,U$146
  )
)</f>
        <v>0</v>
      </c>
      <c r="V923" s="10">
        <f>SUM(
  SUMIFS(
    'Resource Summary'!$G:$G,
    'Resource Summary'!$A:$A,$D923,
    'Resource Summary'!$C:$C,V$146
  )
)</f>
        <v>0</v>
      </c>
      <c r="W923" s="10">
        <f>SUM(
  SUMIFS(
    'Resource Summary'!$G:$G,
    'Resource Summary'!$A:$A,$D923,
    'Resource Summary'!$C:$C,W$146
  )
)</f>
        <v>0</v>
      </c>
      <c r="X923" s="10">
        <f>SUM(
  SUMIFS(
    'Resource Summary'!$G:$G,
    'Resource Summary'!$A:$A,$D923,
    'Resource Summary'!$C:$C,X$146
  )
)</f>
        <v>0</v>
      </c>
      <c r="Y923" s="10">
        <f>SUM(
  SUMIFS(
    'Resource Summary'!$G:$G,
    'Resource Summary'!$A:$A,$D923,
    'Resource Summary'!$C:$C,Y$146
  )
)</f>
        <v>0</v>
      </c>
      <c r="Z923" s="10">
        <f>SUM(
  SUMIFS(
    'Resource Summary'!$G:$G,
    'Resource Summary'!$A:$A,$D923,
    'Resource Summary'!$C:$C,Z$146
  )
)</f>
        <v>0</v>
      </c>
      <c r="AA923" s="10">
        <f>SUM(
  SUMIFS(
    'Resource Summary'!$G:$G,
    'Resource Summary'!$A:$A,$D923,
    'Resource Summary'!$C:$C,AA$146
  )
)</f>
        <v>0</v>
      </c>
      <c r="AB923" s="10">
        <f>SUM(
  SUMIFS(
    'Resource Summary'!$G:$G,
    'Resource Summary'!$A:$A,$D923,
    'Resource Summary'!$C:$C,AB$146
  )
)</f>
        <v>0</v>
      </c>
      <c r="AC923" s="10">
        <f>SUM(
  SUMIFS(
    'Resource Summary'!$G:$G,
    'Resource Summary'!$A:$A,$D923,
    'Resource Summary'!$C:$C,AC$146
  )
)</f>
        <v>0</v>
      </c>
      <c r="AD923" s="10">
        <f>SUM(
  SUMIFS(
    'Resource Summary'!$G:$G,
    'Resource Summary'!$A:$A,$D923,
    'Resource Summary'!$C:$C,AD$146
  )
)</f>
        <v>619.12499999999989</v>
      </c>
      <c r="AH923" s="34" t="s">
        <v>422</v>
      </c>
    </row>
    <row r="924" spans="3:34" outlineLevel="1" x14ac:dyDescent="0.2">
      <c r="C924" s="8" t="s">
        <v>119</v>
      </c>
      <c r="D924" s="8" t="s">
        <v>83</v>
      </c>
      <c r="E924" s="10">
        <f>SUM(
  SUMIFS(
    'Resource Summary'!$G:$G,
    'Resource Summary'!$A:$A,$D924,
    'Resource Summary'!$C:$C,E$146
  )
)</f>
        <v>0</v>
      </c>
      <c r="F924" s="10">
        <f>SUM(
  SUMIFS(
    'Resource Summary'!$G:$G,
    'Resource Summary'!$A:$A,$D924,
    'Resource Summary'!$C:$C,F$146
  )
)</f>
        <v>0</v>
      </c>
      <c r="G924" s="10">
        <f>SUM(
  SUMIFS(
    'Resource Summary'!$G:$G,
    'Resource Summary'!$A:$A,$D924,
    'Resource Summary'!$C:$C,G$146
  )
)</f>
        <v>0</v>
      </c>
      <c r="H924" s="10">
        <f>SUM(
  SUMIFS(
    'Resource Summary'!$G:$G,
    'Resource Summary'!$A:$A,$D924,
    'Resource Summary'!$C:$C,H$146
  )
)</f>
        <v>0</v>
      </c>
      <c r="I924" s="10">
        <f>SUM(
  SUMIFS(
    'Resource Summary'!$G:$G,
    'Resource Summary'!$A:$A,$D924,
    'Resource Summary'!$C:$C,I$146
  )
)</f>
        <v>0</v>
      </c>
      <c r="J924" s="10">
        <f>SUM(
  SUMIFS(
    'Resource Summary'!$G:$G,
    'Resource Summary'!$A:$A,$D924,
    'Resource Summary'!$C:$C,J$146
  )
)</f>
        <v>0</v>
      </c>
      <c r="K924" s="10">
        <f>SUM(
  SUMIFS(
    'Resource Summary'!$G:$G,
    'Resource Summary'!$A:$A,$D924,
    'Resource Summary'!$C:$C,K$146
  )
)</f>
        <v>0</v>
      </c>
      <c r="L924" s="10">
        <f>SUM(
  SUMIFS(
    'Resource Summary'!$G:$G,
    'Resource Summary'!$A:$A,$D924,
    'Resource Summary'!$C:$C,L$146
  )
)</f>
        <v>0</v>
      </c>
      <c r="M924" s="10">
        <f>SUM(
  SUMIFS(
    'Resource Summary'!$G:$G,
    'Resource Summary'!$A:$A,$D924,
    'Resource Summary'!$C:$C,M$146
  )
)</f>
        <v>0</v>
      </c>
      <c r="N924" s="10">
        <f>SUM(
  SUMIFS(
    'Resource Summary'!$G:$G,
    'Resource Summary'!$A:$A,$D924,
    'Resource Summary'!$C:$C,N$146
  )
)</f>
        <v>0</v>
      </c>
      <c r="O924" s="10">
        <f>SUM(
  SUMIFS(
    'Resource Summary'!$G:$G,
    'Resource Summary'!$A:$A,$D924,
    'Resource Summary'!$C:$C,O$146
  )
)</f>
        <v>0</v>
      </c>
      <c r="P924" s="10">
        <f>SUM(
  SUMIFS(
    'Resource Summary'!$G:$G,
    'Resource Summary'!$A:$A,$D924,
    'Resource Summary'!$C:$C,P$146
  )
)</f>
        <v>0</v>
      </c>
      <c r="Q924" s="10">
        <f>SUM(
  SUMIFS(
    'Resource Summary'!$G:$G,
    'Resource Summary'!$A:$A,$D924,
    'Resource Summary'!$C:$C,Q$146
  )
)</f>
        <v>0</v>
      </c>
      <c r="R924" s="10">
        <f>SUM(
  SUMIFS(
    'Resource Summary'!$G:$G,
    'Resource Summary'!$A:$A,$D924,
    'Resource Summary'!$C:$C,R$146
  )
)</f>
        <v>0</v>
      </c>
      <c r="S924" s="10">
        <f>SUM(
  SUMIFS(
    'Resource Summary'!$G:$G,
    'Resource Summary'!$A:$A,$D924,
    'Resource Summary'!$C:$C,S$146
  )
)</f>
        <v>0</v>
      </c>
      <c r="T924" s="10">
        <f>SUM(
  SUMIFS(
    'Resource Summary'!$G:$G,
    'Resource Summary'!$A:$A,$D924,
    'Resource Summary'!$C:$C,T$146
  )
)</f>
        <v>0</v>
      </c>
      <c r="U924" s="10">
        <f>SUM(
  SUMIFS(
    'Resource Summary'!$G:$G,
    'Resource Summary'!$A:$A,$D924,
    'Resource Summary'!$C:$C,U$146
  )
)</f>
        <v>0</v>
      </c>
      <c r="V924" s="10">
        <f>SUM(
  SUMIFS(
    'Resource Summary'!$G:$G,
    'Resource Summary'!$A:$A,$D924,
    'Resource Summary'!$C:$C,V$146
  )
)</f>
        <v>0</v>
      </c>
      <c r="W924" s="10">
        <f>SUM(
  SUMIFS(
    'Resource Summary'!$G:$G,
    'Resource Summary'!$A:$A,$D924,
    'Resource Summary'!$C:$C,W$146
  )
)</f>
        <v>0</v>
      </c>
      <c r="X924" s="10">
        <f>SUM(
  SUMIFS(
    'Resource Summary'!$G:$G,
    'Resource Summary'!$A:$A,$D924,
    'Resource Summary'!$C:$C,X$146
  )
)</f>
        <v>0</v>
      </c>
      <c r="Y924" s="10">
        <f>SUM(
  SUMIFS(
    'Resource Summary'!$G:$G,
    'Resource Summary'!$A:$A,$D924,
    'Resource Summary'!$C:$C,Y$146
  )
)</f>
        <v>0</v>
      </c>
      <c r="Z924" s="10">
        <f>SUM(
  SUMIFS(
    'Resource Summary'!$G:$G,
    'Resource Summary'!$A:$A,$D924,
    'Resource Summary'!$C:$C,Z$146
  )
)</f>
        <v>0</v>
      </c>
      <c r="AA924" s="10">
        <f>SUM(
  SUMIFS(
    'Resource Summary'!$G:$G,
    'Resource Summary'!$A:$A,$D924,
    'Resource Summary'!$C:$C,AA$146
  )
)</f>
        <v>0</v>
      </c>
      <c r="AB924" s="10">
        <f>SUM(
  SUMIFS(
    'Resource Summary'!$G:$G,
    'Resource Summary'!$A:$A,$D924,
    'Resource Summary'!$C:$C,AB$146
  )
)</f>
        <v>0</v>
      </c>
      <c r="AC924" s="10">
        <f>SUM(
  SUMIFS(
    'Resource Summary'!$G:$G,
    'Resource Summary'!$A:$A,$D924,
    'Resource Summary'!$C:$C,AC$146
  )
)</f>
        <v>0</v>
      </c>
      <c r="AD924" s="10">
        <f>SUM(
  SUMIFS(
    'Resource Summary'!$G:$G,
    'Resource Summary'!$A:$A,$D924,
    'Resource Summary'!$C:$C,AD$146
  )
)</f>
        <v>0</v>
      </c>
      <c r="AH924" s="34" t="s">
        <v>422</v>
      </c>
    </row>
    <row r="925" spans="3:34" outlineLevel="1" x14ac:dyDescent="0.2">
      <c r="C925" s="8" t="s">
        <v>119</v>
      </c>
      <c r="D925" s="8" t="s">
        <v>88</v>
      </c>
      <c r="E925" s="10">
        <f>SUM(
  SUMIFS(
    'Resource Summary'!$G:$G,
    'Resource Summary'!$A:$A,$D925,
    'Resource Summary'!$C:$C,E$146
  )
)</f>
        <v>0</v>
      </c>
      <c r="F925" s="10">
        <f>SUM(
  SUMIFS(
    'Resource Summary'!$G:$G,
    'Resource Summary'!$A:$A,$D925,
    'Resource Summary'!$C:$C,F$146
  )
)</f>
        <v>0</v>
      </c>
      <c r="G925" s="10">
        <f>SUM(
  SUMIFS(
    'Resource Summary'!$G:$G,
    'Resource Summary'!$A:$A,$D925,
    'Resource Summary'!$C:$C,G$146
  )
)</f>
        <v>0</v>
      </c>
      <c r="H925" s="10">
        <f>SUM(
  SUMIFS(
    'Resource Summary'!$G:$G,
    'Resource Summary'!$A:$A,$D925,
    'Resource Summary'!$C:$C,H$146
  )
)</f>
        <v>0</v>
      </c>
      <c r="I925" s="10">
        <f>SUM(
  SUMIFS(
    'Resource Summary'!$G:$G,
    'Resource Summary'!$A:$A,$D925,
    'Resource Summary'!$C:$C,I$146
  )
)</f>
        <v>0</v>
      </c>
      <c r="J925" s="10">
        <f>SUM(
  SUMIFS(
    'Resource Summary'!$G:$G,
    'Resource Summary'!$A:$A,$D925,
    'Resource Summary'!$C:$C,J$146
  )
)</f>
        <v>0</v>
      </c>
      <c r="K925" s="10">
        <f>SUM(
  SUMIFS(
    'Resource Summary'!$G:$G,
    'Resource Summary'!$A:$A,$D925,
    'Resource Summary'!$C:$C,K$146
  )
)</f>
        <v>0</v>
      </c>
      <c r="L925" s="10">
        <f>SUM(
  SUMIFS(
    'Resource Summary'!$G:$G,
    'Resource Summary'!$A:$A,$D925,
    'Resource Summary'!$C:$C,L$146
  )
)</f>
        <v>0</v>
      </c>
      <c r="M925" s="10">
        <f>SUM(
  SUMIFS(
    'Resource Summary'!$G:$G,
    'Resource Summary'!$A:$A,$D925,
    'Resource Summary'!$C:$C,M$146
  )
)</f>
        <v>0</v>
      </c>
      <c r="N925" s="10">
        <f>SUM(
  SUMIFS(
    'Resource Summary'!$G:$G,
    'Resource Summary'!$A:$A,$D925,
    'Resource Summary'!$C:$C,N$146
  )
)</f>
        <v>0</v>
      </c>
      <c r="O925" s="10">
        <f>SUM(
  SUMIFS(
    'Resource Summary'!$G:$G,
    'Resource Summary'!$A:$A,$D925,
    'Resource Summary'!$C:$C,O$146
  )
)</f>
        <v>0</v>
      </c>
      <c r="P925" s="10">
        <f>SUM(
  SUMIFS(
    'Resource Summary'!$G:$G,
    'Resource Summary'!$A:$A,$D925,
    'Resource Summary'!$C:$C,P$146
  )
)</f>
        <v>0</v>
      </c>
      <c r="Q925" s="10">
        <f>SUM(
  SUMIFS(
    'Resource Summary'!$G:$G,
    'Resource Summary'!$A:$A,$D925,
    'Resource Summary'!$C:$C,Q$146
  )
)</f>
        <v>0</v>
      </c>
      <c r="R925" s="10">
        <f>SUM(
  SUMIFS(
    'Resource Summary'!$G:$G,
    'Resource Summary'!$A:$A,$D925,
    'Resource Summary'!$C:$C,R$146
  )
)</f>
        <v>0</v>
      </c>
      <c r="S925" s="10">
        <f>SUM(
  SUMIFS(
    'Resource Summary'!$G:$G,
    'Resource Summary'!$A:$A,$D925,
    'Resource Summary'!$C:$C,S$146
  )
)</f>
        <v>0</v>
      </c>
      <c r="T925" s="10">
        <f>SUM(
  SUMIFS(
    'Resource Summary'!$G:$G,
    'Resource Summary'!$A:$A,$D925,
    'Resource Summary'!$C:$C,T$146
  )
)</f>
        <v>0</v>
      </c>
      <c r="U925" s="10">
        <f>SUM(
  SUMIFS(
    'Resource Summary'!$G:$G,
    'Resource Summary'!$A:$A,$D925,
    'Resource Summary'!$C:$C,U$146
  )
)</f>
        <v>0</v>
      </c>
      <c r="V925" s="10">
        <f>SUM(
  SUMIFS(
    'Resource Summary'!$G:$G,
    'Resource Summary'!$A:$A,$D925,
    'Resource Summary'!$C:$C,V$146
  )
)</f>
        <v>0</v>
      </c>
      <c r="W925" s="10">
        <f>SUM(
  SUMIFS(
    'Resource Summary'!$G:$G,
    'Resource Summary'!$A:$A,$D925,
    'Resource Summary'!$C:$C,W$146
  )
)</f>
        <v>0</v>
      </c>
      <c r="X925" s="10">
        <f>SUM(
  SUMIFS(
    'Resource Summary'!$G:$G,
    'Resource Summary'!$A:$A,$D925,
    'Resource Summary'!$C:$C,X$146
  )
)</f>
        <v>0</v>
      </c>
      <c r="Y925" s="10">
        <f>SUM(
  SUMIFS(
    'Resource Summary'!$G:$G,
    'Resource Summary'!$A:$A,$D925,
    'Resource Summary'!$C:$C,Y$146
  )
)</f>
        <v>0</v>
      </c>
      <c r="Z925" s="10">
        <f>SUM(
  SUMIFS(
    'Resource Summary'!$G:$G,
    'Resource Summary'!$A:$A,$D925,
    'Resource Summary'!$C:$C,Z$146
  )
)</f>
        <v>0</v>
      </c>
      <c r="AA925" s="10">
        <f>SUM(
  SUMIFS(
    'Resource Summary'!$G:$G,
    'Resource Summary'!$A:$A,$D925,
    'Resource Summary'!$C:$C,AA$146
  )
)</f>
        <v>0</v>
      </c>
      <c r="AB925" s="10">
        <f>SUM(
  SUMIFS(
    'Resource Summary'!$G:$G,
    'Resource Summary'!$A:$A,$D925,
    'Resource Summary'!$C:$C,AB$146
  )
)</f>
        <v>0</v>
      </c>
      <c r="AC925" s="10">
        <f>SUM(
  SUMIFS(
    'Resource Summary'!$G:$G,
    'Resource Summary'!$A:$A,$D925,
    'Resource Summary'!$C:$C,AC$146
  )
)</f>
        <v>0</v>
      </c>
      <c r="AD925" s="10">
        <f>SUM(
  SUMIFS(
    'Resource Summary'!$G:$G,
    'Resource Summary'!$A:$A,$D925,
    'Resource Summary'!$C:$C,AD$146
  )
)</f>
        <v>0</v>
      </c>
      <c r="AH925" s="34" t="s">
        <v>422</v>
      </c>
    </row>
    <row r="926" spans="3:34" outlineLevel="1" x14ac:dyDescent="0.2">
      <c r="C926" s="8" t="s">
        <v>119</v>
      </c>
      <c r="D926" s="8" t="s">
        <v>92</v>
      </c>
      <c r="E926" s="10">
        <f>SUM(
  SUMIFS(
    'Resource Summary'!$G:$G,
    'Resource Summary'!$A:$A,$D926,
    'Resource Summary'!$C:$C,E$146
  )
)</f>
        <v>0</v>
      </c>
      <c r="F926" s="10">
        <f>SUM(
  SUMIFS(
    'Resource Summary'!$G:$G,
    'Resource Summary'!$A:$A,$D926,
    'Resource Summary'!$C:$C,F$146
  )
)</f>
        <v>0</v>
      </c>
      <c r="G926" s="10">
        <f>SUM(
  SUMIFS(
    'Resource Summary'!$G:$G,
    'Resource Summary'!$A:$A,$D926,
    'Resource Summary'!$C:$C,G$146
  )
)</f>
        <v>0</v>
      </c>
      <c r="H926" s="10">
        <f>SUM(
  SUMIFS(
    'Resource Summary'!$G:$G,
    'Resource Summary'!$A:$A,$D926,
    'Resource Summary'!$C:$C,H$146
  )
)</f>
        <v>0</v>
      </c>
      <c r="I926" s="10">
        <f>SUM(
  SUMIFS(
    'Resource Summary'!$G:$G,
    'Resource Summary'!$A:$A,$D926,
    'Resource Summary'!$C:$C,I$146
  )
)</f>
        <v>0</v>
      </c>
      <c r="J926" s="10">
        <f>SUM(
  SUMIFS(
    'Resource Summary'!$G:$G,
    'Resource Summary'!$A:$A,$D926,
    'Resource Summary'!$C:$C,J$146
  )
)</f>
        <v>0</v>
      </c>
      <c r="K926" s="10">
        <f>SUM(
  SUMIFS(
    'Resource Summary'!$G:$G,
    'Resource Summary'!$A:$A,$D926,
    'Resource Summary'!$C:$C,K$146
  )
)</f>
        <v>0</v>
      </c>
      <c r="L926" s="10">
        <f>SUM(
  SUMIFS(
    'Resource Summary'!$G:$G,
    'Resource Summary'!$A:$A,$D926,
    'Resource Summary'!$C:$C,L$146
  )
)</f>
        <v>0</v>
      </c>
      <c r="M926" s="10">
        <f>SUM(
  SUMIFS(
    'Resource Summary'!$G:$G,
    'Resource Summary'!$A:$A,$D926,
    'Resource Summary'!$C:$C,M$146
  )
)</f>
        <v>0</v>
      </c>
      <c r="N926" s="10">
        <f>SUM(
  SUMIFS(
    'Resource Summary'!$G:$G,
    'Resource Summary'!$A:$A,$D926,
    'Resource Summary'!$C:$C,N$146
  )
)</f>
        <v>0</v>
      </c>
      <c r="O926" s="10">
        <f>SUM(
  SUMIFS(
    'Resource Summary'!$G:$G,
    'Resource Summary'!$A:$A,$D926,
    'Resource Summary'!$C:$C,O$146
  )
)</f>
        <v>0</v>
      </c>
      <c r="P926" s="10">
        <f>SUM(
  SUMIFS(
    'Resource Summary'!$G:$G,
    'Resource Summary'!$A:$A,$D926,
    'Resource Summary'!$C:$C,P$146
  )
)</f>
        <v>0</v>
      </c>
      <c r="Q926" s="10">
        <f>SUM(
  SUMIFS(
    'Resource Summary'!$G:$G,
    'Resource Summary'!$A:$A,$D926,
    'Resource Summary'!$C:$C,Q$146
  )
)</f>
        <v>0</v>
      </c>
      <c r="R926" s="10">
        <f>SUM(
  SUMIFS(
    'Resource Summary'!$G:$G,
    'Resource Summary'!$A:$A,$D926,
    'Resource Summary'!$C:$C,R$146
  )
)</f>
        <v>0</v>
      </c>
      <c r="S926" s="10">
        <f>SUM(
  SUMIFS(
    'Resource Summary'!$G:$G,
    'Resource Summary'!$A:$A,$D926,
    'Resource Summary'!$C:$C,S$146
  )
)</f>
        <v>0</v>
      </c>
      <c r="T926" s="10">
        <f>SUM(
  SUMIFS(
    'Resource Summary'!$G:$G,
    'Resource Summary'!$A:$A,$D926,
    'Resource Summary'!$C:$C,T$146
  )
)</f>
        <v>0</v>
      </c>
      <c r="U926" s="10">
        <f>SUM(
  SUMIFS(
    'Resource Summary'!$G:$G,
    'Resource Summary'!$A:$A,$D926,
    'Resource Summary'!$C:$C,U$146
  )
)</f>
        <v>0</v>
      </c>
      <c r="V926" s="10">
        <f>SUM(
  SUMIFS(
    'Resource Summary'!$G:$G,
    'Resource Summary'!$A:$A,$D926,
    'Resource Summary'!$C:$C,V$146
  )
)</f>
        <v>0</v>
      </c>
      <c r="W926" s="10">
        <f>SUM(
  SUMIFS(
    'Resource Summary'!$G:$G,
    'Resource Summary'!$A:$A,$D926,
    'Resource Summary'!$C:$C,W$146
  )
)</f>
        <v>0</v>
      </c>
      <c r="X926" s="10">
        <f>SUM(
  SUMIFS(
    'Resource Summary'!$G:$G,
    'Resource Summary'!$A:$A,$D926,
    'Resource Summary'!$C:$C,X$146
  )
)</f>
        <v>0</v>
      </c>
      <c r="Y926" s="10">
        <f>SUM(
  SUMIFS(
    'Resource Summary'!$G:$G,
    'Resource Summary'!$A:$A,$D926,
    'Resource Summary'!$C:$C,Y$146
  )
)</f>
        <v>0</v>
      </c>
      <c r="Z926" s="10">
        <f>SUM(
  SUMIFS(
    'Resource Summary'!$G:$G,
    'Resource Summary'!$A:$A,$D926,
    'Resource Summary'!$C:$C,Z$146
  )
)</f>
        <v>0</v>
      </c>
      <c r="AA926" s="10">
        <f>SUM(
  SUMIFS(
    'Resource Summary'!$G:$G,
    'Resource Summary'!$A:$A,$D926,
    'Resource Summary'!$C:$C,AA$146
  )
)</f>
        <v>0</v>
      </c>
      <c r="AB926" s="10">
        <f>SUM(
  SUMIFS(
    'Resource Summary'!$G:$G,
    'Resource Summary'!$A:$A,$D926,
    'Resource Summary'!$C:$C,AB$146
  )
)</f>
        <v>0</v>
      </c>
      <c r="AC926" s="10">
        <f>SUM(
  SUMIFS(
    'Resource Summary'!$G:$G,
    'Resource Summary'!$A:$A,$D926,
    'Resource Summary'!$C:$C,AC$146
  )
)</f>
        <v>0</v>
      </c>
      <c r="AD926" s="10">
        <f>SUM(
  SUMIFS(
    'Resource Summary'!$G:$G,
    'Resource Summary'!$A:$A,$D926,
    'Resource Summary'!$C:$C,AD$146
  )
)</f>
        <v>0</v>
      </c>
      <c r="AH926" s="34" t="s">
        <v>422</v>
      </c>
    </row>
    <row r="927" spans="3:34" outlineLevel="1" x14ac:dyDescent="0.2">
      <c r="C927" s="8" t="s">
        <v>119</v>
      </c>
      <c r="D927" s="8" t="s">
        <v>98</v>
      </c>
      <c r="E927" s="10">
        <f>SUM(
  SUMIFS(
    'Resource Summary'!$G:$G,
    'Resource Summary'!$A:$A,$D927,
    'Resource Summary'!$C:$C,E$146
  )
)</f>
        <v>0</v>
      </c>
      <c r="F927" s="10">
        <f>SUM(
  SUMIFS(
    'Resource Summary'!$G:$G,
    'Resource Summary'!$A:$A,$D927,
    'Resource Summary'!$C:$C,F$146
  )
)</f>
        <v>0</v>
      </c>
      <c r="G927" s="10">
        <f>SUM(
  SUMIFS(
    'Resource Summary'!$G:$G,
    'Resource Summary'!$A:$A,$D927,
    'Resource Summary'!$C:$C,G$146
  )
)</f>
        <v>0</v>
      </c>
      <c r="H927" s="10">
        <f>SUM(
  SUMIFS(
    'Resource Summary'!$G:$G,
    'Resource Summary'!$A:$A,$D927,
    'Resource Summary'!$C:$C,H$146
  )
)</f>
        <v>0</v>
      </c>
      <c r="I927" s="10">
        <f>SUM(
  SUMIFS(
    'Resource Summary'!$G:$G,
    'Resource Summary'!$A:$A,$D927,
    'Resource Summary'!$C:$C,I$146
  )
)</f>
        <v>0</v>
      </c>
      <c r="J927" s="10">
        <f>SUM(
  SUMIFS(
    'Resource Summary'!$G:$G,
    'Resource Summary'!$A:$A,$D927,
    'Resource Summary'!$C:$C,J$146
  )
)</f>
        <v>0</v>
      </c>
      <c r="K927" s="10">
        <f>SUM(
  SUMIFS(
    'Resource Summary'!$G:$G,
    'Resource Summary'!$A:$A,$D927,
    'Resource Summary'!$C:$C,K$146
  )
)</f>
        <v>0</v>
      </c>
      <c r="L927" s="10">
        <f>SUM(
  SUMIFS(
    'Resource Summary'!$G:$G,
    'Resource Summary'!$A:$A,$D927,
    'Resource Summary'!$C:$C,L$146
  )
)</f>
        <v>0</v>
      </c>
      <c r="M927" s="10">
        <f>SUM(
  SUMIFS(
    'Resource Summary'!$G:$G,
    'Resource Summary'!$A:$A,$D927,
    'Resource Summary'!$C:$C,M$146
  )
)</f>
        <v>0</v>
      </c>
      <c r="N927" s="10">
        <f>SUM(
  SUMIFS(
    'Resource Summary'!$G:$G,
    'Resource Summary'!$A:$A,$D927,
    'Resource Summary'!$C:$C,N$146
  )
)</f>
        <v>0</v>
      </c>
      <c r="O927" s="10">
        <f>SUM(
  SUMIFS(
    'Resource Summary'!$G:$G,
    'Resource Summary'!$A:$A,$D927,
    'Resource Summary'!$C:$C,O$146
  )
)</f>
        <v>0</v>
      </c>
      <c r="P927" s="10">
        <f>SUM(
  SUMIFS(
    'Resource Summary'!$G:$G,
    'Resource Summary'!$A:$A,$D927,
    'Resource Summary'!$C:$C,P$146
  )
)</f>
        <v>0</v>
      </c>
      <c r="Q927" s="10">
        <f>SUM(
  SUMIFS(
    'Resource Summary'!$G:$G,
    'Resource Summary'!$A:$A,$D927,
    'Resource Summary'!$C:$C,Q$146
  )
)</f>
        <v>0</v>
      </c>
      <c r="R927" s="10">
        <f>SUM(
  SUMIFS(
    'Resource Summary'!$G:$G,
    'Resource Summary'!$A:$A,$D927,
    'Resource Summary'!$C:$C,R$146
  )
)</f>
        <v>0</v>
      </c>
      <c r="S927" s="10">
        <f>SUM(
  SUMIFS(
    'Resource Summary'!$G:$G,
    'Resource Summary'!$A:$A,$D927,
    'Resource Summary'!$C:$C,S$146
  )
)</f>
        <v>0</v>
      </c>
      <c r="T927" s="10">
        <f>SUM(
  SUMIFS(
    'Resource Summary'!$G:$G,
    'Resource Summary'!$A:$A,$D927,
    'Resource Summary'!$C:$C,T$146
  )
)</f>
        <v>0</v>
      </c>
      <c r="U927" s="10">
        <f>SUM(
  SUMIFS(
    'Resource Summary'!$G:$G,
    'Resource Summary'!$A:$A,$D927,
    'Resource Summary'!$C:$C,U$146
  )
)</f>
        <v>0</v>
      </c>
      <c r="V927" s="10">
        <f>SUM(
  SUMIFS(
    'Resource Summary'!$G:$G,
    'Resource Summary'!$A:$A,$D927,
    'Resource Summary'!$C:$C,V$146
  )
)</f>
        <v>0</v>
      </c>
      <c r="W927" s="10">
        <f>SUM(
  SUMIFS(
    'Resource Summary'!$G:$G,
    'Resource Summary'!$A:$A,$D927,
    'Resource Summary'!$C:$C,W$146
  )
)</f>
        <v>0</v>
      </c>
      <c r="X927" s="10">
        <f>SUM(
  SUMIFS(
    'Resource Summary'!$G:$G,
    'Resource Summary'!$A:$A,$D927,
    'Resource Summary'!$C:$C,X$146
  )
)</f>
        <v>0</v>
      </c>
      <c r="Y927" s="10">
        <f>SUM(
  SUMIFS(
    'Resource Summary'!$G:$G,
    'Resource Summary'!$A:$A,$D927,
    'Resource Summary'!$C:$C,Y$146
  )
)</f>
        <v>0</v>
      </c>
      <c r="Z927" s="10">
        <f>SUM(
  SUMIFS(
    'Resource Summary'!$G:$G,
    'Resource Summary'!$A:$A,$D927,
    'Resource Summary'!$C:$C,Z$146
  )
)</f>
        <v>0</v>
      </c>
      <c r="AA927" s="10">
        <f>SUM(
  SUMIFS(
    'Resource Summary'!$G:$G,
    'Resource Summary'!$A:$A,$D927,
    'Resource Summary'!$C:$C,AA$146
  )
)</f>
        <v>0</v>
      </c>
      <c r="AB927" s="10">
        <f>SUM(
  SUMIFS(
    'Resource Summary'!$G:$G,
    'Resource Summary'!$A:$A,$D927,
    'Resource Summary'!$C:$C,AB$146
  )
)</f>
        <v>0</v>
      </c>
      <c r="AC927" s="10">
        <f>SUM(
  SUMIFS(
    'Resource Summary'!$G:$G,
    'Resource Summary'!$A:$A,$D927,
    'Resource Summary'!$C:$C,AC$146
  )
)</f>
        <v>0</v>
      </c>
      <c r="AD927" s="10">
        <f>SUM(
  SUMIFS(
    'Resource Summary'!$G:$G,
    'Resource Summary'!$A:$A,$D927,
    'Resource Summary'!$C:$C,AD$146
  )
)</f>
        <v>560</v>
      </c>
      <c r="AH927" s="34" t="s">
        <v>422</v>
      </c>
    </row>
    <row r="928" spans="3:34" outlineLevel="1" x14ac:dyDescent="0.2">
      <c r="C928" s="8" t="s">
        <v>119</v>
      </c>
      <c r="D928" s="8" t="s">
        <v>100</v>
      </c>
      <c r="E928" s="10">
        <f>SUM(
  SUMIFS(
    'Resource Summary'!$G:$G,
    'Resource Summary'!$A:$A,$D928,
    'Resource Summary'!$C:$C,E$146
  )
)</f>
        <v>0</v>
      </c>
      <c r="F928" s="10">
        <f>SUM(
  SUMIFS(
    'Resource Summary'!$G:$G,
    'Resource Summary'!$A:$A,$D928,
    'Resource Summary'!$C:$C,F$146
  )
)</f>
        <v>0</v>
      </c>
      <c r="G928" s="10">
        <f>SUM(
  SUMIFS(
    'Resource Summary'!$G:$G,
    'Resource Summary'!$A:$A,$D928,
    'Resource Summary'!$C:$C,G$146
  )
)</f>
        <v>0</v>
      </c>
      <c r="H928" s="10">
        <f>SUM(
  SUMIFS(
    'Resource Summary'!$G:$G,
    'Resource Summary'!$A:$A,$D928,
    'Resource Summary'!$C:$C,H$146
  )
)</f>
        <v>0</v>
      </c>
      <c r="I928" s="10">
        <f>SUM(
  SUMIFS(
    'Resource Summary'!$G:$G,
    'Resource Summary'!$A:$A,$D928,
    'Resource Summary'!$C:$C,I$146
  )
)</f>
        <v>0</v>
      </c>
      <c r="J928" s="10">
        <f>SUM(
  SUMIFS(
    'Resource Summary'!$G:$G,
    'Resource Summary'!$A:$A,$D928,
    'Resource Summary'!$C:$C,J$146
  )
)</f>
        <v>0</v>
      </c>
      <c r="K928" s="10">
        <f>SUM(
  SUMIFS(
    'Resource Summary'!$G:$G,
    'Resource Summary'!$A:$A,$D928,
    'Resource Summary'!$C:$C,K$146
  )
)</f>
        <v>0</v>
      </c>
      <c r="L928" s="10">
        <f>SUM(
  SUMIFS(
    'Resource Summary'!$G:$G,
    'Resource Summary'!$A:$A,$D928,
    'Resource Summary'!$C:$C,L$146
  )
)</f>
        <v>0</v>
      </c>
      <c r="M928" s="10">
        <f>SUM(
  SUMIFS(
    'Resource Summary'!$G:$G,
    'Resource Summary'!$A:$A,$D928,
    'Resource Summary'!$C:$C,M$146
  )
)</f>
        <v>0</v>
      </c>
      <c r="N928" s="10">
        <f>SUM(
  SUMIFS(
    'Resource Summary'!$G:$G,
    'Resource Summary'!$A:$A,$D928,
    'Resource Summary'!$C:$C,N$146
  )
)</f>
        <v>0</v>
      </c>
      <c r="O928" s="10">
        <f>SUM(
  SUMIFS(
    'Resource Summary'!$G:$G,
    'Resource Summary'!$A:$A,$D928,
    'Resource Summary'!$C:$C,O$146
  )
)</f>
        <v>0</v>
      </c>
      <c r="P928" s="10">
        <f>SUM(
  SUMIFS(
    'Resource Summary'!$G:$G,
    'Resource Summary'!$A:$A,$D928,
    'Resource Summary'!$C:$C,P$146
  )
)</f>
        <v>0</v>
      </c>
      <c r="Q928" s="10">
        <f>SUM(
  SUMIFS(
    'Resource Summary'!$G:$G,
    'Resource Summary'!$A:$A,$D928,
    'Resource Summary'!$C:$C,Q$146
  )
)</f>
        <v>0</v>
      </c>
      <c r="R928" s="10">
        <f>SUM(
  SUMIFS(
    'Resource Summary'!$G:$G,
    'Resource Summary'!$A:$A,$D928,
    'Resource Summary'!$C:$C,R$146
  )
)</f>
        <v>0</v>
      </c>
      <c r="S928" s="10">
        <f>SUM(
  SUMIFS(
    'Resource Summary'!$G:$G,
    'Resource Summary'!$A:$A,$D928,
    'Resource Summary'!$C:$C,S$146
  )
)</f>
        <v>0</v>
      </c>
      <c r="T928" s="10">
        <f>SUM(
  SUMIFS(
    'Resource Summary'!$G:$G,
    'Resource Summary'!$A:$A,$D928,
    'Resource Summary'!$C:$C,T$146
  )
)</f>
        <v>0</v>
      </c>
      <c r="U928" s="10">
        <f>SUM(
  SUMIFS(
    'Resource Summary'!$G:$G,
    'Resource Summary'!$A:$A,$D928,
    'Resource Summary'!$C:$C,U$146
  )
)</f>
        <v>0</v>
      </c>
      <c r="V928" s="10">
        <f>SUM(
  SUMIFS(
    'Resource Summary'!$G:$G,
    'Resource Summary'!$A:$A,$D928,
    'Resource Summary'!$C:$C,V$146
  )
)</f>
        <v>0</v>
      </c>
      <c r="W928" s="10">
        <f>SUM(
  SUMIFS(
    'Resource Summary'!$G:$G,
    'Resource Summary'!$A:$A,$D928,
    'Resource Summary'!$C:$C,W$146
  )
)</f>
        <v>0</v>
      </c>
      <c r="X928" s="10">
        <f>SUM(
  SUMIFS(
    'Resource Summary'!$G:$G,
    'Resource Summary'!$A:$A,$D928,
    'Resource Summary'!$C:$C,X$146
  )
)</f>
        <v>0</v>
      </c>
      <c r="Y928" s="10">
        <f>SUM(
  SUMIFS(
    'Resource Summary'!$G:$G,
    'Resource Summary'!$A:$A,$D928,
    'Resource Summary'!$C:$C,Y$146
  )
)</f>
        <v>0</v>
      </c>
      <c r="Z928" s="10">
        <f>SUM(
  SUMIFS(
    'Resource Summary'!$G:$G,
    'Resource Summary'!$A:$A,$D928,
    'Resource Summary'!$C:$C,Z$146
  )
)</f>
        <v>0</v>
      </c>
      <c r="AA928" s="10">
        <f>SUM(
  SUMIFS(
    'Resource Summary'!$G:$G,
    'Resource Summary'!$A:$A,$D928,
    'Resource Summary'!$C:$C,AA$146
  )
)</f>
        <v>0</v>
      </c>
      <c r="AB928" s="10">
        <f>SUM(
  SUMIFS(
    'Resource Summary'!$G:$G,
    'Resource Summary'!$A:$A,$D928,
    'Resource Summary'!$C:$C,AB$146
  )
)</f>
        <v>0</v>
      </c>
      <c r="AC928" s="10">
        <f>SUM(
  SUMIFS(
    'Resource Summary'!$G:$G,
    'Resource Summary'!$A:$A,$D928,
    'Resource Summary'!$C:$C,AC$146
  )
)</f>
        <v>0</v>
      </c>
      <c r="AD928" s="10">
        <f>SUM(
  SUMIFS(
    'Resource Summary'!$G:$G,
    'Resource Summary'!$A:$A,$D928,
    'Resource Summary'!$C:$C,AD$146
  )
)</f>
        <v>177</v>
      </c>
      <c r="AH928" s="34" t="s">
        <v>422</v>
      </c>
    </row>
    <row r="929" spans="3:34" outlineLevel="1" x14ac:dyDescent="0.2">
      <c r="C929" s="8" t="s">
        <v>119</v>
      </c>
      <c r="D929" s="8" t="s">
        <v>107</v>
      </c>
      <c r="E929" s="10">
        <f>SUM(
  SUMIFS(
    'Resource Summary'!$G:$G,
    'Resource Summary'!$A:$A,$D929,
    'Resource Summary'!$C:$C,E$146
  )
)</f>
        <v>0</v>
      </c>
      <c r="F929" s="10">
        <f>SUM(
  SUMIFS(
    'Resource Summary'!$G:$G,
    'Resource Summary'!$A:$A,$D929,
    'Resource Summary'!$C:$C,F$146
  )
)</f>
        <v>0</v>
      </c>
      <c r="G929" s="10">
        <f>SUM(
  SUMIFS(
    'Resource Summary'!$G:$G,
    'Resource Summary'!$A:$A,$D929,
    'Resource Summary'!$C:$C,G$146
  )
)</f>
        <v>0</v>
      </c>
      <c r="H929" s="10">
        <f>SUM(
  SUMIFS(
    'Resource Summary'!$G:$G,
    'Resource Summary'!$A:$A,$D929,
    'Resource Summary'!$C:$C,H$146
  )
)</f>
        <v>0</v>
      </c>
      <c r="I929" s="10">
        <f>SUM(
  SUMIFS(
    'Resource Summary'!$G:$G,
    'Resource Summary'!$A:$A,$D929,
    'Resource Summary'!$C:$C,I$146
  )
)</f>
        <v>0</v>
      </c>
      <c r="J929" s="10">
        <f>SUM(
  SUMIFS(
    'Resource Summary'!$G:$G,
    'Resource Summary'!$A:$A,$D929,
    'Resource Summary'!$C:$C,J$146
  )
)</f>
        <v>0</v>
      </c>
      <c r="K929" s="10">
        <f>SUM(
  SUMIFS(
    'Resource Summary'!$G:$G,
    'Resource Summary'!$A:$A,$D929,
    'Resource Summary'!$C:$C,K$146
  )
)</f>
        <v>0</v>
      </c>
      <c r="L929" s="10">
        <f>SUM(
  SUMIFS(
    'Resource Summary'!$G:$G,
    'Resource Summary'!$A:$A,$D929,
    'Resource Summary'!$C:$C,L$146
  )
)</f>
        <v>0</v>
      </c>
      <c r="M929" s="10">
        <f>SUM(
  SUMIFS(
    'Resource Summary'!$G:$G,
    'Resource Summary'!$A:$A,$D929,
    'Resource Summary'!$C:$C,M$146
  )
)</f>
        <v>0</v>
      </c>
      <c r="N929" s="10">
        <f>SUM(
  SUMIFS(
    'Resource Summary'!$G:$G,
    'Resource Summary'!$A:$A,$D929,
    'Resource Summary'!$C:$C,N$146
  )
)</f>
        <v>0</v>
      </c>
      <c r="O929" s="10">
        <f>SUM(
  SUMIFS(
    'Resource Summary'!$G:$G,
    'Resource Summary'!$A:$A,$D929,
    'Resource Summary'!$C:$C,O$146
  )
)</f>
        <v>0</v>
      </c>
      <c r="P929" s="10">
        <f>SUM(
  SUMIFS(
    'Resource Summary'!$G:$G,
    'Resource Summary'!$A:$A,$D929,
    'Resource Summary'!$C:$C,P$146
  )
)</f>
        <v>0</v>
      </c>
      <c r="Q929" s="10">
        <f>SUM(
  SUMIFS(
    'Resource Summary'!$G:$G,
    'Resource Summary'!$A:$A,$D929,
    'Resource Summary'!$C:$C,Q$146
  )
)</f>
        <v>0</v>
      </c>
      <c r="R929" s="10">
        <f>SUM(
  SUMIFS(
    'Resource Summary'!$G:$G,
    'Resource Summary'!$A:$A,$D929,
    'Resource Summary'!$C:$C,R$146
  )
)</f>
        <v>0</v>
      </c>
      <c r="S929" s="10">
        <f>SUM(
  SUMIFS(
    'Resource Summary'!$G:$G,
    'Resource Summary'!$A:$A,$D929,
    'Resource Summary'!$C:$C,S$146
  )
)</f>
        <v>0</v>
      </c>
      <c r="T929" s="10">
        <f>SUM(
  SUMIFS(
    'Resource Summary'!$G:$G,
    'Resource Summary'!$A:$A,$D929,
    'Resource Summary'!$C:$C,T$146
  )
)</f>
        <v>0</v>
      </c>
      <c r="U929" s="10">
        <f>SUM(
  SUMIFS(
    'Resource Summary'!$G:$G,
    'Resource Summary'!$A:$A,$D929,
    'Resource Summary'!$C:$C,U$146
  )
)</f>
        <v>0</v>
      </c>
      <c r="V929" s="10">
        <f>SUM(
  SUMIFS(
    'Resource Summary'!$G:$G,
    'Resource Summary'!$A:$A,$D929,
    'Resource Summary'!$C:$C,V$146
  )
)</f>
        <v>0</v>
      </c>
      <c r="W929" s="10">
        <f>SUM(
  SUMIFS(
    'Resource Summary'!$G:$G,
    'Resource Summary'!$A:$A,$D929,
    'Resource Summary'!$C:$C,W$146
  )
)</f>
        <v>0</v>
      </c>
      <c r="X929" s="10">
        <f>SUM(
  SUMIFS(
    'Resource Summary'!$G:$G,
    'Resource Summary'!$A:$A,$D929,
    'Resource Summary'!$C:$C,X$146
  )
)</f>
        <v>0</v>
      </c>
      <c r="Y929" s="10">
        <f>SUM(
  SUMIFS(
    'Resource Summary'!$G:$G,
    'Resource Summary'!$A:$A,$D929,
    'Resource Summary'!$C:$C,Y$146
  )
)</f>
        <v>0</v>
      </c>
      <c r="Z929" s="10">
        <f>SUM(
  SUMIFS(
    'Resource Summary'!$G:$G,
    'Resource Summary'!$A:$A,$D929,
    'Resource Summary'!$C:$C,Z$146
  )
)</f>
        <v>0</v>
      </c>
      <c r="AA929" s="10">
        <f>SUM(
  SUMIFS(
    'Resource Summary'!$G:$G,
    'Resource Summary'!$A:$A,$D929,
    'Resource Summary'!$C:$C,AA$146
  )
)</f>
        <v>0</v>
      </c>
      <c r="AB929" s="10">
        <f>SUM(
  SUMIFS(
    'Resource Summary'!$G:$G,
    'Resource Summary'!$A:$A,$D929,
    'Resource Summary'!$C:$C,AB$146
  )
)</f>
        <v>0</v>
      </c>
      <c r="AC929" s="10">
        <f>SUM(
  SUMIFS(
    'Resource Summary'!$G:$G,
    'Resource Summary'!$A:$A,$D929,
    'Resource Summary'!$C:$C,AC$146
  )
)</f>
        <v>0</v>
      </c>
      <c r="AD929" s="10">
        <f>SUM(
  SUMIFS(
    'Resource Summary'!$G:$G,
    'Resource Summary'!$A:$A,$D929,
    'Resource Summary'!$C:$C,AD$146
  )
)</f>
        <v>265</v>
      </c>
      <c r="AH929" s="34" t="s">
        <v>422</v>
      </c>
    </row>
    <row r="930" spans="3:34" outlineLevel="1" x14ac:dyDescent="0.2">
      <c r="C930" s="8" t="s">
        <v>119</v>
      </c>
      <c r="D930" s="8" t="s">
        <v>113</v>
      </c>
      <c r="E930" s="10">
        <f>SUM(
  SUMIFS(
    'Resource Summary'!$G:$G,
    'Resource Summary'!$A:$A,$D930,
    'Resource Summary'!$C:$C,E$146
  )
)</f>
        <v>0</v>
      </c>
      <c r="F930" s="10">
        <f>SUM(
  SUMIFS(
    'Resource Summary'!$G:$G,
    'Resource Summary'!$A:$A,$D930,
    'Resource Summary'!$C:$C,F$146
  )
)</f>
        <v>0</v>
      </c>
      <c r="G930" s="10">
        <f>SUM(
  SUMIFS(
    'Resource Summary'!$G:$G,
    'Resource Summary'!$A:$A,$D930,
    'Resource Summary'!$C:$C,G$146
  )
)</f>
        <v>0</v>
      </c>
      <c r="H930" s="10">
        <f>SUM(
  SUMIFS(
    'Resource Summary'!$G:$G,
    'Resource Summary'!$A:$A,$D930,
    'Resource Summary'!$C:$C,H$146
  )
)</f>
        <v>0</v>
      </c>
      <c r="I930" s="10">
        <f>SUM(
  SUMIFS(
    'Resource Summary'!$G:$G,
    'Resource Summary'!$A:$A,$D930,
    'Resource Summary'!$C:$C,I$146
  )
)</f>
        <v>0</v>
      </c>
      <c r="J930" s="10">
        <f>SUM(
  SUMIFS(
    'Resource Summary'!$G:$G,
    'Resource Summary'!$A:$A,$D930,
    'Resource Summary'!$C:$C,J$146
  )
)</f>
        <v>0</v>
      </c>
      <c r="K930" s="10">
        <f>SUM(
  SUMIFS(
    'Resource Summary'!$G:$G,
    'Resource Summary'!$A:$A,$D930,
    'Resource Summary'!$C:$C,K$146
  )
)</f>
        <v>0</v>
      </c>
      <c r="L930" s="10">
        <f>SUM(
  SUMIFS(
    'Resource Summary'!$G:$G,
    'Resource Summary'!$A:$A,$D930,
    'Resource Summary'!$C:$C,L$146
  )
)</f>
        <v>0</v>
      </c>
      <c r="M930" s="10">
        <f>SUM(
  SUMIFS(
    'Resource Summary'!$G:$G,
    'Resource Summary'!$A:$A,$D930,
    'Resource Summary'!$C:$C,M$146
  )
)</f>
        <v>0</v>
      </c>
      <c r="N930" s="10">
        <f>SUM(
  SUMIFS(
    'Resource Summary'!$G:$G,
    'Resource Summary'!$A:$A,$D930,
    'Resource Summary'!$C:$C,N$146
  )
)</f>
        <v>0</v>
      </c>
      <c r="O930" s="10">
        <f>SUM(
  SUMIFS(
    'Resource Summary'!$G:$G,
    'Resource Summary'!$A:$A,$D930,
    'Resource Summary'!$C:$C,O$146
  )
)</f>
        <v>0</v>
      </c>
      <c r="P930" s="10">
        <f>SUM(
  SUMIFS(
    'Resource Summary'!$G:$G,
    'Resource Summary'!$A:$A,$D930,
    'Resource Summary'!$C:$C,P$146
  )
)</f>
        <v>0</v>
      </c>
      <c r="Q930" s="10">
        <f>SUM(
  SUMIFS(
    'Resource Summary'!$G:$G,
    'Resource Summary'!$A:$A,$D930,
    'Resource Summary'!$C:$C,Q$146
  )
)</f>
        <v>0</v>
      </c>
      <c r="R930" s="10">
        <f>SUM(
  SUMIFS(
    'Resource Summary'!$G:$G,
    'Resource Summary'!$A:$A,$D930,
    'Resource Summary'!$C:$C,R$146
  )
)</f>
        <v>0</v>
      </c>
      <c r="S930" s="10">
        <f>SUM(
  SUMIFS(
    'Resource Summary'!$G:$G,
    'Resource Summary'!$A:$A,$D930,
    'Resource Summary'!$C:$C,S$146
  )
)</f>
        <v>0</v>
      </c>
      <c r="T930" s="10">
        <f>SUM(
  SUMIFS(
    'Resource Summary'!$G:$G,
    'Resource Summary'!$A:$A,$D930,
    'Resource Summary'!$C:$C,T$146
  )
)</f>
        <v>0</v>
      </c>
      <c r="U930" s="10">
        <f>SUM(
  SUMIFS(
    'Resource Summary'!$G:$G,
    'Resource Summary'!$A:$A,$D930,
    'Resource Summary'!$C:$C,U$146
  )
)</f>
        <v>0</v>
      </c>
      <c r="V930" s="10">
        <f>SUM(
  SUMIFS(
    'Resource Summary'!$G:$G,
    'Resource Summary'!$A:$A,$D930,
    'Resource Summary'!$C:$C,V$146
  )
)</f>
        <v>0</v>
      </c>
      <c r="W930" s="10">
        <f>SUM(
  SUMIFS(
    'Resource Summary'!$G:$G,
    'Resource Summary'!$A:$A,$D930,
    'Resource Summary'!$C:$C,W$146
  )
)</f>
        <v>0</v>
      </c>
      <c r="X930" s="10">
        <f>SUM(
  SUMIFS(
    'Resource Summary'!$G:$G,
    'Resource Summary'!$A:$A,$D930,
    'Resource Summary'!$C:$C,X$146
  )
)</f>
        <v>0</v>
      </c>
      <c r="Y930" s="10">
        <f>SUM(
  SUMIFS(
    'Resource Summary'!$G:$G,
    'Resource Summary'!$A:$A,$D930,
    'Resource Summary'!$C:$C,Y$146
  )
)</f>
        <v>0</v>
      </c>
      <c r="Z930" s="10">
        <f>SUM(
  SUMIFS(
    'Resource Summary'!$G:$G,
    'Resource Summary'!$A:$A,$D930,
    'Resource Summary'!$C:$C,Z$146
  )
)</f>
        <v>0</v>
      </c>
      <c r="AA930" s="10">
        <f>SUM(
  SUMIFS(
    'Resource Summary'!$G:$G,
    'Resource Summary'!$A:$A,$D930,
    'Resource Summary'!$C:$C,AA$146
  )
)</f>
        <v>0</v>
      </c>
      <c r="AB930" s="10">
        <f>SUM(
  SUMIFS(
    'Resource Summary'!$G:$G,
    'Resource Summary'!$A:$A,$D930,
    'Resource Summary'!$C:$C,AB$146
  )
)</f>
        <v>0</v>
      </c>
      <c r="AC930" s="10">
        <f>SUM(
  SUMIFS(
    'Resource Summary'!$G:$G,
    'Resource Summary'!$A:$A,$D930,
    'Resource Summary'!$C:$C,AC$146
  )
)</f>
        <v>0</v>
      </c>
      <c r="AD930" s="10">
        <f>SUM(
  SUMIFS(
    'Resource Summary'!$G:$G,
    'Resource Summary'!$A:$A,$D930,
    'Resource Summary'!$C:$C,AD$146
  )
)</f>
        <v>275</v>
      </c>
      <c r="AH930" s="34" t="s">
        <v>422</v>
      </c>
    </row>
    <row r="931" spans="3:34" outlineLevel="1" x14ac:dyDescent="0.2">
      <c r="C931" s="8" t="s">
        <v>119</v>
      </c>
      <c r="D931" s="8" t="s">
        <v>114</v>
      </c>
      <c r="E931" s="10">
        <f>SUM(
  SUMIFS(
    'Resource Summary'!$G:$G,
    'Resource Summary'!$A:$A,$D931,
    'Resource Summary'!$C:$C,E$146
  )
)</f>
        <v>0</v>
      </c>
      <c r="F931" s="10">
        <f>SUM(
  SUMIFS(
    'Resource Summary'!$G:$G,
    'Resource Summary'!$A:$A,$D931,
    'Resource Summary'!$C:$C,F$146
  )
)</f>
        <v>0</v>
      </c>
      <c r="G931" s="10">
        <f>SUM(
  SUMIFS(
    'Resource Summary'!$G:$G,
    'Resource Summary'!$A:$A,$D931,
    'Resource Summary'!$C:$C,G$146
  )
)</f>
        <v>0</v>
      </c>
      <c r="H931" s="10">
        <f>SUM(
  SUMIFS(
    'Resource Summary'!$G:$G,
    'Resource Summary'!$A:$A,$D931,
    'Resource Summary'!$C:$C,H$146
  )
)</f>
        <v>0</v>
      </c>
      <c r="I931" s="10">
        <f>SUM(
  SUMIFS(
    'Resource Summary'!$G:$G,
    'Resource Summary'!$A:$A,$D931,
    'Resource Summary'!$C:$C,I$146
  )
)</f>
        <v>0</v>
      </c>
      <c r="J931" s="10">
        <f>SUM(
  SUMIFS(
    'Resource Summary'!$G:$G,
    'Resource Summary'!$A:$A,$D931,
    'Resource Summary'!$C:$C,J$146
  )
)</f>
        <v>0</v>
      </c>
      <c r="K931" s="10">
        <f>SUM(
  SUMIFS(
    'Resource Summary'!$G:$G,
    'Resource Summary'!$A:$A,$D931,
    'Resource Summary'!$C:$C,K$146
  )
)</f>
        <v>0</v>
      </c>
      <c r="L931" s="10">
        <f>SUM(
  SUMIFS(
    'Resource Summary'!$G:$G,
    'Resource Summary'!$A:$A,$D931,
    'Resource Summary'!$C:$C,L$146
  )
)</f>
        <v>0</v>
      </c>
      <c r="M931" s="10">
        <f>SUM(
  SUMIFS(
    'Resource Summary'!$G:$G,
    'Resource Summary'!$A:$A,$D931,
    'Resource Summary'!$C:$C,M$146
  )
)</f>
        <v>0</v>
      </c>
      <c r="N931" s="10">
        <f>SUM(
  SUMIFS(
    'Resource Summary'!$G:$G,
    'Resource Summary'!$A:$A,$D931,
    'Resource Summary'!$C:$C,N$146
  )
)</f>
        <v>0</v>
      </c>
      <c r="O931" s="10">
        <f>SUM(
  SUMIFS(
    'Resource Summary'!$G:$G,
    'Resource Summary'!$A:$A,$D931,
    'Resource Summary'!$C:$C,O$146
  )
)</f>
        <v>0</v>
      </c>
      <c r="P931" s="10">
        <f>SUM(
  SUMIFS(
    'Resource Summary'!$G:$G,
    'Resource Summary'!$A:$A,$D931,
    'Resource Summary'!$C:$C,P$146
  )
)</f>
        <v>0</v>
      </c>
      <c r="Q931" s="10">
        <f>SUM(
  SUMIFS(
    'Resource Summary'!$G:$G,
    'Resource Summary'!$A:$A,$D931,
    'Resource Summary'!$C:$C,Q$146
  )
)</f>
        <v>0</v>
      </c>
      <c r="R931" s="10">
        <f>SUM(
  SUMIFS(
    'Resource Summary'!$G:$G,
    'Resource Summary'!$A:$A,$D931,
    'Resource Summary'!$C:$C,R$146
  )
)</f>
        <v>0</v>
      </c>
      <c r="S931" s="10">
        <f>SUM(
  SUMIFS(
    'Resource Summary'!$G:$G,
    'Resource Summary'!$A:$A,$D931,
    'Resource Summary'!$C:$C,S$146
  )
)</f>
        <v>0</v>
      </c>
      <c r="T931" s="10">
        <f>SUM(
  SUMIFS(
    'Resource Summary'!$G:$G,
    'Resource Summary'!$A:$A,$D931,
    'Resource Summary'!$C:$C,T$146
  )
)</f>
        <v>0</v>
      </c>
      <c r="U931" s="10">
        <f>SUM(
  SUMIFS(
    'Resource Summary'!$G:$G,
    'Resource Summary'!$A:$A,$D931,
    'Resource Summary'!$C:$C,U$146
  )
)</f>
        <v>0</v>
      </c>
      <c r="V931" s="10">
        <f>SUM(
  SUMIFS(
    'Resource Summary'!$G:$G,
    'Resource Summary'!$A:$A,$D931,
    'Resource Summary'!$C:$C,V$146
  )
)</f>
        <v>0</v>
      </c>
      <c r="W931" s="10">
        <f>SUM(
  SUMIFS(
    'Resource Summary'!$G:$G,
    'Resource Summary'!$A:$A,$D931,
    'Resource Summary'!$C:$C,W$146
  )
)</f>
        <v>0</v>
      </c>
      <c r="X931" s="10">
        <f>SUM(
  SUMIFS(
    'Resource Summary'!$G:$G,
    'Resource Summary'!$A:$A,$D931,
    'Resource Summary'!$C:$C,X$146
  )
)</f>
        <v>0</v>
      </c>
      <c r="Y931" s="10">
        <f>SUM(
  SUMIFS(
    'Resource Summary'!$G:$G,
    'Resource Summary'!$A:$A,$D931,
    'Resource Summary'!$C:$C,Y$146
  )
)</f>
        <v>0</v>
      </c>
      <c r="Z931" s="10">
        <f>SUM(
  SUMIFS(
    'Resource Summary'!$G:$G,
    'Resource Summary'!$A:$A,$D931,
    'Resource Summary'!$C:$C,Z$146
  )
)</f>
        <v>0</v>
      </c>
      <c r="AA931" s="10">
        <f>SUM(
  SUMIFS(
    'Resource Summary'!$G:$G,
    'Resource Summary'!$A:$A,$D931,
    'Resource Summary'!$C:$C,AA$146
  )
)</f>
        <v>0</v>
      </c>
      <c r="AB931" s="10">
        <f>SUM(
  SUMIFS(
    'Resource Summary'!$G:$G,
    'Resource Summary'!$A:$A,$D931,
    'Resource Summary'!$C:$C,AB$146
  )
)</f>
        <v>0</v>
      </c>
      <c r="AC931" s="10">
        <f>SUM(
  SUMIFS(
    'Resource Summary'!$G:$G,
    'Resource Summary'!$A:$A,$D931,
    'Resource Summary'!$C:$C,AC$146
  )
)</f>
        <v>0</v>
      </c>
      <c r="AD931" s="10">
        <f>SUM(
  SUMIFS(
    'Resource Summary'!$G:$G,
    'Resource Summary'!$A:$A,$D931,
    'Resource Summary'!$C:$C,AD$146
  )
)</f>
        <v>0</v>
      </c>
      <c r="AH931" s="34" t="s">
        <v>422</v>
      </c>
    </row>
    <row r="932" spans="3:34" outlineLevel="1" x14ac:dyDescent="0.2">
      <c r="C932" s="8" t="s">
        <v>119</v>
      </c>
      <c r="D932" s="8" t="s">
        <v>115</v>
      </c>
      <c r="E932" s="10">
        <f>SUM(
  SUMIFS(
    'Resource Summary'!$G:$G,
    'Resource Summary'!$A:$A,$D932,
    'Resource Summary'!$C:$C,E$146
  )
)</f>
        <v>0</v>
      </c>
      <c r="F932" s="10">
        <f>SUM(
  SUMIFS(
    'Resource Summary'!$G:$G,
    'Resource Summary'!$A:$A,$D932,
    'Resource Summary'!$C:$C,F$146
  )
)</f>
        <v>0</v>
      </c>
      <c r="G932" s="10">
        <f>SUM(
  SUMIFS(
    'Resource Summary'!$G:$G,
    'Resource Summary'!$A:$A,$D932,
    'Resource Summary'!$C:$C,G$146
  )
)</f>
        <v>0</v>
      </c>
      <c r="H932" s="10">
        <f>SUM(
  SUMIFS(
    'Resource Summary'!$G:$G,
    'Resource Summary'!$A:$A,$D932,
    'Resource Summary'!$C:$C,H$146
  )
)</f>
        <v>0</v>
      </c>
      <c r="I932" s="10">
        <f>SUM(
  SUMIFS(
    'Resource Summary'!$G:$G,
    'Resource Summary'!$A:$A,$D932,
    'Resource Summary'!$C:$C,I$146
  )
)</f>
        <v>0</v>
      </c>
      <c r="J932" s="10">
        <f>SUM(
  SUMIFS(
    'Resource Summary'!$G:$G,
    'Resource Summary'!$A:$A,$D932,
    'Resource Summary'!$C:$C,J$146
  )
)</f>
        <v>0</v>
      </c>
      <c r="K932" s="10">
        <f>SUM(
  SUMIFS(
    'Resource Summary'!$G:$G,
    'Resource Summary'!$A:$A,$D932,
    'Resource Summary'!$C:$C,K$146
  )
)</f>
        <v>0</v>
      </c>
      <c r="L932" s="10">
        <f>SUM(
  SUMIFS(
    'Resource Summary'!$G:$G,
    'Resource Summary'!$A:$A,$D932,
    'Resource Summary'!$C:$C,L$146
  )
)</f>
        <v>0</v>
      </c>
      <c r="M932" s="10">
        <f>SUM(
  SUMIFS(
    'Resource Summary'!$G:$G,
    'Resource Summary'!$A:$A,$D932,
    'Resource Summary'!$C:$C,M$146
  )
)</f>
        <v>0</v>
      </c>
      <c r="N932" s="10">
        <f>SUM(
  SUMIFS(
    'Resource Summary'!$G:$G,
    'Resource Summary'!$A:$A,$D932,
    'Resource Summary'!$C:$C,N$146
  )
)</f>
        <v>0</v>
      </c>
      <c r="O932" s="10">
        <f>SUM(
  SUMIFS(
    'Resource Summary'!$G:$G,
    'Resource Summary'!$A:$A,$D932,
    'Resource Summary'!$C:$C,O$146
  )
)</f>
        <v>0</v>
      </c>
      <c r="P932" s="10">
        <f>SUM(
  SUMIFS(
    'Resource Summary'!$G:$G,
    'Resource Summary'!$A:$A,$D932,
    'Resource Summary'!$C:$C,P$146
  )
)</f>
        <v>0</v>
      </c>
      <c r="Q932" s="10">
        <f>SUM(
  SUMIFS(
    'Resource Summary'!$G:$G,
    'Resource Summary'!$A:$A,$D932,
    'Resource Summary'!$C:$C,Q$146
  )
)</f>
        <v>0</v>
      </c>
      <c r="R932" s="10">
        <f>SUM(
  SUMIFS(
    'Resource Summary'!$G:$G,
    'Resource Summary'!$A:$A,$D932,
    'Resource Summary'!$C:$C,R$146
  )
)</f>
        <v>0</v>
      </c>
      <c r="S932" s="10">
        <f>SUM(
  SUMIFS(
    'Resource Summary'!$G:$G,
    'Resource Summary'!$A:$A,$D932,
    'Resource Summary'!$C:$C,S$146
  )
)</f>
        <v>0</v>
      </c>
      <c r="T932" s="10">
        <f>SUM(
  SUMIFS(
    'Resource Summary'!$G:$G,
    'Resource Summary'!$A:$A,$D932,
    'Resource Summary'!$C:$C,T$146
  )
)</f>
        <v>0</v>
      </c>
      <c r="U932" s="10">
        <f>SUM(
  SUMIFS(
    'Resource Summary'!$G:$G,
    'Resource Summary'!$A:$A,$D932,
    'Resource Summary'!$C:$C,U$146
  )
)</f>
        <v>0</v>
      </c>
      <c r="V932" s="10">
        <f>SUM(
  SUMIFS(
    'Resource Summary'!$G:$G,
    'Resource Summary'!$A:$A,$D932,
    'Resource Summary'!$C:$C,V$146
  )
)</f>
        <v>0</v>
      </c>
      <c r="W932" s="10">
        <f>SUM(
  SUMIFS(
    'Resource Summary'!$G:$G,
    'Resource Summary'!$A:$A,$D932,
    'Resource Summary'!$C:$C,W$146
  )
)</f>
        <v>0</v>
      </c>
      <c r="X932" s="10">
        <f>SUM(
  SUMIFS(
    'Resource Summary'!$G:$G,
    'Resource Summary'!$A:$A,$D932,
    'Resource Summary'!$C:$C,X$146
  )
)</f>
        <v>0</v>
      </c>
      <c r="Y932" s="10">
        <f>SUM(
  SUMIFS(
    'Resource Summary'!$G:$G,
    'Resource Summary'!$A:$A,$D932,
    'Resource Summary'!$C:$C,Y$146
  )
)</f>
        <v>0</v>
      </c>
      <c r="Z932" s="10">
        <f>SUM(
  SUMIFS(
    'Resource Summary'!$G:$G,
    'Resource Summary'!$A:$A,$D932,
    'Resource Summary'!$C:$C,Z$146
  )
)</f>
        <v>0</v>
      </c>
      <c r="AA932" s="10">
        <f>SUM(
  SUMIFS(
    'Resource Summary'!$G:$G,
    'Resource Summary'!$A:$A,$D932,
    'Resource Summary'!$C:$C,AA$146
  )
)</f>
        <v>0</v>
      </c>
      <c r="AB932" s="10">
        <f>SUM(
  SUMIFS(
    'Resource Summary'!$G:$G,
    'Resource Summary'!$A:$A,$D932,
    'Resource Summary'!$C:$C,AB$146
  )
)</f>
        <v>0</v>
      </c>
      <c r="AC932" s="10">
        <f>SUM(
  SUMIFS(
    'Resource Summary'!$G:$G,
    'Resource Summary'!$A:$A,$D932,
    'Resource Summary'!$C:$C,AC$146
  )
)</f>
        <v>0</v>
      </c>
      <c r="AD932" s="10">
        <f>SUM(
  SUMIFS(
    'Resource Summary'!$G:$G,
    'Resource Summary'!$A:$A,$D932,
    'Resource Summary'!$C:$C,AD$146
  )
)</f>
        <v>1970.1708231434195</v>
      </c>
      <c r="AH932" s="34" t="s">
        <v>422</v>
      </c>
    </row>
    <row r="933" spans="3:34" outlineLevel="1" x14ac:dyDescent="0.2">
      <c r="C933" s="8" t="s">
        <v>127</v>
      </c>
      <c r="D933" s="8" t="s">
        <v>305</v>
      </c>
      <c r="E933" s="10">
        <f>SUM(
  SUMIFS(
    'Resource Summary'!$G:$G,
    'Resource Summary'!$A:$A,$D933,
    'Resource Summary'!$C:$C,E$146
  )
)</f>
        <v>0</v>
      </c>
      <c r="F933" s="10">
        <f>SUM(
  SUMIFS(
    'Resource Summary'!$G:$G,
    'Resource Summary'!$A:$A,$D933,
    'Resource Summary'!$C:$C,F$146
  )
)</f>
        <v>0</v>
      </c>
      <c r="G933" s="10">
        <f>SUM(
  SUMIFS(
    'Resource Summary'!$G:$G,
    'Resource Summary'!$A:$A,$D933,
    'Resource Summary'!$C:$C,G$146
  )
)</f>
        <v>0</v>
      </c>
      <c r="H933" s="10">
        <f>SUM(
  SUMIFS(
    'Resource Summary'!$G:$G,
    'Resource Summary'!$A:$A,$D933,
    'Resource Summary'!$C:$C,H$146
  )
)</f>
        <v>0</v>
      </c>
      <c r="I933" s="10">
        <f>SUM(
  SUMIFS(
    'Resource Summary'!$G:$G,
    'Resource Summary'!$A:$A,$D933,
    'Resource Summary'!$C:$C,I$146
  )
)</f>
        <v>0</v>
      </c>
      <c r="J933" s="10">
        <f>SUM(
  SUMIFS(
    'Resource Summary'!$G:$G,
    'Resource Summary'!$A:$A,$D933,
    'Resource Summary'!$C:$C,J$146
  )
)</f>
        <v>0</v>
      </c>
      <c r="K933" s="10">
        <f>SUM(
  SUMIFS(
    'Resource Summary'!$G:$G,
    'Resource Summary'!$A:$A,$D933,
    'Resource Summary'!$C:$C,K$146
  )
)</f>
        <v>0</v>
      </c>
      <c r="L933" s="10">
        <f>SUM(
  SUMIFS(
    'Resource Summary'!$G:$G,
    'Resource Summary'!$A:$A,$D933,
    'Resource Summary'!$C:$C,L$146
  )
)</f>
        <v>0</v>
      </c>
      <c r="M933" s="10">
        <f>SUM(
  SUMIFS(
    'Resource Summary'!$G:$G,
    'Resource Summary'!$A:$A,$D933,
    'Resource Summary'!$C:$C,M$146
  )
)</f>
        <v>0</v>
      </c>
      <c r="N933" s="10">
        <f>SUM(
  SUMIFS(
    'Resource Summary'!$G:$G,
    'Resource Summary'!$A:$A,$D933,
    'Resource Summary'!$C:$C,N$146
  )
)</f>
        <v>0</v>
      </c>
      <c r="O933" s="10">
        <f>SUM(
  SUMIFS(
    'Resource Summary'!$G:$G,
    'Resource Summary'!$A:$A,$D933,
    'Resource Summary'!$C:$C,O$146
  )
)</f>
        <v>0</v>
      </c>
      <c r="P933" s="10">
        <f>SUM(
  SUMIFS(
    'Resource Summary'!$G:$G,
    'Resource Summary'!$A:$A,$D933,
    'Resource Summary'!$C:$C,P$146
  )
)</f>
        <v>0</v>
      </c>
      <c r="Q933" s="10">
        <f>SUM(
  SUMIFS(
    'Resource Summary'!$G:$G,
    'Resource Summary'!$A:$A,$D933,
    'Resource Summary'!$C:$C,Q$146
  )
)</f>
        <v>0</v>
      </c>
      <c r="R933" s="10">
        <f>SUM(
  SUMIFS(
    'Resource Summary'!$G:$G,
    'Resource Summary'!$A:$A,$D933,
    'Resource Summary'!$C:$C,R$146
  )
)</f>
        <v>0</v>
      </c>
      <c r="S933" s="10">
        <f>SUM(
  SUMIFS(
    'Resource Summary'!$G:$G,
    'Resource Summary'!$A:$A,$D933,
    'Resource Summary'!$C:$C,S$146
  )
)</f>
        <v>0</v>
      </c>
      <c r="T933" s="10">
        <f>SUM(
  SUMIFS(
    'Resource Summary'!$G:$G,
    'Resource Summary'!$A:$A,$D933,
    'Resource Summary'!$C:$C,T$146
  )
)</f>
        <v>0</v>
      </c>
      <c r="U933" s="10">
        <f>SUM(
  SUMIFS(
    'Resource Summary'!$G:$G,
    'Resource Summary'!$A:$A,$D933,
    'Resource Summary'!$C:$C,U$146
  )
)</f>
        <v>0</v>
      </c>
      <c r="V933" s="10">
        <f>SUM(
  SUMIFS(
    'Resource Summary'!$G:$G,
    'Resource Summary'!$A:$A,$D933,
    'Resource Summary'!$C:$C,V$146
  )
)</f>
        <v>0</v>
      </c>
      <c r="W933" s="10">
        <f>SUM(
  SUMIFS(
    'Resource Summary'!$G:$G,
    'Resource Summary'!$A:$A,$D933,
    'Resource Summary'!$C:$C,W$146
  )
)</f>
        <v>0</v>
      </c>
      <c r="X933" s="10">
        <f>SUM(
  SUMIFS(
    'Resource Summary'!$G:$G,
    'Resource Summary'!$A:$A,$D933,
    'Resource Summary'!$C:$C,X$146
  )
)</f>
        <v>0</v>
      </c>
      <c r="Y933" s="10">
        <f>SUM(
  SUMIFS(
    'Resource Summary'!$G:$G,
    'Resource Summary'!$A:$A,$D933,
    'Resource Summary'!$C:$C,Y$146
  )
)</f>
        <v>0</v>
      </c>
      <c r="Z933" s="10">
        <f>SUM(
  SUMIFS(
    'Resource Summary'!$G:$G,
    'Resource Summary'!$A:$A,$D933,
    'Resource Summary'!$C:$C,Z$146
  )
)</f>
        <v>0</v>
      </c>
      <c r="AA933" s="10">
        <f>SUM(
  SUMIFS(
    'Resource Summary'!$G:$G,
    'Resource Summary'!$A:$A,$D933,
    'Resource Summary'!$C:$C,AA$146
  )
)</f>
        <v>0</v>
      </c>
      <c r="AB933" s="10">
        <f>SUM(
  SUMIFS(
    'Resource Summary'!$G:$G,
    'Resource Summary'!$A:$A,$D933,
    'Resource Summary'!$C:$C,AB$146
  )
)</f>
        <v>0</v>
      </c>
      <c r="AC933" s="10">
        <f>SUM(
  SUMIFS(
    'Resource Summary'!$G:$G,
    'Resource Summary'!$A:$A,$D933,
    'Resource Summary'!$C:$C,AC$146
  )
)</f>
        <v>0</v>
      </c>
      <c r="AD933" s="10">
        <f>SUM(
  SUMIFS(
    'Resource Summary'!$G:$G,
    'Resource Summary'!$A:$A,$D933,
    'Resource Summary'!$C:$C,AD$146
  )
)</f>
        <v>0</v>
      </c>
      <c r="AH933" s="34" t="s">
        <v>422</v>
      </c>
    </row>
    <row r="934" spans="3:34" outlineLevel="1" x14ac:dyDescent="0.2">
      <c r="C934" s="8" t="s">
        <v>127</v>
      </c>
      <c r="D934" s="8" t="s">
        <v>306</v>
      </c>
      <c r="E934" s="10">
        <f>SUM(
  SUMIFS(
    'Resource Summary'!$G:$G,
    'Resource Summary'!$A:$A,$D934,
    'Resource Summary'!$C:$C,E$146
  )
)</f>
        <v>0</v>
      </c>
      <c r="F934" s="10">
        <f>SUM(
  SUMIFS(
    'Resource Summary'!$G:$G,
    'Resource Summary'!$A:$A,$D934,
    'Resource Summary'!$C:$C,F$146
  )
)</f>
        <v>0</v>
      </c>
      <c r="G934" s="10">
        <f>SUM(
  SUMIFS(
    'Resource Summary'!$G:$G,
    'Resource Summary'!$A:$A,$D934,
    'Resource Summary'!$C:$C,G$146
  )
)</f>
        <v>0</v>
      </c>
      <c r="H934" s="10">
        <f>SUM(
  SUMIFS(
    'Resource Summary'!$G:$G,
    'Resource Summary'!$A:$A,$D934,
    'Resource Summary'!$C:$C,H$146
  )
)</f>
        <v>0</v>
      </c>
      <c r="I934" s="10">
        <f>SUM(
  SUMIFS(
    'Resource Summary'!$G:$G,
    'Resource Summary'!$A:$A,$D934,
    'Resource Summary'!$C:$C,I$146
  )
)</f>
        <v>0</v>
      </c>
      <c r="J934" s="10">
        <f>SUM(
  SUMIFS(
    'Resource Summary'!$G:$G,
    'Resource Summary'!$A:$A,$D934,
    'Resource Summary'!$C:$C,J$146
  )
)</f>
        <v>0</v>
      </c>
      <c r="K934" s="10">
        <f>SUM(
  SUMIFS(
    'Resource Summary'!$G:$G,
    'Resource Summary'!$A:$A,$D934,
    'Resource Summary'!$C:$C,K$146
  )
)</f>
        <v>0</v>
      </c>
      <c r="L934" s="10">
        <f>SUM(
  SUMIFS(
    'Resource Summary'!$G:$G,
    'Resource Summary'!$A:$A,$D934,
    'Resource Summary'!$C:$C,L$146
  )
)</f>
        <v>0</v>
      </c>
      <c r="M934" s="10">
        <f>SUM(
  SUMIFS(
    'Resource Summary'!$G:$G,
    'Resource Summary'!$A:$A,$D934,
    'Resource Summary'!$C:$C,M$146
  )
)</f>
        <v>0</v>
      </c>
      <c r="N934" s="10">
        <f>SUM(
  SUMIFS(
    'Resource Summary'!$G:$G,
    'Resource Summary'!$A:$A,$D934,
    'Resource Summary'!$C:$C,N$146
  )
)</f>
        <v>0</v>
      </c>
      <c r="O934" s="10">
        <f>SUM(
  SUMIFS(
    'Resource Summary'!$G:$G,
    'Resource Summary'!$A:$A,$D934,
    'Resource Summary'!$C:$C,O$146
  )
)</f>
        <v>0</v>
      </c>
      <c r="P934" s="10">
        <f>SUM(
  SUMIFS(
    'Resource Summary'!$G:$G,
    'Resource Summary'!$A:$A,$D934,
    'Resource Summary'!$C:$C,P$146
  )
)</f>
        <v>0</v>
      </c>
      <c r="Q934" s="10">
        <f>SUM(
  SUMIFS(
    'Resource Summary'!$G:$G,
    'Resource Summary'!$A:$A,$D934,
    'Resource Summary'!$C:$C,Q$146
  )
)</f>
        <v>0</v>
      </c>
      <c r="R934" s="10">
        <f>SUM(
  SUMIFS(
    'Resource Summary'!$G:$G,
    'Resource Summary'!$A:$A,$D934,
    'Resource Summary'!$C:$C,R$146
  )
)</f>
        <v>0</v>
      </c>
      <c r="S934" s="10">
        <f>SUM(
  SUMIFS(
    'Resource Summary'!$G:$G,
    'Resource Summary'!$A:$A,$D934,
    'Resource Summary'!$C:$C,S$146
  )
)</f>
        <v>0</v>
      </c>
      <c r="T934" s="10">
        <f>SUM(
  SUMIFS(
    'Resource Summary'!$G:$G,
    'Resource Summary'!$A:$A,$D934,
    'Resource Summary'!$C:$C,T$146
  )
)</f>
        <v>0</v>
      </c>
      <c r="U934" s="10">
        <f>SUM(
  SUMIFS(
    'Resource Summary'!$G:$G,
    'Resource Summary'!$A:$A,$D934,
    'Resource Summary'!$C:$C,U$146
  )
)</f>
        <v>0</v>
      </c>
      <c r="V934" s="10">
        <f>SUM(
  SUMIFS(
    'Resource Summary'!$G:$G,
    'Resource Summary'!$A:$A,$D934,
    'Resource Summary'!$C:$C,V$146
  )
)</f>
        <v>0</v>
      </c>
      <c r="W934" s="10">
        <f>SUM(
  SUMIFS(
    'Resource Summary'!$G:$G,
    'Resource Summary'!$A:$A,$D934,
    'Resource Summary'!$C:$C,W$146
  )
)</f>
        <v>0</v>
      </c>
      <c r="X934" s="10">
        <f>SUM(
  SUMIFS(
    'Resource Summary'!$G:$G,
    'Resource Summary'!$A:$A,$D934,
    'Resource Summary'!$C:$C,X$146
  )
)</f>
        <v>0</v>
      </c>
      <c r="Y934" s="10">
        <f>SUM(
  SUMIFS(
    'Resource Summary'!$G:$G,
    'Resource Summary'!$A:$A,$D934,
    'Resource Summary'!$C:$C,Y$146
  )
)</f>
        <v>0</v>
      </c>
      <c r="Z934" s="10">
        <f>SUM(
  SUMIFS(
    'Resource Summary'!$G:$G,
    'Resource Summary'!$A:$A,$D934,
    'Resource Summary'!$C:$C,Z$146
  )
)</f>
        <v>0</v>
      </c>
      <c r="AA934" s="10">
        <f>SUM(
  SUMIFS(
    'Resource Summary'!$G:$G,
    'Resource Summary'!$A:$A,$D934,
    'Resource Summary'!$C:$C,AA$146
  )
)</f>
        <v>0</v>
      </c>
      <c r="AB934" s="10">
        <f>SUM(
  SUMIFS(
    'Resource Summary'!$G:$G,
    'Resource Summary'!$A:$A,$D934,
    'Resource Summary'!$C:$C,AB$146
  )
)</f>
        <v>0</v>
      </c>
      <c r="AC934" s="10">
        <f>SUM(
  SUMIFS(
    'Resource Summary'!$G:$G,
    'Resource Summary'!$A:$A,$D934,
    'Resource Summary'!$C:$C,AC$146
  )
)</f>
        <v>0</v>
      </c>
      <c r="AD934" s="10">
        <f>SUM(
  SUMIFS(
    'Resource Summary'!$G:$G,
    'Resource Summary'!$A:$A,$D934,
    'Resource Summary'!$C:$C,AD$146
  )
)</f>
        <v>0</v>
      </c>
      <c r="AH934" s="34" t="s">
        <v>422</v>
      </c>
    </row>
    <row r="935" spans="3:34" outlineLevel="1" x14ac:dyDescent="0.2">
      <c r="C935" s="8" t="s">
        <v>127</v>
      </c>
      <c r="D935" s="8" t="s">
        <v>307</v>
      </c>
      <c r="E935" s="10">
        <f>SUM(
  SUMIFS(
    'Resource Summary'!$G:$G,
    'Resource Summary'!$A:$A,$D935,
    'Resource Summary'!$C:$C,E$146
  )
)</f>
        <v>0</v>
      </c>
      <c r="F935" s="10">
        <f>SUM(
  SUMIFS(
    'Resource Summary'!$G:$G,
    'Resource Summary'!$A:$A,$D935,
    'Resource Summary'!$C:$C,F$146
  )
)</f>
        <v>0</v>
      </c>
      <c r="G935" s="10">
        <f>SUM(
  SUMIFS(
    'Resource Summary'!$G:$G,
    'Resource Summary'!$A:$A,$D935,
    'Resource Summary'!$C:$C,G$146
  )
)</f>
        <v>0</v>
      </c>
      <c r="H935" s="10">
        <f>SUM(
  SUMIFS(
    'Resource Summary'!$G:$G,
    'Resource Summary'!$A:$A,$D935,
    'Resource Summary'!$C:$C,H$146
  )
)</f>
        <v>0</v>
      </c>
      <c r="I935" s="10">
        <f>SUM(
  SUMIFS(
    'Resource Summary'!$G:$G,
    'Resource Summary'!$A:$A,$D935,
    'Resource Summary'!$C:$C,I$146
  )
)</f>
        <v>0</v>
      </c>
      <c r="J935" s="10">
        <f>SUM(
  SUMIFS(
    'Resource Summary'!$G:$G,
    'Resource Summary'!$A:$A,$D935,
    'Resource Summary'!$C:$C,J$146
  )
)</f>
        <v>0</v>
      </c>
      <c r="K935" s="10">
        <f>SUM(
  SUMIFS(
    'Resource Summary'!$G:$G,
    'Resource Summary'!$A:$A,$D935,
    'Resource Summary'!$C:$C,K$146
  )
)</f>
        <v>0</v>
      </c>
      <c r="L935" s="10">
        <f>SUM(
  SUMIFS(
    'Resource Summary'!$G:$G,
    'Resource Summary'!$A:$A,$D935,
    'Resource Summary'!$C:$C,L$146
  )
)</f>
        <v>0</v>
      </c>
      <c r="M935" s="10">
        <f>SUM(
  SUMIFS(
    'Resource Summary'!$G:$G,
    'Resource Summary'!$A:$A,$D935,
    'Resource Summary'!$C:$C,M$146
  )
)</f>
        <v>0</v>
      </c>
      <c r="N935" s="10">
        <f>SUM(
  SUMIFS(
    'Resource Summary'!$G:$G,
    'Resource Summary'!$A:$A,$D935,
    'Resource Summary'!$C:$C,N$146
  )
)</f>
        <v>0</v>
      </c>
      <c r="O935" s="10">
        <f>SUM(
  SUMIFS(
    'Resource Summary'!$G:$G,
    'Resource Summary'!$A:$A,$D935,
    'Resource Summary'!$C:$C,O$146
  )
)</f>
        <v>0</v>
      </c>
      <c r="P935" s="10">
        <f>SUM(
  SUMIFS(
    'Resource Summary'!$G:$G,
    'Resource Summary'!$A:$A,$D935,
    'Resource Summary'!$C:$C,P$146
  )
)</f>
        <v>0</v>
      </c>
      <c r="Q935" s="10">
        <f>SUM(
  SUMIFS(
    'Resource Summary'!$G:$G,
    'Resource Summary'!$A:$A,$D935,
    'Resource Summary'!$C:$C,Q$146
  )
)</f>
        <v>0</v>
      </c>
      <c r="R935" s="10">
        <f>SUM(
  SUMIFS(
    'Resource Summary'!$G:$G,
    'Resource Summary'!$A:$A,$D935,
    'Resource Summary'!$C:$C,R$146
  )
)</f>
        <v>0</v>
      </c>
      <c r="S935" s="10">
        <f>SUM(
  SUMIFS(
    'Resource Summary'!$G:$G,
    'Resource Summary'!$A:$A,$D935,
    'Resource Summary'!$C:$C,S$146
  )
)</f>
        <v>0</v>
      </c>
      <c r="T935" s="10">
        <f>SUM(
  SUMIFS(
    'Resource Summary'!$G:$G,
    'Resource Summary'!$A:$A,$D935,
    'Resource Summary'!$C:$C,T$146
  )
)</f>
        <v>0</v>
      </c>
      <c r="U935" s="10">
        <f>SUM(
  SUMIFS(
    'Resource Summary'!$G:$G,
    'Resource Summary'!$A:$A,$D935,
    'Resource Summary'!$C:$C,U$146
  )
)</f>
        <v>0</v>
      </c>
      <c r="V935" s="10">
        <f>SUM(
  SUMIFS(
    'Resource Summary'!$G:$G,
    'Resource Summary'!$A:$A,$D935,
    'Resource Summary'!$C:$C,V$146
  )
)</f>
        <v>0</v>
      </c>
      <c r="W935" s="10">
        <f>SUM(
  SUMIFS(
    'Resource Summary'!$G:$G,
    'Resource Summary'!$A:$A,$D935,
    'Resource Summary'!$C:$C,W$146
  )
)</f>
        <v>0</v>
      </c>
      <c r="X935" s="10">
        <f>SUM(
  SUMIFS(
    'Resource Summary'!$G:$G,
    'Resource Summary'!$A:$A,$D935,
    'Resource Summary'!$C:$C,X$146
  )
)</f>
        <v>0</v>
      </c>
      <c r="Y935" s="10">
        <f>SUM(
  SUMIFS(
    'Resource Summary'!$G:$G,
    'Resource Summary'!$A:$A,$D935,
    'Resource Summary'!$C:$C,Y$146
  )
)</f>
        <v>0</v>
      </c>
      <c r="Z935" s="10">
        <f>SUM(
  SUMIFS(
    'Resource Summary'!$G:$G,
    'Resource Summary'!$A:$A,$D935,
    'Resource Summary'!$C:$C,Z$146
  )
)</f>
        <v>0</v>
      </c>
      <c r="AA935" s="10">
        <f>SUM(
  SUMIFS(
    'Resource Summary'!$G:$G,
    'Resource Summary'!$A:$A,$D935,
    'Resource Summary'!$C:$C,AA$146
  )
)</f>
        <v>0</v>
      </c>
      <c r="AB935" s="10">
        <f>SUM(
  SUMIFS(
    'Resource Summary'!$G:$G,
    'Resource Summary'!$A:$A,$D935,
    'Resource Summary'!$C:$C,AB$146
  )
)</f>
        <v>0</v>
      </c>
      <c r="AC935" s="10">
        <f>SUM(
  SUMIFS(
    'Resource Summary'!$G:$G,
    'Resource Summary'!$A:$A,$D935,
    'Resource Summary'!$C:$C,AC$146
  )
)</f>
        <v>0</v>
      </c>
      <c r="AD935" s="10">
        <f>SUM(
  SUMIFS(
    'Resource Summary'!$G:$G,
    'Resource Summary'!$A:$A,$D935,
    'Resource Summary'!$C:$C,AD$146
  )
)</f>
        <v>0</v>
      </c>
      <c r="AH935" s="34" t="s">
        <v>422</v>
      </c>
    </row>
    <row r="936" spans="3:34" outlineLevel="1" x14ac:dyDescent="0.2">
      <c r="C936" s="8" t="s">
        <v>127</v>
      </c>
      <c r="D936" s="8" t="s">
        <v>61</v>
      </c>
      <c r="E936" s="10">
        <f>SUM(
  SUMIFS(
    'Resource Summary'!$G:$G,
    'Resource Summary'!$A:$A,$D936,
    'Resource Summary'!$C:$C,E$146
  )
)</f>
        <v>0</v>
      </c>
      <c r="F936" s="10">
        <f>SUM(
  SUMIFS(
    'Resource Summary'!$G:$G,
    'Resource Summary'!$A:$A,$D936,
    'Resource Summary'!$C:$C,F$146
  )
)</f>
        <v>0</v>
      </c>
      <c r="G936" s="10">
        <f>SUM(
  SUMIFS(
    'Resource Summary'!$G:$G,
    'Resource Summary'!$A:$A,$D936,
    'Resource Summary'!$C:$C,G$146
  )
)</f>
        <v>0</v>
      </c>
      <c r="H936" s="10">
        <f>SUM(
  SUMIFS(
    'Resource Summary'!$G:$G,
    'Resource Summary'!$A:$A,$D936,
    'Resource Summary'!$C:$C,H$146
  )
)</f>
        <v>0</v>
      </c>
      <c r="I936" s="10">
        <f>SUM(
  SUMIFS(
    'Resource Summary'!$G:$G,
    'Resource Summary'!$A:$A,$D936,
    'Resource Summary'!$C:$C,I$146
  )
)</f>
        <v>0</v>
      </c>
      <c r="J936" s="10">
        <f>SUM(
  SUMIFS(
    'Resource Summary'!$G:$G,
    'Resource Summary'!$A:$A,$D936,
    'Resource Summary'!$C:$C,J$146
  )
)</f>
        <v>0</v>
      </c>
      <c r="K936" s="10">
        <f>SUM(
  SUMIFS(
    'Resource Summary'!$G:$G,
    'Resource Summary'!$A:$A,$D936,
    'Resource Summary'!$C:$C,K$146
  )
)</f>
        <v>0</v>
      </c>
      <c r="L936" s="10">
        <f>SUM(
  SUMIFS(
    'Resource Summary'!$G:$G,
    'Resource Summary'!$A:$A,$D936,
    'Resource Summary'!$C:$C,L$146
  )
)</f>
        <v>0</v>
      </c>
      <c r="M936" s="10">
        <f>SUM(
  SUMIFS(
    'Resource Summary'!$G:$G,
    'Resource Summary'!$A:$A,$D936,
    'Resource Summary'!$C:$C,M$146
  )
)</f>
        <v>0</v>
      </c>
      <c r="N936" s="10">
        <f>SUM(
  SUMIFS(
    'Resource Summary'!$G:$G,
    'Resource Summary'!$A:$A,$D936,
    'Resource Summary'!$C:$C,N$146
  )
)</f>
        <v>0</v>
      </c>
      <c r="O936" s="10">
        <f>SUM(
  SUMIFS(
    'Resource Summary'!$G:$G,
    'Resource Summary'!$A:$A,$D936,
    'Resource Summary'!$C:$C,O$146
  )
)</f>
        <v>0</v>
      </c>
      <c r="P936" s="10">
        <f>SUM(
  SUMIFS(
    'Resource Summary'!$G:$G,
    'Resource Summary'!$A:$A,$D936,
    'Resource Summary'!$C:$C,P$146
  )
)</f>
        <v>0</v>
      </c>
      <c r="Q936" s="10">
        <f>SUM(
  SUMIFS(
    'Resource Summary'!$G:$G,
    'Resource Summary'!$A:$A,$D936,
    'Resource Summary'!$C:$C,Q$146
  )
)</f>
        <v>0</v>
      </c>
      <c r="R936" s="10">
        <f>SUM(
  SUMIFS(
    'Resource Summary'!$G:$G,
    'Resource Summary'!$A:$A,$D936,
    'Resource Summary'!$C:$C,R$146
  )
)</f>
        <v>0</v>
      </c>
      <c r="S936" s="10">
        <f>SUM(
  SUMIFS(
    'Resource Summary'!$G:$G,
    'Resource Summary'!$A:$A,$D936,
    'Resource Summary'!$C:$C,S$146
  )
)</f>
        <v>0</v>
      </c>
      <c r="T936" s="10">
        <f>SUM(
  SUMIFS(
    'Resource Summary'!$G:$G,
    'Resource Summary'!$A:$A,$D936,
    'Resource Summary'!$C:$C,T$146
  )
)</f>
        <v>0</v>
      </c>
      <c r="U936" s="10">
        <f>SUM(
  SUMIFS(
    'Resource Summary'!$G:$G,
    'Resource Summary'!$A:$A,$D936,
    'Resource Summary'!$C:$C,U$146
  )
)</f>
        <v>0</v>
      </c>
      <c r="V936" s="10">
        <f>SUM(
  SUMIFS(
    'Resource Summary'!$G:$G,
    'Resource Summary'!$A:$A,$D936,
    'Resource Summary'!$C:$C,V$146
  )
)</f>
        <v>0</v>
      </c>
      <c r="W936" s="10">
        <f>SUM(
  SUMIFS(
    'Resource Summary'!$G:$G,
    'Resource Summary'!$A:$A,$D936,
    'Resource Summary'!$C:$C,W$146
  )
)</f>
        <v>0</v>
      </c>
      <c r="X936" s="10">
        <f>SUM(
  SUMIFS(
    'Resource Summary'!$G:$G,
    'Resource Summary'!$A:$A,$D936,
    'Resource Summary'!$C:$C,X$146
  )
)</f>
        <v>0</v>
      </c>
      <c r="Y936" s="10">
        <f>SUM(
  SUMIFS(
    'Resource Summary'!$G:$G,
    'Resource Summary'!$A:$A,$D936,
    'Resource Summary'!$C:$C,Y$146
  )
)</f>
        <v>0</v>
      </c>
      <c r="Z936" s="10">
        <f>SUM(
  SUMIFS(
    'Resource Summary'!$G:$G,
    'Resource Summary'!$A:$A,$D936,
    'Resource Summary'!$C:$C,Z$146
  )
)</f>
        <v>0</v>
      </c>
      <c r="AA936" s="10">
        <f>SUM(
  SUMIFS(
    'Resource Summary'!$G:$G,
    'Resource Summary'!$A:$A,$D936,
    'Resource Summary'!$C:$C,AA$146
  )
)</f>
        <v>0</v>
      </c>
      <c r="AB936" s="10">
        <f>SUM(
  SUMIFS(
    'Resource Summary'!$G:$G,
    'Resource Summary'!$A:$A,$D936,
    'Resource Summary'!$C:$C,AB$146
  )
)</f>
        <v>0</v>
      </c>
      <c r="AC936" s="10">
        <f>SUM(
  SUMIFS(
    'Resource Summary'!$G:$G,
    'Resource Summary'!$A:$A,$D936,
    'Resource Summary'!$C:$C,AC$146
  )
)</f>
        <v>0</v>
      </c>
      <c r="AD936" s="10">
        <f>SUM(
  SUMIFS(
    'Resource Summary'!$G:$G,
    'Resource Summary'!$A:$A,$D936,
    'Resource Summary'!$C:$C,AD$146
  )
)</f>
        <v>20.52</v>
      </c>
      <c r="AH936" s="34" t="s">
        <v>422</v>
      </c>
    </row>
    <row r="937" spans="3:34" outlineLevel="1" x14ac:dyDescent="0.2">
      <c r="C937" s="8" t="s">
        <v>127</v>
      </c>
      <c r="D937" s="8" t="s">
        <v>75</v>
      </c>
      <c r="E937" s="10">
        <f>SUM(
  SUMIFS(
    'Resource Summary'!$G:$G,
    'Resource Summary'!$A:$A,$D937,
    'Resource Summary'!$C:$C,E$146
  )
)</f>
        <v>0</v>
      </c>
      <c r="F937" s="10">
        <f>SUM(
  SUMIFS(
    'Resource Summary'!$G:$G,
    'Resource Summary'!$A:$A,$D937,
    'Resource Summary'!$C:$C,F$146
  )
)</f>
        <v>0</v>
      </c>
      <c r="G937" s="10">
        <f>SUM(
  SUMIFS(
    'Resource Summary'!$G:$G,
    'Resource Summary'!$A:$A,$D937,
    'Resource Summary'!$C:$C,G$146
  )
)</f>
        <v>0</v>
      </c>
      <c r="H937" s="10">
        <f>SUM(
  SUMIFS(
    'Resource Summary'!$G:$G,
    'Resource Summary'!$A:$A,$D937,
    'Resource Summary'!$C:$C,H$146
  )
)</f>
        <v>0</v>
      </c>
      <c r="I937" s="10">
        <f>SUM(
  SUMIFS(
    'Resource Summary'!$G:$G,
    'Resource Summary'!$A:$A,$D937,
    'Resource Summary'!$C:$C,I$146
  )
)</f>
        <v>0</v>
      </c>
      <c r="J937" s="10">
        <f>SUM(
  SUMIFS(
    'Resource Summary'!$G:$G,
    'Resource Summary'!$A:$A,$D937,
    'Resource Summary'!$C:$C,J$146
  )
)</f>
        <v>0</v>
      </c>
      <c r="K937" s="10">
        <f>SUM(
  SUMIFS(
    'Resource Summary'!$G:$G,
    'Resource Summary'!$A:$A,$D937,
    'Resource Summary'!$C:$C,K$146
  )
)</f>
        <v>0</v>
      </c>
      <c r="L937" s="10">
        <f>SUM(
  SUMIFS(
    'Resource Summary'!$G:$G,
    'Resource Summary'!$A:$A,$D937,
    'Resource Summary'!$C:$C,L$146
  )
)</f>
        <v>0</v>
      </c>
      <c r="M937" s="10">
        <f>SUM(
  SUMIFS(
    'Resource Summary'!$G:$G,
    'Resource Summary'!$A:$A,$D937,
    'Resource Summary'!$C:$C,M$146
  )
)</f>
        <v>0</v>
      </c>
      <c r="N937" s="10">
        <f>SUM(
  SUMIFS(
    'Resource Summary'!$G:$G,
    'Resource Summary'!$A:$A,$D937,
    'Resource Summary'!$C:$C,N$146
  )
)</f>
        <v>0</v>
      </c>
      <c r="O937" s="10">
        <f>SUM(
  SUMIFS(
    'Resource Summary'!$G:$G,
    'Resource Summary'!$A:$A,$D937,
    'Resource Summary'!$C:$C,O$146
  )
)</f>
        <v>0</v>
      </c>
      <c r="P937" s="10">
        <f>SUM(
  SUMIFS(
    'Resource Summary'!$G:$G,
    'Resource Summary'!$A:$A,$D937,
    'Resource Summary'!$C:$C,P$146
  )
)</f>
        <v>0</v>
      </c>
      <c r="Q937" s="10">
        <f>SUM(
  SUMIFS(
    'Resource Summary'!$G:$G,
    'Resource Summary'!$A:$A,$D937,
    'Resource Summary'!$C:$C,Q$146
  )
)</f>
        <v>0</v>
      </c>
      <c r="R937" s="10">
        <f>SUM(
  SUMIFS(
    'Resource Summary'!$G:$G,
    'Resource Summary'!$A:$A,$D937,
    'Resource Summary'!$C:$C,R$146
  )
)</f>
        <v>0</v>
      </c>
      <c r="S937" s="10">
        <f>SUM(
  SUMIFS(
    'Resource Summary'!$G:$G,
    'Resource Summary'!$A:$A,$D937,
    'Resource Summary'!$C:$C,S$146
  )
)</f>
        <v>0</v>
      </c>
      <c r="T937" s="10">
        <f>SUM(
  SUMIFS(
    'Resource Summary'!$G:$G,
    'Resource Summary'!$A:$A,$D937,
    'Resource Summary'!$C:$C,T$146
  )
)</f>
        <v>0</v>
      </c>
      <c r="U937" s="10">
        <f>SUM(
  SUMIFS(
    'Resource Summary'!$G:$G,
    'Resource Summary'!$A:$A,$D937,
    'Resource Summary'!$C:$C,U$146
  )
)</f>
        <v>0</v>
      </c>
      <c r="V937" s="10">
        <f>SUM(
  SUMIFS(
    'Resource Summary'!$G:$G,
    'Resource Summary'!$A:$A,$D937,
    'Resource Summary'!$C:$C,V$146
  )
)</f>
        <v>0</v>
      </c>
      <c r="W937" s="10">
        <f>SUM(
  SUMIFS(
    'Resource Summary'!$G:$G,
    'Resource Summary'!$A:$A,$D937,
    'Resource Summary'!$C:$C,W$146
  )
)</f>
        <v>0</v>
      </c>
      <c r="X937" s="10">
        <f>SUM(
  SUMIFS(
    'Resource Summary'!$G:$G,
    'Resource Summary'!$A:$A,$D937,
    'Resource Summary'!$C:$C,X$146
  )
)</f>
        <v>0</v>
      </c>
      <c r="Y937" s="10">
        <f>SUM(
  SUMIFS(
    'Resource Summary'!$G:$G,
    'Resource Summary'!$A:$A,$D937,
    'Resource Summary'!$C:$C,Y$146
  )
)</f>
        <v>0</v>
      </c>
      <c r="Z937" s="10">
        <f>SUM(
  SUMIFS(
    'Resource Summary'!$G:$G,
    'Resource Summary'!$A:$A,$D937,
    'Resource Summary'!$C:$C,Z$146
  )
)</f>
        <v>0</v>
      </c>
      <c r="AA937" s="10">
        <f>SUM(
  SUMIFS(
    'Resource Summary'!$G:$G,
    'Resource Summary'!$A:$A,$D937,
    'Resource Summary'!$C:$C,AA$146
  )
)</f>
        <v>0</v>
      </c>
      <c r="AB937" s="10">
        <f>SUM(
  SUMIFS(
    'Resource Summary'!$G:$G,
    'Resource Summary'!$A:$A,$D937,
    'Resource Summary'!$C:$C,AB$146
  )
)</f>
        <v>0</v>
      </c>
      <c r="AC937" s="10">
        <f>SUM(
  SUMIFS(
    'Resource Summary'!$G:$G,
    'Resource Summary'!$A:$A,$D937,
    'Resource Summary'!$C:$C,AC$146
  )
)</f>
        <v>0</v>
      </c>
      <c r="AD937" s="10">
        <f>SUM(
  SUMIFS(
    'Resource Summary'!$G:$G,
    'Resource Summary'!$A:$A,$D937,
    'Resource Summary'!$C:$C,AD$146
  )
)</f>
        <v>75</v>
      </c>
      <c r="AH937" s="34" t="s">
        <v>422</v>
      </c>
    </row>
    <row r="938" spans="3:34" ht="12.6" outlineLevel="1" thickBot="1" x14ac:dyDescent="0.25">
      <c r="D938" s="9" t="s">
        <v>139</v>
      </c>
      <c r="E938" s="17">
        <f t="shared" ref="E938:AD938" si="1012">SUM(E896:E937)</f>
        <v>0</v>
      </c>
      <c r="F938" s="17">
        <f t="shared" si="1012"/>
        <v>0</v>
      </c>
      <c r="G938" s="17">
        <f t="shared" si="1012"/>
        <v>0</v>
      </c>
      <c r="H938" s="17">
        <f t="shared" si="1012"/>
        <v>0</v>
      </c>
      <c r="I938" s="17">
        <f t="shared" si="1012"/>
        <v>0</v>
      </c>
      <c r="J938" s="17">
        <f t="shared" si="1012"/>
        <v>0</v>
      </c>
      <c r="K938" s="17">
        <f t="shared" si="1012"/>
        <v>0</v>
      </c>
      <c r="L938" s="17">
        <f t="shared" si="1012"/>
        <v>0</v>
      </c>
      <c r="M938" s="17">
        <f t="shared" si="1012"/>
        <v>0</v>
      </c>
      <c r="N938" s="17">
        <f t="shared" si="1012"/>
        <v>0</v>
      </c>
      <c r="O938" s="17">
        <f t="shared" si="1012"/>
        <v>0</v>
      </c>
      <c r="P938" s="17">
        <f t="shared" si="1012"/>
        <v>0</v>
      </c>
      <c r="Q938" s="17">
        <f t="shared" si="1012"/>
        <v>0</v>
      </c>
      <c r="R938" s="17">
        <f t="shared" si="1012"/>
        <v>0</v>
      </c>
      <c r="S938" s="17">
        <f t="shared" si="1012"/>
        <v>0</v>
      </c>
      <c r="T938" s="17">
        <f t="shared" si="1012"/>
        <v>0</v>
      </c>
      <c r="U938" s="17">
        <f t="shared" si="1012"/>
        <v>0</v>
      </c>
      <c r="V938" s="17">
        <f t="shared" si="1012"/>
        <v>0</v>
      </c>
      <c r="W938" s="17">
        <f t="shared" si="1012"/>
        <v>0</v>
      </c>
      <c r="X938" s="17">
        <f t="shared" si="1012"/>
        <v>0</v>
      </c>
      <c r="Y938" s="17">
        <f t="shared" si="1012"/>
        <v>0</v>
      </c>
      <c r="Z938" s="17">
        <f t="shared" si="1012"/>
        <v>0</v>
      </c>
      <c r="AA938" s="17">
        <f t="shared" si="1012"/>
        <v>0</v>
      </c>
      <c r="AB938" s="17">
        <f t="shared" si="1012"/>
        <v>0</v>
      </c>
      <c r="AC938" s="17">
        <f t="shared" si="1012"/>
        <v>0</v>
      </c>
      <c r="AD938" s="17">
        <f t="shared" si="1012"/>
        <v>70383.186525988553</v>
      </c>
      <c r="AH938" s="34" t="s">
        <v>422</v>
      </c>
    </row>
    <row r="939" spans="3:34" ht="12" thickTop="1" x14ac:dyDescent="0.2"/>
  </sheetData>
  <sheetProtection formatCells="0" insertColumns="0" insertRows="0" sort="0" autoFilter="0" pivotTables="0"/>
  <sortState xmlns:xlrd2="http://schemas.microsoft.com/office/spreadsheetml/2017/richdata2" ref="C896:D937">
    <sortCondition ref="C896:C937"/>
    <sortCondition ref="D896:D937"/>
  </sortState>
  <conditionalFormatting sqref="E169:AD170">
    <cfRule type="cellIs" dxfId="5" priority="9" operator="greaterThan">
      <formula>0</formula>
    </cfRule>
  </conditionalFormatting>
  <conditionalFormatting sqref="AH21:AH383 AH761:AH858 AH891:AH938 AH469:AH728 AH387:AH436">
    <cfRule type="cellIs" dxfId="4" priority="8" operator="equal">
      <formula>"Yes"</formula>
    </cfRule>
  </conditionalFormatting>
  <conditionalFormatting sqref="AH729:AH760">
    <cfRule type="cellIs" dxfId="3" priority="6" operator="equal">
      <formula>"Yes"</formula>
    </cfRule>
  </conditionalFormatting>
  <conditionalFormatting sqref="AH859:AH890">
    <cfRule type="cellIs" dxfId="2" priority="5" operator="equal">
      <formula>"Yes"</formula>
    </cfRule>
  </conditionalFormatting>
  <conditionalFormatting sqref="AH437:AH468">
    <cfRule type="cellIs" dxfId="1" priority="4" operator="equal">
      <formula>"Yes"</formula>
    </cfRule>
  </conditionalFormatting>
  <conditionalFormatting sqref="AH384:AH386">
    <cfRule type="cellIs" dxfId="0" priority="3" operator="equal">
      <formula>"Yes"</formula>
    </cfRule>
  </conditionalFormatting>
  <dataValidations count="2">
    <dataValidation type="list" allowBlank="1" showInputMessage="1" showErrorMessage="1" sqref="D8" xr:uid="{8F116214-9BDA-034C-9110-C9470C202F1D}">
      <formula1>OFFSET(lists_cases,,,COUNTA(lists_cases))</formula1>
    </dataValidation>
    <dataValidation type="list" allowBlank="1" showInputMessage="1" showErrorMessage="1" sqref="AH21:AH938" xr:uid="{71C50711-7EA1-9848-9D49-6849ED6AD00B}">
      <formula1>"Yes"</formula1>
    </dataValidation>
  </dataValidations>
  <pageMargins left="0.7" right="0.7" top="0.75" bottom="0.75" header="0.3" footer="0.3"/>
  <pageSetup orientation="portrait" horizontalDpi="0" verticalDpi="0"/>
  <ignoredErrors>
    <ignoredError sqref="E278:AD278" formula="1"/>
  </ignoredErrors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ADDD2-5B05-8144-B9B5-8043DF4B0F3F}">
  <sheetPr codeName="Sheet2">
    <tabColor theme="4" tint="0.79998168889431442"/>
  </sheetPr>
  <dimension ref="A1:R322"/>
  <sheetViews>
    <sheetView showGridLines="0" topLeftCell="E8" workbookViewId="0">
      <selection activeCell="I8" sqref="I8"/>
    </sheetView>
  </sheetViews>
  <sheetFormatPr defaultColWidth="11.375" defaultRowHeight="11.4" x14ac:dyDescent="0.2"/>
  <cols>
    <col min="2" max="2" width="29.25" bestFit="1" customWidth="1"/>
    <col min="4" max="4" width="19" bestFit="1" customWidth="1"/>
    <col min="5" max="5" width="31.375" bestFit="1" customWidth="1"/>
    <col min="7" max="7" width="34.625" bestFit="1" customWidth="1"/>
    <col min="8" max="9" width="21" customWidth="1"/>
    <col min="11" max="11" width="34.625" bestFit="1" customWidth="1"/>
    <col min="12" max="13" width="17.75" bestFit="1" customWidth="1"/>
    <col min="14" max="14" width="15.375" bestFit="1" customWidth="1"/>
    <col min="15" max="15" width="15" bestFit="1" customWidth="1"/>
    <col min="16" max="16" width="25.25" bestFit="1" customWidth="1"/>
    <col min="17" max="17" width="18.625" bestFit="1" customWidth="1"/>
    <col min="18" max="18" width="25.25" bestFit="1" customWidth="1"/>
  </cols>
  <sheetData>
    <row r="1" spans="1:18" s="1" customFormat="1" ht="28.8" thickBot="1" x14ac:dyDescent="0.25">
      <c r="A1" s="1" t="s">
        <v>428</v>
      </c>
    </row>
    <row r="6" spans="1:18" ht="18" thickBot="1" x14ac:dyDescent="0.25">
      <c r="B6" s="6" t="s">
        <v>426</v>
      </c>
      <c r="D6" s="6" t="s">
        <v>427</v>
      </c>
      <c r="E6" s="6"/>
      <c r="G6" s="6" t="s">
        <v>425</v>
      </c>
      <c r="H6" s="6"/>
      <c r="I6" s="6"/>
      <c r="K6" s="6" t="s">
        <v>415</v>
      </c>
      <c r="L6" s="6"/>
      <c r="M6" s="6"/>
      <c r="N6" s="6"/>
      <c r="O6" s="6"/>
      <c r="P6" s="6"/>
      <c r="Q6" s="6"/>
      <c r="R6" s="6"/>
    </row>
    <row r="8" spans="1:18" ht="13.2" x14ac:dyDescent="0.2">
      <c r="B8" s="2" t="s">
        <v>116</v>
      </c>
      <c r="D8" s="2" t="s">
        <v>1</v>
      </c>
      <c r="E8" s="2" t="s">
        <v>2</v>
      </c>
      <c r="G8" s="2" t="s">
        <v>116</v>
      </c>
      <c r="H8" s="2" t="s">
        <v>1</v>
      </c>
      <c r="I8" s="2" t="s">
        <v>2</v>
      </c>
      <c r="K8" s="27" t="s">
        <v>416</v>
      </c>
      <c r="L8" s="2" t="s">
        <v>250</v>
      </c>
      <c r="M8" s="2" t="s">
        <v>131</v>
      </c>
      <c r="N8" s="2" t="s">
        <v>4</v>
      </c>
      <c r="O8" s="2" t="s">
        <v>156</v>
      </c>
      <c r="P8" s="2" t="s">
        <v>7</v>
      </c>
      <c r="Q8" s="2" t="s">
        <v>418</v>
      </c>
      <c r="R8" s="2" t="s">
        <v>8</v>
      </c>
    </row>
    <row r="9" spans="1:18" x14ac:dyDescent="0.2">
      <c r="B9" s="5" t="s">
        <v>128</v>
      </c>
      <c r="D9" s="3" t="s">
        <v>131</v>
      </c>
      <c r="E9" s="5" t="s">
        <v>148</v>
      </c>
      <c r="G9" s="5" t="s">
        <v>24</v>
      </c>
      <c r="H9" s="3" t="s">
        <v>7</v>
      </c>
      <c r="I9" s="3" t="s">
        <v>194</v>
      </c>
      <c r="K9" s="8" t="str" cm="1">
        <f t="array" ref="K9:K116">_xlfn._xlws.SORT(_xlfn.UNIQUE(_xlfn._xlws.FILTER(G9:G322,G9:G322&lt;&gt;"")))</f>
        <v>Arizona_Li_Battery</v>
      </c>
      <c r="L9" s="4" t="str">
        <f>IFERROR(INDEX('Resource Summary'!B:B,MATCH(K9,'Resource Summary'!A:A,0)),"-")</f>
        <v>CAISO</v>
      </c>
      <c r="M9" s="4" t="str" cm="1">
        <f t="array" ref="M9">IFERROR(INDEX($I$9:$I$322,MATCH($K9&amp;M$8,$G$9:$G$322&amp;$H$9:$H$322,0)),"-")</f>
        <v>Battery Storage</v>
      </c>
      <c r="N9" s="4" t="str" cm="1">
        <f t="array" ref="N9">IFERROR(INDEX($I$9:$I$322,MATCH($K9&amp;N$8,$G$9:$G$322&amp;$H$9:$H$322,0)),"-")</f>
        <v>Storage</v>
      </c>
      <c r="O9" s="4" t="str" cm="1">
        <f t="array" ref="O9">IFERROR(INDEX($I$9:$I$322,MATCH($K9&amp;O$8,$G$9:$G$322&amp;$H$9:$H$322,0)),"-")</f>
        <v>-</v>
      </c>
      <c r="P9" s="4" t="str" cm="1">
        <f t="array" ref="P9">IFERROR(INDEX($I$9:$I$322,MATCH($K9&amp;P$8,$G$9:$G$322&amp;$H$9:$H$322,0)),"-")</f>
        <v>-</v>
      </c>
      <c r="Q9" s="4" t="str" cm="1">
        <f t="array" ref="Q9">IFERROR(INDEX($I$9:$I$322,MATCH($K9&amp;Q$8,$G$9:$G$322&amp;$H$9:$H$322,0)),"-")</f>
        <v>-</v>
      </c>
      <c r="R9" s="4" t="str" cm="1">
        <f t="array" ref="R9">IFERROR(INDEX($I$9:$I$322,MATCH($K9&amp;R$8,$G$9:$G$322&amp;$H$9:$H$322,0)),"-")</f>
        <v>-</v>
      </c>
    </row>
    <row r="10" spans="1:18" x14ac:dyDescent="0.2">
      <c r="B10" s="5" t="s">
        <v>129</v>
      </c>
      <c r="D10" s="3" t="s">
        <v>131</v>
      </c>
      <c r="E10" s="5" t="s">
        <v>145</v>
      </c>
      <c r="G10" s="5" t="s">
        <v>16</v>
      </c>
      <c r="H10" s="3" t="s">
        <v>7</v>
      </c>
      <c r="I10" s="3" t="s">
        <v>417</v>
      </c>
      <c r="K10" s="8" t="str">
        <v>Arizona_Solar</v>
      </c>
      <c r="L10" s="4" t="str">
        <f>IFERROR(INDEX('Resource Summary'!B:B,MATCH(K10,'Resource Summary'!A:A,0)),"-")</f>
        <v>CAISO</v>
      </c>
      <c r="M10" s="4" t="str" cm="1">
        <f t="array" ref="M10">IFERROR(INDEX($I$9:$I$322,MATCH($K10&amp;M$8,$G$9:$G$322&amp;$H$9:$H$322,0)),"-")</f>
        <v>Solar</v>
      </c>
      <c r="N10" s="4" t="str" cm="1">
        <f t="array" ref="N10">IFERROR(INDEX($I$9:$I$322,MATCH($K10&amp;N$8,$G$9:$G$322&amp;$H$9:$H$322,0)),"-")</f>
        <v>Renewables</v>
      </c>
      <c r="O10" s="4" t="str" cm="1">
        <f t="array" ref="O10">IFERROR(INDEX($I$9:$I$322,MATCH($K10&amp;O$8,$G$9:$G$322&amp;$H$9:$H$322,0)),"-")</f>
        <v>-</v>
      </c>
      <c r="P10" s="4" t="str" cm="1">
        <f t="array" ref="P10">IFERROR(INDEX($I$9:$I$322,MATCH($K10&amp;P$8,$G$9:$G$322&amp;$H$9:$H$322,0)),"-")</f>
        <v>-</v>
      </c>
      <c r="Q10" s="4" t="str" cm="1">
        <f t="array" ref="Q10">IFERROR(INDEX($I$9:$I$322,MATCH($K10&amp;Q$8,$G$9:$G$322&amp;$H$9:$H$322,0)),"-")</f>
        <v>-</v>
      </c>
      <c r="R10" s="4" t="str" cm="1">
        <f t="array" ref="R10">IFERROR(INDEX($I$9:$I$322,MATCH($K10&amp;R$8,$G$9:$G$322&amp;$H$9:$H$322,0)),"-")</f>
        <v>-</v>
      </c>
    </row>
    <row r="11" spans="1:18" x14ac:dyDescent="0.2">
      <c r="B11" s="5"/>
      <c r="D11" s="3" t="s">
        <v>131</v>
      </c>
      <c r="E11" s="5" t="s">
        <v>149</v>
      </c>
      <c r="G11" s="5" t="s">
        <v>17</v>
      </c>
      <c r="H11" s="3" t="s">
        <v>7</v>
      </c>
      <c r="I11" s="3" t="s">
        <v>417</v>
      </c>
      <c r="K11" s="8" t="str">
        <v>Arizona_Wind</v>
      </c>
      <c r="L11" s="4" t="str">
        <f>IFERROR(INDEX('Resource Summary'!B:B,MATCH(K11,'Resource Summary'!A:A,0)),"-")</f>
        <v>CAISO</v>
      </c>
      <c r="M11" s="4" t="str" cm="1">
        <f t="array" ref="M11">IFERROR(INDEX($I$9:$I$322,MATCH($K11&amp;M$8,$G$9:$G$322&amp;$H$9:$H$322,0)),"-")</f>
        <v>Wind</v>
      </c>
      <c r="N11" s="4" t="str" cm="1">
        <f t="array" ref="N11">IFERROR(INDEX($I$9:$I$322,MATCH($K11&amp;N$8,$G$9:$G$322&amp;$H$9:$H$322,0)),"-")</f>
        <v>Renewables</v>
      </c>
      <c r="O11" s="4" t="str" cm="1">
        <f t="array" ref="O11">IFERROR(INDEX($I$9:$I$322,MATCH($K11&amp;O$8,$G$9:$G$322&amp;$H$9:$H$322,0)),"-")</f>
        <v>-</v>
      </c>
      <c r="P11" s="4" t="str" cm="1">
        <f t="array" ref="P11">IFERROR(INDEX($I$9:$I$322,MATCH($K11&amp;P$8,$G$9:$G$322&amp;$H$9:$H$322,0)),"-")</f>
        <v>-</v>
      </c>
      <c r="Q11" s="4" t="str" cm="1">
        <f t="array" ref="Q11">IFERROR(INDEX($I$9:$I$322,MATCH($K11&amp;Q$8,$G$9:$G$322&amp;$H$9:$H$322,0)),"-")</f>
        <v>-</v>
      </c>
      <c r="R11" s="4" t="str" cm="1">
        <f t="array" ref="R11">IFERROR(INDEX($I$9:$I$322,MATCH($K11&amp;R$8,$G$9:$G$322&amp;$H$9:$H$322,0)),"-")</f>
        <v>-</v>
      </c>
    </row>
    <row r="12" spans="1:18" x14ac:dyDescent="0.2">
      <c r="D12" s="3" t="s">
        <v>131</v>
      </c>
      <c r="E12" s="5" t="s">
        <v>150</v>
      </c>
      <c r="G12" s="5" t="s">
        <v>22</v>
      </c>
      <c r="H12" s="3" t="s">
        <v>7</v>
      </c>
      <c r="I12" s="3" t="s">
        <v>417</v>
      </c>
      <c r="K12" s="8" t="str">
        <v>Baja_California_Wind</v>
      </c>
      <c r="L12" s="4" t="str">
        <f>IFERROR(INDEX('Resource Summary'!B:B,MATCH(K12,'Resource Summary'!A:A,0)),"-")</f>
        <v>CAISO</v>
      </c>
      <c r="M12" s="4" t="str" cm="1">
        <f t="array" ref="M12">IFERROR(INDEX($I$9:$I$322,MATCH($K12&amp;M$8,$G$9:$G$322&amp;$H$9:$H$322,0)),"-")</f>
        <v>Wind</v>
      </c>
      <c r="N12" s="4" t="str" cm="1">
        <f t="array" ref="N12">IFERROR(INDEX($I$9:$I$322,MATCH($K12&amp;N$8,$G$9:$G$322&amp;$H$9:$H$322,0)),"-")</f>
        <v>Renewables</v>
      </c>
      <c r="O12" s="4" t="str" cm="1">
        <f t="array" ref="O12">IFERROR(INDEX($I$9:$I$322,MATCH($K12&amp;O$8,$G$9:$G$322&amp;$H$9:$H$322,0)),"-")</f>
        <v>-</v>
      </c>
      <c r="P12" s="4" t="str" cm="1">
        <f t="array" ref="P12">IFERROR(INDEX($I$9:$I$322,MATCH($K12&amp;P$8,$G$9:$G$322&amp;$H$9:$H$322,0)),"-")</f>
        <v>-</v>
      </c>
      <c r="Q12" s="4" t="str" cm="1">
        <f t="array" ref="Q12">IFERROR(INDEX($I$9:$I$322,MATCH($K12&amp;Q$8,$G$9:$G$322&amp;$H$9:$H$322,0)),"-")</f>
        <v>-</v>
      </c>
      <c r="R12" s="4" t="str" cm="1">
        <f t="array" ref="R12">IFERROR(INDEX($I$9:$I$322,MATCH($K12&amp;R$8,$G$9:$G$322&amp;$H$9:$H$322,0)),"-")</f>
        <v>-</v>
      </c>
    </row>
    <row r="13" spans="1:18" x14ac:dyDescent="0.2">
      <c r="D13" s="3" t="s">
        <v>131</v>
      </c>
      <c r="E13" s="5" t="s">
        <v>121</v>
      </c>
      <c r="G13" s="5" t="s">
        <v>23</v>
      </c>
      <c r="H13" s="3" t="s">
        <v>7</v>
      </c>
      <c r="I13" s="3" t="s">
        <v>417</v>
      </c>
      <c r="K13" s="8" t="str">
        <v>BANC_CCGT</v>
      </c>
      <c r="L13" s="4" t="str">
        <f>IFERROR(INDEX('Resource Summary'!B:B,MATCH(K13,'Resource Summary'!A:A,0)),"-")</f>
        <v>BANC</v>
      </c>
      <c r="M13" s="4" t="str" cm="1">
        <f t="array" ref="M13">IFERROR(INDEX($I$9:$I$322,MATCH($K13&amp;M$8,$G$9:$G$322&amp;$H$9:$H$322,0)),"-")</f>
        <v>-</v>
      </c>
      <c r="N13" s="4" t="str" cm="1">
        <f t="array" ref="N13">IFERROR(INDEX($I$9:$I$322,MATCH($K13&amp;N$8,$G$9:$G$322&amp;$H$9:$H$322,0)),"-")</f>
        <v>-</v>
      </c>
      <c r="O13" s="4" t="str" cm="1">
        <f t="array" ref="O13">IFERROR(INDEX($I$9:$I$322,MATCH($K13&amp;O$8,$G$9:$G$322&amp;$H$9:$H$322,0)),"-")</f>
        <v>-</v>
      </c>
      <c r="P13" s="4" t="str" cm="1">
        <f t="array" ref="P13">IFERROR(INDEX($I$9:$I$322,MATCH($K13&amp;P$8,$G$9:$G$322&amp;$H$9:$H$322,0)),"-")</f>
        <v>-</v>
      </c>
      <c r="Q13" s="4" t="str" cm="1">
        <f t="array" ref="Q13">IFERROR(INDEX($I$9:$I$322,MATCH($K13&amp;Q$8,$G$9:$G$322&amp;$H$9:$H$322,0)),"-")</f>
        <v>BANC</v>
      </c>
      <c r="R13" s="4" t="str" cm="1">
        <f t="array" ref="R13">IFERROR(INDEX($I$9:$I$322,MATCH($K13&amp;R$8,$G$9:$G$322&amp;$H$9:$H$322,0)),"-")</f>
        <v>-</v>
      </c>
    </row>
    <row r="14" spans="1:18" x14ac:dyDescent="0.2">
      <c r="D14" s="3" t="s">
        <v>131</v>
      </c>
      <c r="E14" s="5" t="s">
        <v>120</v>
      </c>
      <c r="G14" s="5" t="s">
        <v>25</v>
      </c>
      <c r="H14" s="3" t="s">
        <v>7</v>
      </c>
      <c r="I14" s="3" t="s">
        <v>417</v>
      </c>
      <c r="K14" s="8" t="str">
        <v>BANC_Peaker</v>
      </c>
      <c r="L14" s="4" t="str">
        <f>IFERROR(INDEX('Resource Summary'!B:B,MATCH(K14,'Resource Summary'!A:A,0)),"-")</f>
        <v>BANC</v>
      </c>
      <c r="M14" s="4" t="str" cm="1">
        <f t="array" ref="M14">IFERROR(INDEX($I$9:$I$322,MATCH($K14&amp;M$8,$G$9:$G$322&amp;$H$9:$H$322,0)),"-")</f>
        <v>-</v>
      </c>
      <c r="N14" s="4" t="str" cm="1">
        <f t="array" ref="N14">IFERROR(INDEX($I$9:$I$322,MATCH($K14&amp;N$8,$G$9:$G$322&amp;$H$9:$H$322,0)),"-")</f>
        <v>-</v>
      </c>
      <c r="O14" s="4" t="str" cm="1">
        <f t="array" ref="O14">IFERROR(INDEX($I$9:$I$322,MATCH($K14&amp;O$8,$G$9:$G$322&amp;$H$9:$H$322,0)),"-")</f>
        <v>-</v>
      </c>
      <c r="P14" s="4" t="str" cm="1">
        <f t="array" ref="P14">IFERROR(INDEX($I$9:$I$322,MATCH($K14&amp;P$8,$G$9:$G$322&amp;$H$9:$H$322,0)),"-")</f>
        <v>-</v>
      </c>
      <c r="Q14" s="4" t="str" cm="1">
        <f t="array" ref="Q14">IFERROR(INDEX($I$9:$I$322,MATCH($K14&amp;Q$8,$G$9:$G$322&amp;$H$9:$H$322,0)),"-")</f>
        <v>BANC</v>
      </c>
      <c r="R14" s="4" t="str" cm="1">
        <f t="array" ref="R14">IFERROR(INDEX($I$9:$I$322,MATCH($K14&amp;R$8,$G$9:$G$322&amp;$H$9:$H$322,0)),"-")</f>
        <v>-</v>
      </c>
    </row>
    <row r="15" spans="1:18" x14ac:dyDescent="0.2">
      <c r="D15" s="3" t="s">
        <v>131</v>
      </c>
      <c r="E15" s="5" t="s">
        <v>122</v>
      </c>
      <c r="G15" s="5" t="s">
        <v>33</v>
      </c>
      <c r="H15" s="3" t="s">
        <v>7</v>
      </c>
      <c r="I15" s="3" t="s">
        <v>417</v>
      </c>
      <c r="K15" s="8" t="str">
        <v>CAISO_Advanced_CCGT</v>
      </c>
      <c r="L15" s="4" t="str">
        <f>IFERROR(INDEX('Resource Summary'!B:B,MATCH(K15,'Resource Summary'!A:A,0)),"-")</f>
        <v>CAISO</v>
      </c>
      <c r="M15" s="4" t="str" cm="1">
        <f t="array" ref="M15">IFERROR(INDEX($I$9:$I$322,MATCH($K15&amp;M$8,$G$9:$G$322&amp;$H$9:$H$322,0)),"-")</f>
        <v>Fossil Gas</v>
      </c>
      <c r="N15" s="4" t="str" cm="1">
        <f t="array" ref="N15">IFERROR(INDEX($I$9:$I$322,MATCH($K15&amp;N$8,$G$9:$G$322&amp;$H$9:$H$322,0)),"-")</f>
        <v>New Thermal</v>
      </c>
      <c r="O15" s="4" t="str" cm="1">
        <f t="array" ref="O15">IFERROR(INDEX($I$9:$I$322,MATCH($K15&amp;O$8,$G$9:$G$322&amp;$H$9:$H$322,0)),"-")</f>
        <v>-</v>
      </c>
      <c r="P15" s="4" t="str" cm="1">
        <f t="array" ref="P15">IFERROR(INDEX($I$9:$I$322,MATCH($K15&amp;P$8,$G$9:$G$322&amp;$H$9:$H$322,0)),"-")</f>
        <v>Generator Emissions</v>
      </c>
      <c r="Q15" s="4" t="str" cm="1">
        <f t="array" ref="Q15">IFERROR(INDEX($I$9:$I$322,MATCH($K15&amp;Q$8,$G$9:$G$322&amp;$H$9:$H$322,0)),"-")</f>
        <v>-</v>
      </c>
      <c r="R15" s="4" t="str" cm="1">
        <f t="array" ref="R15">IFERROR(INDEX($I$9:$I$322,MATCH($K15&amp;R$8,$G$9:$G$322&amp;$H$9:$H$322,0)),"-")</f>
        <v>CCGT</v>
      </c>
    </row>
    <row r="16" spans="1:18" x14ac:dyDescent="0.2">
      <c r="D16" s="3" t="s">
        <v>131</v>
      </c>
      <c r="E16" s="5" t="s">
        <v>119</v>
      </c>
      <c r="G16" s="5" t="s">
        <v>34</v>
      </c>
      <c r="H16" s="3" t="s">
        <v>7</v>
      </c>
      <c r="I16" s="3" t="s">
        <v>417</v>
      </c>
      <c r="K16" s="8" t="str">
        <v>CAISO_Aero_CT</v>
      </c>
      <c r="L16" s="4" t="str">
        <f>IFERROR(INDEX('Resource Summary'!B:B,MATCH(K16,'Resource Summary'!A:A,0)),"-")</f>
        <v>CAISO</v>
      </c>
      <c r="M16" s="4" t="str" cm="1">
        <f t="array" ref="M16">IFERROR(INDEX($I$9:$I$322,MATCH($K16&amp;M$8,$G$9:$G$322&amp;$H$9:$H$322,0)),"-")</f>
        <v>Fossil Gas</v>
      </c>
      <c r="N16" s="4" t="str" cm="1">
        <f t="array" ref="N16">IFERROR(INDEX($I$9:$I$322,MATCH($K16&amp;N$8,$G$9:$G$322&amp;$H$9:$H$322,0)),"-")</f>
        <v>New Thermal</v>
      </c>
      <c r="O16" s="4" t="str" cm="1">
        <f t="array" ref="O16">IFERROR(INDEX($I$9:$I$322,MATCH($K16&amp;O$8,$G$9:$G$322&amp;$H$9:$H$322,0)),"-")</f>
        <v>-</v>
      </c>
      <c r="P16" s="4" t="str" cm="1">
        <f t="array" ref="P16">IFERROR(INDEX($I$9:$I$322,MATCH($K16&amp;P$8,$G$9:$G$322&amp;$H$9:$H$322,0)),"-")</f>
        <v>Generator Emissions</v>
      </c>
      <c r="Q16" s="4" t="str" cm="1">
        <f t="array" ref="Q16">IFERROR(INDEX($I$9:$I$322,MATCH($K16&amp;Q$8,$G$9:$G$322&amp;$H$9:$H$322,0)),"-")</f>
        <v>-</v>
      </c>
      <c r="R16" s="4" t="str" cm="1">
        <f t="array" ref="R16">IFERROR(INDEX($I$9:$I$322,MATCH($K16&amp;R$8,$G$9:$G$322&amp;$H$9:$H$322,0)),"-")</f>
        <v>Peaker</v>
      </c>
    </row>
    <row r="17" spans="4:18" x14ac:dyDescent="0.2">
      <c r="D17" s="3" t="s">
        <v>131</v>
      </c>
      <c r="E17" s="5" t="s">
        <v>127</v>
      </c>
      <c r="G17" s="5" t="s">
        <v>35</v>
      </c>
      <c r="H17" s="3" t="s">
        <v>7</v>
      </c>
      <c r="I17" s="3" t="s">
        <v>417</v>
      </c>
      <c r="K17" s="8" t="str">
        <v>CAISO_Baseline_Li_Battery</v>
      </c>
      <c r="L17" s="4" t="str">
        <f>IFERROR(INDEX('Resource Summary'!B:B,MATCH(K17,'Resource Summary'!A:A,0)),"-")</f>
        <v>CAISO</v>
      </c>
      <c r="M17" s="4" t="str" cm="1">
        <f t="array" ref="M17">IFERROR(INDEX($I$9:$I$322,MATCH($K17&amp;M$8,$G$9:$G$322&amp;$H$9:$H$322,0)),"-")</f>
        <v>Battery Storage</v>
      </c>
      <c r="N17" s="4" t="str" cm="1">
        <f t="array" ref="N17">IFERROR(INDEX($I$9:$I$322,MATCH($K17&amp;N$8,$G$9:$G$322&amp;$H$9:$H$322,0)),"-")</f>
        <v>Storage</v>
      </c>
      <c r="O17" s="4" t="str" cm="1">
        <f t="array" ref="O17">IFERROR(INDEX($I$9:$I$322,MATCH($K17&amp;O$8,$G$9:$G$322&amp;$H$9:$H$322,0)),"-")</f>
        <v>BTM Li Battery</v>
      </c>
      <c r="P17" s="4" t="str" cm="1">
        <f t="array" ref="P17">IFERROR(INDEX($I$9:$I$322,MATCH($K17&amp;P$8,$G$9:$G$322&amp;$H$9:$H$322,0)),"-")</f>
        <v>-</v>
      </c>
      <c r="Q17" s="4" t="str" cm="1">
        <f t="array" ref="Q17">IFERROR(INDEX($I$9:$I$322,MATCH($K17&amp;Q$8,$G$9:$G$322&amp;$H$9:$H$322,0)),"-")</f>
        <v>-</v>
      </c>
      <c r="R17" s="4" t="str" cm="1">
        <f t="array" ref="R17">IFERROR(INDEX($I$9:$I$322,MATCH($K17&amp;R$8,$G$9:$G$322&amp;$H$9:$H$322,0)),"-")</f>
        <v>-</v>
      </c>
    </row>
    <row r="18" spans="4:18" x14ac:dyDescent="0.2">
      <c r="D18" s="3" t="s">
        <v>131</v>
      </c>
      <c r="E18" s="5" t="s">
        <v>118</v>
      </c>
      <c r="G18" s="5" t="s">
        <v>49</v>
      </c>
      <c r="H18" s="3" t="s">
        <v>7</v>
      </c>
      <c r="I18" s="3" t="s">
        <v>417</v>
      </c>
      <c r="K18" s="8" t="str">
        <v>CAISO_Biomass_for_CAISO</v>
      </c>
      <c r="L18" s="4" t="str">
        <f>IFERROR(INDEX('Resource Summary'!B:B,MATCH(K18,'Resource Summary'!A:A,0)),"-")</f>
        <v>CAISO</v>
      </c>
      <c r="M18" s="4" t="str" cm="1">
        <f t="array" ref="M18">IFERROR(INDEX($I$9:$I$322,MATCH($K18&amp;M$8,$G$9:$G$322&amp;$H$9:$H$322,0)),"-")</f>
        <v>Biomass</v>
      </c>
      <c r="N18" s="4" t="str" cm="1">
        <f t="array" ref="N18">IFERROR(INDEX($I$9:$I$322,MATCH($K18&amp;N$8,$G$9:$G$322&amp;$H$9:$H$322,0)),"-")</f>
        <v>Renewables</v>
      </c>
      <c r="O18" s="4" t="str" cm="1">
        <f t="array" ref="O18">IFERROR(INDEX($I$9:$I$322,MATCH($K18&amp;O$8,$G$9:$G$322&amp;$H$9:$H$322,0)),"-")</f>
        <v>-</v>
      </c>
      <c r="P18" s="4" t="str" cm="1">
        <f t="array" ref="P18">IFERROR(INDEX($I$9:$I$322,MATCH($K18&amp;P$8,$G$9:$G$322&amp;$H$9:$H$322,0)),"-")</f>
        <v>-</v>
      </c>
      <c r="Q18" s="4" t="str" cm="1">
        <f t="array" ref="Q18">IFERROR(INDEX($I$9:$I$322,MATCH($K18&amp;Q$8,$G$9:$G$322&amp;$H$9:$H$322,0)),"-")</f>
        <v>-</v>
      </c>
      <c r="R18" s="4" t="str" cm="1">
        <f t="array" ref="R18">IFERROR(INDEX($I$9:$I$322,MATCH($K18&amp;R$8,$G$9:$G$322&amp;$H$9:$H$322,0)),"-")</f>
        <v>Biomass</v>
      </c>
    </row>
    <row r="19" spans="4:18" x14ac:dyDescent="0.2">
      <c r="D19" s="3" t="s">
        <v>131</v>
      </c>
      <c r="E19" s="5" t="s">
        <v>126</v>
      </c>
      <c r="G19" s="5" t="s">
        <v>10</v>
      </c>
      <c r="H19" s="3" t="s">
        <v>131</v>
      </c>
      <c r="I19" s="3" t="s">
        <v>151</v>
      </c>
      <c r="K19" s="8" t="str">
        <v>CAISO_Biomass_for_Other</v>
      </c>
      <c r="L19" s="4" t="str">
        <f>IFERROR(INDEX('Resource Summary'!B:B,MATCH(K19,'Resource Summary'!A:A,0)),"-")</f>
        <v>CAISO</v>
      </c>
      <c r="M19" s="4" t="str" cm="1">
        <f t="array" ref="M19">IFERROR(INDEX($I$9:$I$322,MATCH($K19&amp;M$8,$G$9:$G$322&amp;$H$9:$H$322,0)),"-")</f>
        <v>Biomass</v>
      </c>
      <c r="N19" s="4" t="str" cm="1">
        <f t="array" ref="N19">IFERROR(INDEX($I$9:$I$322,MATCH($K19&amp;N$8,$G$9:$G$322&amp;$H$9:$H$322,0)),"-")</f>
        <v>Renewables</v>
      </c>
      <c r="O19" s="4" t="str" cm="1">
        <f t="array" ref="O19">IFERROR(INDEX($I$9:$I$322,MATCH($K19&amp;O$8,$G$9:$G$322&amp;$H$9:$H$322,0)),"-")</f>
        <v>-</v>
      </c>
      <c r="P19" s="4" t="str" cm="1">
        <f t="array" ref="P19">IFERROR(INDEX($I$9:$I$322,MATCH($K19&amp;P$8,$G$9:$G$322&amp;$H$9:$H$322,0)),"-")</f>
        <v>-</v>
      </c>
      <c r="Q19" s="4" t="str" cm="1">
        <f t="array" ref="Q19">IFERROR(INDEX($I$9:$I$322,MATCH($K19&amp;Q$8,$G$9:$G$322&amp;$H$9:$H$322,0)),"-")</f>
        <v>-</v>
      </c>
      <c r="R19" s="4" t="str" cm="1">
        <f t="array" ref="R19">IFERROR(INDEX($I$9:$I$322,MATCH($K19&amp;R$8,$G$9:$G$322&amp;$H$9:$H$322,0)),"-")</f>
        <v>Biomass</v>
      </c>
    </row>
    <row r="20" spans="4:18" x14ac:dyDescent="0.2">
      <c r="D20" s="3" t="s">
        <v>131</v>
      </c>
      <c r="E20" s="5" t="s">
        <v>151</v>
      </c>
      <c r="G20" s="5" t="s">
        <v>18</v>
      </c>
      <c r="H20" s="3" t="s">
        <v>131</v>
      </c>
      <c r="I20" s="3" t="s">
        <v>151</v>
      </c>
      <c r="K20" s="8" t="str">
        <v>CAISO_BTM_Li_Battery</v>
      </c>
      <c r="L20" s="4" t="str">
        <f>IFERROR(INDEX('Resource Summary'!B:B,MATCH(K20,'Resource Summary'!A:A,0)),"-")</f>
        <v>CAISO</v>
      </c>
      <c r="M20" s="4" t="str" cm="1">
        <f t="array" ref="M20">IFERROR(INDEX($I$9:$I$322,MATCH($K20&amp;M$8,$G$9:$G$322&amp;$H$9:$H$322,0)),"-")</f>
        <v>Battery Storage</v>
      </c>
      <c r="N20" s="4" t="str" cm="1">
        <f t="array" ref="N20">IFERROR(INDEX($I$9:$I$322,MATCH($K20&amp;N$8,$G$9:$G$322&amp;$H$9:$H$322,0)),"-")</f>
        <v>Storage</v>
      </c>
      <c r="O20" s="4" t="str" cm="1">
        <f t="array" ref="O20">IFERROR(INDEX($I$9:$I$322,MATCH($K20&amp;O$8,$G$9:$G$322&amp;$H$9:$H$322,0)),"-")</f>
        <v>BTM Li Battery</v>
      </c>
      <c r="P20" s="4" t="str" cm="1">
        <f t="array" ref="P20">IFERROR(INDEX($I$9:$I$322,MATCH($K20&amp;P$8,$G$9:$G$322&amp;$H$9:$H$322,0)),"-")</f>
        <v>-</v>
      </c>
      <c r="Q20" s="4" t="str" cm="1">
        <f t="array" ref="Q20">IFERROR(INDEX($I$9:$I$322,MATCH($K20&amp;Q$8,$G$9:$G$322&amp;$H$9:$H$322,0)),"-")</f>
        <v>-</v>
      </c>
      <c r="R20" s="4" t="str" cm="1">
        <f t="array" ref="R20">IFERROR(INDEX($I$9:$I$322,MATCH($K20&amp;R$8,$G$9:$G$322&amp;$H$9:$H$322,0)),"-")</f>
        <v>-</v>
      </c>
    </row>
    <row r="21" spans="4:18" x14ac:dyDescent="0.2">
      <c r="D21" s="3" t="s">
        <v>131</v>
      </c>
      <c r="E21" s="5" t="s">
        <v>152</v>
      </c>
      <c r="G21" s="5" t="s">
        <v>21</v>
      </c>
      <c r="H21" s="3" t="s">
        <v>131</v>
      </c>
      <c r="I21" s="3" t="s">
        <v>151</v>
      </c>
      <c r="K21" s="8" t="str">
        <v>CAISO_CCGT1</v>
      </c>
      <c r="L21" s="4" t="str">
        <f>IFERROR(INDEX('Resource Summary'!B:B,MATCH(K21,'Resource Summary'!A:A,0)),"-")</f>
        <v>CAISO</v>
      </c>
      <c r="M21" s="4" t="str" cm="1">
        <f t="array" ref="M21">IFERROR(INDEX($I$9:$I$322,MATCH($K21&amp;M$8,$G$9:$G$322&amp;$H$9:$H$322,0)),"-")</f>
        <v>Fossil Gas</v>
      </c>
      <c r="N21" s="4" t="str" cm="1">
        <f t="array" ref="N21">IFERROR(INDEX($I$9:$I$322,MATCH($K21&amp;N$8,$G$9:$G$322&amp;$H$9:$H$322,0)),"-")</f>
        <v>Baseline Thermal</v>
      </c>
      <c r="O21" s="4" t="str" cm="1">
        <f t="array" ref="O21">IFERROR(INDEX($I$9:$I$322,MATCH($K21&amp;O$8,$G$9:$G$322&amp;$H$9:$H$322,0)),"-")</f>
        <v>-</v>
      </c>
      <c r="P21" s="4" t="str" cm="1">
        <f t="array" ref="P21">IFERROR(INDEX($I$9:$I$322,MATCH($K21&amp;P$8,$G$9:$G$322&amp;$H$9:$H$322,0)),"-")</f>
        <v>Generator Emissions</v>
      </c>
      <c r="Q21" s="4" t="str" cm="1">
        <f t="array" ref="Q21">IFERROR(INDEX($I$9:$I$322,MATCH($K21&amp;Q$8,$G$9:$G$322&amp;$H$9:$H$322,0)),"-")</f>
        <v>-</v>
      </c>
      <c r="R21" s="4" t="str" cm="1">
        <f t="array" ref="R21">IFERROR(INDEX($I$9:$I$322,MATCH($K21&amp;R$8,$G$9:$G$322&amp;$H$9:$H$322,0)),"-")</f>
        <v>CCGT</v>
      </c>
    </row>
    <row r="22" spans="4:18" x14ac:dyDescent="0.2">
      <c r="D22" s="3" t="s">
        <v>131</v>
      </c>
      <c r="E22" s="5" t="s">
        <v>123</v>
      </c>
      <c r="G22" s="5" t="s">
        <v>30</v>
      </c>
      <c r="H22" s="3" t="s">
        <v>131</v>
      </c>
      <c r="I22" s="3" t="s">
        <v>151</v>
      </c>
      <c r="K22" s="8" t="str">
        <v>CAISO_CCGT2</v>
      </c>
      <c r="L22" s="4" t="str">
        <f>IFERROR(INDEX('Resource Summary'!B:B,MATCH(K22,'Resource Summary'!A:A,0)),"-")</f>
        <v>CAISO</v>
      </c>
      <c r="M22" s="4" t="str" cm="1">
        <f t="array" ref="M22">IFERROR(INDEX($I$9:$I$322,MATCH($K22&amp;M$8,$G$9:$G$322&amp;$H$9:$H$322,0)),"-")</f>
        <v>Fossil Gas</v>
      </c>
      <c r="N22" s="4" t="str" cm="1">
        <f t="array" ref="N22">IFERROR(INDEX($I$9:$I$322,MATCH($K22&amp;N$8,$G$9:$G$322&amp;$H$9:$H$322,0)),"-")</f>
        <v>Baseline Thermal</v>
      </c>
      <c r="O22" s="4" t="str" cm="1">
        <f t="array" ref="O22">IFERROR(INDEX($I$9:$I$322,MATCH($K22&amp;O$8,$G$9:$G$322&amp;$H$9:$H$322,0)),"-")</f>
        <v>-</v>
      </c>
      <c r="P22" s="4" t="str" cm="1">
        <f t="array" ref="P22">IFERROR(INDEX($I$9:$I$322,MATCH($K22&amp;P$8,$G$9:$G$322&amp;$H$9:$H$322,0)),"-")</f>
        <v>Generator Emissions</v>
      </c>
      <c r="Q22" s="4" t="str" cm="1">
        <f t="array" ref="Q22">IFERROR(INDEX($I$9:$I$322,MATCH($K22&amp;Q$8,$G$9:$G$322&amp;$H$9:$H$322,0)),"-")</f>
        <v>-</v>
      </c>
      <c r="R22" s="4" t="str" cm="1">
        <f t="array" ref="R22">IFERROR(INDEX($I$9:$I$322,MATCH($K22&amp;R$8,$G$9:$G$322&amp;$H$9:$H$322,0)),"-")</f>
        <v>CCGT</v>
      </c>
    </row>
    <row r="23" spans="4:18" x14ac:dyDescent="0.2">
      <c r="D23" s="3" t="s">
        <v>131</v>
      </c>
      <c r="E23" s="5" t="s">
        <v>170</v>
      </c>
      <c r="G23" s="5" t="s">
        <v>31</v>
      </c>
      <c r="H23" s="3" t="s">
        <v>131</v>
      </c>
      <c r="I23" s="3" t="s">
        <v>151</v>
      </c>
      <c r="K23" s="8" t="str">
        <v>CAISO_CHP</v>
      </c>
      <c r="L23" s="4" t="str">
        <f>IFERROR(INDEX('Resource Summary'!B:B,MATCH(K23,'Resource Summary'!A:A,0)),"-")</f>
        <v>CAISO</v>
      </c>
      <c r="M23" s="4" t="str" cm="1">
        <f t="array" ref="M23">IFERROR(INDEX($I$9:$I$322,MATCH($K23&amp;M$8,$G$9:$G$322&amp;$H$9:$H$322,0)),"-")</f>
        <v>CHP</v>
      </c>
      <c r="N23" s="4" t="str" cm="1">
        <f t="array" ref="N23">IFERROR(INDEX($I$9:$I$322,MATCH($K23&amp;N$8,$G$9:$G$322&amp;$H$9:$H$322,0)),"-")</f>
        <v>Baseline Thermal</v>
      </c>
      <c r="O23" s="4" t="str" cm="1">
        <f t="array" ref="O23">IFERROR(INDEX($I$9:$I$322,MATCH($K23&amp;O$8,$G$9:$G$322&amp;$H$9:$H$322,0)),"-")</f>
        <v>-</v>
      </c>
      <c r="P23" s="4" t="str" cm="1">
        <f t="array" ref="P23">IFERROR(INDEX($I$9:$I$322,MATCH($K23&amp;P$8,$G$9:$G$322&amp;$H$9:$H$322,0)),"-")</f>
        <v>CAISO BTM CHP</v>
      </c>
      <c r="Q23" s="4" t="str" cm="1">
        <f t="array" ref="Q23">IFERROR(INDEX($I$9:$I$322,MATCH($K23&amp;Q$8,$G$9:$G$322&amp;$H$9:$H$322,0)),"-")</f>
        <v>-</v>
      </c>
      <c r="R23" s="4" t="str" cm="1">
        <f t="array" ref="R23">IFERROR(INDEX($I$9:$I$322,MATCH($K23&amp;R$8,$G$9:$G$322&amp;$H$9:$H$322,0)),"-")</f>
        <v>CHP</v>
      </c>
    </row>
    <row r="24" spans="4:18" x14ac:dyDescent="0.2">
      <c r="D24" s="3" t="s">
        <v>4</v>
      </c>
      <c r="E24" s="5" t="s">
        <v>132</v>
      </c>
      <c r="G24" s="5" t="s">
        <v>57</v>
      </c>
      <c r="H24" s="3" t="s">
        <v>131</v>
      </c>
      <c r="I24" s="3" t="s">
        <v>151</v>
      </c>
      <c r="K24" s="8" t="str">
        <v>CAISO_Coal</v>
      </c>
      <c r="L24" s="4" t="str">
        <f>IFERROR(INDEX('Resource Summary'!B:B,MATCH(K24,'Resource Summary'!A:A,0)),"-")</f>
        <v>CAISO</v>
      </c>
      <c r="M24" s="4" t="str" cm="1">
        <f t="array" ref="M24">IFERROR(INDEX($I$9:$I$322,MATCH($K24&amp;M$8,$G$9:$G$322&amp;$H$9:$H$322,0)),"-")</f>
        <v>Coal</v>
      </c>
      <c r="N24" s="4" t="str" cm="1">
        <f t="array" ref="N24">IFERROR(INDEX($I$9:$I$322,MATCH($K24&amp;N$8,$G$9:$G$322&amp;$H$9:$H$322,0)),"-")</f>
        <v>Baseline Thermal</v>
      </c>
      <c r="O24" s="4" t="str" cm="1">
        <f t="array" ref="O24">IFERROR(INDEX($I$9:$I$322,MATCH($K24&amp;O$8,$G$9:$G$322&amp;$H$9:$H$322,0)),"-")</f>
        <v>-</v>
      </c>
      <c r="P24" s="4" t="str" cm="1">
        <f t="array" ref="P24">IFERROR(INDEX($I$9:$I$322,MATCH($K24&amp;P$8,$G$9:$G$322&amp;$H$9:$H$322,0)),"-")</f>
        <v>Generator Emissions</v>
      </c>
      <c r="Q24" s="4" t="str" cm="1">
        <f t="array" ref="Q24">IFERROR(INDEX($I$9:$I$322,MATCH($K24&amp;Q$8,$G$9:$G$322&amp;$H$9:$H$322,0)),"-")</f>
        <v>-</v>
      </c>
      <c r="R24" s="4" t="str" cm="1">
        <f t="array" ref="R24">IFERROR(INDEX($I$9:$I$322,MATCH($K24&amp;R$8,$G$9:$G$322&amp;$H$9:$H$322,0)),"-")</f>
        <v>Coal</v>
      </c>
    </row>
    <row r="25" spans="4:18" x14ac:dyDescent="0.2">
      <c r="D25" s="3" t="s">
        <v>4</v>
      </c>
      <c r="E25" s="5" t="s">
        <v>168</v>
      </c>
      <c r="G25" s="5" t="s">
        <v>59</v>
      </c>
      <c r="H25" s="3" t="s">
        <v>131</v>
      </c>
      <c r="I25" s="3" t="s">
        <v>151</v>
      </c>
      <c r="K25" s="8" t="str">
        <v>CAISO_Existing_Pumped_Storage</v>
      </c>
      <c r="L25" s="4" t="str">
        <f>IFERROR(INDEX('Resource Summary'!B:B,MATCH(K25,'Resource Summary'!A:A,0)),"-")</f>
        <v>CAISO</v>
      </c>
      <c r="M25" s="4" t="str" cm="1">
        <f t="array" ref="M25">IFERROR(INDEX($I$9:$I$322,MATCH($K25&amp;M$8,$G$9:$G$322&amp;$H$9:$H$322,0)),"-")</f>
        <v>Pumped Storage</v>
      </c>
      <c r="N25" s="4" t="str" cm="1">
        <f t="array" ref="N25">IFERROR(INDEX($I$9:$I$322,MATCH($K25&amp;N$8,$G$9:$G$322&amp;$H$9:$H$322,0)),"-")</f>
        <v>Storage</v>
      </c>
      <c r="O25" s="4" t="str" cm="1">
        <f t="array" ref="O25">IFERROR(INDEX($I$9:$I$322,MATCH($K25&amp;O$8,$G$9:$G$322&amp;$H$9:$H$322,0)),"-")</f>
        <v>Pumped Storage</v>
      </c>
      <c r="P25" s="4" t="str" cm="1">
        <f t="array" ref="P25">IFERROR(INDEX($I$9:$I$322,MATCH($K25&amp;P$8,$G$9:$G$322&amp;$H$9:$H$322,0)),"-")</f>
        <v>-</v>
      </c>
      <c r="Q25" s="4" t="str" cm="1">
        <f t="array" ref="Q25">IFERROR(INDEX($I$9:$I$322,MATCH($K25&amp;Q$8,$G$9:$G$322&amp;$H$9:$H$322,0)),"-")</f>
        <v>-</v>
      </c>
      <c r="R25" s="4" t="str" cm="1">
        <f t="array" ref="R25">IFERROR(INDEX($I$9:$I$322,MATCH($K25&amp;R$8,$G$9:$G$322&amp;$H$9:$H$322,0)),"-")</f>
        <v>Pumped Storage</v>
      </c>
    </row>
    <row r="26" spans="4:18" x14ac:dyDescent="0.2">
      <c r="D26" s="3" t="s">
        <v>4</v>
      </c>
      <c r="E26" s="5" t="s">
        <v>167</v>
      </c>
      <c r="G26" s="5" t="s">
        <v>66</v>
      </c>
      <c r="H26" s="3" t="s">
        <v>131</v>
      </c>
      <c r="I26" s="3" t="s">
        <v>151</v>
      </c>
      <c r="K26" s="8" t="str">
        <v>CAISO_Geothermal_for_CAISO</v>
      </c>
      <c r="L26" s="4" t="str">
        <f>IFERROR(INDEX('Resource Summary'!B:B,MATCH(K26,'Resource Summary'!A:A,0)),"-")</f>
        <v>CAISO</v>
      </c>
      <c r="M26" s="4" t="str" cm="1">
        <f t="array" ref="M26">IFERROR(INDEX($I$9:$I$322,MATCH($K26&amp;M$8,$G$9:$G$322&amp;$H$9:$H$322,0)),"-")</f>
        <v>Geothermal</v>
      </c>
      <c r="N26" s="4" t="str" cm="1">
        <f t="array" ref="N26">IFERROR(INDEX($I$9:$I$322,MATCH($K26&amp;N$8,$G$9:$G$322&amp;$H$9:$H$322,0)),"-")</f>
        <v>Renewables</v>
      </c>
      <c r="O26" s="4" t="str" cm="1">
        <f t="array" ref="O26">IFERROR(INDEX($I$9:$I$322,MATCH($K26&amp;O$8,$G$9:$G$322&amp;$H$9:$H$322,0)),"-")</f>
        <v>-</v>
      </c>
      <c r="P26" s="4" t="str" cm="1">
        <f t="array" ref="P26">IFERROR(INDEX($I$9:$I$322,MATCH($K26&amp;P$8,$G$9:$G$322&amp;$H$9:$H$322,0)),"-")</f>
        <v>-</v>
      </c>
      <c r="Q26" s="4" t="str" cm="1">
        <f t="array" ref="Q26">IFERROR(INDEX($I$9:$I$322,MATCH($K26&amp;Q$8,$G$9:$G$322&amp;$H$9:$H$322,0)),"-")</f>
        <v>-</v>
      </c>
      <c r="R26" s="4" t="str" cm="1">
        <f t="array" ref="R26">IFERROR(INDEX($I$9:$I$322,MATCH($K26&amp;R$8,$G$9:$G$322&amp;$H$9:$H$322,0)),"-")</f>
        <v>Geothermal</v>
      </c>
    </row>
    <row r="27" spans="4:18" x14ac:dyDescent="0.2">
      <c r="D27" s="3" t="s">
        <v>4</v>
      </c>
      <c r="E27" s="5" t="s">
        <v>133</v>
      </c>
      <c r="G27" s="5" t="s">
        <v>78</v>
      </c>
      <c r="H27" s="3" t="s">
        <v>131</v>
      </c>
      <c r="I27" s="3" t="s">
        <v>151</v>
      </c>
      <c r="K27" s="8" t="str">
        <v>CAISO_Geothermal_for_Other</v>
      </c>
      <c r="L27" s="4" t="str">
        <f>IFERROR(INDEX('Resource Summary'!B:B,MATCH(K27,'Resource Summary'!A:A,0)),"-")</f>
        <v>CAISO</v>
      </c>
      <c r="M27" s="4" t="str" cm="1">
        <f t="array" ref="M27">IFERROR(INDEX($I$9:$I$322,MATCH($K27&amp;M$8,$G$9:$G$322&amp;$H$9:$H$322,0)),"-")</f>
        <v>Geothermal</v>
      </c>
      <c r="N27" s="4" t="str" cm="1">
        <f t="array" ref="N27">IFERROR(INDEX($I$9:$I$322,MATCH($K27&amp;N$8,$G$9:$G$322&amp;$H$9:$H$322,0)),"-")</f>
        <v>Renewables</v>
      </c>
      <c r="O27" s="4" t="str" cm="1">
        <f t="array" ref="O27">IFERROR(INDEX($I$9:$I$322,MATCH($K27&amp;O$8,$G$9:$G$322&amp;$H$9:$H$322,0)),"-")</f>
        <v>-</v>
      </c>
      <c r="P27" s="4" t="str" cm="1">
        <f t="array" ref="P27">IFERROR(INDEX($I$9:$I$322,MATCH($K27&amp;P$8,$G$9:$G$322&amp;$H$9:$H$322,0)),"-")</f>
        <v>-</v>
      </c>
      <c r="Q27" s="4" t="str" cm="1">
        <f t="array" ref="Q27">IFERROR(INDEX($I$9:$I$322,MATCH($K27&amp;Q$8,$G$9:$G$322&amp;$H$9:$H$322,0)),"-")</f>
        <v>-</v>
      </c>
      <c r="R27" s="4" t="str" cm="1">
        <f t="array" ref="R27">IFERROR(INDEX($I$9:$I$322,MATCH($K27&amp;R$8,$G$9:$G$322&amp;$H$9:$H$322,0)),"-")</f>
        <v>Geothermal</v>
      </c>
    </row>
    <row r="28" spans="4:18" x14ac:dyDescent="0.2">
      <c r="D28" s="3" t="s">
        <v>4</v>
      </c>
      <c r="E28" s="5" t="s">
        <v>242</v>
      </c>
      <c r="G28" s="5" t="s">
        <v>90</v>
      </c>
      <c r="H28" s="3" t="s">
        <v>131</v>
      </c>
      <c r="I28" s="3" t="s">
        <v>151</v>
      </c>
      <c r="K28" s="8" t="str">
        <v>CAISO_Hydro</v>
      </c>
      <c r="L28" s="4" t="str">
        <f>IFERROR(INDEX('Resource Summary'!B:B,MATCH(K28,'Resource Summary'!A:A,0)),"-")</f>
        <v>CAISO</v>
      </c>
      <c r="M28" s="4" t="str" cm="1">
        <f t="array" ref="M28">IFERROR(INDEX($I$9:$I$322,MATCH($K28&amp;M$8,$G$9:$G$322&amp;$H$9:$H$322,0)),"-")</f>
        <v>Hydro</v>
      </c>
      <c r="N28" s="4" t="str" cm="1">
        <f t="array" ref="N28">IFERROR(INDEX($I$9:$I$322,MATCH($K28&amp;N$8,$G$9:$G$322&amp;$H$9:$H$322,0)),"-")</f>
        <v>Renewables</v>
      </c>
      <c r="O28" s="4" t="str" cm="1">
        <f t="array" ref="O28">IFERROR(INDEX($I$9:$I$322,MATCH($K28&amp;O$8,$G$9:$G$322&amp;$H$9:$H$322,0)),"-")</f>
        <v>-</v>
      </c>
      <c r="P28" s="4" t="str" cm="1">
        <f t="array" ref="P28">IFERROR(INDEX($I$9:$I$322,MATCH($K28&amp;P$8,$G$9:$G$322&amp;$H$9:$H$322,0)),"-")</f>
        <v>-</v>
      </c>
      <c r="Q28" s="4" t="str" cm="1">
        <f t="array" ref="Q28">IFERROR(INDEX($I$9:$I$322,MATCH($K28&amp;Q$8,$G$9:$G$322&amp;$H$9:$H$322,0)),"-")</f>
        <v>-</v>
      </c>
      <c r="R28" s="4" t="str" cm="1">
        <f t="array" ref="R28">IFERROR(INDEX($I$9:$I$322,MATCH($K28&amp;R$8,$G$9:$G$322&amp;$H$9:$H$322,0)),"-")</f>
        <v>Hydro (small + large)</v>
      </c>
    </row>
    <row r="29" spans="4:18" x14ac:dyDescent="0.2">
      <c r="D29" s="3" t="s">
        <v>4</v>
      </c>
      <c r="E29" s="5" t="s">
        <v>136</v>
      </c>
      <c r="G29" s="5" t="s">
        <v>95</v>
      </c>
      <c r="H29" s="3" t="s">
        <v>131</v>
      </c>
      <c r="I29" s="3" t="s">
        <v>151</v>
      </c>
      <c r="K29" s="8" t="str">
        <v>CAISO_New_BTM_Li_Battery</v>
      </c>
      <c r="L29" s="4" t="str">
        <f>IFERROR(INDEX('Resource Summary'!B:B,MATCH(K29,'Resource Summary'!A:A,0)),"-")</f>
        <v>CAISO</v>
      </c>
      <c r="M29" s="4" t="str" cm="1">
        <f t="array" ref="M29">IFERROR(INDEX($I$9:$I$322,MATCH($K29&amp;M$8,$G$9:$G$322&amp;$H$9:$H$322,0)),"-")</f>
        <v>Battery Storage</v>
      </c>
      <c r="N29" s="4" t="str" cm="1">
        <f t="array" ref="N29">IFERROR(INDEX($I$9:$I$322,MATCH($K29&amp;N$8,$G$9:$G$322&amp;$H$9:$H$322,0)),"-")</f>
        <v>Storage</v>
      </c>
      <c r="O29" s="4" t="str" cm="1">
        <f t="array" ref="O29">IFERROR(INDEX($I$9:$I$322,MATCH($K29&amp;O$8,$G$9:$G$322&amp;$H$9:$H$322,0)),"-")</f>
        <v>BTM Li Battery</v>
      </c>
      <c r="P29" s="4" t="str" cm="1">
        <f t="array" ref="P29">IFERROR(INDEX($I$9:$I$322,MATCH($K29&amp;P$8,$G$9:$G$322&amp;$H$9:$H$322,0)),"-")</f>
        <v>-</v>
      </c>
      <c r="Q29" s="4" t="str" cm="1">
        <f t="array" ref="Q29">IFERROR(INDEX($I$9:$I$322,MATCH($K29&amp;Q$8,$G$9:$G$322&amp;$H$9:$H$322,0)),"-")</f>
        <v>-</v>
      </c>
      <c r="R29" s="4" t="str" cm="1">
        <f t="array" ref="R29">IFERROR(INDEX($I$9:$I$322,MATCH($K29&amp;R$8,$G$9:$G$322&amp;$H$9:$H$322,0)),"-")</f>
        <v>-</v>
      </c>
    </row>
    <row r="30" spans="4:18" x14ac:dyDescent="0.2">
      <c r="D30" s="3" t="s">
        <v>156</v>
      </c>
      <c r="E30" s="5" t="s">
        <v>152</v>
      </c>
      <c r="G30" s="5" t="s">
        <v>101</v>
      </c>
      <c r="H30" s="3" t="s">
        <v>131</v>
      </c>
      <c r="I30" s="3" t="s">
        <v>151</v>
      </c>
      <c r="K30" s="8" t="str">
        <v>CAISO_New_Flow_Battery</v>
      </c>
      <c r="L30" s="4" t="str">
        <f>IFERROR(INDEX('Resource Summary'!B:B,MATCH(K30,'Resource Summary'!A:A,0)),"-")</f>
        <v>CAISO</v>
      </c>
      <c r="M30" s="4" t="str" cm="1">
        <f t="array" ref="M30">IFERROR(INDEX($I$9:$I$322,MATCH($K30&amp;M$8,$G$9:$G$322&amp;$H$9:$H$322,0)),"-")</f>
        <v>Battery Storage</v>
      </c>
      <c r="N30" s="4" t="str" cm="1">
        <f t="array" ref="N30">IFERROR(INDEX($I$9:$I$322,MATCH($K30&amp;N$8,$G$9:$G$322&amp;$H$9:$H$322,0)),"-")</f>
        <v>Storage</v>
      </c>
      <c r="O30" s="4" t="str" cm="1">
        <f t="array" ref="O30">IFERROR(INDEX($I$9:$I$322,MATCH($K30&amp;O$8,$G$9:$G$322&amp;$H$9:$H$322,0)),"-")</f>
        <v>Flow Battery</v>
      </c>
      <c r="P30" s="4" t="str" cm="1">
        <f t="array" ref="P30">IFERROR(INDEX($I$9:$I$322,MATCH($K30&amp;P$8,$G$9:$G$322&amp;$H$9:$H$322,0)),"-")</f>
        <v>-</v>
      </c>
      <c r="Q30" s="4" t="str" cm="1">
        <f t="array" ref="Q30">IFERROR(INDEX($I$9:$I$322,MATCH($K30&amp;Q$8,$G$9:$G$322&amp;$H$9:$H$322,0)),"-")</f>
        <v>-</v>
      </c>
      <c r="R30" s="4" t="str" cm="1">
        <f t="array" ref="R30">IFERROR(INDEX($I$9:$I$322,MATCH($K30&amp;R$8,$G$9:$G$322&amp;$H$9:$H$322,0)),"-")</f>
        <v>-</v>
      </c>
    </row>
    <row r="31" spans="4:18" x14ac:dyDescent="0.2">
      <c r="D31" s="3" t="s">
        <v>156</v>
      </c>
      <c r="E31" s="5" t="s">
        <v>157</v>
      </c>
      <c r="G31" s="5" t="s">
        <v>103</v>
      </c>
      <c r="H31" s="3" t="s">
        <v>131</v>
      </c>
      <c r="I31" s="3" t="s">
        <v>151</v>
      </c>
      <c r="K31" s="8" t="str">
        <v>CAISO_Nuclear</v>
      </c>
      <c r="L31" s="4" t="str">
        <f>IFERROR(INDEX('Resource Summary'!B:B,MATCH(K31,'Resource Summary'!A:A,0)),"-")</f>
        <v>CAISO</v>
      </c>
      <c r="M31" s="4" t="str" cm="1">
        <f t="array" ref="M31">IFERROR(INDEX($I$9:$I$322,MATCH($K31&amp;M$8,$G$9:$G$322&amp;$H$9:$H$322,0)),"-")</f>
        <v>Nuclear</v>
      </c>
      <c r="N31" s="4" t="str" cm="1">
        <f t="array" ref="N31">IFERROR(INDEX($I$9:$I$322,MATCH($K31&amp;N$8,$G$9:$G$322&amp;$H$9:$H$322,0)),"-")</f>
        <v>Baseline Thermal</v>
      </c>
      <c r="O31" s="4" t="str" cm="1">
        <f t="array" ref="O31">IFERROR(INDEX($I$9:$I$322,MATCH($K31&amp;O$8,$G$9:$G$322&amp;$H$9:$H$322,0)),"-")</f>
        <v>-</v>
      </c>
      <c r="P31" s="4" t="str" cm="1">
        <f t="array" ref="P31">IFERROR(INDEX($I$9:$I$322,MATCH($K31&amp;P$8,$G$9:$G$322&amp;$H$9:$H$322,0)),"-")</f>
        <v>-</v>
      </c>
      <c r="Q31" s="4" t="str" cm="1">
        <f t="array" ref="Q31">IFERROR(INDEX($I$9:$I$322,MATCH($K31&amp;Q$8,$G$9:$G$322&amp;$H$9:$H$322,0)),"-")</f>
        <v>-</v>
      </c>
      <c r="R31" s="4" t="str" cm="1">
        <f t="array" ref="R31">IFERROR(INDEX($I$9:$I$322,MATCH($K31&amp;R$8,$G$9:$G$322&amp;$H$9:$H$322,0)),"-")</f>
        <v>Nuclear</v>
      </c>
    </row>
    <row r="32" spans="4:18" x14ac:dyDescent="0.2">
      <c r="D32" s="3" t="s">
        <v>156</v>
      </c>
      <c r="E32" s="5" t="s">
        <v>124</v>
      </c>
      <c r="G32" s="5" t="s">
        <v>110</v>
      </c>
      <c r="H32" s="3" t="s">
        <v>131</v>
      </c>
      <c r="I32" s="3" t="s">
        <v>151</v>
      </c>
      <c r="K32" s="8" t="str">
        <v>CAISO_Peaker1</v>
      </c>
      <c r="L32" s="4" t="str">
        <f>IFERROR(INDEX('Resource Summary'!B:B,MATCH(K32,'Resource Summary'!A:A,0)),"-")</f>
        <v>CAISO</v>
      </c>
      <c r="M32" s="4" t="str" cm="1">
        <f t="array" ref="M32">IFERROR(INDEX($I$9:$I$322,MATCH($K32&amp;M$8,$G$9:$G$322&amp;$H$9:$H$322,0)),"-")</f>
        <v>Fossil Gas</v>
      </c>
      <c r="N32" s="4" t="str" cm="1">
        <f t="array" ref="N32">IFERROR(INDEX($I$9:$I$322,MATCH($K32&amp;N$8,$G$9:$G$322&amp;$H$9:$H$322,0)),"-")</f>
        <v>Baseline Thermal</v>
      </c>
      <c r="O32" s="4" t="str" cm="1">
        <f t="array" ref="O32">IFERROR(INDEX($I$9:$I$322,MATCH($K32&amp;O$8,$G$9:$G$322&amp;$H$9:$H$322,0)),"-")</f>
        <v>-</v>
      </c>
      <c r="P32" s="4" t="str" cm="1">
        <f t="array" ref="P32">IFERROR(INDEX($I$9:$I$322,MATCH($K32&amp;P$8,$G$9:$G$322&amp;$H$9:$H$322,0)),"-")</f>
        <v>Generator Emissions</v>
      </c>
      <c r="Q32" s="4" t="str" cm="1">
        <f t="array" ref="Q32">IFERROR(INDEX($I$9:$I$322,MATCH($K32&amp;Q$8,$G$9:$G$322&amp;$H$9:$H$322,0)),"-")</f>
        <v>-</v>
      </c>
      <c r="R32" s="4" t="str" cm="1">
        <f t="array" ref="R32">IFERROR(INDEX($I$9:$I$322,MATCH($K32&amp;R$8,$G$9:$G$322&amp;$H$9:$H$322,0)),"-")</f>
        <v>Peaker</v>
      </c>
    </row>
    <row r="33" spans="4:18" x14ac:dyDescent="0.2">
      <c r="D33" s="3" t="s">
        <v>156</v>
      </c>
      <c r="E33" s="5" t="s">
        <v>125</v>
      </c>
      <c r="G33" s="5" t="s">
        <v>19</v>
      </c>
      <c r="H33" s="3" t="s">
        <v>131</v>
      </c>
      <c r="I33" s="3" t="s">
        <v>120</v>
      </c>
      <c r="K33" s="8" t="str">
        <v>CAISO_Peaker2</v>
      </c>
      <c r="L33" s="4" t="str">
        <f>IFERROR(INDEX('Resource Summary'!B:B,MATCH(K33,'Resource Summary'!A:A,0)),"-")</f>
        <v>CAISO</v>
      </c>
      <c r="M33" s="4" t="str" cm="1">
        <f t="array" ref="M33">IFERROR(INDEX($I$9:$I$322,MATCH($K33&amp;M$8,$G$9:$G$322&amp;$H$9:$H$322,0)),"-")</f>
        <v>Fossil Gas</v>
      </c>
      <c r="N33" s="4" t="str" cm="1">
        <f t="array" ref="N33">IFERROR(INDEX($I$9:$I$322,MATCH($K33&amp;N$8,$G$9:$G$322&amp;$H$9:$H$322,0)),"-")</f>
        <v>Baseline Thermal</v>
      </c>
      <c r="O33" s="4" t="str" cm="1">
        <f t="array" ref="O33">IFERROR(INDEX($I$9:$I$322,MATCH($K33&amp;O$8,$G$9:$G$322&amp;$H$9:$H$322,0)),"-")</f>
        <v>-</v>
      </c>
      <c r="P33" s="4" t="str" cm="1">
        <f t="array" ref="P33">IFERROR(INDEX($I$9:$I$322,MATCH($K33&amp;P$8,$G$9:$G$322&amp;$H$9:$H$322,0)),"-")</f>
        <v>Generator Emissions</v>
      </c>
      <c r="Q33" s="4" t="str" cm="1">
        <f t="array" ref="Q33">IFERROR(INDEX($I$9:$I$322,MATCH($K33&amp;Q$8,$G$9:$G$322&amp;$H$9:$H$322,0)),"-")</f>
        <v>-</v>
      </c>
      <c r="R33" s="4" t="str" cm="1">
        <f t="array" ref="R33">IFERROR(INDEX($I$9:$I$322,MATCH($K33&amp;R$8,$G$9:$G$322&amp;$H$9:$H$322,0)),"-")</f>
        <v>Peaker</v>
      </c>
    </row>
    <row r="34" spans="4:18" x14ac:dyDescent="0.2">
      <c r="D34" s="3" t="s">
        <v>7</v>
      </c>
      <c r="E34" s="5" t="s">
        <v>194</v>
      </c>
      <c r="G34" s="5" t="s">
        <v>20</v>
      </c>
      <c r="H34" s="3" t="s">
        <v>131</v>
      </c>
      <c r="I34" s="3" t="s">
        <v>120</v>
      </c>
      <c r="K34" s="8" t="str">
        <v>CAISO_Reciprocating_Engine</v>
      </c>
      <c r="L34" s="4" t="str">
        <f>IFERROR(INDEX('Resource Summary'!B:B,MATCH(K34,'Resource Summary'!A:A,0)),"-")</f>
        <v>CAISO</v>
      </c>
      <c r="M34" s="4" t="str" cm="1">
        <f t="array" ref="M34">IFERROR(INDEX($I$9:$I$322,MATCH($K34&amp;M$8,$G$9:$G$322&amp;$H$9:$H$322,0)),"-")</f>
        <v>Fossil Gas</v>
      </c>
      <c r="N34" s="4" t="str" cm="1">
        <f t="array" ref="N34">IFERROR(INDEX($I$9:$I$322,MATCH($K34&amp;N$8,$G$9:$G$322&amp;$H$9:$H$322,0)),"-")</f>
        <v>Baseline Thermal</v>
      </c>
      <c r="O34" s="4" t="str" cm="1">
        <f t="array" ref="O34">IFERROR(INDEX($I$9:$I$322,MATCH($K34&amp;O$8,$G$9:$G$322&amp;$H$9:$H$322,0)),"-")</f>
        <v>-</v>
      </c>
      <c r="P34" s="4" t="str" cm="1">
        <f t="array" ref="P34">IFERROR(INDEX($I$9:$I$322,MATCH($K34&amp;P$8,$G$9:$G$322&amp;$H$9:$H$322,0)),"-")</f>
        <v>Generator Emissions</v>
      </c>
      <c r="Q34" s="4" t="str" cm="1">
        <f t="array" ref="Q34">IFERROR(INDEX($I$9:$I$322,MATCH($K34&amp;Q$8,$G$9:$G$322&amp;$H$9:$H$322,0)),"-")</f>
        <v>-</v>
      </c>
      <c r="R34" s="4" t="str" cm="1">
        <f t="array" ref="R34">IFERROR(INDEX($I$9:$I$322,MATCH($K34&amp;R$8,$G$9:$G$322&amp;$H$9:$H$322,0)),"-")</f>
        <v>Peaker</v>
      </c>
    </row>
    <row r="35" spans="4:18" x14ac:dyDescent="0.2">
      <c r="D35" s="3" t="s">
        <v>7</v>
      </c>
      <c r="E35" s="5" t="s">
        <v>417</v>
      </c>
      <c r="G35" s="5" t="s">
        <v>68</v>
      </c>
      <c r="H35" s="3" t="s">
        <v>131</v>
      </c>
      <c r="I35" s="3" t="s">
        <v>120</v>
      </c>
      <c r="K35" s="8" t="str">
        <v>CAISO_Shed_DR_Existing</v>
      </c>
      <c r="L35" s="4" t="str">
        <f>IFERROR(INDEX('Resource Summary'!B:B,MATCH(K35,'Resource Summary'!A:A,0)),"-")</f>
        <v>CAISO</v>
      </c>
      <c r="M35" s="4" t="str" cm="1">
        <f t="array" ref="M35">IFERROR(INDEX($I$9:$I$322,MATCH($K35&amp;M$8,$G$9:$G$322&amp;$H$9:$H$322,0)),"-")</f>
        <v>Shed DR</v>
      </c>
      <c r="N35" s="4" t="str" cm="1">
        <f t="array" ref="N35">IFERROR(INDEX($I$9:$I$322,MATCH($K35&amp;N$8,$G$9:$G$322&amp;$H$9:$H$322,0)),"-")</f>
        <v>-</v>
      </c>
      <c r="O35" s="4" t="str" cm="1">
        <f t="array" ref="O35">IFERROR(INDEX($I$9:$I$322,MATCH($K35&amp;O$8,$G$9:$G$322&amp;$H$9:$H$322,0)),"-")</f>
        <v>-</v>
      </c>
      <c r="P35" s="4" t="str" cm="1">
        <f t="array" ref="P35">IFERROR(INDEX($I$9:$I$322,MATCH($K35&amp;P$8,$G$9:$G$322&amp;$H$9:$H$322,0)),"-")</f>
        <v>-</v>
      </c>
      <c r="Q35" s="4" t="str" cm="1">
        <f t="array" ref="Q35">IFERROR(INDEX($I$9:$I$322,MATCH($K35&amp;Q$8,$G$9:$G$322&amp;$H$9:$H$322,0)),"-")</f>
        <v>-</v>
      </c>
      <c r="R35" s="4" t="str" cm="1">
        <f t="array" ref="R35">IFERROR(INDEX($I$9:$I$322,MATCH($K35&amp;R$8,$G$9:$G$322&amp;$H$9:$H$322,0)),"-")</f>
        <v>Shed DR</v>
      </c>
    </row>
    <row r="36" spans="4:18" x14ac:dyDescent="0.2">
      <c r="D36" s="3" t="s">
        <v>418</v>
      </c>
      <c r="E36" s="5" t="s">
        <v>140</v>
      </c>
      <c r="G36" s="5" t="s">
        <v>24</v>
      </c>
      <c r="H36" s="3" t="s">
        <v>131</v>
      </c>
      <c r="I36" s="3" t="s">
        <v>149</v>
      </c>
      <c r="K36" s="8" t="str">
        <v>CAISO_Shed_DR_Tranche1</v>
      </c>
      <c r="L36" s="4" t="str">
        <f>IFERROR(INDEX('Resource Summary'!B:B,MATCH(K36,'Resource Summary'!A:A,0)),"-")</f>
        <v>CAISO</v>
      </c>
      <c r="M36" s="4" t="str" cm="1">
        <f t="array" ref="M36">IFERROR(INDEX($I$9:$I$322,MATCH($K36&amp;M$8,$G$9:$G$322&amp;$H$9:$H$322,0)),"-")</f>
        <v>Shed DR</v>
      </c>
      <c r="N36" s="4" t="str" cm="1">
        <f t="array" ref="N36">IFERROR(INDEX($I$9:$I$322,MATCH($K36&amp;N$8,$G$9:$G$322&amp;$H$9:$H$322,0)),"-")</f>
        <v>New DR</v>
      </c>
      <c r="O36" s="4" t="str" cm="1">
        <f t="array" ref="O36">IFERROR(INDEX($I$9:$I$322,MATCH($K36&amp;O$8,$G$9:$G$322&amp;$H$9:$H$322,0)),"-")</f>
        <v>-</v>
      </c>
      <c r="P36" s="4" t="str" cm="1">
        <f t="array" ref="P36">IFERROR(INDEX($I$9:$I$322,MATCH($K36&amp;P$8,$G$9:$G$322&amp;$H$9:$H$322,0)),"-")</f>
        <v>-</v>
      </c>
      <c r="Q36" s="4" t="str" cm="1">
        <f t="array" ref="Q36">IFERROR(INDEX($I$9:$I$322,MATCH($K36&amp;Q$8,$G$9:$G$322&amp;$H$9:$H$322,0)),"-")</f>
        <v>-</v>
      </c>
      <c r="R36" s="4" t="str" cm="1">
        <f t="array" ref="R36">IFERROR(INDEX($I$9:$I$322,MATCH($K36&amp;R$8,$G$9:$G$322&amp;$H$9:$H$322,0)),"-")</f>
        <v>Shed DR</v>
      </c>
    </row>
    <row r="37" spans="4:18" x14ac:dyDescent="0.2">
      <c r="D37" s="3" t="s">
        <v>418</v>
      </c>
      <c r="E37" s="5" t="s">
        <v>141</v>
      </c>
      <c r="G37" s="5" t="s">
        <v>25</v>
      </c>
      <c r="H37" s="3" t="s">
        <v>131</v>
      </c>
      <c r="I37" s="3" t="s">
        <v>145</v>
      </c>
      <c r="K37" s="8" t="str">
        <v>CAISO_Shed_DR_Tranche2</v>
      </c>
      <c r="L37" s="4" t="str">
        <f>IFERROR(INDEX('Resource Summary'!B:B,MATCH(K37,'Resource Summary'!A:A,0)),"-")</f>
        <v>CAISO</v>
      </c>
      <c r="M37" s="4" t="str" cm="1">
        <f t="array" ref="M37">IFERROR(INDEX($I$9:$I$322,MATCH($K37&amp;M$8,$G$9:$G$322&amp;$H$9:$H$322,0)),"-")</f>
        <v>Shed DR</v>
      </c>
      <c r="N37" s="4" t="str" cm="1">
        <f t="array" ref="N37">IFERROR(INDEX($I$9:$I$322,MATCH($K37&amp;N$8,$G$9:$G$322&amp;$H$9:$H$322,0)),"-")</f>
        <v>New DR</v>
      </c>
      <c r="O37" s="4" t="str" cm="1">
        <f t="array" ref="O37">IFERROR(INDEX($I$9:$I$322,MATCH($K37&amp;O$8,$G$9:$G$322&amp;$H$9:$H$322,0)),"-")</f>
        <v>-</v>
      </c>
      <c r="P37" s="4" t="str" cm="1">
        <f t="array" ref="P37">IFERROR(INDEX($I$9:$I$322,MATCH($K37&amp;P$8,$G$9:$G$322&amp;$H$9:$H$322,0)),"-")</f>
        <v>-</v>
      </c>
      <c r="Q37" s="4" t="str" cm="1">
        <f t="array" ref="Q37">IFERROR(INDEX($I$9:$I$322,MATCH($K37&amp;Q$8,$G$9:$G$322&amp;$H$9:$H$322,0)),"-")</f>
        <v>-</v>
      </c>
      <c r="R37" s="4" t="str" cm="1">
        <f t="array" ref="R37">IFERROR(INDEX($I$9:$I$322,MATCH($K37&amp;R$8,$G$9:$G$322&amp;$H$9:$H$322,0)),"-")</f>
        <v>Shed DR</v>
      </c>
    </row>
    <row r="38" spans="4:18" x14ac:dyDescent="0.2">
      <c r="D38" s="3" t="s">
        <v>418</v>
      </c>
      <c r="E38" s="5" t="s">
        <v>142</v>
      </c>
      <c r="G38" s="5" t="s">
        <v>54</v>
      </c>
      <c r="H38" s="3" t="s">
        <v>131</v>
      </c>
      <c r="I38" s="3" t="s">
        <v>126</v>
      </c>
      <c r="K38" s="8" t="str">
        <v>CAISO_Shed_DR_Tranche3</v>
      </c>
      <c r="L38" s="4" t="str">
        <f>IFERROR(INDEX('Resource Summary'!B:B,MATCH(K38,'Resource Summary'!A:A,0)),"-")</f>
        <v>CAISO</v>
      </c>
      <c r="M38" s="4" t="str" cm="1">
        <f t="array" ref="M38">IFERROR(INDEX($I$9:$I$322,MATCH($K38&amp;M$8,$G$9:$G$322&amp;$H$9:$H$322,0)),"-")</f>
        <v>Shed DR</v>
      </c>
      <c r="N38" s="4" t="str" cm="1">
        <f t="array" ref="N38">IFERROR(INDEX($I$9:$I$322,MATCH($K38&amp;N$8,$G$9:$G$322&amp;$H$9:$H$322,0)),"-")</f>
        <v>New DR</v>
      </c>
      <c r="O38" s="4" t="str" cm="1">
        <f t="array" ref="O38">IFERROR(INDEX($I$9:$I$322,MATCH($K38&amp;O$8,$G$9:$G$322&amp;$H$9:$H$322,0)),"-")</f>
        <v>-</v>
      </c>
      <c r="P38" s="4" t="str" cm="1">
        <f t="array" ref="P38">IFERROR(INDEX($I$9:$I$322,MATCH($K38&amp;P$8,$G$9:$G$322&amp;$H$9:$H$322,0)),"-")</f>
        <v>-</v>
      </c>
      <c r="Q38" s="4" t="str" cm="1">
        <f t="array" ref="Q38">IFERROR(INDEX($I$9:$I$322,MATCH($K38&amp;Q$8,$G$9:$G$322&amp;$H$9:$H$322,0)),"-")</f>
        <v>-</v>
      </c>
      <c r="R38" s="4" t="str" cm="1">
        <f t="array" ref="R38">IFERROR(INDEX($I$9:$I$322,MATCH($K38&amp;R$8,$G$9:$G$322&amp;$H$9:$H$322,0)),"-")</f>
        <v>Shed DR</v>
      </c>
    </row>
    <row r="39" spans="4:18" x14ac:dyDescent="0.2">
      <c r="D39" s="3" t="s">
        <v>418</v>
      </c>
      <c r="E39" s="5" t="s">
        <v>143</v>
      </c>
      <c r="G39" s="5" t="s">
        <v>16</v>
      </c>
      <c r="H39" s="3" t="s">
        <v>131</v>
      </c>
      <c r="I39" s="3" t="s">
        <v>150</v>
      </c>
      <c r="K39" s="8" t="str">
        <v>CAISO_Shed_DR_Tranche4</v>
      </c>
      <c r="L39" s="4" t="str">
        <f>IFERROR(INDEX('Resource Summary'!B:B,MATCH(K39,'Resource Summary'!A:A,0)),"-")</f>
        <v>CAISO</v>
      </c>
      <c r="M39" s="4" t="str" cm="1">
        <f t="array" ref="M39">IFERROR(INDEX($I$9:$I$322,MATCH($K39&amp;M$8,$G$9:$G$322&amp;$H$9:$H$322,0)),"-")</f>
        <v>Shed DR</v>
      </c>
      <c r="N39" s="4" t="str" cm="1">
        <f t="array" ref="N39">IFERROR(INDEX($I$9:$I$322,MATCH($K39&amp;N$8,$G$9:$G$322&amp;$H$9:$H$322,0)),"-")</f>
        <v>New DR</v>
      </c>
      <c r="O39" s="4" t="str" cm="1">
        <f t="array" ref="O39">IFERROR(INDEX($I$9:$I$322,MATCH($K39&amp;O$8,$G$9:$G$322&amp;$H$9:$H$322,0)),"-")</f>
        <v>-</v>
      </c>
      <c r="P39" s="4" t="str" cm="1">
        <f t="array" ref="P39">IFERROR(INDEX($I$9:$I$322,MATCH($K39&amp;P$8,$G$9:$G$322&amp;$H$9:$H$322,0)),"-")</f>
        <v>-</v>
      </c>
      <c r="Q39" s="4" t="str" cm="1">
        <f t="array" ref="Q39">IFERROR(INDEX($I$9:$I$322,MATCH($K39&amp;Q$8,$G$9:$G$322&amp;$H$9:$H$322,0)),"-")</f>
        <v>-</v>
      </c>
      <c r="R39" s="4" t="str" cm="1">
        <f t="array" ref="R39">IFERROR(INDEX($I$9:$I$322,MATCH($K39&amp;R$8,$G$9:$G$322&amp;$H$9:$H$322,0)),"-")</f>
        <v>Shed DR</v>
      </c>
    </row>
    <row r="40" spans="4:18" x14ac:dyDescent="0.2">
      <c r="D40" s="3" t="s">
        <v>418</v>
      </c>
      <c r="E40" s="5" t="s">
        <v>144</v>
      </c>
      <c r="G40" s="5" t="s">
        <v>17</v>
      </c>
      <c r="H40" s="3" t="s">
        <v>131</v>
      </c>
      <c r="I40" s="3" t="s">
        <v>150</v>
      </c>
      <c r="K40" s="8" t="str">
        <v>CAISO_Shed_DR_Tranche5</v>
      </c>
      <c r="L40" s="4" t="str">
        <f>IFERROR(INDEX('Resource Summary'!B:B,MATCH(K40,'Resource Summary'!A:A,0)),"-")</f>
        <v>CAISO</v>
      </c>
      <c r="M40" s="4" t="str" cm="1">
        <f t="array" ref="M40">IFERROR(INDEX($I$9:$I$322,MATCH($K40&amp;M$8,$G$9:$G$322&amp;$H$9:$H$322,0)),"-")</f>
        <v>Shed DR</v>
      </c>
      <c r="N40" s="4" t="str" cm="1">
        <f t="array" ref="N40">IFERROR(INDEX($I$9:$I$322,MATCH($K40&amp;N$8,$G$9:$G$322&amp;$H$9:$H$322,0)),"-")</f>
        <v>New DR</v>
      </c>
      <c r="O40" s="4" t="str" cm="1">
        <f t="array" ref="O40">IFERROR(INDEX($I$9:$I$322,MATCH($K40&amp;O$8,$G$9:$G$322&amp;$H$9:$H$322,0)),"-")</f>
        <v>-</v>
      </c>
      <c r="P40" s="4" t="str" cm="1">
        <f t="array" ref="P40">IFERROR(INDEX($I$9:$I$322,MATCH($K40&amp;P$8,$G$9:$G$322&amp;$H$9:$H$322,0)),"-")</f>
        <v>-</v>
      </c>
      <c r="Q40" s="4" t="str" cm="1">
        <f t="array" ref="Q40">IFERROR(INDEX($I$9:$I$322,MATCH($K40&amp;Q$8,$G$9:$G$322&amp;$H$9:$H$322,0)),"-")</f>
        <v>-</v>
      </c>
      <c r="R40" s="4" t="str" cm="1">
        <f t="array" ref="R40">IFERROR(INDEX($I$9:$I$322,MATCH($K40&amp;R$8,$G$9:$G$322&amp;$H$9:$H$322,0)),"-")</f>
        <v>Shed DR</v>
      </c>
    </row>
    <row r="41" spans="4:18" x14ac:dyDescent="0.2">
      <c r="D41" s="3" t="s">
        <v>8</v>
      </c>
      <c r="E41" s="5" t="s">
        <v>178</v>
      </c>
      <c r="G41" s="5" t="s">
        <v>22</v>
      </c>
      <c r="H41" s="3" t="s">
        <v>131</v>
      </c>
      <c r="I41" s="3" t="s">
        <v>150</v>
      </c>
      <c r="K41" s="8" t="str">
        <v>CAISO_Shed_DR_Tranche6</v>
      </c>
      <c r="L41" s="4" t="str">
        <f>IFERROR(INDEX('Resource Summary'!B:B,MATCH(K41,'Resource Summary'!A:A,0)),"-")</f>
        <v>CAISO</v>
      </c>
      <c r="M41" s="4" t="str" cm="1">
        <f t="array" ref="M41">IFERROR(INDEX($I$9:$I$322,MATCH($K41&amp;M$8,$G$9:$G$322&amp;$H$9:$H$322,0)),"-")</f>
        <v>Shed DR</v>
      </c>
      <c r="N41" s="4" t="str" cm="1">
        <f t="array" ref="N41">IFERROR(INDEX($I$9:$I$322,MATCH($K41&amp;N$8,$G$9:$G$322&amp;$H$9:$H$322,0)),"-")</f>
        <v>New DR</v>
      </c>
      <c r="O41" s="4" t="str" cm="1">
        <f t="array" ref="O41">IFERROR(INDEX($I$9:$I$322,MATCH($K41&amp;O$8,$G$9:$G$322&amp;$H$9:$H$322,0)),"-")</f>
        <v>-</v>
      </c>
      <c r="P41" s="4" t="str" cm="1">
        <f t="array" ref="P41">IFERROR(INDEX($I$9:$I$322,MATCH($K41&amp;P$8,$G$9:$G$322&amp;$H$9:$H$322,0)),"-")</f>
        <v>-</v>
      </c>
      <c r="Q41" s="4" t="str" cm="1">
        <f t="array" ref="Q41">IFERROR(INDEX($I$9:$I$322,MATCH($K41&amp;Q$8,$G$9:$G$322&amp;$H$9:$H$322,0)),"-")</f>
        <v>-</v>
      </c>
      <c r="R41" s="4" t="str" cm="1">
        <f t="array" ref="R41">IFERROR(INDEX($I$9:$I$322,MATCH($K41&amp;R$8,$G$9:$G$322&amp;$H$9:$H$322,0)),"-")</f>
        <v>Shed DR</v>
      </c>
    </row>
    <row r="42" spans="4:18" x14ac:dyDescent="0.2">
      <c r="D42" s="3" t="s">
        <v>8</v>
      </c>
      <c r="E42" s="5" t="s">
        <v>179</v>
      </c>
      <c r="G42" s="5" t="s">
        <v>23</v>
      </c>
      <c r="H42" s="3" t="s">
        <v>131</v>
      </c>
      <c r="I42" s="3" t="s">
        <v>150</v>
      </c>
      <c r="K42" s="8" t="str">
        <v>CAISO_Shed_DR_Tranche7</v>
      </c>
      <c r="L42" s="4" t="str">
        <f>IFERROR(INDEX('Resource Summary'!B:B,MATCH(K42,'Resource Summary'!A:A,0)),"-")</f>
        <v>CAISO</v>
      </c>
      <c r="M42" s="4" t="str" cm="1">
        <f t="array" ref="M42">IFERROR(INDEX($I$9:$I$322,MATCH($K42&amp;M$8,$G$9:$G$322&amp;$H$9:$H$322,0)),"-")</f>
        <v>Shed DR</v>
      </c>
      <c r="N42" s="4" t="str" cm="1">
        <f t="array" ref="N42">IFERROR(INDEX($I$9:$I$322,MATCH($K42&amp;N$8,$G$9:$G$322&amp;$H$9:$H$322,0)),"-")</f>
        <v>New DR</v>
      </c>
      <c r="O42" s="4" t="str" cm="1">
        <f t="array" ref="O42">IFERROR(INDEX($I$9:$I$322,MATCH($K42&amp;O$8,$G$9:$G$322&amp;$H$9:$H$322,0)),"-")</f>
        <v>-</v>
      </c>
      <c r="P42" s="4" t="str" cm="1">
        <f t="array" ref="P42">IFERROR(INDEX($I$9:$I$322,MATCH($K42&amp;P$8,$G$9:$G$322&amp;$H$9:$H$322,0)),"-")</f>
        <v>-</v>
      </c>
      <c r="Q42" s="4" t="str" cm="1">
        <f t="array" ref="Q42">IFERROR(INDEX($I$9:$I$322,MATCH($K42&amp;Q$8,$G$9:$G$322&amp;$H$9:$H$322,0)),"-")</f>
        <v>-</v>
      </c>
      <c r="R42" s="4" t="str" cm="1">
        <f t="array" ref="R42">IFERROR(INDEX($I$9:$I$322,MATCH($K42&amp;R$8,$G$9:$G$322&amp;$H$9:$H$322,0)),"-")</f>
        <v>Shed DR</v>
      </c>
    </row>
    <row r="43" spans="4:18" x14ac:dyDescent="0.2">
      <c r="D43" s="3" t="s">
        <v>8</v>
      </c>
      <c r="E43" s="5" t="s">
        <v>180</v>
      </c>
      <c r="G43" s="5" t="s">
        <v>33</v>
      </c>
      <c r="H43" s="3" t="s">
        <v>131</v>
      </c>
      <c r="I43" s="3" t="s">
        <v>150</v>
      </c>
      <c r="K43" s="8" t="str">
        <v>CAISO_Shed_DR_Tranche8</v>
      </c>
      <c r="L43" s="4" t="str">
        <f>IFERROR(INDEX('Resource Summary'!B:B,MATCH(K43,'Resource Summary'!A:A,0)),"-")</f>
        <v>CAISO</v>
      </c>
      <c r="M43" s="4" t="str" cm="1">
        <f t="array" ref="M43">IFERROR(INDEX($I$9:$I$322,MATCH($K43&amp;M$8,$G$9:$G$322&amp;$H$9:$H$322,0)),"-")</f>
        <v>Shed DR</v>
      </c>
      <c r="N43" s="4" t="str" cm="1">
        <f t="array" ref="N43">IFERROR(INDEX($I$9:$I$322,MATCH($K43&amp;N$8,$G$9:$G$322&amp;$H$9:$H$322,0)),"-")</f>
        <v>New DR</v>
      </c>
      <c r="O43" s="4" t="str" cm="1">
        <f t="array" ref="O43">IFERROR(INDEX($I$9:$I$322,MATCH($K43&amp;O$8,$G$9:$G$322&amp;$H$9:$H$322,0)),"-")</f>
        <v>-</v>
      </c>
      <c r="P43" s="4" t="str" cm="1">
        <f t="array" ref="P43">IFERROR(INDEX($I$9:$I$322,MATCH($K43&amp;P$8,$G$9:$G$322&amp;$H$9:$H$322,0)),"-")</f>
        <v>-</v>
      </c>
      <c r="Q43" s="4" t="str" cm="1">
        <f t="array" ref="Q43">IFERROR(INDEX($I$9:$I$322,MATCH($K43&amp;Q$8,$G$9:$G$322&amp;$H$9:$H$322,0)),"-")</f>
        <v>-</v>
      </c>
      <c r="R43" s="4" t="str" cm="1">
        <f t="array" ref="R43">IFERROR(INDEX($I$9:$I$322,MATCH($K43&amp;R$8,$G$9:$G$322&amp;$H$9:$H$322,0)),"-")</f>
        <v>Shed DR</v>
      </c>
    </row>
    <row r="44" spans="4:18" x14ac:dyDescent="0.2">
      <c r="D44" s="3" t="s">
        <v>8</v>
      </c>
      <c r="E44" s="5" t="s">
        <v>149</v>
      </c>
      <c r="G44" s="5" t="s">
        <v>34</v>
      </c>
      <c r="H44" s="3" t="s">
        <v>131</v>
      </c>
      <c r="I44" s="3" t="s">
        <v>150</v>
      </c>
      <c r="K44" s="8" t="str">
        <v>CAISO_Small_Hydro_for_CAISO</v>
      </c>
      <c r="L44" s="4" t="str">
        <f>IFERROR(INDEX('Resource Summary'!B:B,MATCH(K44,'Resource Summary'!A:A,0)),"-")</f>
        <v>CAISO</v>
      </c>
      <c r="M44" s="4" t="str" cm="1">
        <f t="array" ref="M44">IFERROR(INDEX($I$9:$I$322,MATCH($K44&amp;M$8,$G$9:$G$322&amp;$H$9:$H$322,0)),"-")</f>
        <v>Hydro</v>
      </c>
      <c r="N44" s="4" t="str" cm="1">
        <f t="array" ref="N44">IFERROR(INDEX($I$9:$I$322,MATCH($K44&amp;N$8,$G$9:$G$322&amp;$H$9:$H$322,0)),"-")</f>
        <v>Renewables</v>
      </c>
      <c r="O44" s="4" t="str" cm="1">
        <f t="array" ref="O44">IFERROR(INDEX($I$9:$I$322,MATCH($K44&amp;O$8,$G$9:$G$322&amp;$H$9:$H$322,0)),"-")</f>
        <v>-</v>
      </c>
      <c r="P44" s="4" t="str" cm="1">
        <f t="array" ref="P44">IFERROR(INDEX($I$9:$I$322,MATCH($K44&amp;P$8,$G$9:$G$322&amp;$H$9:$H$322,0)),"-")</f>
        <v>-</v>
      </c>
      <c r="Q44" s="4" t="str" cm="1">
        <f t="array" ref="Q44">IFERROR(INDEX($I$9:$I$322,MATCH($K44&amp;Q$8,$G$9:$G$322&amp;$H$9:$H$322,0)),"-")</f>
        <v>-</v>
      </c>
      <c r="R44" s="4" t="str" cm="1">
        <f t="array" ref="R44">IFERROR(INDEX($I$9:$I$322,MATCH($K44&amp;R$8,$G$9:$G$322&amp;$H$9:$H$322,0)),"-")</f>
        <v>Hydro (small + large)</v>
      </c>
    </row>
    <row r="45" spans="4:18" x14ac:dyDescent="0.2">
      <c r="D45" s="3" t="s">
        <v>8</v>
      </c>
      <c r="E45" s="5" t="s">
        <v>181</v>
      </c>
      <c r="G45" s="5" t="s">
        <v>35</v>
      </c>
      <c r="H45" s="3" t="s">
        <v>131</v>
      </c>
      <c r="I45" s="3" t="s">
        <v>150</v>
      </c>
      <c r="K45" s="8" t="str">
        <v>CAISO_Small_Hydro_for_Other</v>
      </c>
      <c r="L45" s="4" t="str">
        <f>IFERROR(INDEX('Resource Summary'!B:B,MATCH(K45,'Resource Summary'!A:A,0)),"-")</f>
        <v>CAISO</v>
      </c>
      <c r="M45" s="4" t="str" cm="1">
        <f t="array" ref="M45">IFERROR(INDEX($I$9:$I$322,MATCH($K45&amp;M$8,$G$9:$G$322&amp;$H$9:$H$322,0)),"-")</f>
        <v>Hydro</v>
      </c>
      <c r="N45" s="4" t="str" cm="1">
        <f t="array" ref="N45">IFERROR(INDEX($I$9:$I$322,MATCH($K45&amp;N$8,$G$9:$G$322&amp;$H$9:$H$322,0)),"-")</f>
        <v>Renewables</v>
      </c>
      <c r="O45" s="4" t="str" cm="1">
        <f t="array" ref="O45">IFERROR(INDEX($I$9:$I$322,MATCH($K45&amp;O$8,$G$9:$G$322&amp;$H$9:$H$322,0)),"-")</f>
        <v>-</v>
      </c>
      <c r="P45" s="4" t="str" cm="1">
        <f t="array" ref="P45">IFERROR(INDEX($I$9:$I$322,MATCH($K45&amp;P$8,$G$9:$G$322&amp;$H$9:$H$322,0)),"-")</f>
        <v>-</v>
      </c>
      <c r="Q45" s="4" t="str" cm="1">
        <f t="array" ref="Q45">IFERROR(INDEX($I$9:$I$322,MATCH($K45&amp;Q$8,$G$9:$G$322&amp;$H$9:$H$322,0)),"-")</f>
        <v>-</v>
      </c>
      <c r="R45" s="4" t="str" cm="1">
        <f t="array" ref="R45">IFERROR(INDEX($I$9:$I$322,MATCH($K45&amp;R$8,$G$9:$G$322&amp;$H$9:$H$322,0)),"-")</f>
        <v>Hydro (small + large)</v>
      </c>
    </row>
    <row r="46" spans="4:18" x14ac:dyDescent="0.2">
      <c r="D46" s="3" t="s">
        <v>8</v>
      </c>
      <c r="E46" s="5" t="s">
        <v>148</v>
      </c>
      <c r="G46" s="5" t="s">
        <v>49</v>
      </c>
      <c r="H46" s="3" t="s">
        <v>131</v>
      </c>
      <c r="I46" s="3" t="s">
        <v>150</v>
      </c>
      <c r="K46" s="8" t="str">
        <v>CAISO_Solar_for_CAISO</v>
      </c>
      <c r="L46" s="4" t="str">
        <f>IFERROR(INDEX('Resource Summary'!B:B,MATCH(K46,'Resource Summary'!A:A,0)),"-")</f>
        <v>CAISO</v>
      </c>
      <c r="M46" s="4" t="str" cm="1">
        <f t="array" ref="M46">IFERROR(INDEX($I$9:$I$322,MATCH($K46&amp;M$8,$G$9:$G$322&amp;$H$9:$H$322,0)),"-")</f>
        <v>Solar</v>
      </c>
      <c r="N46" s="4" t="str" cm="1">
        <f t="array" ref="N46">IFERROR(INDEX($I$9:$I$322,MATCH($K46&amp;N$8,$G$9:$G$322&amp;$H$9:$H$322,0)),"-")</f>
        <v>Renewables</v>
      </c>
      <c r="O46" s="4" t="str" cm="1">
        <f t="array" ref="O46">IFERROR(INDEX($I$9:$I$322,MATCH($K46&amp;O$8,$G$9:$G$322&amp;$H$9:$H$322,0)),"-")</f>
        <v>-</v>
      </c>
      <c r="P46" s="4" t="str" cm="1">
        <f t="array" ref="P46">IFERROR(INDEX($I$9:$I$322,MATCH($K46&amp;P$8,$G$9:$G$322&amp;$H$9:$H$322,0)),"-")</f>
        <v>-</v>
      </c>
      <c r="Q46" s="4" t="str" cm="1">
        <f t="array" ref="Q46">IFERROR(INDEX($I$9:$I$322,MATCH($K46&amp;Q$8,$G$9:$G$322&amp;$H$9:$H$322,0)),"-")</f>
        <v>-</v>
      </c>
      <c r="R46" s="4" t="str" cm="1">
        <f t="array" ref="R46">IFERROR(INDEX($I$9:$I$322,MATCH($K46&amp;R$8,$G$9:$G$322&amp;$H$9:$H$322,0)),"-")</f>
        <v>-</v>
      </c>
    </row>
    <row r="47" spans="4:18" x14ac:dyDescent="0.2">
      <c r="D47" s="3" t="s">
        <v>8</v>
      </c>
      <c r="E47" s="5" t="s">
        <v>145</v>
      </c>
      <c r="G47" s="5" t="s">
        <v>16</v>
      </c>
      <c r="H47" s="3" t="s">
        <v>131</v>
      </c>
      <c r="I47" s="3" t="s">
        <v>170</v>
      </c>
      <c r="K47" s="8" t="str">
        <v>CAISO_Solar_for_Other</v>
      </c>
      <c r="L47" s="4" t="str">
        <f>IFERROR(INDEX('Resource Summary'!B:B,MATCH(K47,'Resource Summary'!A:A,0)),"-")</f>
        <v>CAISO</v>
      </c>
      <c r="M47" s="4" t="str" cm="1">
        <f t="array" ref="M47">IFERROR(INDEX($I$9:$I$322,MATCH($K47&amp;M$8,$G$9:$G$322&amp;$H$9:$H$322,0)),"-")</f>
        <v>Solar</v>
      </c>
      <c r="N47" s="4" t="str" cm="1">
        <f t="array" ref="N47">IFERROR(INDEX($I$9:$I$322,MATCH($K47&amp;N$8,$G$9:$G$322&amp;$H$9:$H$322,0)),"-")</f>
        <v>Renewables</v>
      </c>
      <c r="O47" s="4" t="str" cm="1">
        <f t="array" ref="O47">IFERROR(INDEX($I$9:$I$322,MATCH($K47&amp;O$8,$G$9:$G$322&amp;$H$9:$H$322,0)),"-")</f>
        <v>-</v>
      </c>
      <c r="P47" s="4" t="str" cm="1">
        <f t="array" ref="P47">IFERROR(INDEX($I$9:$I$322,MATCH($K47&amp;P$8,$G$9:$G$322&amp;$H$9:$H$322,0)),"-")</f>
        <v>-</v>
      </c>
      <c r="Q47" s="4" t="str" cm="1">
        <f t="array" ref="Q47">IFERROR(INDEX($I$9:$I$322,MATCH($K47&amp;Q$8,$G$9:$G$322&amp;$H$9:$H$322,0)),"-")</f>
        <v>-</v>
      </c>
      <c r="R47" s="4" t="str" cm="1">
        <f t="array" ref="R47">IFERROR(INDEX($I$9:$I$322,MATCH($K47&amp;R$8,$G$9:$G$322&amp;$H$9:$H$322,0)),"-")</f>
        <v>-</v>
      </c>
    </row>
    <row r="48" spans="4:18" x14ac:dyDescent="0.2">
      <c r="D48" s="3" t="s">
        <v>8</v>
      </c>
      <c r="E48" s="5" t="s">
        <v>121</v>
      </c>
      <c r="G48" s="5" t="s">
        <v>17</v>
      </c>
      <c r="H48" s="3" t="s">
        <v>131</v>
      </c>
      <c r="I48" s="3" t="s">
        <v>170</v>
      </c>
      <c r="K48" s="8" t="str">
        <v>CAISO_ST</v>
      </c>
      <c r="L48" s="4" t="str">
        <f>IFERROR(INDEX('Resource Summary'!B:B,MATCH(K48,'Resource Summary'!A:A,0)),"-")</f>
        <v>CAISO</v>
      </c>
      <c r="M48" s="4" t="str" cm="1">
        <f t="array" ref="M48">IFERROR(INDEX($I$9:$I$322,MATCH($K48&amp;M$8,$G$9:$G$322&amp;$H$9:$H$322,0)),"-")</f>
        <v>Fossil Gas</v>
      </c>
      <c r="N48" s="4" t="str" cm="1">
        <f t="array" ref="N48">IFERROR(INDEX($I$9:$I$322,MATCH($K48&amp;N$8,$G$9:$G$322&amp;$H$9:$H$322,0)),"-")</f>
        <v>Baseline Thermal</v>
      </c>
      <c r="O48" s="4" t="str" cm="1">
        <f t="array" ref="O48">IFERROR(INDEX($I$9:$I$322,MATCH($K48&amp;O$8,$G$9:$G$322&amp;$H$9:$H$322,0)),"-")</f>
        <v>-</v>
      </c>
      <c r="P48" s="4" t="str" cm="1">
        <f t="array" ref="P48">IFERROR(INDEX($I$9:$I$322,MATCH($K48&amp;P$8,$G$9:$G$322&amp;$H$9:$H$322,0)),"-")</f>
        <v>Generator Emissions</v>
      </c>
      <c r="Q48" s="4" t="str" cm="1">
        <f t="array" ref="Q48">IFERROR(INDEX($I$9:$I$322,MATCH($K48&amp;Q$8,$G$9:$G$322&amp;$H$9:$H$322,0)),"-")</f>
        <v>-</v>
      </c>
      <c r="R48" s="4" t="str" cm="1">
        <f t="array" ref="R48">IFERROR(INDEX($I$9:$I$322,MATCH($K48&amp;R$8,$G$9:$G$322&amp;$H$9:$H$322,0)),"-")</f>
        <v>Steam Turbine</v>
      </c>
    </row>
    <row r="49" spans="4:18" x14ac:dyDescent="0.2">
      <c r="D49" s="3" t="s">
        <v>8</v>
      </c>
      <c r="E49" s="5" t="s">
        <v>120</v>
      </c>
      <c r="G49" s="5" t="s">
        <v>22</v>
      </c>
      <c r="H49" s="3" t="s">
        <v>131</v>
      </c>
      <c r="I49" s="3" t="s">
        <v>170</v>
      </c>
      <c r="K49" s="8" t="str">
        <v>CAISO_Wind_for_CAISO</v>
      </c>
      <c r="L49" s="4" t="str">
        <f>IFERROR(INDEX('Resource Summary'!B:B,MATCH(K49,'Resource Summary'!A:A,0)),"-")</f>
        <v>CAISO</v>
      </c>
      <c r="M49" s="4" t="str" cm="1">
        <f t="array" ref="M49">IFERROR(INDEX($I$9:$I$322,MATCH($K49&amp;M$8,$G$9:$G$322&amp;$H$9:$H$322,0)),"-")</f>
        <v>Wind</v>
      </c>
      <c r="N49" s="4" t="str" cm="1">
        <f t="array" ref="N49">IFERROR(INDEX($I$9:$I$322,MATCH($K49&amp;N$8,$G$9:$G$322&amp;$H$9:$H$322,0)),"-")</f>
        <v>Renewables</v>
      </c>
      <c r="O49" s="4" t="str" cm="1">
        <f t="array" ref="O49">IFERROR(INDEX($I$9:$I$322,MATCH($K49&amp;O$8,$G$9:$G$322&amp;$H$9:$H$322,0)),"-")</f>
        <v>-</v>
      </c>
      <c r="P49" s="4" t="str" cm="1">
        <f t="array" ref="P49">IFERROR(INDEX($I$9:$I$322,MATCH($K49&amp;P$8,$G$9:$G$322&amp;$H$9:$H$322,0)),"-")</f>
        <v>-</v>
      </c>
      <c r="Q49" s="4" t="str" cm="1">
        <f t="array" ref="Q49">IFERROR(INDEX($I$9:$I$322,MATCH($K49&amp;Q$8,$G$9:$G$322&amp;$H$9:$H$322,0)),"-")</f>
        <v>-</v>
      </c>
      <c r="R49" s="4" t="str" cm="1">
        <f t="array" ref="R49">IFERROR(INDEX($I$9:$I$322,MATCH($K49&amp;R$8,$G$9:$G$322&amp;$H$9:$H$322,0)),"-")</f>
        <v>-</v>
      </c>
    </row>
    <row r="50" spans="4:18" x14ac:dyDescent="0.2">
      <c r="D50" s="3" t="s">
        <v>8</v>
      </c>
      <c r="E50" s="5" t="s">
        <v>123</v>
      </c>
      <c r="G50" s="5" t="s">
        <v>23</v>
      </c>
      <c r="H50" s="3" t="s">
        <v>131</v>
      </c>
      <c r="I50" s="3" t="s">
        <v>170</v>
      </c>
      <c r="K50" s="8" t="str">
        <v>CAISO_Wind_for_Other</v>
      </c>
      <c r="L50" s="4" t="str">
        <f>IFERROR(INDEX('Resource Summary'!B:B,MATCH(K50,'Resource Summary'!A:A,0)),"-")</f>
        <v>CAISO</v>
      </c>
      <c r="M50" s="4" t="str" cm="1">
        <f t="array" ref="M50">IFERROR(INDEX($I$9:$I$322,MATCH($K50&amp;M$8,$G$9:$G$322&amp;$H$9:$H$322,0)),"-")</f>
        <v>Wind</v>
      </c>
      <c r="N50" s="4" t="str" cm="1">
        <f t="array" ref="N50">IFERROR(INDEX($I$9:$I$322,MATCH($K50&amp;N$8,$G$9:$G$322&amp;$H$9:$H$322,0)),"-")</f>
        <v>Renewables</v>
      </c>
      <c r="O50" s="4" t="str" cm="1">
        <f t="array" ref="O50">IFERROR(INDEX($I$9:$I$322,MATCH($K50&amp;O$8,$G$9:$G$322&amp;$H$9:$H$322,0)),"-")</f>
        <v>-</v>
      </c>
      <c r="P50" s="4" t="str" cm="1">
        <f t="array" ref="P50">IFERROR(INDEX($I$9:$I$322,MATCH($K50&amp;P$8,$G$9:$G$322&amp;$H$9:$H$322,0)),"-")</f>
        <v>-</v>
      </c>
      <c r="Q50" s="4" t="str" cm="1">
        <f t="array" ref="Q50">IFERROR(INDEX($I$9:$I$322,MATCH($K50&amp;Q$8,$G$9:$G$322&amp;$H$9:$H$322,0)),"-")</f>
        <v>-</v>
      </c>
      <c r="R50" s="4" t="str" cm="1">
        <f t="array" ref="R50">IFERROR(INDEX($I$9:$I$322,MATCH($K50&amp;R$8,$G$9:$G$322&amp;$H$9:$H$322,0)),"-")</f>
        <v>-</v>
      </c>
    </row>
    <row r="51" spans="4:18" x14ac:dyDescent="0.2">
      <c r="D51" s="3" t="s">
        <v>8</v>
      </c>
      <c r="E51" s="5" t="s">
        <v>152</v>
      </c>
      <c r="G51" s="5" t="s">
        <v>33</v>
      </c>
      <c r="H51" s="3" t="s">
        <v>131</v>
      </c>
      <c r="I51" s="3" t="s">
        <v>170</v>
      </c>
      <c r="K51" s="8" t="str">
        <v>Carrizo_Wind</v>
      </c>
      <c r="L51" s="4" t="str">
        <f>IFERROR(INDEX('Resource Summary'!B:B,MATCH(K51,'Resource Summary'!A:A,0)),"-")</f>
        <v>CAISO</v>
      </c>
      <c r="M51" s="4" t="str" cm="1">
        <f t="array" ref="M51">IFERROR(INDEX($I$9:$I$322,MATCH($K51&amp;M$8,$G$9:$G$322&amp;$H$9:$H$322,0)),"-")</f>
        <v>Wind</v>
      </c>
      <c r="N51" s="4" t="str" cm="1">
        <f t="array" ref="N51">IFERROR(INDEX($I$9:$I$322,MATCH($K51&amp;N$8,$G$9:$G$322&amp;$H$9:$H$322,0)),"-")</f>
        <v>Renewables</v>
      </c>
      <c r="O51" s="4" t="str" cm="1">
        <f t="array" ref="O51">IFERROR(INDEX($I$9:$I$322,MATCH($K51&amp;O$8,$G$9:$G$322&amp;$H$9:$H$322,0)),"-")</f>
        <v>-</v>
      </c>
      <c r="P51" s="4" t="str" cm="1">
        <f t="array" ref="P51">IFERROR(INDEX($I$9:$I$322,MATCH($K51&amp;P$8,$G$9:$G$322&amp;$H$9:$H$322,0)),"-")</f>
        <v>-</v>
      </c>
      <c r="Q51" s="4" t="str" cm="1">
        <f t="array" ref="Q51">IFERROR(INDEX($I$9:$I$322,MATCH($K51&amp;Q$8,$G$9:$G$322&amp;$H$9:$H$322,0)),"-")</f>
        <v>-</v>
      </c>
      <c r="R51" s="4" t="str" cm="1">
        <f t="array" ref="R51">IFERROR(INDEX($I$9:$I$322,MATCH($K51&amp;R$8,$G$9:$G$322&amp;$H$9:$H$322,0)),"-")</f>
        <v>-</v>
      </c>
    </row>
    <row r="52" spans="4:18" x14ac:dyDescent="0.2">
      <c r="D52" s="3" t="s">
        <v>8</v>
      </c>
      <c r="E52" s="5" t="s">
        <v>168</v>
      </c>
      <c r="G52" s="5" t="s">
        <v>34</v>
      </c>
      <c r="H52" s="3" t="s">
        <v>131</v>
      </c>
      <c r="I52" s="3" t="s">
        <v>170</v>
      </c>
      <c r="K52" s="8" t="str">
        <v>Central_Valley_North_Los_Banos_Wind</v>
      </c>
      <c r="L52" s="4" t="str">
        <f>IFERROR(INDEX('Resource Summary'!B:B,MATCH(K52,'Resource Summary'!A:A,0)),"-")</f>
        <v>CAISO</v>
      </c>
      <c r="M52" s="4" t="str" cm="1">
        <f t="array" ref="M52">IFERROR(INDEX($I$9:$I$322,MATCH($K52&amp;M$8,$G$9:$G$322&amp;$H$9:$H$322,0)),"-")</f>
        <v>Wind</v>
      </c>
      <c r="N52" s="4" t="str" cm="1">
        <f t="array" ref="N52">IFERROR(INDEX($I$9:$I$322,MATCH($K52&amp;N$8,$G$9:$G$322&amp;$H$9:$H$322,0)),"-")</f>
        <v>Renewables</v>
      </c>
      <c r="O52" s="4" t="str" cm="1">
        <f t="array" ref="O52">IFERROR(INDEX($I$9:$I$322,MATCH($K52&amp;O$8,$G$9:$G$322&amp;$H$9:$H$322,0)),"-")</f>
        <v>-</v>
      </c>
      <c r="P52" s="4" t="str" cm="1">
        <f t="array" ref="P52">IFERROR(INDEX($I$9:$I$322,MATCH($K52&amp;P$8,$G$9:$G$322&amp;$H$9:$H$322,0)),"-")</f>
        <v>-</v>
      </c>
      <c r="Q52" s="4" t="str" cm="1">
        <f t="array" ref="Q52">IFERROR(INDEX($I$9:$I$322,MATCH($K52&amp;Q$8,$G$9:$G$322&amp;$H$9:$H$322,0)),"-")</f>
        <v>-</v>
      </c>
      <c r="R52" s="4" t="str" cm="1">
        <f t="array" ref="R52">IFERROR(INDEX($I$9:$I$322,MATCH($K52&amp;R$8,$G$9:$G$322&amp;$H$9:$H$322,0)),"-")</f>
        <v>-</v>
      </c>
    </row>
    <row r="53" spans="4:18" x14ac:dyDescent="0.2">
      <c r="D53" s="3" t="s">
        <v>8</v>
      </c>
      <c r="E53" s="5" t="s">
        <v>151</v>
      </c>
      <c r="G53" s="5" t="s">
        <v>35</v>
      </c>
      <c r="H53" s="3" t="s">
        <v>131</v>
      </c>
      <c r="I53" s="3" t="s">
        <v>170</v>
      </c>
      <c r="K53" s="8" t="str">
        <v>Customer_PV</v>
      </c>
      <c r="L53" s="4" t="str">
        <f>IFERROR(INDEX('Resource Summary'!B:B,MATCH(K53,'Resource Summary'!A:A,0)),"-")</f>
        <v>CAISO</v>
      </c>
      <c r="M53" s="4" t="str" cm="1">
        <f t="array" ref="M53">IFERROR(INDEX($I$9:$I$322,MATCH($K53&amp;M$8,$G$9:$G$322&amp;$H$9:$H$322,0)),"-")</f>
        <v>Customer PV</v>
      </c>
      <c r="N53" s="4" t="str" cm="1">
        <f t="array" ref="N53">IFERROR(INDEX($I$9:$I$322,MATCH($K53&amp;N$8,$G$9:$G$322&amp;$H$9:$H$322,0)),"-")</f>
        <v>Renewables</v>
      </c>
      <c r="O53" s="4" t="str" cm="1">
        <f t="array" ref="O53">IFERROR(INDEX($I$9:$I$322,MATCH($K53&amp;O$8,$G$9:$G$322&amp;$H$9:$H$322,0)),"-")</f>
        <v>-</v>
      </c>
      <c r="P53" s="4" t="str" cm="1">
        <f t="array" ref="P53">IFERROR(INDEX($I$9:$I$322,MATCH($K53&amp;P$8,$G$9:$G$322&amp;$H$9:$H$322,0)),"-")</f>
        <v>-</v>
      </c>
      <c r="Q53" s="4" t="str" cm="1">
        <f t="array" ref="Q53">IFERROR(INDEX($I$9:$I$322,MATCH($K53&amp;Q$8,$G$9:$G$322&amp;$H$9:$H$322,0)),"-")</f>
        <v>-</v>
      </c>
      <c r="R53" s="4" t="str" cm="1">
        <f t="array" ref="R53">IFERROR(INDEX($I$9:$I$322,MATCH($K53&amp;R$8,$G$9:$G$322&amp;$H$9:$H$322,0)),"-")</f>
        <v>Customer PV</v>
      </c>
    </row>
    <row r="54" spans="4:18" x14ac:dyDescent="0.2">
      <c r="D54" s="3"/>
      <c r="E54" s="5"/>
      <c r="G54" s="5" t="s">
        <v>49</v>
      </c>
      <c r="H54" s="3" t="s">
        <v>131</v>
      </c>
      <c r="I54" s="3" t="s">
        <v>170</v>
      </c>
      <c r="K54" s="8" t="str">
        <v>Distributed_Solar</v>
      </c>
      <c r="L54" s="4" t="str">
        <f>IFERROR(INDEX('Resource Summary'!B:B,MATCH(K54,'Resource Summary'!A:A,0)),"-")</f>
        <v>CAISO</v>
      </c>
      <c r="M54" s="4" t="str" cm="1">
        <f t="array" ref="M54">IFERROR(INDEX($I$9:$I$322,MATCH($K54&amp;M$8,$G$9:$G$322&amp;$H$9:$H$322,0)),"-")</f>
        <v>Solar</v>
      </c>
      <c r="N54" s="4" t="str" cm="1">
        <f t="array" ref="N54">IFERROR(INDEX($I$9:$I$322,MATCH($K54&amp;N$8,$G$9:$G$322&amp;$H$9:$H$322,0)),"-")</f>
        <v>Renewables</v>
      </c>
      <c r="O54" s="4" t="str" cm="1">
        <f t="array" ref="O54">IFERROR(INDEX($I$9:$I$322,MATCH($K54&amp;O$8,$G$9:$G$322&amp;$H$9:$H$322,0)),"-")</f>
        <v>-</v>
      </c>
      <c r="P54" s="4" t="str" cm="1">
        <f t="array" ref="P54">IFERROR(INDEX($I$9:$I$322,MATCH($K54&amp;P$8,$G$9:$G$322&amp;$H$9:$H$322,0)),"-")</f>
        <v>-</v>
      </c>
      <c r="Q54" s="4" t="str" cm="1">
        <f t="array" ref="Q54">IFERROR(INDEX($I$9:$I$322,MATCH($K54&amp;Q$8,$G$9:$G$322&amp;$H$9:$H$322,0)),"-")</f>
        <v>-</v>
      </c>
      <c r="R54" s="4" t="str" cm="1">
        <f t="array" ref="R54">IFERROR(INDEX($I$9:$I$322,MATCH($K54&amp;R$8,$G$9:$G$322&amp;$H$9:$H$322,0)),"-")</f>
        <v>-</v>
      </c>
    </row>
    <row r="55" spans="4:18" x14ac:dyDescent="0.2">
      <c r="D55" s="3"/>
      <c r="E55" s="5"/>
      <c r="G55" s="5" t="s">
        <v>27</v>
      </c>
      <c r="H55" s="3" t="s">
        <v>131</v>
      </c>
      <c r="I55" s="3" t="s">
        <v>121</v>
      </c>
      <c r="K55" s="8" t="str">
        <v>Greater_Imperial_Geothermal</v>
      </c>
      <c r="L55" s="4" t="str">
        <f>IFERROR(INDEX('Resource Summary'!B:B,MATCH(K55,'Resource Summary'!A:A,0)),"-")</f>
        <v>CAISO</v>
      </c>
      <c r="M55" s="4" t="str" cm="1">
        <f t="array" ref="M55">IFERROR(INDEX($I$9:$I$322,MATCH($K55&amp;M$8,$G$9:$G$322&amp;$H$9:$H$322,0)),"-")</f>
        <v>Geothermal</v>
      </c>
      <c r="N55" s="4" t="str" cm="1">
        <f t="array" ref="N55">IFERROR(INDEX($I$9:$I$322,MATCH($K55&amp;N$8,$G$9:$G$322&amp;$H$9:$H$322,0)),"-")</f>
        <v>Renewables</v>
      </c>
      <c r="O55" s="4" t="str" cm="1">
        <f t="array" ref="O55">IFERROR(INDEX($I$9:$I$322,MATCH($K55&amp;O$8,$G$9:$G$322&amp;$H$9:$H$322,0)),"-")</f>
        <v>-</v>
      </c>
      <c r="P55" s="4" t="str" cm="1">
        <f t="array" ref="P55">IFERROR(INDEX($I$9:$I$322,MATCH($K55&amp;P$8,$G$9:$G$322&amp;$H$9:$H$322,0)),"-")</f>
        <v>-</v>
      </c>
      <c r="Q55" s="4" t="str" cm="1">
        <f t="array" ref="Q55">IFERROR(INDEX($I$9:$I$322,MATCH($K55&amp;Q$8,$G$9:$G$322&amp;$H$9:$H$322,0)),"-")</f>
        <v>-</v>
      </c>
      <c r="R55" s="4" t="str" cm="1">
        <f t="array" ref="R55">IFERROR(INDEX($I$9:$I$322,MATCH($K55&amp;R$8,$G$9:$G$322&amp;$H$9:$H$322,0)),"-")</f>
        <v>Geothermal</v>
      </c>
    </row>
    <row r="56" spans="4:18" x14ac:dyDescent="0.2">
      <c r="G56" s="5" t="s">
        <v>28</v>
      </c>
      <c r="H56" s="3" t="s">
        <v>131</v>
      </c>
      <c r="I56" s="3" t="s">
        <v>121</v>
      </c>
      <c r="K56" s="8" t="str">
        <v>Greater_Kramer_Li_Battery</v>
      </c>
      <c r="L56" s="4" t="str">
        <f>IFERROR(INDEX('Resource Summary'!B:B,MATCH(K56,'Resource Summary'!A:A,0)),"-")</f>
        <v>CAISO</v>
      </c>
      <c r="M56" s="4" t="str" cm="1">
        <f t="array" ref="M56">IFERROR(INDEX($I$9:$I$322,MATCH($K56&amp;M$8,$G$9:$G$322&amp;$H$9:$H$322,0)),"-")</f>
        <v>Battery Storage</v>
      </c>
      <c r="N56" s="4" t="str" cm="1">
        <f t="array" ref="N56">IFERROR(INDEX($I$9:$I$322,MATCH($K56&amp;N$8,$G$9:$G$322&amp;$H$9:$H$322,0)),"-")</f>
        <v>Storage</v>
      </c>
      <c r="O56" s="4" t="str" cm="1">
        <f t="array" ref="O56">IFERROR(INDEX($I$9:$I$322,MATCH($K56&amp;O$8,$G$9:$G$322&amp;$H$9:$H$322,0)),"-")</f>
        <v xml:space="preserve">Li Battery </v>
      </c>
      <c r="P56" s="4" t="str" cm="1">
        <f t="array" ref="P56">IFERROR(INDEX($I$9:$I$322,MATCH($K56&amp;P$8,$G$9:$G$322&amp;$H$9:$H$322,0)),"-")</f>
        <v>-</v>
      </c>
      <c r="Q56" s="4" t="str" cm="1">
        <f t="array" ref="Q56">IFERROR(INDEX($I$9:$I$322,MATCH($K56&amp;Q$8,$G$9:$G$322&amp;$H$9:$H$322,0)),"-")</f>
        <v>-</v>
      </c>
      <c r="R56" s="4" t="str" cm="1">
        <f t="array" ref="R56">IFERROR(INDEX($I$9:$I$322,MATCH($K56&amp;R$8,$G$9:$G$322&amp;$H$9:$H$322,0)),"-")</f>
        <v>-</v>
      </c>
    </row>
    <row r="57" spans="4:18" x14ac:dyDescent="0.2">
      <c r="G57" s="5" t="s">
        <v>56</v>
      </c>
      <c r="H57" s="3" t="s">
        <v>131</v>
      </c>
      <c r="I57" s="3" t="s">
        <v>121</v>
      </c>
      <c r="K57" s="8" t="str">
        <v>Greater_Kramer_Solar</v>
      </c>
      <c r="L57" s="4" t="str">
        <f>IFERROR(INDEX('Resource Summary'!B:B,MATCH(K57,'Resource Summary'!A:A,0)),"-")</f>
        <v>CAISO</v>
      </c>
      <c r="M57" s="4" t="str" cm="1">
        <f t="array" ref="M57">IFERROR(INDEX($I$9:$I$322,MATCH($K57&amp;M$8,$G$9:$G$322&amp;$H$9:$H$322,0)),"-")</f>
        <v>Solar</v>
      </c>
      <c r="N57" s="4" t="str" cm="1">
        <f t="array" ref="N57">IFERROR(INDEX($I$9:$I$322,MATCH($K57&amp;N$8,$G$9:$G$322&amp;$H$9:$H$322,0)),"-")</f>
        <v>Renewables</v>
      </c>
      <c r="O57" s="4" t="str" cm="1">
        <f t="array" ref="O57">IFERROR(INDEX($I$9:$I$322,MATCH($K57&amp;O$8,$G$9:$G$322&amp;$H$9:$H$322,0)),"-")</f>
        <v>-</v>
      </c>
      <c r="P57" s="4" t="str" cm="1">
        <f t="array" ref="P57">IFERROR(INDEX($I$9:$I$322,MATCH($K57&amp;P$8,$G$9:$G$322&amp;$H$9:$H$322,0)),"-")</f>
        <v>-</v>
      </c>
      <c r="Q57" s="4" t="str" cm="1">
        <f t="array" ref="Q57">IFERROR(INDEX($I$9:$I$322,MATCH($K57&amp;Q$8,$G$9:$G$322&amp;$H$9:$H$322,0)),"-")</f>
        <v>-</v>
      </c>
      <c r="R57" s="4" t="str" cm="1">
        <f t="array" ref="R57">IFERROR(INDEX($I$9:$I$322,MATCH($K57&amp;R$8,$G$9:$G$322&amp;$H$9:$H$322,0)),"-")</f>
        <v>-</v>
      </c>
    </row>
    <row r="58" spans="4:18" x14ac:dyDescent="0.2">
      <c r="G58" s="5" t="s">
        <v>69</v>
      </c>
      <c r="H58" s="3" t="s">
        <v>131</v>
      </c>
      <c r="I58" s="3" t="s">
        <v>121</v>
      </c>
      <c r="K58" s="8" t="str">
        <v>Greater_LA_Li_Battery</v>
      </c>
      <c r="L58" s="4" t="str">
        <f>IFERROR(INDEX('Resource Summary'!B:B,MATCH(K58,'Resource Summary'!A:A,0)),"-")</f>
        <v>CAISO</v>
      </c>
      <c r="M58" s="4" t="str" cm="1">
        <f t="array" ref="M58">IFERROR(INDEX($I$9:$I$322,MATCH($K58&amp;M$8,$G$9:$G$322&amp;$H$9:$H$322,0)),"-")</f>
        <v>Battery Storage</v>
      </c>
      <c r="N58" s="4" t="str" cm="1">
        <f t="array" ref="N58">IFERROR(INDEX($I$9:$I$322,MATCH($K58&amp;N$8,$G$9:$G$322&amp;$H$9:$H$322,0)),"-")</f>
        <v>Storage</v>
      </c>
      <c r="O58" s="4" t="str" cm="1">
        <f t="array" ref="O58">IFERROR(INDEX($I$9:$I$322,MATCH($K58&amp;O$8,$G$9:$G$322&amp;$H$9:$H$322,0)),"-")</f>
        <v xml:space="preserve">Li Battery </v>
      </c>
      <c r="P58" s="4" t="str" cm="1">
        <f t="array" ref="P58">IFERROR(INDEX($I$9:$I$322,MATCH($K58&amp;P$8,$G$9:$G$322&amp;$H$9:$H$322,0)),"-")</f>
        <v>-</v>
      </c>
      <c r="Q58" s="4" t="str" cm="1">
        <f t="array" ref="Q58">IFERROR(INDEX($I$9:$I$322,MATCH($K58&amp;Q$8,$G$9:$G$322&amp;$H$9:$H$322,0)),"-")</f>
        <v>-</v>
      </c>
      <c r="R58" s="4" t="str" cm="1">
        <f t="array" ref="R58">IFERROR(INDEX($I$9:$I$322,MATCH($K58&amp;R$8,$G$9:$G$322&amp;$H$9:$H$322,0)),"-")</f>
        <v>-</v>
      </c>
    </row>
    <row r="59" spans="4:18" x14ac:dyDescent="0.2">
      <c r="G59" s="5" t="s">
        <v>77</v>
      </c>
      <c r="H59" s="3" t="s">
        <v>131</v>
      </c>
      <c r="I59" s="3" t="s">
        <v>121</v>
      </c>
      <c r="K59" s="8" t="str">
        <v>Greater_LA_Solar</v>
      </c>
      <c r="L59" s="4" t="str">
        <f>IFERROR(INDEX('Resource Summary'!B:B,MATCH(K59,'Resource Summary'!A:A,0)),"-")</f>
        <v>CAISO</v>
      </c>
      <c r="M59" s="4" t="str" cm="1">
        <f t="array" ref="M59">IFERROR(INDEX($I$9:$I$322,MATCH($K59&amp;M$8,$G$9:$G$322&amp;$H$9:$H$322,0)),"-")</f>
        <v>Solar</v>
      </c>
      <c r="N59" s="4" t="str" cm="1">
        <f t="array" ref="N59">IFERROR(INDEX($I$9:$I$322,MATCH($K59&amp;N$8,$G$9:$G$322&amp;$H$9:$H$322,0)),"-")</f>
        <v>Renewables</v>
      </c>
      <c r="O59" s="4" t="str" cm="1">
        <f t="array" ref="O59">IFERROR(INDEX($I$9:$I$322,MATCH($K59&amp;O$8,$G$9:$G$322&amp;$H$9:$H$322,0)),"-")</f>
        <v>-</v>
      </c>
      <c r="P59" s="4" t="str" cm="1">
        <f t="array" ref="P59">IFERROR(INDEX($I$9:$I$322,MATCH($K59&amp;P$8,$G$9:$G$322&amp;$H$9:$H$322,0)),"-")</f>
        <v>-</v>
      </c>
      <c r="Q59" s="4" t="str" cm="1">
        <f t="array" ref="Q59">IFERROR(INDEX($I$9:$I$322,MATCH($K59&amp;Q$8,$G$9:$G$322&amp;$H$9:$H$322,0)),"-")</f>
        <v>-</v>
      </c>
      <c r="R59" s="4" t="str" cm="1">
        <f t="array" ref="R59">IFERROR(INDEX($I$9:$I$322,MATCH($K59&amp;R$8,$G$9:$G$322&amp;$H$9:$H$322,0)),"-")</f>
        <v>-</v>
      </c>
    </row>
    <row r="60" spans="4:18" x14ac:dyDescent="0.2">
      <c r="G60" s="5" t="s">
        <v>87</v>
      </c>
      <c r="H60" s="3" t="s">
        <v>131</v>
      </c>
      <c r="I60" s="3" t="s">
        <v>121</v>
      </c>
      <c r="K60" s="8" t="str">
        <v>Humboldt_Bay_Offshore_Wind</v>
      </c>
      <c r="L60" s="4" t="str">
        <f>IFERROR(INDEX('Resource Summary'!B:B,MATCH(K60,'Resource Summary'!A:A,0)),"-")</f>
        <v>CAISO</v>
      </c>
      <c r="M60" s="4" t="str" cm="1">
        <f t="array" ref="M60">IFERROR(INDEX($I$9:$I$322,MATCH($K60&amp;M$8,$G$9:$G$322&amp;$H$9:$H$322,0)),"-")</f>
        <v>Offshore Wind</v>
      </c>
      <c r="N60" s="4" t="str" cm="1">
        <f t="array" ref="N60">IFERROR(INDEX($I$9:$I$322,MATCH($K60&amp;N$8,$G$9:$G$322&amp;$H$9:$H$322,0)),"-")</f>
        <v>Renewables</v>
      </c>
      <c r="O60" s="4" t="str" cm="1">
        <f t="array" ref="O60">IFERROR(INDEX($I$9:$I$322,MATCH($K60&amp;O$8,$G$9:$G$322&amp;$H$9:$H$322,0)),"-")</f>
        <v>-</v>
      </c>
      <c r="P60" s="4" t="str" cm="1">
        <f t="array" ref="P60">IFERROR(INDEX($I$9:$I$322,MATCH($K60&amp;P$8,$G$9:$G$322&amp;$H$9:$H$322,0)),"-")</f>
        <v>-</v>
      </c>
      <c r="Q60" s="4" t="str" cm="1">
        <f t="array" ref="Q60">IFERROR(INDEX($I$9:$I$322,MATCH($K60&amp;Q$8,$G$9:$G$322&amp;$H$9:$H$322,0)),"-")</f>
        <v>-</v>
      </c>
      <c r="R60" s="4" t="str" cm="1">
        <f t="array" ref="R60">IFERROR(INDEX($I$9:$I$322,MATCH($K60&amp;R$8,$G$9:$G$322&amp;$H$9:$H$322,0)),"-")</f>
        <v>-</v>
      </c>
    </row>
    <row r="61" spans="4:18" x14ac:dyDescent="0.2">
      <c r="G61" s="5" t="s">
        <v>91</v>
      </c>
      <c r="H61" s="3" t="s">
        <v>131</v>
      </c>
      <c r="I61" s="3" t="s">
        <v>121</v>
      </c>
      <c r="K61" s="8" t="str">
        <v>Humboldt_Wind</v>
      </c>
      <c r="L61" s="4" t="str">
        <f>IFERROR(INDEX('Resource Summary'!B:B,MATCH(K61,'Resource Summary'!A:A,0)),"-")</f>
        <v>CAISO</v>
      </c>
      <c r="M61" s="4" t="str" cm="1">
        <f t="array" ref="M61">IFERROR(INDEX($I$9:$I$322,MATCH($K61&amp;M$8,$G$9:$G$322&amp;$H$9:$H$322,0)),"-")</f>
        <v>Wind</v>
      </c>
      <c r="N61" s="4" t="str" cm="1">
        <f t="array" ref="N61">IFERROR(INDEX($I$9:$I$322,MATCH($K61&amp;N$8,$G$9:$G$322&amp;$H$9:$H$322,0)),"-")</f>
        <v>Renewables</v>
      </c>
      <c r="O61" s="4" t="str" cm="1">
        <f t="array" ref="O61">IFERROR(INDEX($I$9:$I$322,MATCH($K61&amp;O$8,$G$9:$G$322&amp;$H$9:$H$322,0)),"-")</f>
        <v>-</v>
      </c>
      <c r="P61" s="4" t="str" cm="1">
        <f t="array" ref="P61">IFERROR(INDEX($I$9:$I$322,MATCH($K61&amp;P$8,$G$9:$G$322&amp;$H$9:$H$322,0)),"-")</f>
        <v>-</v>
      </c>
      <c r="Q61" s="4" t="str" cm="1">
        <f t="array" ref="Q61">IFERROR(INDEX($I$9:$I$322,MATCH($K61&amp;Q$8,$G$9:$G$322&amp;$H$9:$H$322,0)),"-")</f>
        <v>-</v>
      </c>
      <c r="R61" s="4" t="str" cm="1">
        <f t="array" ref="R61">IFERROR(INDEX($I$9:$I$322,MATCH($K61&amp;R$8,$G$9:$G$322&amp;$H$9:$H$322,0)),"-")</f>
        <v>-</v>
      </c>
    </row>
    <row r="62" spans="4:18" x14ac:dyDescent="0.2">
      <c r="G62" s="5" t="s">
        <v>97</v>
      </c>
      <c r="H62" s="3" t="s">
        <v>131</v>
      </c>
      <c r="I62" s="3" t="s">
        <v>121</v>
      </c>
      <c r="K62" s="8" t="str">
        <v>Idaho_Wind</v>
      </c>
      <c r="L62" s="4" t="str">
        <f>IFERROR(INDEX('Resource Summary'!B:B,MATCH(K62,'Resource Summary'!A:A,0)),"-")</f>
        <v>CAISO</v>
      </c>
      <c r="M62" s="4" t="str" cm="1">
        <f t="array" ref="M62">IFERROR(INDEX($I$9:$I$322,MATCH($K62&amp;M$8,$G$9:$G$322&amp;$H$9:$H$322,0)),"-")</f>
        <v>Wind</v>
      </c>
      <c r="N62" s="4" t="str" cm="1">
        <f t="array" ref="N62">IFERROR(INDEX($I$9:$I$322,MATCH($K62&amp;N$8,$G$9:$G$322&amp;$H$9:$H$322,0)),"-")</f>
        <v>Renewables</v>
      </c>
      <c r="O62" s="4" t="str" cm="1">
        <f t="array" ref="O62">IFERROR(INDEX($I$9:$I$322,MATCH($K62&amp;O$8,$G$9:$G$322&amp;$H$9:$H$322,0)),"-")</f>
        <v>-</v>
      </c>
      <c r="P62" s="4" t="str" cm="1">
        <f t="array" ref="P62">IFERROR(INDEX($I$9:$I$322,MATCH($K62&amp;P$8,$G$9:$G$322&amp;$H$9:$H$322,0)),"-")</f>
        <v>-</v>
      </c>
      <c r="Q62" s="4" t="str" cm="1">
        <f t="array" ref="Q62">IFERROR(INDEX($I$9:$I$322,MATCH($K62&amp;Q$8,$G$9:$G$322&amp;$H$9:$H$322,0)),"-")</f>
        <v>-</v>
      </c>
      <c r="R62" s="4" t="str" cm="1">
        <f t="array" ref="R62">IFERROR(INDEX($I$9:$I$322,MATCH($K62&amp;R$8,$G$9:$G$322&amp;$H$9:$H$322,0)),"-")</f>
        <v>-</v>
      </c>
    </row>
    <row r="63" spans="4:18" x14ac:dyDescent="0.2">
      <c r="G63" s="5" t="s">
        <v>99</v>
      </c>
      <c r="H63" s="3" t="s">
        <v>131</v>
      </c>
      <c r="I63" s="3" t="s">
        <v>121</v>
      </c>
      <c r="K63" s="8" t="str">
        <v>IID_CCGT</v>
      </c>
      <c r="L63" s="4" t="str">
        <f>IFERROR(INDEX('Resource Summary'!B:B,MATCH(K63,'Resource Summary'!A:A,0)),"-")</f>
        <v>IID</v>
      </c>
      <c r="M63" s="4" t="str" cm="1">
        <f t="array" ref="M63">IFERROR(INDEX($I$9:$I$322,MATCH($K63&amp;M$8,$G$9:$G$322&amp;$H$9:$H$322,0)),"-")</f>
        <v>-</v>
      </c>
      <c r="N63" s="4" t="str" cm="1">
        <f t="array" ref="N63">IFERROR(INDEX($I$9:$I$322,MATCH($K63&amp;N$8,$G$9:$G$322&amp;$H$9:$H$322,0)),"-")</f>
        <v>-</v>
      </c>
      <c r="O63" s="4" t="str" cm="1">
        <f t="array" ref="O63">IFERROR(INDEX($I$9:$I$322,MATCH($K63&amp;O$8,$G$9:$G$322&amp;$H$9:$H$322,0)),"-")</f>
        <v>-</v>
      </c>
      <c r="P63" s="4" t="str" cm="1">
        <f t="array" ref="P63">IFERROR(INDEX($I$9:$I$322,MATCH($K63&amp;P$8,$G$9:$G$322&amp;$H$9:$H$322,0)),"-")</f>
        <v>-</v>
      </c>
      <c r="Q63" s="4" t="str" cm="1">
        <f t="array" ref="Q63">IFERROR(INDEX($I$9:$I$322,MATCH($K63&amp;Q$8,$G$9:$G$322&amp;$H$9:$H$322,0)),"-")</f>
        <v>IID</v>
      </c>
      <c r="R63" s="4" t="str" cm="1">
        <f t="array" ref="R63">IFERROR(INDEX($I$9:$I$322,MATCH($K63&amp;R$8,$G$9:$G$322&amp;$H$9:$H$322,0)),"-")</f>
        <v>-</v>
      </c>
    </row>
    <row r="64" spans="4:18" x14ac:dyDescent="0.2">
      <c r="G64" s="5" t="s">
        <v>29</v>
      </c>
      <c r="H64" s="3" t="s">
        <v>131</v>
      </c>
      <c r="I64" s="3" t="s">
        <v>122</v>
      </c>
      <c r="K64" s="8" t="str">
        <v>IID_Peaker</v>
      </c>
      <c r="L64" s="4" t="str">
        <f>IFERROR(INDEX('Resource Summary'!B:B,MATCH(K64,'Resource Summary'!A:A,0)),"-")</f>
        <v>IID</v>
      </c>
      <c r="M64" s="4" t="str" cm="1">
        <f t="array" ref="M64">IFERROR(INDEX($I$9:$I$322,MATCH($K64&amp;M$8,$G$9:$G$322&amp;$H$9:$H$322,0)),"-")</f>
        <v>-</v>
      </c>
      <c r="N64" s="4" t="str" cm="1">
        <f t="array" ref="N64">IFERROR(INDEX($I$9:$I$322,MATCH($K64&amp;N$8,$G$9:$G$322&amp;$H$9:$H$322,0)),"-")</f>
        <v>-</v>
      </c>
      <c r="O64" s="4" t="str" cm="1">
        <f t="array" ref="O64">IFERROR(INDEX($I$9:$I$322,MATCH($K64&amp;O$8,$G$9:$G$322&amp;$H$9:$H$322,0)),"-")</f>
        <v>-</v>
      </c>
      <c r="P64" s="4" t="str" cm="1">
        <f t="array" ref="P64">IFERROR(INDEX($I$9:$I$322,MATCH($K64&amp;P$8,$G$9:$G$322&amp;$H$9:$H$322,0)),"-")</f>
        <v>-</v>
      </c>
      <c r="Q64" s="4" t="str" cm="1">
        <f t="array" ref="Q64">IFERROR(INDEX($I$9:$I$322,MATCH($K64&amp;Q$8,$G$9:$G$322&amp;$H$9:$H$322,0)),"-")</f>
        <v>IID</v>
      </c>
      <c r="R64" s="4" t="str" cm="1">
        <f t="array" ref="R64">IFERROR(INDEX($I$9:$I$322,MATCH($K64&amp;R$8,$G$9:$G$322&amp;$H$9:$H$322,0)),"-")</f>
        <v>-</v>
      </c>
    </row>
    <row r="65" spans="7:18" x14ac:dyDescent="0.2">
      <c r="G65" s="5" t="s">
        <v>45</v>
      </c>
      <c r="H65" s="3" t="s">
        <v>131</v>
      </c>
      <c r="I65" s="3" t="s">
        <v>122</v>
      </c>
      <c r="K65" s="8" t="str">
        <v>Imperial_Li_Battery</v>
      </c>
      <c r="L65" s="4" t="str">
        <f>IFERROR(INDEX('Resource Summary'!B:B,MATCH(K65,'Resource Summary'!A:A,0)),"-")</f>
        <v>CAISO</v>
      </c>
      <c r="M65" s="4" t="str" cm="1">
        <f t="array" ref="M65">IFERROR(INDEX($I$9:$I$322,MATCH($K65&amp;M$8,$G$9:$G$322&amp;$H$9:$H$322,0)),"-")</f>
        <v>Battery Storage</v>
      </c>
      <c r="N65" s="4" t="str" cm="1">
        <f t="array" ref="N65">IFERROR(INDEX($I$9:$I$322,MATCH($K65&amp;N$8,$G$9:$G$322&amp;$H$9:$H$322,0)),"-")</f>
        <v>Storage</v>
      </c>
      <c r="O65" s="4" t="str" cm="1">
        <f t="array" ref="O65">IFERROR(INDEX($I$9:$I$322,MATCH($K65&amp;O$8,$G$9:$G$322&amp;$H$9:$H$322,0)),"-")</f>
        <v xml:space="preserve">Li Battery </v>
      </c>
      <c r="P65" s="4" t="str" cm="1">
        <f t="array" ref="P65">IFERROR(INDEX($I$9:$I$322,MATCH($K65&amp;P$8,$G$9:$G$322&amp;$H$9:$H$322,0)),"-")</f>
        <v>-</v>
      </c>
      <c r="Q65" s="4" t="str" cm="1">
        <f t="array" ref="Q65">IFERROR(INDEX($I$9:$I$322,MATCH($K65&amp;Q$8,$G$9:$G$322&amp;$H$9:$H$322,0)),"-")</f>
        <v>-</v>
      </c>
      <c r="R65" s="4" t="str" cm="1">
        <f t="array" ref="R65">IFERROR(INDEX($I$9:$I$322,MATCH($K65&amp;R$8,$G$9:$G$322&amp;$H$9:$H$322,0)),"-")</f>
        <v>-</v>
      </c>
    </row>
    <row r="66" spans="7:18" x14ac:dyDescent="0.2">
      <c r="G66" s="5" t="s">
        <v>46</v>
      </c>
      <c r="H66" s="3" t="s">
        <v>131</v>
      </c>
      <c r="I66" s="3" t="s">
        <v>122</v>
      </c>
      <c r="K66" s="8" t="str">
        <v>Imperial_Solar</v>
      </c>
      <c r="L66" s="4" t="str">
        <f>IFERROR(INDEX('Resource Summary'!B:B,MATCH(K66,'Resource Summary'!A:A,0)),"-")</f>
        <v>CAISO</v>
      </c>
      <c r="M66" s="4" t="str" cm="1">
        <f t="array" ref="M66">IFERROR(INDEX($I$9:$I$322,MATCH($K66&amp;M$8,$G$9:$G$322&amp;$H$9:$H$322,0)),"-")</f>
        <v>Solar</v>
      </c>
      <c r="N66" s="4" t="str" cm="1">
        <f t="array" ref="N66">IFERROR(INDEX($I$9:$I$322,MATCH($K66&amp;N$8,$G$9:$G$322&amp;$H$9:$H$322,0)),"-")</f>
        <v>Renewables</v>
      </c>
      <c r="O66" s="4" t="str" cm="1">
        <f t="array" ref="O66">IFERROR(INDEX($I$9:$I$322,MATCH($K66&amp;O$8,$G$9:$G$322&amp;$H$9:$H$322,0)),"-")</f>
        <v>-</v>
      </c>
      <c r="P66" s="4" t="str" cm="1">
        <f t="array" ref="P66">IFERROR(INDEX($I$9:$I$322,MATCH($K66&amp;P$8,$G$9:$G$322&amp;$H$9:$H$322,0)),"-")</f>
        <v>-</v>
      </c>
      <c r="Q66" s="4" t="str" cm="1">
        <f t="array" ref="Q66">IFERROR(INDEX($I$9:$I$322,MATCH($K66&amp;Q$8,$G$9:$G$322&amp;$H$9:$H$322,0)),"-")</f>
        <v>-</v>
      </c>
      <c r="R66" s="4" t="str" cm="1">
        <f t="array" ref="R66">IFERROR(INDEX($I$9:$I$322,MATCH($K66&amp;R$8,$G$9:$G$322&amp;$H$9:$H$322,0)),"-")</f>
        <v>-</v>
      </c>
    </row>
    <row r="67" spans="7:18" x14ac:dyDescent="0.2">
      <c r="G67" s="5" t="s">
        <v>84</v>
      </c>
      <c r="H67" s="3" t="s">
        <v>131</v>
      </c>
      <c r="I67" s="3" t="s">
        <v>122</v>
      </c>
      <c r="K67" s="8" t="str">
        <v>InState_Biomass</v>
      </c>
      <c r="L67" s="4" t="str">
        <f>IFERROR(INDEX('Resource Summary'!B:B,MATCH(K67,'Resource Summary'!A:A,0)),"-")</f>
        <v>CAISO</v>
      </c>
      <c r="M67" s="4" t="str" cm="1">
        <f t="array" ref="M67">IFERROR(INDEX($I$9:$I$322,MATCH($K67&amp;M$8,$G$9:$G$322&amp;$H$9:$H$322,0)),"-")</f>
        <v>Biomass</v>
      </c>
      <c r="N67" s="4" t="str" cm="1">
        <f t="array" ref="N67">IFERROR(INDEX($I$9:$I$322,MATCH($K67&amp;N$8,$G$9:$G$322&amp;$H$9:$H$322,0)),"-")</f>
        <v>Renewables</v>
      </c>
      <c r="O67" s="4" t="str" cm="1">
        <f t="array" ref="O67">IFERROR(INDEX($I$9:$I$322,MATCH($K67&amp;O$8,$G$9:$G$322&amp;$H$9:$H$322,0)),"-")</f>
        <v>-</v>
      </c>
      <c r="P67" s="4" t="str" cm="1">
        <f t="array" ref="P67">IFERROR(INDEX($I$9:$I$322,MATCH($K67&amp;P$8,$G$9:$G$322&amp;$H$9:$H$322,0)),"-")</f>
        <v>-</v>
      </c>
      <c r="Q67" s="4" t="str" cm="1">
        <f t="array" ref="Q67">IFERROR(INDEX($I$9:$I$322,MATCH($K67&amp;Q$8,$G$9:$G$322&amp;$H$9:$H$322,0)),"-")</f>
        <v>-</v>
      </c>
      <c r="R67" s="4" t="str" cm="1">
        <f t="array" ref="R67">IFERROR(INDEX($I$9:$I$322,MATCH($K67&amp;R$8,$G$9:$G$322&amp;$H$9:$H$322,0)),"-")</f>
        <v>Biomass</v>
      </c>
    </row>
    <row r="68" spans="7:18" x14ac:dyDescent="0.2">
      <c r="G68" s="5" t="s">
        <v>85</v>
      </c>
      <c r="H68" s="3" t="s">
        <v>131</v>
      </c>
      <c r="I68" s="3" t="s">
        <v>122</v>
      </c>
      <c r="K68" s="8" t="str">
        <v>Inyokern_North_Kramer_Geothermal</v>
      </c>
      <c r="L68" s="4" t="str">
        <f>IFERROR(INDEX('Resource Summary'!B:B,MATCH(K68,'Resource Summary'!A:A,0)),"-")</f>
        <v>CAISO</v>
      </c>
      <c r="M68" s="4" t="str" cm="1">
        <f t="array" ref="M68">IFERROR(INDEX($I$9:$I$322,MATCH($K68&amp;M$8,$G$9:$G$322&amp;$H$9:$H$322,0)),"-")</f>
        <v>Geothermal</v>
      </c>
      <c r="N68" s="4" t="str" cm="1">
        <f t="array" ref="N68">IFERROR(INDEX($I$9:$I$322,MATCH($K68&amp;N$8,$G$9:$G$322&amp;$H$9:$H$322,0)),"-")</f>
        <v>Renewables</v>
      </c>
      <c r="O68" s="4" t="str" cm="1">
        <f t="array" ref="O68">IFERROR(INDEX($I$9:$I$322,MATCH($K68&amp;O$8,$G$9:$G$322&amp;$H$9:$H$322,0)),"-")</f>
        <v>-</v>
      </c>
      <c r="P68" s="4" t="str" cm="1">
        <f t="array" ref="P68">IFERROR(INDEX($I$9:$I$322,MATCH($K68&amp;P$8,$G$9:$G$322&amp;$H$9:$H$322,0)),"-")</f>
        <v>-</v>
      </c>
      <c r="Q68" s="4" t="str" cm="1">
        <f t="array" ref="Q68">IFERROR(INDEX($I$9:$I$322,MATCH($K68&amp;Q$8,$G$9:$G$322&amp;$H$9:$H$322,0)),"-")</f>
        <v>-</v>
      </c>
      <c r="R68" s="4" t="str" cm="1">
        <f t="array" ref="R68">IFERROR(INDEX($I$9:$I$322,MATCH($K68&amp;R$8,$G$9:$G$322&amp;$H$9:$H$322,0)),"-")</f>
        <v>Geothermal</v>
      </c>
    </row>
    <row r="69" spans="7:18" x14ac:dyDescent="0.2">
      <c r="G69" s="5" t="s">
        <v>32</v>
      </c>
      <c r="H69" s="3" t="s">
        <v>131</v>
      </c>
      <c r="I69" s="3" t="s">
        <v>148</v>
      </c>
      <c r="K69" s="8" t="str">
        <v>Kern_Greater_Carrizo_Wind</v>
      </c>
      <c r="L69" s="4" t="str">
        <f>IFERROR(INDEX('Resource Summary'!B:B,MATCH(K69,'Resource Summary'!A:A,0)),"-")</f>
        <v>CAISO</v>
      </c>
      <c r="M69" s="4" t="str" cm="1">
        <f t="array" ref="M69">IFERROR(INDEX($I$9:$I$322,MATCH($K69&amp;M$8,$G$9:$G$322&amp;$H$9:$H$322,0)),"-")</f>
        <v>Wind</v>
      </c>
      <c r="N69" s="4" t="str" cm="1">
        <f t="array" ref="N69">IFERROR(INDEX($I$9:$I$322,MATCH($K69&amp;N$8,$G$9:$G$322&amp;$H$9:$H$322,0)),"-")</f>
        <v>Renewables</v>
      </c>
      <c r="O69" s="4" t="str" cm="1">
        <f t="array" ref="O69">IFERROR(INDEX($I$9:$I$322,MATCH($K69&amp;O$8,$G$9:$G$322&amp;$H$9:$H$322,0)),"-")</f>
        <v>-</v>
      </c>
      <c r="P69" s="4" t="str" cm="1">
        <f t="array" ref="P69">IFERROR(INDEX($I$9:$I$322,MATCH($K69&amp;P$8,$G$9:$G$322&amp;$H$9:$H$322,0)),"-")</f>
        <v>-</v>
      </c>
      <c r="Q69" s="4" t="str" cm="1">
        <f t="array" ref="Q69">IFERROR(INDEX($I$9:$I$322,MATCH($K69&amp;Q$8,$G$9:$G$322&amp;$H$9:$H$322,0)),"-")</f>
        <v>-</v>
      </c>
      <c r="R69" s="4" t="str" cm="1">
        <f t="array" ref="R69">IFERROR(INDEX($I$9:$I$322,MATCH($K69&amp;R$8,$G$9:$G$322&amp;$H$9:$H$322,0)),"-")</f>
        <v>-</v>
      </c>
    </row>
    <row r="70" spans="7:18" x14ac:dyDescent="0.2">
      <c r="G70" s="5" t="s">
        <v>61</v>
      </c>
      <c r="H70" s="3" t="s">
        <v>131</v>
      </c>
      <c r="I70" s="3" t="s">
        <v>127</v>
      </c>
      <c r="K70" s="8" t="str">
        <v>LDWP_CCGT</v>
      </c>
      <c r="L70" s="4" t="str">
        <f>IFERROR(INDEX('Resource Summary'!B:B,MATCH(K70,'Resource Summary'!A:A,0)),"-")</f>
        <v>LDWP</v>
      </c>
      <c r="M70" s="4" t="str" cm="1">
        <f t="array" ref="M70">IFERROR(INDEX($I$9:$I$322,MATCH($K70&amp;M$8,$G$9:$G$322&amp;$H$9:$H$322,0)),"-")</f>
        <v>-</v>
      </c>
      <c r="N70" s="4" t="str" cm="1">
        <f t="array" ref="N70">IFERROR(INDEX($I$9:$I$322,MATCH($K70&amp;N$8,$G$9:$G$322&amp;$H$9:$H$322,0)),"-")</f>
        <v>-</v>
      </c>
      <c r="O70" s="4" t="str" cm="1">
        <f t="array" ref="O70">IFERROR(INDEX($I$9:$I$322,MATCH($K70&amp;O$8,$G$9:$G$322&amp;$H$9:$H$322,0)),"-")</f>
        <v>-</v>
      </c>
      <c r="P70" s="4" t="str" cm="1">
        <f t="array" ref="P70">IFERROR(INDEX($I$9:$I$322,MATCH($K70&amp;P$8,$G$9:$G$322&amp;$H$9:$H$322,0)),"-")</f>
        <v>-</v>
      </c>
      <c r="Q70" s="4" t="str" cm="1">
        <f t="array" ref="Q70">IFERROR(INDEX($I$9:$I$322,MATCH($K70&amp;Q$8,$G$9:$G$322&amp;$H$9:$H$322,0)),"-")</f>
        <v>LDWP</v>
      </c>
      <c r="R70" s="4" t="str" cm="1">
        <f t="array" ref="R70">IFERROR(INDEX($I$9:$I$322,MATCH($K70&amp;R$8,$G$9:$G$322&amp;$H$9:$H$322,0)),"-")</f>
        <v>-</v>
      </c>
    </row>
    <row r="71" spans="7:18" x14ac:dyDescent="0.2">
      <c r="G71" s="5" t="s">
        <v>75</v>
      </c>
      <c r="H71" s="3" t="s">
        <v>131</v>
      </c>
      <c r="I71" s="3" t="s">
        <v>127</v>
      </c>
      <c r="K71" s="8" t="str">
        <v>LDWP_Coal</v>
      </c>
      <c r="L71" s="4" t="str">
        <f>IFERROR(INDEX('Resource Summary'!B:B,MATCH(K71,'Resource Summary'!A:A,0)),"-")</f>
        <v>LDWP</v>
      </c>
      <c r="M71" s="4" t="str" cm="1">
        <f t="array" ref="M71">IFERROR(INDEX($I$9:$I$322,MATCH($K71&amp;M$8,$G$9:$G$322&amp;$H$9:$H$322,0)),"-")</f>
        <v>-</v>
      </c>
      <c r="N71" s="4" t="str" cm="1">
        <f t="array" ref="N71">IFERROR(INDEX($I$9:$I$322,MATCH($K71&amp;N$8,$G$9:$G$322&amp;$H$9:$H$322,0)),"-")</f>
        <v>-</v>
      </c>
      <c r="O71" s="4" t="str" cm="1">
        <f t="array" ref="O71">IFERROR(INDEX($I$9:$I$322,MATCH($K71&amp;O$8,$G$9:$G$322&amp;$H$9:$H$322,0)),"-")</f>
        <v>-</v>
      </c>
      <c r="P71" s="4" t="str" cm="1">
        <f t="array" ref="P71">IFERROR(INDEX($I$9:$I$322,MATCH($K71&amp;P$8,$G$9:$G$322&amp;$H$9:$H$322,0)),"-")</f>
        <v>-</v>
      </c>
      <c r="Q71" s="4" t="str" cm="1">
        <f t="array" ref="Q71">IFERROR(INDEX($I$9:$I$322,MATCH($K71&amp;Q$8,$G$9:$G$322&amp;$H$9:$H$322,0)),"-")</f>
        <v>LDWP</v>
      </c>
      <c r="R71" s="4" t="str" cm="1">
        <f t="array" ref="R71">IFERROR(INDEX($I$9:$I$322,MATCH($K71&amp;R$8,$G$9:$G$322&amp;$H$9:$H$322,0)),"-")</f>
        <v>-</v>
      </c>
    </row>
    <row r="72" spans="7:18" x14ac:dyDescent="0.2">
      <c r="G72" s="5" t="s">
        <v>26</v>
      </c>
      <c r="H72" s="3" t="s">
        <v>131</v>
      </c>
      <c r="I72" s="3" t="s">
        <v>152</v>
      </c>
      <c r="K72" s="8" t="str">
        <v>LDWP_Peaker</v>
      </c>
      <c r="L72" s="4" t="str">
        <f>IFERROR(INDEX('Resource Summary'!B:B,MATCH(K72,'Resource Summary'!A:A,0)),"-")</f>
        <v>LDWP</v>
      </c>
      <c r="M72" s="4" t="str" cm="1">
        <f t="array" ref="M72">IFERROR(INDEX($I$9:$I$322,MATCH($K72&amp;M$8,$G$9:$G$322&amp;$H$9:$H$322,0)),"-")</f>
        <v>-</v>
      </c>
      <c r="N72" s="4" t="str" cm="1">
        <f t="array" ref="N72">IFERROR(INDEX($I$9:$I$322,MATCH($K72&amp;N$8,$G$9:$G$322&amp;$H$9:$H$322,0)),"-")</f>
        <v>-</v>
      </c>
      <c r="O72" s="4" t="str" cm="1">
        <f t="array" ref="O72">IFERROR(INDEX($I$9:$I$322,MATCH($K72&amp;O$8,$G$9:$G$322&amp;$H$9:$H$322,0)),"-")</f>
        <v>-</v>
      </c>
      <c r="P72" s="4" t="str" cm="1">
        <f t="array" ref="P72">IFERROR(INDEX($I$9:$I$322,MATCH($K72&amp;P$8,$G$9:$G$322&amp;$H$9:$H$322,0)),"-")</f>
        <v>-</v>
      </c>
      <c r="Q72" s="4" t="str" cm="1">
        <f t="array" ref="Q72">IFERROR(INDEX($I$9:$I$322,MATCH($K72&amp;Q$8,$G$9:$G$322&amp;$H$9:$H$322,0)),"-")</f>
        <v>LDWP</v>
      </c>
      <c r="R72" s="4" t="str" cm="1">
        <f t="array" ref="R72">IFERROR(INDEX($I$9:$I$322,MATCH($K72&amp;R$8,$G$9:$G$322&amp;$H$9:$H$322,0)),"-")</f>
        <v>-</v>
      </c>
    </row>
    <row r="73" spans="7:18" x14ac:dyDescent="0.2">
      <c r="G73" s="5" t="s">
        <v>89</v>
      </c>
      <c r="H73" s="3" t="s">
        <v>131</v>
      </c>
      <c r="I73" s="3" t="s">
        <v>152</v>
      </c>
      <c r="K73" s="8" t="str">
        <v>LDWP_ST</v>
      </c>
      <c r="L73" s="4" t="str">
        <f>IFERROR(INDEX('Resource Summary'!B:B,MATCH(K73,'Resource Summary'!A:A,0)),"-")</f>
        <v>LDWP</v>
      </c>
      <c r="M73" s="4" t="str" cm="1">
        <f t="array" ref="M73">IFERROR(INDEX($I$9:$I$322,MATCH($K73&amp;M$8,$G$9:$G$322&amp;$H$9:$H$322,0)),"-")</f>
        <v>-</v>
      </c>
      <c r="N73" s="4" t="str" cm="1">
        <f t="array" ref="N73">IFERROR(INDEX($I$9:$I$322,MATCH($K73&amp;N$8,$G$9:$G$322&amp;$H$9:$H$322,0)),"-")</f>
        <v>-</v>
      </c>
      <c r="O73" s="4" t="str" cm="1">
        <f t="array" ref="O73">IFERROR(INDEX($I$9:$I$322,MATCH($K73&amp;O$8,$G$9:$G$322&amp;$H$9:$H$322,0)),"-")</f>
        <v>-</v>
      </c>
      <c r="P73" s="4" t="str" cm="1">
        <f t="array" ref="P73">IFERROR(INDEX($I$9:$I$322,MATCH($K73&amp;P$8,$G$9:$G$322&amp;$H$9:$H$322,0)),"-")</f>
        <v>-</v>
      </c>
      <c r="Q73" s="4" t="str" cm="1">
        <f t="array" ref="Q73">IFERROR(INDEX($I$9:$I$322,MATCH($K73&amp;Q$8,$G$9:$G$322&amp;$H$9:$H$322,0)),"-")</f>
        <v>LDWP</v>
      </c>
      <c r="R73" s="4" t="str" cm="1">
        <f t="array" ref="R73">IFERROR(INDEX($I$9:$I$322,MATCH($K73&amp;R$8,$G$9:$G$322&amp;$H$9:$H$322,0)),"-")</f>
        <v>-</v>
      </c>
    </row>
    <row r="74" spans="7:18" x14ac:dyDescent="0.2">
      <c r="G74" s="5" t="s">
        <v>94</v>
      </c>
      <c r="H74" s="3" t="s">
        <v>131</v>
      </c>
      <c r="I74" s="3" t="s">
        <v>152</v>
      </c>
      <c r="K74" s="8" t="str">
        <v>Morro_Bay_Offshore_Wind</v>
      </c>
      <c r="L74" s="4" t="str">
        <f>IFERROR(INDEX('Resource Summary'!B:B,MATCH(K74,'Resource Summary'!A:A,0)),"-")</f>
        <v>CAISO</v>
      </c>
      <c r="M74" s="4" t="str" cm="1">
        <f t="array" ref="M74">IFERROR(INDEX($I$9:$I$322,MATCH($K74&amp;M$8,$G$9:$G$322&amp;$H$9:$H$322,0)),"-")</f>
        <v>Offshore Wind</v>
      </c>
      <c r="N74" s="4" t="str" cm="1">
        <f t="array" ref="N74">IFERROR(INDEX($I$9:$I$322,MATCH($K74&amp;N$8,$G$9:$G$322&amp;$H$9:$H$322,0)),"-")</f>
        <v>Renewables</v>
      </c>
      <c r="O74" s="4" t="str" cm="1">
        <f t="array" ref="O74">IFERROR(INDEX($I$9:$I$322,MATCH($K74&amp;O$8,$G$9:$G$322&amp;$H$9:$H$322,0)),"-")</f>
        <v>-</v>
      </c>
      <c r="P74" s="4" t="str" cm="1">
        <f t="array" ref="P74">IFERROR(INDEX($I$9:$I$322,MATCH($K74&amp;P$8,$G$9:$G$322&amp;$H$9:$H$322,0)),"-")</f>
        <v>-</v>
      </c>
      <c r="Q74" s="4" t="str" cm="1">
        <f t="array" ref="Q74">IFERROR(INDEX($I$9:$I$322,MATCH($K74&amp;Q$8,$G$9:$G$322&amp;$H$9:$H$322,0)),"-")</f>
        <v>-</v>
      </c>
      <c r="R74" s="4" t="str" cm="1">
        <f t="array" ref="R74">IFERROR(INDEX($I$9:$I$322,MATCH($K74&amp;R$8,$G$9:$G$322&amp;$H$9:$H$322,0)),"-")</f>
        <v>-</v>
      </c>
    </row>
    <row r="75" spans="7:18" x14ac:dyDescent="0.2">
      <c r="G75" s="5" t="s">
        <v>96</v>
      </c>
      <c r="H75" s="3" t="s">
        <v>131</v>
      </c>
      <c r="I75" s="3" t="s">
        <v>152</v>
      </c>
      <c r="K75" s="8" t="str">
        <v>New_Mexico_Wind</v>
      </c>
      <c r="L75" s="4" t="str">
        <f>IFERROR(INDEX('Resource Summary'!B:B,MATCH(K75,'Resource Summary'!A:A,0)),"-")</f>
        <v>CAISO</v>
      </c>
      <c r="M75" s="4" t="str" cm="1">
        <f t="array" ref="M75">IFERROR(INDEX($I$9:$I$322,MATCH($K75&amp;M$8,$G$9:$G$322&amp;$H$9:$H$322,0)),"-")</f>
        <v>Wind</v>
      </c>
      <c r="N75" s="4" t="str" cm="1">
        <f t="array" ref="N75">IFERROR(INDEX($I$9:$I$322,MATCH($K75&amp;N$8,$G$9:$G$322&amp;$H$9:$H$322,0)),"-")</f>
        <v>Renewables</v>
      </c>
      <c r="O75" s="4" t="str" cm="1">
        <f t="array" ref="O75">IFERROR(INDEX($I$9:$I$322,MATCH($K75&amp;O$8,$G$9:$G$322&amp;$H$9:$H$322,0)),"-")</f>
        <v>-</v>
      </c>
      <c r="P75" s="4" t="str" cm="1">
        <f t="array" ref="P75">IFERROR(INDEX($I$9:$I$322,MATCH($K75&amp;P$8,$G$9:$G$322&amp;$H$9:$H$322,0)),"-")</f>
        <v>-</v>
      </c>
      <c r="Q75" s="4" t="str" cm="1">
        <f t="array" ref="Q75">IFERROR(INDEX($I$9:$I$322,MATCH($K75&amp;Q$8,$G$9:$G$322&amp;$H$9:$H$322,0)),"-")</f>
        <v>-</v>
      </c>
      <c r="R75" s="4" t="str" cm="1">
        <f t="array" ref="R75">IFERROR(INDEX($I$9:$I$322,MATCH($K75&amp;R$8,$G$9:$G$322&amp;$H$9:$H$322,0)),"-")</f>
        <v>-</v>
      </c>
    </row>
    <row r="76" spans="7:18" x14ac:dyDescent="0.2">
      <c r="G76" s="5" t="s">
        <v>111</v>
      </c>
      <c r="H76" s="3" t="s">
        <v>131</v>
      </c>
      <c r="I76" s="3" t="s">
        <v>152</v>
      </c>
      <c r="K76" s="8" t="str">
        <v>Northern_California_Geothermal</v>
      </c>
      <c r="L76" s="4" t="str">
        <f>IFERROR(INDEX('Resource Summary'!B:B,MATCH(K76,'Resource Summary'!A:A,0)),"-")</f>
        <v>CAISO</v>
      </c>
      <c r="M76" s="4" t="str" cm="1">
        <f t="array" ref="M76">IFERROR(INDEX($I$9:$I$322,MATCH($K76&amp;M$8,$G$9:$G$322&amp;$H$9:$H$322,0)),"-")</f>
        <v>Geothermal</v>
      </c>
      <c r="N76" s="4" t="str" cm="1">
        <f t="array" ref="N76">IFERROR(INDEX($I$9:$I$322,MATCH($K76&amp;N$8,$G$9:$G$322&amp;$H$9:$H$322,0)),"-")</f>
        <v>Renewables</v>
      </c>
      <c r="O76" s="4" t="str" cm="1">
        <f t="array" ref="O76">IFERROR(INDEX($I$9:$I$322,MATCH($K76&amp;O$8,$G$9:$G$322&amp;$H$9:$H$322,0)),"-")</f>
        <v>-</v>
      </c>
      <c r="P76" s="4" t="str" cm="1">
        <f t="array" ref="P76">IFERROR(INDEX($I$9:$I$322,MATCH($K76&amp;P$8,$G$9:$G$322&amp;$H$9:$H$322,0)),"-")</f>
        <v>-</v>
      </c>
      <c r="Q76" s="4" t="str" cm="1">
        <f t="array" ref="Q76">IFERROR(INDEX($I$9:$I$322,MATCH($K76&amp;Q$8,$G$9:$G$322&amp;$H$9:$H$322,0)),"-")</f>
        <v>-</v>
      </c>
      <c r="R76" s="4" t="str" cm="1">
        <f t="array" ref="R76">IFERROR(INDEX($I$9:$I$322,MATCH($K76&amp;R$8,$G$9:$G$322&amp;$H$9:$H$322,0)),"-")</f>
        <v>Geothermal</v>
      </c>
    </row>
    <row r="77" spans="7:18" x14ac:dyDescent="0.2">
      <c r="G77" s="5" t="s">
        <v>36</v>
      </c>
      <c r="H77" s="3" t="s">
        <v>131</v>
      </c>
      <c r="I77" s="3" t="s">
        <v>123</v>
      </c>
      <c r="K77" s="8" t="str">
        <v>Northern_California_Li_Battery</v>
      </c>
      <c r="L77" s="4" t="str">
        <f>IFERROR(INDEX('Resource Summary'!B:B,MATCH(K77,'Resource Summary'!A:A,0)),"-")</f>
        <v>CAISO</v>
      </c>
      <c r="M77" s="4" t="str" cm="1">
        <f t="array" ref="M77">IFERROR(INDEX($I$9:$I$322,MATCH($K77&amp;M$8,$G$9:$G$322&amp;$H$9:$H$322,0)),"-")</f>
        <v>Battery Storage</v>
      </c>
      <c r="N77" s="4" t="str" cm="1">
        <f t="array" ref="N77">IFERROR(INDEX($I$9:$I$322,MATCH($K77&amp;N$8,$G$9:$G$322&amp;$H$9:$H$322,0)),"-")</f>
        <v>Storage</v>
      </c>
      <c r="O77" s="4" t="str" cm="1">
        <f t="array" ref="O77">IFERROR(INDEX($I$9:$I$322,MATCH($K77&amp;O$8,$G$9:$G$322&amp;$H$9:$H$322,0)),"-")</f>
        <v xml:space="preserve">Li Battery </v>
      </c>
      <c r="P77" s="4" t="str" cm="1">
        <f t="array" ref="P77">IFERROR(INDEX($I$9:$I$322,MATCH($K77&amp;P$8,$G$9:$G$322&amp;$H$9:$H$322,0)),"-")</f>
        <v>-</v>
      </c>
      <c r="Q77" s="4" t="str" cm="1">
        <f t="array" ref="Q77">IFERROR(INDEX($I$9:$I$322,MATCH($K77&amp;Q$8,$G$9:$G$322&amp;$H$9:$H$322,0)),"-")</f>
        <v>-</v>
      </c>
      <c r="R77" s="4" t="str" cm="1">
        <f t="array" ref="R77">IFERROR(INDEX($I$9:$I$322,MATCH($K77&amp;R$8,$G$9:$G$322&amp;$H$9:$H$322,0)),"-")</f>
        <v>-</v>
      </c>
    </row>
    <row r="78" spans="7:18" x14ac:dyDescent="0.2">
      <c r="G78" s="5" t="s">
        <v>37</v>
      </c>
      <c r="H78" s="3" t="s">
        <v>131</v>
      </c>
      <c r="I78" s="3" t="s">
        <v>123</v>
      </c>
      <c r="K78" s="8" t="str">
        <v>Northern_California_Solar</v>
      </c>
      <c r="L78" s="4" t="str">
        <f>IFERROR(INDEX('Resource Summary'!B:B,MATCH(K78,'Resource Summary'!A:A,0)),"-")</f>
        <v>CAISO</v>
      </c>
      <c r="M78" s="4" t="str" cm="1">
        <f t="array" ref="M78">IFERROR(INDEX($I$9:$I$322,MATCH($K78&amp;M$8,$G$9:$G$322&amp;$H$9:$H$322,0)),"-")</f>
        <v>Solar</v>
      </c>
      <c r="N78" s="4" t="str" cm="1">
        <f t="array" ref="N78">IFERROR(INDEX($I$9:$I$322,MATCH($K78&amp;N$8,$G$9:$G$322&amp;$H$9:$H$322,0)),"-")</f>
        <v>Renewables</v>
      </c>
      <c r="O78" s="4" t="str" cm="1">
        <f t="array" ref="O78">IFERROR(INDEX($I$9:$I$322,MATCH($K78&amp;O$8,$G$9:$G$322&amp;$H$9:$H$322,0)),"-")</f>
        <v>-</v>
      </c>
      <c r="P78" s="4" t="str" cm="1">
        <f t="array" ref="P78">IFERROR(INDEX($I$9:$I$322,MATCH($K78&amp;P$8,$G$9:$G$322&amp;$H$9:$H$322,0)),"-")</f>
        <v>-</v>
      </c>
      <c r="Q78" s="4" t="str" cm="1">
        <f t="array" ref="Q78">IFERROR(INDEX($I$9:$I$322,MATCH($K78&amp;Q$8,$G$9:$G$322&amp;$H$9:$H$322,0)),"-")</f>
        <v>-</v>
      </c>
      <c r="R78" s="4" t="str" cm="1">
        <f t="array" ref="R78">IFERROR(INDEX($I$9:$I$322,MATCH($K78&amp;R$8,$G$9:$G$322&amp;$H$9:$H$322,0)),"-")</f>
        <v>-</v>
      </c>
    </row>
    <row r="79" spans="7:18" x14ac:dyDescent="0.2">
      <c r="G79" s="5" t="s">
        <v>38</v>
      </c>
      <c r="H79" s="3" t="s">
        <v>131</v>
      </c>
      <c r="I79" s="3" t="s">
        <v>123</v>
      </c>
      <c r="K79" s="8" t="str">
        <v>Northern_California_Wind</v>
      </c>
      <c r="L79" s="4" t="str">
        <f>IFERROR(INDEX('Resource Summary'!B:B,MATCH(K79,'Resource Summary'!A:A,0)),"-")</f>
        <v>CAISO</v>
      </c>
      <c r="M79" s="4" t="str" cm="1">
        <f t="array" ref="M79">IFERROR(INDEX($I$9:$I$322,MATCH($K79&amp;M$8,$G$9:$G$322&amp;$H$9:$H$322,0)),"-")</f>
        <v>Wind</v>
      </c>
      <c r="N79" s="4" t="str" cm="1">
        <f t="array" ref="N79">IFERROR(INDEX($I$9:$I$322,MATCH($K79&amp;N$8,$G$9:$G$322&amp;$H$9:$H$322,0)),"-")</f>
        <v>Renewables</v>
      </c>
      <c r="O79" s="4" t="str" cm="1">
        <f t="array" ref="O79">IFERROR(INDEX($I$9:$I$322,MATCH($K79&amp;O$8,$G$9:$G$322&amp;$H$9:$H$322,0)),"-")</f>
        <v>-</v>
      </c>
      <c r="P79" s="4" t="str" cm="1">
        <f t="array" ref="P79">IFERROR(INDEX($I$9:$I$322,MATCH($K79&amp;P$8,$G$9:$G$322&amp;$H$9:$H$322,0)),"-")</f>
        <v>-</v>
      </c>
      <c r="Q79" s="4" t="str" cm="1">
        <f t="array" ref="Q79">IFERROR(INDEX($I$9:$I$322,MATCH($K79&amp;Q$8,$G$9:$G$322&amp;$H$9:$H$322,0)),"-")</f>
        <v>-</v>
      </c>
      <c r="R79" s="4" t="str" cm="1">
        <f t="array" ref="R79">IFERROR(INDEX($I$9:$I$322,MATCH($K79&amp;R$8,$G$9:$G$322&amp;$H$9:$H$322,0)),"-")</f>
        <v>-</v>
      </c>
    </row>
    <row r="80" spans="7:18" x14ac:dyDescent="0.2">
      <c r="G80" s="5" t="s">
        <v>39</v>
      </c>
      <c r="H80" s="3" t="s">
        <v>131</v>
      </c>
      <c r="I80" s="3" t="s">
        <v>123</v>
      </c>
      <c r="K80" s="8" t="str">
        <v>NW_CCGT</v>
      </c>
      <c r="L80" s="4" t="str">
        <f>IFERROR(INDEX('Resource Summary'!B:B,MATCH(K80,'Resource Summary'!A:A,0)),"-")</f>
        <v>NW</v>
      </c>
      <c r="M80" s="4" t="str" cm="1">
        <f t="array" ref="M80">IFERROR(INDEX($I$9:$I$322,MATCH($K80&amp;M$8,$G$9:$G$322&amp;$H$9:$H$322,0)),"-")</f>
        <v>-</v>
      </c>
      <c r="N80" s="4" t="str" cm="1">
        <f t="array" ref="N80">IFERROR(INDEX($I$9:$I$322,MATCH($K80&amp;N$8,$G$9:$G$322&amp;$H$9:$H$322,0)),"-")</f>
        <v>-</v>
      </c>
      <c r="O80" s="4" t="str" cm="1">
        <f t="array" ref="O80">IFERROR(INDEX($I$9:$I$322,MATCH($K80&amp;O$8,$G$9:$G$322&amp;$H$9:$H$322,0)),"-")</f>
        <v>-</v>
      </c>
      <c r="P80" s="4" t="str" cm="1">
        <f t="array" ref="P80">IFERROR(INDEX($I$9:$I$322,MATCH($K80&amp;P$8,$G$9:$G$322&amp;$H$9:$H$322,0)),"-")</f>
        <v>-</v>
      </c>
      <c r="Q80" s="4" t="str" cm="1">
        <f t="array" ref="Q80">IFERROR(INDEX($I$9:$I$322,MATCH($K80&amp;Q$8,$G$9:$G$322&amp;$H$9:$H$322,0)),"-")</f>
        <v>NW</v>
      </c>
      <c r="R80" s="4" t="str" cm="1">
        <f t="array" ref="R80">IFERROR(INDEX($I$9:$I$322,MATCH($K80&amp;R$8,$G$9:$G$322&amp;$H$9:$H$322,0)),"-")</f>
        <v>-</v>
      </c>
    </row>
    <row r="81" spans="7:18" x14ac:dyDescent="0.2">
      <c r="G81" s="5" t="s">
        <v>40</v>
      </c>
      <c r="H81" s="3" t="s">
        <v>131</v>
      </c>
      <c r="I81" s="3" t="s">
        <v>123</v>
      </c>
      <c r="K81" s="8" t="str">
        <v>NW_Coal</v>
      </c>
      <c r="L81" s="4" t="str">
        <f>IFERROR(INDEX('Resource Summary'!B:B,MATCH(K81,'Resource Summary'!A:A,0)),"-")</f>
        <v>NW</v>
      </c>
      <c r="M81" s="4" t="str" cm="1">
        <f t="array" ref="M81">IFERROR(INDEX($I$9:$I$322,MATCH($K81&amp;M$8,$G$9:$G$322&amp;$H$9:$H$322,0)),"-")</f>
        <v>-</v>
      </c>
      <c r="N81" s="4" t="str" cm="1">
        <f t="array" ref="N81">IFERROR(INDEX($I$9:$I$322,MATCH($K81&amp;N$8,$G$9:$G$322&amp;$H$9:$H$322,0)),"-")</f>
        <v>-</v>
      </c>
      <c r="O81" s="4" t="str" cm="1">
        <f t="array" ref="O81">IFERROR(INDEX($I$9:$I$322,MATCH($K81&amp;O$8,$G$9:$G$322&amp;$H$9:$H$322,0)),"-")</f>
        <v>-</v>
      </c>
      <c r="P81" s="4" t="str" cm="1">
        <f t="array" ref="P81">IFERROR(INDEX($I$9:$I$322,MATCH($K81&amp;P$8,$G$9:$G$322&amp;$H$9:$H$322,0)),"-")</f>
        <v>-</v>
      </c>
      <c r="Q81" s="4" t="str" cm="1">
        <f t="array" ref="Q81">IFERROR(INDEX($I$9:$I$322,MATCH($K81&amp;Q$8,$G$9:$G$322&amp;$H$9:$H$322,0)),"-")</f>
        <v>NW</v>
      </c>
      <c r="R81" s="4" t="str" cm="1">
        <f t="array" ref="R81">IFERROR(INDEX($I$9:$I$322,MATCH($K81&amp;R$8,$G$9:$G$322&amp;$H$9:$H$322,0)),"-")</f>
        <v>-</v>
      </c>
    </row>
    <row r="82" spans="7:18" x14ac:dyDescent="0.2">
      <c r="G82" s="5" t="s">
        <v>41</v>
      </c>
      <c r="H82" s="3" t="s">
        <v>131</v>
      </c>
      <c r="I82" s="3" t="s">
        <v>123</v>
      </c>
      <c r="K82" s="8" t="str">
        <v>NW_Ext_Tx_Wind</v>
      </c>
      <c r="L82" s="4" t="str">
        <f>IFERROR(INDEX('Resource Summary'!B:B,MATCH(K82,'Resource Summary'!A:A,0)),"-")</f>
        <v>CAISO</v>
      </c>
      <c r="M82" s="4" t="str" cm="1">
        <f t="array" ref="M82">IFERROR(INDEX($I$9:$I$322,MATCH($K82&amp;M$8,$G$9:$G$322&amp;$H$9:$H$322,0)),"-")</f>
        <v>Wind</v>
      </c>
      <c r="N82" s="4" t="str" cm="1">
        <f t="array" ref="N82">IFERROR(INDEX($I$9:$I$322,MATCH($K82&amp;N$8,$G$9:$G$322&amp;$H$9:$H$322,0)),"-")</f>
        <v>Renewables</v>
      </c>
      <c r="O82" s="4" t="str" cm="1">
        <f t="array" ref="O82">IFERROR(INDEX($I$9:$I$322,MATCH($K82&amp;O$8,$G$9:$G$322&amp;$H$9:$H$322,0)),"-")</f>
        <v>-</v>
      </c>
      <c r="P82" s="4" t="str" cm="1">
        <f t="array" ref="P82">IFERROR(INDEX($I$9:$I$322,MATCH($K82&amp;P$8,$G$9:$G$322&amp;$H$9:$H$322,0)),"-")</f>
        <v>-</v>
      </c>
      <c r="Q82" s="4" t="str" cm="1">
        <f t="array" ref="Q82">IFERROR(INDEX($I$9:$I$322,MATCH($K82&amp;Q$8,$G$9:$G$322&amp;$H$9:$H$322,0)),"-")</f>
        <v>-</v>
      </c>
      <c r="R82" s="4" t="str" cm="1">
        <f t="array" ref="R82">IFERROR(INDEX($I$9:$I$322,MATCH($K82&amp;R$8,$G$9:$G$322&amp;$H$9:$H$322,0)),"-")</f>
        <v>-</v>
      </c>
    </row>
    <row r="83" spans="7:18" x14ac:dyDescent="0.2">
      <c r="G83" s="5" t="s">
        <v>42</v>
      </c>
      <c r="H83" s="3" t="s">
        <v>131</v>
      </c>
      <c r="I83" s="3" t="s">
        <v>123</v>
      </c>
      <c r="K83" s="8" t="str">
        <v>NW_Hydro</v>
      </c>
      <c r="L83" s="4" t="str">
        <f>IFERROR(INDEX('Resource Summary'!B:B,MATCH(K83,'Resource Summary'!A:A,0)),"-")</f>
        <v>NW</v>
      </c>
      <c r="M83" s="4" t="str" cm="1">
        <f t="array" ref="M83">IFERROR(INDEX($I$9:$I$322,MATCH($K83&amp;M$8,$G$9:$G$322&amp;$H$9:$H$322,0)),"-")</f>
        <v>Hydro</v>
      </c>
      <c r="N83" s="4" t="str" cm="1">
        <f t="array" ref="N83">IFERROR(INDEX($I$9:$I$322,MATCH($K83&amp;N$8,$G$9:$G$322&amp;$H$9:$H$322,0)),"-")</f>
        <v>-</v>
      </c>
      <c r="O83" s="4" t="str" cm="1">
        <f t="array" ref="O83">IFERROR(INDEX($I$9:$I$322,MATCH($K83&amp;O$8,$G$9:$G$322&amp;$H$9:$H$322,0)),"-")</f>
        <v>-</v>
      </c>
      <c r="P83" s="4" t="str" cm="1">
        <f t="array" ref="P83">IFERROR(INDEX($I$9:$I$322,MATCH($K83&amp;P$8,$G$9:$G$322&amp;$H$9:$H$322,0)),"-")</f>
        <v>-</v>
      </c>
      <c r="Q83" s="4" t="str" cm="1">
        <f t="array" ref="Q83">IFERROR(INDEX($I$9:$I$322,MATCH($K83&amp;Q$8,$G$9:$G$322&amp;$H$9:$H$322,0)),"-")</f>
        <v>-</v>
      </c>
      <c r="R83" s="4" t="str" cm="1">
        <f t="array" ref="R83">IFERROR(INDEX($I$9:$I$322,MATCH($K83&amp;R$8,$G$9:$G$322&amp;$H$9:$H$322,0)),"-")</f>
        <v>Hydro (small + large)</v>
      </c>
    </row>
    <row r="84" spans="7:18" x14ac:dyDescent="0.2">
      <c r="G84" s="5" t="s">
        <v>43</v>
      </c>
      <c r="H84" s="3" t="s">
        <v>131</v>
      </c>
      <c r="I84" s="3" t="s">
        <v>123</v>
      </c>
      <c r="K84" s="8" t="str">
        <v>NW_Hydro_for_CAISO</v>
      </c>
      <c r="L84" s="4" t="str">
        <f>IFERROR(INDEX('Resource Summary'!B:B,MATCH(K84,'Resource Summary'!A:A,0)),"-")</f>
        <v>CAISO_NW_Hydro</v>
      </c>
      <c r="M84" s="4" t="str" cm="1">
        <f t="array" ref="M84">IFERROR(INDEX($I$9:$I$322,MATCH($K84&amp;M$8,$G$9:$G$322&amp;$H$9:$H$322,0)),"-")</f>
        <v>Hydro</v>
      </c>
      <c r="N84" s="4" t="str" cm="1">
        <f t="array" ref="N84">IFERROR(INDEX($I$9:$I$322,MATCH($K84&amp;N$8,$G$9:$G$322&amp;$H$9:$H$322,0)),"-")</f>
        <v>Renewables</v>
      </c>
      <c r="O84" s="4" t="str" cm="1">
        <f t="array" ref="O84">IFERROR(INDEX($I$9:$I$322,MATCH($K84&amp;O$8,$G$9:$G$322&amp;$H$9:$H$322,0)),"-")</f>
        <v>-</v>
      </c>
      <c r="P84" s="4" t="str" cm="1">
        <f t="array" ref="P84">IFERROR(INDEX($I$9:$I$322,MATCH($K84&amp;P$8,$G$9:$G$322&amp;$H$9:$H$322,0)),"-")</f>
        <v>-</v>
      </c>
      <c r="Q84" s="4" t="str" cm="1">
        <f t="array" ref="Q84">IFERROR(INDEX($I$9:$I$322,MATCH($K84&amp;Q$8,$G$9:$G$322&amp;$H$9:$H$322,0)),"-")</f>
        <v>-</v>
      </c>
      <c r="R84" s="4" t="str" cm="1">
        <f t="array" ref="R84">IFERROR(INDEX($I$9:$I$322,MATCH($K84&amp;R$8,$G$9:$G$322&amp;$H$9:$H$322,0)),"-")</f>
        <v>Hydro (small + large)</v>
      </c>
    </row>
    <row r="85" spans="7:18" x14ac:dyDescent="0.2">
      <c r="G85" s="5" t="s">
        <v>44</v>
      </c>
      <c r="H85" s="3" t="s">
        <v>131</v>
      </c>
      <c r="I85" s="3" t="s">
        <v>123</v>
      </c>
      <c r="K85" s="8" t="str">
        <v>NW_Peaker</v>
      </c>
      <c r="L85" s="4" t="str">
        <f>IFERROR(INDEX('Resource Summary'!B:B,MATCH(K85,'Resource Summary'!A:A,0)),"-")</f>
        <v>NW</v>
      </c>
      <c r="M85" s="4" t="str" cm="1">
        <f t="array" ref="M85">IFERROR(INDEX($I$9:$I$322,MATCH($K85&amp;M$8,$G$9:$G$322&amp;$H$9:$H$322,0)),"-")</f>
        <v>-</v>
      </c>
      <c r="N85" s="4" t="str" cm="1">
        <f t="array" ref="N85">IFERROR(INDEX($I$9:$I$322,MATCH($K85&amp;N$8,$G$9:$G$322&amp;$H$9:$H$322,0)),"-")</f>
        <v>-</v>
      </c>
      <c r="O85" s="4" t="str" cm="1">
        <f t="array" ref="O85">IFERROR(INDEX($I$9:$I$322,MATCH($K85&amp;O$8,$G$9:$G$322&amp;$H$9:$H$322,0)),"-")</f>
        <v>-</v>
      </c>
      <c r="P85" s="4" t="str" cm="1">
        <f t="array" ref="P85">IFERROR(INDEX($I$9:$I$322,MATCH($K85&amp;P$8,$G$9:$G$322&amp;$H$9:$H$322,0)),"-")</f>
        <v>-</v>
      </c>
      <c r="Q85" s="4" t="str" cm="1">
        <f t="array" ref="Q85">IFERROR(INDEX($I$9:$I$322,MATCH($K85&amp;Q$8,$G$9:$G$322&amp;$H$9:$H$322,0)),"-")</f>
        <v>NW</v>
      </c>
      <c r="R85" s="4" t="str" cm="1">
        <f t="array" ref="R85">IFERROR(INDEX($I$9:$I$322,MATCH($K85&amp;R$8,$G$9:$G$322&amp;$H$9:$H$322,0)),"-")</f>
        <v>-</v>
      </c>
    </row>
    <row r="86" spans="7:18" x14ac:dyDescent="0.2">
      <c r="G86" s="5" t="s">
        <v>11</v>
      </c>
      <c r="H86" s="3" t="s">
        <v>131</v>
      </c>
      <c r="I86" s="3" t="s">
        <v>118</v>
      </c>
      <c r="K86" s="8" t="str">
        <v>Pacific_Northwest_Geothermal</v>
      </c>
      <c r="L86" s="4" t="str">
        <f>IFERROR(INDEX('Resource Summary'!B:B,MATCH(K86,'Resource Summary'!A:A,0)),"-")</f>
        <v>CAISO</v>
      </c>
      <c r="M86" s="4" t="str" cm="1">
        <f t="array" ref="M86">IFERROR(INDEX($I$9:$I$322,MATCH($K86&amp;M$8,$G$9:$G$322&amp;$H$9:$H$322,0)),"-")</f>
        <v>Geothermal</v>
      </c>
      <c r="N86" s="4" t="str" cm="1">
        <f t="array" ref="N86">IFERROR(INDEX($I$9:$I$322,MATCH($K86&amp;N$8,$G$9:$G$322&amp;$H$9:$H$322,0)),"-")</f>
        <v>Renewables</v>
      </c>
      <c r="O86" s="4" t="str" cm="1">
        <f t="array" ref="O86">IFERROR(INDEX($I$9:$I$322,MATCH($K86&amp;O$8,$G$9:$G$322&amp;$H$9:$H$322,0)),"-")</f>
        <v>-</v>
      </c>
      <c r="P86" s="4" t="str" cm="1">
        <f t="array" ref="P86">IFERROR(INDEX($I$9:$I$322,MATCH($K86&amp;P$8,$G$9:$G$322&amp;$H$9:$H$322,0)),"-")</f>
        <v>-</v>
      </c>
      <c r="Q86" s="4" t="str" cm="1">
        <f t="array" ref="Q86">IFERROR(INDEX($I$9:$I$322,MATCH($K86&amp;Q$8,$G$9:$G$322&amp;$H$9:$H$322,0)),"-")</f>
        <v>-</v>
      </c>
      <c r="R86" s="4" t="str" cm="1">
        <f t="array" ref="R86">IFERROR(INDEX($I$9:$I$322,MATCH($K86&amp;R$8,$G$9:$G$322&amp;$H$9:$H$322,0)),"-")</f>
        <v>Geothermal</v>
      </c>
    </row>
    <row r="87" spans="7:18" x14ac:dyDescent="0.2">
      <c r="G87" s="5" t="s">
        <v>47</v>
      </c>
      <c r="H87" s="3" t="s">
        <v>131</v>
      </c>
      <c r="I87" s="3" t="s">
        <v>118</v>
      </c>
      <c r="K87" s="8" t="str">
        <v>Pacific_Northwest_Wind</v>
      </c>
      <c r="L87" s="4" t="str">
        <f>IFERROR(INDEX('Resource Summary'!B:B,MATCH(K87,'Resource Summary'!A:A,0)),"-")</f>
        <v>CAISO</v>
      </c>
      <c r="M87" s="4" t="str" cm="1">
        <f t="array" ref="M87">IFERROR(INDEX($I$9:$I$322,MATCH($K87&amp;M$8,$G$9:$G$322&amp;$H$9:$H$322,0)),"-")</f>
        <v>Wind</v>
      </c>
      <c r="N87" s="4" t="str" cm="1">
        <f t="array" ref="N87">IFERROR(INDEX($I$9:$I$322,MATCH($K87&amp;N$8,$G$9:$G$322&amp;$H$9:$H$322,0)),"-")</f>
        <v>Renewables</v>
      </c>
      <c r="O87" s="4" t="str" cm="1">
        <f t="array" ref="O87">IFERROR(INDEX($I$9:$I$322,MATCH($K87&amp;O$8,$G$9:$G$322&amp;$H$9:$H$322,0)),"-")</f>
        <v>-</v>
      </c>
      <c r="P87" s="4" t="str" cm="1">
        <f t="array" ref="P87">IFERROR(INDEX($I$9:$I$322,MATCH($K87&amp;P$8,$G$9:$G$322&amp;$H$9:$H$322,0)),"-")</f>
        <v>-</v>
      </c>
      <c r="Q87" s="4" t="str" cm="1">
        <f t="array" ref="Q87">IFERROR(INDEX($I$9:$I$322,MATCH($K87&amp;Q$8,$G$9:$G$322&amp;$H$9:$H$322,0)),"-")</f>
        <v>-</v>
      </c>
      <c r="R87" s="4" t="str" cm="1">
        <f t="array" ref="R87">IFERROR(INDEX($I$9:$I$322,MATCH($K87&amp;R$8,$G$9:$G$322&amp;$H$9:$H$322,0)),"-")</f>
        <v>-</v>
      </c>
    </row>
    <row r="88" spans="7:18" x14ac:dyDescent="0.2">
      <c r="G88" s="5" t="s">
        <v>48</v>
      </c>
      <c r="H88" s="3" t="s">
        <v>131</v>
      </c>
      <c r="I88" s="3" t="s">
        <v>118</v>
      </c>
      <c r="K88" s="8" t="str">
        <v>Riverside_East_Pumped_Storage</v>
      </c>
      <c r="L88" s="4" t="str">
        <f>IFERROR(INDEX('Resource Summary'!B:B,MATCH(K88,'Resource Summary'!A:A,0)),"-")</f>
        <v>CAISO</v>
      </c>
      <c r="M88" s="4" t="str" cm="1">
        <f t="array" ref="M88">IFERROR(INDEX($I$9:$I$322,MATCH($K88&amp;M$8,$G$9:$G$322&amp;$H$9:$H$322,0)),"-")</f>
        <v>Pumped Storage</v>
      </c>
      <c r="N88" s="4" t="str" cm="1">
        <f t="array" ref="N88">IFERROR(INDEX($I$9:$I$322,MATCH($K88&amp;N$8,$G$9:$G$322&amp;$H$9:$H$322,0)),"-")</f>
        <v>Storage</v>
      </c>
      <c r="O88" s="4" t="str" cm="1">
        <f t="array" ref="O88">IFERROR(INDEX($I$9:$I$322,MATCH($K88&amp;O$8,$G$9:$G$322&amp;$H$9:$H$322,0)),"-")</f>
        <v>Pumped Storage</v>
      </c>
      <c r="P88" s="4" t="str" cm="1">
        <f t="array" ref="P88">IFERROR(INDEX($I$9:$I$322,MATCH($K88&amp;P$8,$G$9:$G$322&amp;$H$9:$H$322,0)),"-")</f>
        <v>-</v>
      </c>
      <c r="Q88" s="4" t="str" cm="1">
        <f t="array" ref="Q88">IFERROR(INDEX($I$9:$I$322,MATCH($K88&amp;Q$8,$G$9:$G$322&amp;$H$9:$H$322,0)),"-")</f>
        <v>-</v>
      </c>
      <c r="R88" s="4" t="str" cm="1">
        <f t="array" ref="R88">IFERROR(INDEX($I$9:$I$322,MATCH($K88&amp;R$8,$G$9:$G$322&amp;$H$9:$H$322,0)),"-")</f>
        <v>Pumped Storage</v>
      </c>
    </row>
    <row r="89" spans="7:18" x14ac:dyDescent="0.2">
      <c r="G89" s="5" t="s">
        <v>55</v>
      </c>
      <c r="H89" s="3" t="s">
        <v>131</v>
      </c>
      <c r="I89" s="3" t="s">
        <v>118</v>
      </c>
      <c r="K89" s="8" t="str">
        <v>Riverside_Li_Battery</v>
      </c>
      <c r="L89" s="4" t="str">
        <f>IFERROR(INDEX('Resource Summary'!B:B,MATCH(K89,'Resource Summary'!A:A,0)),"-")</f>
        <v>CAISO</v>
      </c>
      <c r="M89" s="4" t="str" cm="1">
        <f t="array" ref="M89">IFERROR(INDEX($I$9:$I$322,MATCH($K89&amp;M$8,$G$9:$G$322&amp;$H$9:$H$322,0)),"-")</f>
        <v>Battery Storage</v>
      </c>
      <c r="N89" s="4" t="str" cm="1">
        <f t="array" ref="N89">IFERROR(INDEX($I$9:$I$322,MATCH($K89&amp;N$8,$G$9:$G$322&amp;$H$9:$H$322,0)),"-")</f>
        <v>Storage</v>
      </c>
      <c r="O89" s="4" t="str" cm="1">
        <f t="array" ref="O89">IFERROR(INDEX($I$9:$I$322,MATCH($K89&amp;O$8,$G$9:$G$322&amp;$H$9:$H$322,0)),"-")</f>
        <v xml:space="preserve">Li Battery </v>
      </c>
      <c r="P89" s="4" t="str" cm="1">
        <f t="array" ref="P89">IFERROR(INDEX($I$9:$I$322,MATCH($K89&amp;P$8,$G$9:$G$322&amp;$H$9:$H$322,0)),"-")</f>
        <v>-</v>
      </c>
      <c r="Q89" s="4" t="str" cm="1">
        <f t="array" ref="Q89">IFERROR(INDEX($I$9:$I$322,MATCH($K89&amp;Q$8,$G$9:$G$322&amp;$H$9:$H$322,0)),"-")</f>
        <v>-</v>
      </c>
      <c r="R89" s="4" t="str" cm="1">
        <f t="array" ref="R89">IFERROR(INDEX($I$9:$I$322,MATCH($K89&amp;R$8,$G$9:$G$322&amp;$H$9:$H$322,0)),"-")</f>
        <v>-</v>
      </c>
    </row>
    <row r="90" spans="7:18" x14ac:dyDescent="0.2">
      <c r="G90" s="5" t="s">
        <v>58</v>
      </c>
      <c r="H90" s="3" t="s">
        <v>131</v>
      </c>
      <c r="I90" s="3" t="s">
        <v>118</v>
      </c>
      <c r="K90" s="8" t="str">
        <v>Riverside_Palm_Springs_Geothermal</v>
      </c>
      <c r="L90" s="4" t="str">
        <f>IFERROR(INDEX('Resource Summary'!B:B,MATCH(K90,'Resource Summary'!A:A,0)),"-")</f>
        <v>CAISO</v>
      </c>
      <c r="M90" s="4" t="str" cm="1">
        <f t="array" ref="M90">IFERROR(INDEX($I$9:$I$322,MATCH($K90&amp;M$8,$G$9:$G$322&amp;$H$9:$H$322,0)),"-")</f>
        <v>Geothermal</v>
      </c>
      <c r="N90" s="4" t="str" cm="1">
        <f t="array" ref="N90">IFERROR(INDEX($I$9:$I$322,MATCH($K90&amp;N$8,$G$9:$G$322&amp;$H$9:$H$322,0)),"-")</f>
        <v>Storage</v>
      </c>
      <c r="O90" s="4" t="str" cm="1">
        <f t="array" ref="O90">IFERROR(INDEX($I$9:$I$322,MATCH($K90&amp;O$8,$G$9:$G$322&amp;$H$9:$H$322,0)),"-")</f>
        <v>-</v>
      </c>
      <c r="P90" s="4" t="str" cm="1">
        <f t="array" ref="P90">IFERROR(INDEX($I$9:$I$322,MATCH($K90&amp;P$8,$G$9:$G$322&amp;$H$9:$H$322,0)),"-")</f>
        <v>-</v>
      </c>
      <c r="Q90" s="4" t="str" cm="1">
        <f t="array" ref="Q90">IFERROR(INDEX($I$9:$I$322,MATCH($K90&amp;Q$8,$G$9:$G$322&amp;$H$9:$H$322,0)),"-")</f>
        <v>-</v>
      </c>
      <c r="R90" s="4" t="str" cm="1">
        <f t="array" ref="R90">IFERROR(INDEX($I$9:$I$322,MATCH($K90&amp;R$8,$G$9:$G$322&amp;$H$9:$H$322,0)),"-")</f>
        <v>Geothermal</v>
      </c>
    </row>
    <row r="91" spans="7:18" x14ac:dyDescent="0.2">
      <c r="G91" s="5" t="s">
        <v>60</v>
      </c>
      <c r="H91" s="3" t="s">
        <v>131</v>
      </c>
      <c r="I91" s="3" t="s">
        <v>118</v>
      </c>
      <c r="K91" s="8" t="str">
        <v>Riverside_Palm_Springs_Wind</v>
      </c>
      <c r="L91" s="4" t="str">
        <f>IFERROR(INDEX('Resource Summary'!B:B,MATCH(K91,'Resource Summary'!A:A,0)),"-")</f>
        <v>CAISO</v>
      </c>
      <c r="M91" s="4" t="str" cm="1">
        <f t="array" ref="M91">IFERROR(INDEX($I$9:$I$322,MATCH($K91&amp;M$8,$G$9:$G$322&amp;$H$9:$H$322,0)),"-")</f>
        <v>Wind</v>
      </c>
      <c r="N91" s="4" t="str" cm="1">
        <f t="array" ref="N91">IFERROR(INDEX($I$9:$I$322,MATCH($K91&amp;N$8,$G$9:$G$322&amp;$H$9:$H$322,0)),"-")</f>
        <v>Renewables</v>
      </c>
      <c r="O91" s="4" t="str" cm="1">
        <f t="array" ref="O91">IFERROR(INDEX($I$9:$I$322,MATCH($K91&amp;O$8,$G$9:$G$322&amp;$H$9:$H$322,0)),"-")</f>
        <v>-</v>
      </c>
      <c r="P91" s="4" t="str" cm="1">
        <f t="array" ref="P91">IFERROR(INDEX($I$9:$I$322,MATCH($K91&amp;P$8,$G$9:$G$322&amp;$H$9:$H$322,0)),"-")</f>
        <v>-</v>
      </c>
      <c r="Q91" s="4" t="str" cm="1">
        <f t="array" ref="Q91">IFERROR(INDEX($I$9:$I$322,MATCH($K91&amp;Q$8,$G$9:$G$322&amp;$H$9:$H$322,0)),"-")</f>
        <v>-</v>
      </c>
      <c r="R91" s="4" t="str" cm="1">
        <f t="array" ref="R91">IFERROR(INDEX($I$9:$I$322,MATCH($K91&amp;R$8,$G$9:$G$322&amp;$H$9:$H$322,0)),"-")</f>
        <v>-</v>
      </c>
    </row>
    <row r="92" spans="7:18" x14ac:dyDescent="0.2">
      <c r="G92" s="5" t="s">
        <v>67</v>
      </c>
      <c r="H92" s="3" t="s">
        <v>131</v>
      </c>
      <c r="I92" s="3" t="s">
        <v>118</v>
      </c>
      <c r="K92" s="8" t="str">
        <v>Riverside_Solar</v>
      </c>
      <c r="L92" s="4" t="str">
        <f>IFERROR(INDEX('Resource Summary'!B:B,MATCH(K92,'Resource Summary'!A:A,0)),"-")</f>
        <v>CAISO</v>
      </c>
      <c r="M92" s="4" t="str" cm="1">
        <f t="array" ref="M92">IFERROR(INDEX($I$9:$I$322,MATCH($K92&amp;M$8,$G$9:$G$322&amp;$H$9:$H$322,0)),"-")</f>
        <v>Solar</v>
      </c>
      <c r="N92" s="4" t="str" cm="1">
        <f t="array" ref="N92">IFERROR(INDEX($I$9:$I$322,MATCH($K92&amp;N$8,$G$9:$G$322&amp;$H$9:$H$322,0)),"-")</f>
        <v>Renewables</v>
      </c>
      <c r="O92" s="4" t="str" cm="1">
        <f t="array" ref="O92">IFERROR(INDEX($I$9:$I$322,MATCH($K92&amp;O$8,$G$9:$G$322&amp;$H$9:$H$322,0)),"-")</f>
        <v>-</v>
      </c>
      <c r="P92" s="4" t="str" cm="1">
        <f t="array" ref="P92">IFERROR(INDEX($I$9:$I$322,MATCH($K92&amp;P$8,$G$9:$G$322&amp;$H$9:$H$322,0)),"-")</f>
        <v>-</v>
      </c>
      <c r="Q92" s="4" t="str" cm="1">
        <f t="array" ref="Q92">IFERROR(INDEX($I$9:$I$322,MATCH($K92&amp;Q$8,$G$9:$G$322&amp;$H$9:$H$322,0)),"-")</f>
        <v>-</v>
      </c>
      <c r="R92" s="4" t="str" cm="1">
        <f t="array" ref="R92">IFERROR(INDEX($I$9:$I$322,MATCH($K92&amp;R$8,$G$9:$G$322&amp;$H$9:$H$322,0)),"-")</f>
        <v>-</v>
      </c>
    </row>
    <row r="93" spans="7:18" x14ac:dyDescent="0.2">
      <c r="G93" s="5" t="s">
        <v>79</v>
      </c>
      <c r="H93" s="3" t="s">
        <v>131</v>
      </c>
      <c r="I93" s="3" t="s">
        <v>118</v>
      </c>
      <c r="K93" s="8" t="str">
        <v>Riverside_West_Pumped_Storage</v>
      </c>
      <c r="L93" s="4" t="str">
        <f>IFERROR(INDEX('Resource Summary'!B:B,MATCH(K93,'Resource Summary'!A:A,0)),"-")</f>
        <v>CAISO</v>
      </c>
      <c r="M93" s="4" t="str" cm="1">
        <f t="array" ref="M93">IFERROR(INDEX($I$9:$I$322,MATCH($K93&amp;M$8,$G$9:$G$322&amp;$H$9:$H$322,0)),"-")</f>
        <v>Pumped Storage</v>
      </c>
      <c r="N93" s="4" t="str" cm="1">
        <f t="array" ref="N93">IFERROR(INDEX($I$9:$I$322,MATCH($K93&amp;N$8,$G$9:$G$322&amp;$H$9:$H$322,0)),"-")</f>
        <v>Storage</v>
      </c>
      <c r="O93" s="4" t="str" cm="1">
        <f t="array" ref="O93">IFERROR(INDEX($I$9:$I$322,MATCH($K93&amp;O$8,$G$9:$G$322&amp;$H$9:$H$322,0)),"-")</f>
        <v>Pumped Storage</v>
      </c>
      <c r="P93" s="4" t="str" cm="1">
        <f t="array" ref="P93">IFERROR(INDEX($I$9:$I$322,MATCH($K93&amp;P$8,$G$9:$G$322&amp;$H$9:$H$322,0)),"-")</f>
        <v>-</v>
      </c>
      <c r="Q93" s="4" t="str" cm="1">
        <f t="array" ref="Q93">IFERROR(INDEX($I$9:$I$322,MATCH($K93&amp;Q$8,$G$9:$G$322&amp;$H$9:$H$322,0)),"-")</f>
        <v>-</v>
      </c>
      <c r="R93" s="4" t="str" cm="1">
        <f t="array" ref="R93">IFERROR(INDEX($I$9:$I$322,MATCH($K93&amp;R$8,$G$9:$G$322&amp;$H$9:$H$322,0)),"-")</f>
        <v>Pumped Storage</v>
      </c>
    </row>
    <row r="94" spans="7:18" x14ac:dyDescent="0.2">
      <c r="G94" s="5" t="s">
        <v>93</v>
      </c>
      <c r="H94" s="3" t="s">
        <v>131</v>
      </c>
      <c r="I94" s="3" t="s">
        <v>118</v>
      </c>
      <c r="K94" s="8" t="str">
        <v>San_Diego_Li_Battery</v>
      </c>
      <c r="L94" s="4" t="str">
        <f>IFERROR(INDEX('Resource Summary'!B:B,MATCH(K94,'Resource Summary'!A:A,0)),"-")</f>
        <v>CAISO</v>
      </c>
      <c r="M94" s="4" t="str" cm="1">
        <f t="array" ref="M94">IFERROR(INDEX($I$9:$I$322,MATCH($K94&amp;M$8,$G$9:$G$322&amp;$H$9:$H$322,0)),"-")</f>
        <v>Battery Storage</v>
      </c>
      <c r="N94" s="4" t="str" cm="1">
        <f t="array" ref="N94">IFERROR(INDEX($I$9:$I$322,MATCH($K94&amp;N$8,$G$9:$G$322&amp;$H$9:$H$322,0)),"-")</f>
        <v>Storage</v>
      </c>
      <c r="O94" s="4" t="str" cm="1">
        <f t="array" ref="O94">IFERROR(INDEX($I$9:$I$322,MATCH($K94&amp;O$8,$G$9:$G$322&amp;$H$9:$H$322,0)),"-")</f>
        <v xml:space="preserve">Li Battery </v>
      </c>
      <c r="P94" s="4" t="str" cm="1">
        <f t="array" ref="P94">IFERROR(INDEX($I$9:$I$322,MATCH($K94&amp;P$8,$G$9:$G$322&amp;$H$9:$H$322,0)),"-")</f>
        <v>-</v>
      </c>
      <c r="Q94" s="4" t="str" cm="1">
        <f t="array" ref="Q94">IFERROR(INDEX($I$9:$I$322,MATCH($K94&amp;Q$8,$G$9:$G$322&amp;$H$9:$H$322,0)),"-")</f>
        <v>-</v>
      </c>
      <c r="R94" s="4" t="str" cm="1">
        <f t="array" ref="R94">IFERROR(INDEX($I$9:$I$322,MATCH($K94&amp;R$8,$G$9:$G$322&amp;$H$9:$H$322,0)),"-")</f>
        <v>-</v>
      </c>
    </row>
    <row r="95" spans="7:18" x14ac:dyDescent="0.2">
      <c r="G95" s="5" t="s">
        <v>102</v>
      </c>
      <c r="H95" s="3" t="s">
        <v>131</v>
      </c>
      <c r="I95" s="3" t="s">
        <v>118</v>
      </c>
      <c r="K95" s="8" t="str">
        <v>San_Diego_Pumped_Storage</v>
      </c>
      <c r="L95" s="4" t="str">
        <f>IFERROR(INDEX('Resource Summary'!B:B,MATCH(K95,'Resource Summary'!A:A,0)),"-")</f>
        <v>CAISO</v>
      </c>
      <c r="M95" s="4" t="str" cm="1">
        <f t="array" ref="M95">IFERROR(INDEX($I$9:$I$322,MATCH($K95&amp;M$8,$G$9:$G$322&amp;$H$9:$H$322,0)),"-")</f>
        <v>Pumped Storage</v>
      </c>
      <c r="N95" s="4" t="str" cm="1">
        <f t="array" ref="N95">IFERROR(INDEX($I$9:$I$322,MATCH($K95&amp;N$8,$G$9:$G$322&amp;$H$9:$H$322,0)),"-")</f>
        <v>Storage</v>
      </c>
      <c r="O95" s="4" t="str" cm="1">
        <f t="array" ref="O95">IFERROR(INDEX($I$9:$I$322,MATCH($K95&amp;O$8,$G$9:$G$322&amp;$H$9:$H$322,0)),"-")</f>
        <v>Pumped Storage</v>
      </c>
      <c r="P95" s="4" t="str" cm="1">
        <f t="array" ref="P95">IFERROR(INDEX($I$9:$I$322,MATCH($K95&amp;P$8,$G$9:$G$322&amp;$H$9:$H$322,0)),"-")</f>
        <v>-</v>
      </c>
      <c r="Q95" s="4" t="str" cm="1">
        <f t="array" ref="Q95">IFERROR(INDEX($I$9:$I$322,MATCH($K95&amp;Q$8,$G$9:$G$322&amp;$H$9:$H$322,0)),"-")</f>
        <v>-</v>
      </c>
      <c r="R95" s="4" t="str" cm="1">
        <f t="array" ref="R95">IFERROR(INDEX($I$9:$I$322,MATCH($K95&amp;R$8,$G$9:$G$322&amp;$H$9:$H$322,0)),"-")</f>
        <v>Pumped Storage</v>
      </c>
    </row>
    <row r="96" spans="7:18" x14ac:dyDescent="0.2">
      <c r="G96" s="5" t="s">
        <v>104</v>
      </c>
      <c r="H96" s="3" t="s">
        <v>131</v>
      </c>
      <c r="I96" s="3" t="s">
        <v>118</v>
      </c>
      <c r="K96" s="8" t="str">
        <v>Solano_Geothermal</v>
      </c>
      <c r="L96" s="4" t="str">
        <f>IFERROR(INDEX('Resource Summary'!B:B,MATCH(K96,'Resource Summary'!A:A,0)),"-")</f>
        <v>CAISO</v>
      </c>
      <c r="M96" s="4" t="str" cm="1">
        <f t="array" ref="M96">IFERROR(INDEX($I$9:$I$322,MATCH($K96&amp;M$8,$G$9:$G$322&amp;$H$9:$H$322,0)),"-")</f>
        <v>Geothermal</v>
      </c>
      <c r="N96" s="4" t="str" cm="1">
        <f t="array" ref="N96">IFERROR(INDEX($I$9:$I$322,MATCH($K96&amp;N$8,$G$9:$G$322&amp;$H$9:$H$322,0)),"-")</f>
        <v>Renewables</v>
      </c>
      <c r="O96" s="4" t="str" cm="1">
        <f t="array" ref="O96">IFERROR(INDEX($I$9:$I$322,MATCH($K96&amp;O$8,$G$9:$G$322&amp;$H$9:$H$322,0)),"-")</f>
        <v>-</v>
      </c>
      <c r="P96" s="4" t="str" cm="1">
        <f t="array" ref="P96">IFERROR(INDEX($I$9:$I$322,MATCH($K96&amp;P$8,$G$9:$G$322&amp;$H$9:$H$322,0)),"-")</f>
        <v>-</v>
      </c>
      <c r="Q96" s="4" t="str" cm="1">
        <f t="array" ref="Q96">IFERROR(INDEX($I$9:$I$322,MATCH($K96&amp;Q$8,$G$9:$G$322&amp;$H$9:$H$322,0)),"-")</f>
        <v>-</v>
      </c>
      <c r="R96" s="4" t="str" cm="1">
        <f t="array" ref="R96">IFERROR(INDEX($I$9:$I$322,MATCH($K96&amp;R$8,$G$9:$G$322&amp;$H$9:$H$322,0)),"-")</f>
        <v>Geothermal</v>
      </c>
    </row>
    <row r="97" spans="7:18" x14ac:dyDescent="0.2">
      <c r="G97" s="5" t="s">
        <v>112</v>
      </c>
      <c r="H97" s="3" t="s">
        <v>131</v>
      </c>
      <c r="I97" s="3" t="s">
        <v>118</v>
      </c>
      <c r="K97" s="8" t="str">
        <v>Solano_Wind</v>
      </c>
      <c r="L97" s="4" t="str">
        <f>IFERROR(INDEX('Resource Summary'!B:B,MATCH(K97,'Resource Summary'!A:A,0)),"-")</f>
        <v>CAISO</v>
      </c>
      <c r="M97" s="4" t="str" cm="1">
        <f t="array" ref="M97">IFERROR(INDEX($I$9:$I$322,MATCH($K97&amp;M$8,$G$9:$G$322&amp;$H$9:$H$322,0)),"-")</f>
        <v>Wind</v>
      </c>
      <c r="N97" s="4" t="str" cm="1">
        <f t="array" ref="N97">IFERROR(INDEX($I$9:$I$322,MATCH($K97&amp;N$8,$G$9:$G$322&amp;$H$9:$H$322,0)),"-")</f>
        <v>Renewables</v>
      </c>
      <c r="O97" s="4" t="str" cm="1">
        <f t="array" ref="O97">IFERROR(INDEX($I$9:$I$322,MATCH($K97&amp;O$8,$G$9:$G$322&amp;$H$9:$H$322,0)),"-")</f>
        <v>-</v>
      </c>
      <c r="P97" s="4" t="str" cm="1">
        <f t="array" ref="P97">IFERROR(INDEX($I$9:$I$322,MATCH($K97&amp;P$8,$G$9:$G$322&amp;$H$9:$H$322,0)),"-")</f>
        <v>-</v>
      </c>
      <c r="Q97" s="4" t="str" cm="1">
        <f t="array" ref="Q97">IFERROR(INDEX($I$9:$I$322,MATCH($K97&amp;Q$8,$G$9:$G$322&amp;$H$9:$H$322,0)),"-")</f>
        <v>-</v>
      </c>
      <c r="R97" s="4" t="str" cm="1">
        <f t="array" ref="R97">IFERROR(INDEX($I$9:$I$322,MATCH($K97&amp;R$8,$G$9:$G$322&amp;$H$9:$H$322,0)),"-")</f>
        <v>-</v>
      </c>
    </row>
    <row r="98" spans="7:18" x14ac:dyDescent="0.2">
      <c r="G98" s="5" t="s">
        <v>12</v>
      </c>
      <c r="H98" s="3" t="s">
        <v>131</v>
      </c>
      <c r="I98" s="3" t="s">
        <v>119</v>
      </c>
      <c r="K98" s="8" t="str">
        <v>Solar-Wind Surface</v>
      </c>
      <c r="L98" s="4" t="str">
        <f>IFERROR(INDEX('Resource Summary'!B:B,MATCH(K98,'Resource Summary'!A:A,0)),"-")</f>
        <v>-</v>
      </c>
      <c r="M98" s="4" t="str" cm="1">
        <f t="array" ref="M98">IFERROR(INDEX($I$9:$I$322,MATCH($K98&amp;M$8,$G$9:$G$322&amp;$H$9:$H$322,0)),"-")</f>
        <v>-</v>
      </c>
      <c r="N98" s="4" t="str" cm="1">
        <f t="array" ref="N98">IFERROR(INDEX($I$9:$I$322,MATCH($K98&amp;N$8,$G$9:$G$322&amp;$H$9:$H$322,0)),"-")</f>
        <v>-</v>
      </c>
      <c r="O98" s="4" t="str" cm="1">
        <f t="array" ref="O98">IFERROR(INDEX($I$9:$I$322,MATCH($K98&amp;O$8,$G$9:$G$322&amp;$H$9:$H$322,0)),"-")</f>
        <v>-</v>
      </c>
      <c r="P98" s="4" t="str" cm="1">
        <f t="array" ref="P98">IFERROR(INDEX($I$9:$I$322,MATCH($K98&amp;P$8,$G$9:$G$322&amp;$H$9:$H$322,0)),"-")</f>
        <v>-</v>
      </c>
      <c r="Q98" s="4" t="str" cm="1">
        <f t="array" ref="Q98">IFERROR(INDEX($I$9:$I$322,MATCH($K98&amp;Q$8,$G$9:$G$322&amp;$H$9:$H$322,0)),"-")</f>
        <v>-</v>
      </c>
      <c r="R98" s="4" t="str" cm="1">
        <f t="array" ref="R98">IFERROR(INDEX($I$9:$I$322,MATCH($K98&amp;R$8,$G$9:$G$322&amp;$H$9:$H$322,0)),"-")</f>
        <v>Renewables</v>
      </c>
    </row>
    <row r="99" spans="7:18" x14ac:dyDescent="0.2">
      <c r="G99" s="5" t="s">
        <v>13</v>
      </c>
      <c r="H99" s="3" t="s">
        <v>131</v>
      </c>
      <c r="I99" s="3" t="s">
        <v>119</v>
      </c>
      <c r="K99" s="8" t="str">
        <v>Southern_Nevada_Geothermal</v>
      </c>
      <c r="L99" s="4" t="str">
        <f>IFERROR(INDEX('Resource Summary'!B:B,MATCH(K99,'Resource Summary'!A:A,0)),"-")</f>
        <v>CAISO</v>
      </c>
      <c r="M99" s="4" t="str" cm="1">
        <f t="array" ref="M99">IFERROR(INDEX($I$9:$I$322,MATCH($K99&amp;M$8,$G$9:$G$322&amp;$H$9:$H$322,0)),"-")</f>
        <v>Geothermal</v>
      </c>
      <c r="N99" s="4" t="str" cm="1">
        <f t="array" ref="N99">IFERROR(INDEX($I$9:$I$322,MATCH($K99&amp;N$8,$G$9:$G$322&amp;$H$9:$H$322,0)),"-")</f>
        <v>Renewables</v>
      </c>
      <c r="O99" s="4" t="str" cm="1">
        <f t="array" ref="O99">IFERROR(INDEX($I$9:$I$322,MATCH($K99&amp;O$8,$G$9:$G$322&amp;$H$9:$H$322,0)),"-")</f>
        <v>-</v>
      </c>
      <c r="P99" s="4" t="str" cm="1">
        <f t="array" ref="P99">IFERROR(INDEX($I$9:$I$322,MATCH($K99&amp;P$8,$G$9:$G$322&amp;$H$9:$H$322,0)),"-")</f>
        <v>-</v>
      </c>
      <c r="Q99" s="4" t="str" cm="1">
        <f t="array" ref="Q99">IFERROR(INDEX($I$9:$I$322,MATCH($K99&amp;Q$8,$G$9:$G$322&amp;$H$9:$H$322,0)),"-")</f>
        <v>-</v>
      </c>
      <c r="R99" s="4" t="str" cm="1">
        <f t="array" ref="R99">IFERROR(INDEX($I$9:$I$322,MATCH($K99&amp;R$8,$G$9:$G$322&amp;$H$9:$H$322,0)),"-")</f>
        <v>Geothermal</v>
      </c>
    </row>
    <row r="100" spans="7:18" x14ac:dyDescent="0.2">
      <c r="G100" s="5" t="s">
        <v>50</v>
      </c>
      <c r="H100" s="3" t="s">
        <v>131</v>
      </c>
      <c r="I100" s="3" t="s">
        <v>119</v>
      </c>
      <c r="K100" s="8" t="str">
        <v>Southern_Nevada_Wind</v>
      </c>
      <c r="L100" s="4" t="str">
        <f>IFERROR(INDEX('Resource Summary'!B:B,MATCH(K100,'Resource Summary'!A:A,0)),"-")</f>
        <v>CAISO</v>
      </c>
      <c r="M100" s="4" t="str" cm="1">
        <f t="array" ref="M100">IFERROR(INDEX($I$9:$I$322,MATCH($K100&amp;M$8,$G$9:$G$322&amp;$H$9:$H$322,0)),"-")</f>
        <v>Wind</v>
      </c>
      <c r="N100" s="4" t="str" cm="1">
        <f t="array" ref="N100">IFERROR(INDEX($I$9:$I$322,MATCH($K100&amp;N$8,$G$9:$G$322&amp;$H$9:$H$322,0)),"-")</f>
        <v>Renewables</v>
      </c>
      <c r="O100" s="4" t="str" cm="1">
        <f t="array" ref="O100">IFERROR(INDEX($I$9:$I$322,MATCH($K100&amp;O$8,$G$9:$G$322&amp;$H$9:$H$322,0)),"-")</f>
        <v>-</v>
      </c>
      <c r="P100" s="4" t="str" cm="1">
        <f t="array" ref="P100">IFERROR(INDEX($I$9:$I$322,MATCH($K100&amp;P$8,$G$9:$G$322&amp;$H$9:$H$322,0)),"-")</f>
        <v>-</v>
      </c>
      <c r="Q100" s="4" t="str" cm="1">
        <f t="array" ref="Q100">IFERROR(INDEX($I$9:$I$322,MATCH($K100&amp;Q$8,$G$9:$G$322&amp;$H$9:$H$322,0)),"-")</f>
        <v>-</v>
      </c>
      <c r="R100" s="4" t="str" cm="1">
        <f t="array" ref="R100">IFERROR(INDEX($I$9:$I$322,MATCH($K100&amp;R$8,$G$9:$G$322&amp;$H$9:$H$322,0)),"-")</f>
        <v>-</v>
      </c>
    </row>
    <row r="101" spans="7:18" x14ac:dyDescent="0.2">
      <c r="G101" s="5" t="s">
        <v>51</v>
      </c>
      <c r="H101" s="3" t="s">
        <v>131</v>
      </c>
      <c r="I101" s="3" t="s">
        <v>119</v>
      </c>
      <c r="K101" s="8" t="str">
        <v>Southern_NV_Eldorado_Li_Battery</v>
      </c>
      <c r="L101" s="4" t="str">
        <f>IFERROR(INDEX('Resource Summary'!B:B,MATCH(K101,'Resource Summary'!A:A,0)),"-")</f>
        <v>CAISO</v>
      </c>
      <c r="M101" s="4" t="str" cm="1">
        <f t="array" ref="M101">IFERROR(INDEX($I$9:$I$322,MATCH($K101&amp;M$8,$G$9:$G$322&amp;$H$9:$H$322,0)),"-")</f>
        <v>Battery Storage</v>
      </c>
      <c r="N101" s="4" t="str" cm="1">
        <f t="array" ref="N101">IFERROR(INDEX($I$9:$I$322,MATCH($K101&amp;N$8,$G$9:$G$322&amp;$H$9:$H$322,0)),"-")</f>
        <v>Storage</v>
      </c>
      <c r="O101" s="4" t="str" cm="1">
        <f t="array" ref="O101">IFERROR(INDEX($I$9:$I$322,MATCH($K101&amp;O$8,$G$9:$G$322&amp;$H$9:$H$322,0)),"-")</f>
        <v xml:space="preserve">Li Battery </v>
      </c>
      <c r="P101" s="4" t="str" cm="1">
        <f t="array" ref="P101">IFERROR(INDEX($I$9:$I$322,MATCH($K101&amp;P$8,$G$9:$G$322&amp;$H$9:$H$322,0)),"-")</f>
        <v>-</v>
      </c>
      <c r="Q101" s="4" t="str" cm="1">
        <f t="array" ref="Q101">IFERROR(INDEX($I$9:$I$322,MATCH($K101&amp;Q$8,$G$9:$G$322&amp;$H$9:$H$322,0)),"-")</f>
        <v>-</v>
      </c>
      <c r="R101" s="4" t="str" cm="1">
        <f t="array" ref="R101">IFERROR(INDEX($I$9:$I$322,MATCH($K101&amp;R$8,$G$9:$G$322&amp;$H$9:$H$322,0)),"-")</f>
        <v>-</v>
      </c>
    </row>
    <row r="102" spans="7:18" x14ac:dyDescent="0.2">
      <c r="G102" s="5" t="s">
        <v>52</v>
      </c>
      <c r="H102" s="3" t="s">
        <v>131</v>
      </c>
      <c r="I102" s="3" t="s">
        <v>119</v>
      </c>
      <c r="K102" s="8" t="str">
        <v>Southern_NV_Eldorado_Solar</v>
      </c>
      <c r="L102" s="4" t="str">
        <f>IFERROR(INDEX('Resource Summary'!B:B,MATCH(K102,'Resource Summary'!A:A,0)),"-")</f>
        <v>CAISO</v>
      </c>
      <c r="M102" s="4" t="str" cm="1">
        <f t="array" ref="M102">IFERROR(INDEX($I$9:$I$322,MATCH($K102&amp;M$8,$G$9:$G$322&amp;$H$9:$H$322,0)),"-")</f>
        <v>Solar</v>
      </c>
      <c r="N102" s="4" t="str" cm="1">
        <f t="array" ref="N102">IFERROR(INDEX($I$9:$I$322,MATCH($K102&amp;N$8,$G$9:$G$322&amp;$H$9:$H$322,0)),"-")</f>
        <v>Renewables</v>
      </c>
      <c r="O102" s="4" t="str" cm="1">
        <f t="array" ref="O102">IFERROR(INDEX($I$9:$I$322,MATCH($K102&amp;O$8,$G$9:$G$322&amp;$H$9:$H$322,0)),"-")</f>
        <v>-</v>
      </c>
      <c r="P102" s="4" t="str" cm="1">
        <f t="array" ref="P102">IFERROR(INDEX($I$9:$I$322,MATCH($K102&amp;P$8,$G$9:$G$322&amp;$H$9:$H$322,0)),"-")</f>
        <v>-</v>
      </c>
      <c r="Q102" s="4" t="str" cm="1">
        <f t="array" ref="Q102">IFERROR(INDEX($I$9:$I$322,MATCH($K102&amp;Q$8,$G$9:$G$322&amp;$H$9:$H$322,0)),"-")</f>
        <v>-</v>
      </c>
      <c r="R102" s="4" t="str" cm="1">
        <f t="array" ref="R102">IFERROR(INDEX($I$9:$I$322,MATCH($K102&amp;R$8,$G$9:$G$322&amp;$H$9:$H$322,0)),"-")</f>
        <v>-</v>
      </c>
    </row>
    <row r="103" spans="7:18" x14ac:dyDescent="0.2">
      <c r="G103" s="5" t="s">
        <v>53</v>
      </c>
      <c r="H103" s="3" t="s">
        <v>131</v>
      </c>
      <c r="I103" s="3" t="s">
        <v>119</v>
      </c>
      <c r="K103" s="8" t="str">
        <v>Southern_PGAE_Li_Battery</v>
      </c>
      <c r="L103" s="4" t="str">
        <f>IFERROR(INDEX('Resource Summary'!B:B,MATCH(K103,'Resource Summary'!A:A,0)),"-")</f>
        <v>CAISO</v>
      </c>
      <c r="M103" s="4" t="str" cm="1">
        <f t="array" ref="M103">IFERROR(INDEX($I$9:$I$322,MATCH($K103&amp;M$8,$G$9:$G$322&amp;$H$9:$H$322,0)),"-")</f>
        <v>Battery Storage</v>
      </c>
      <c r="N103" s="4" t="str" cm="1">
        <f t="array" ref="N103">IFERROR(INDEX($I$9:$I$322,MATCH($K103&amp;N$8,$G$9:$G$322&amp;$H$9:$H$322,0)),"-")</f>
        <v>Storage</v>
      </c>
      <c r="O103" s="4" t="str" cm="1">
        <f t="array" ref="O103">IFERROR(INDEX($I$9:$I$322,MATCH($K103&amp;O$8,$G$9:$G$322&amp;$H$9:$H$322,0)),"-")</f>
        <v xml:space="preserve">Li Battery </v>
      </c>
      <c r="P103" s="4" t="str" cm="1">
        <f t="array" ref="P103">IFERROR(INDEX($I$9:$I$322,MATCH($K103&amp;P$8,$G$9:$G$322&amp;$H$9:$H$322,0)),"-")</f>
        <v>-</v>
      </c>
      <c r="Q103" s="4" t="str" cm="1">
        <f t="array" ref="Q103">IFERROR(INDEX($I$9:$I$322,MATCH($K103&amp;Q$8,$G$9:$G$322&amp;$H$9:$H$322,0)),"-")</f>
        <v>-</v>
      </c>
      <c r="R103" s="4" t="str" cm="1">
        <f t="array" ref="R103">IFERROR(INDEX($I$9:$I$322,MATCH($K103&amp;R$8,$G$9:$G$322&amp;$H$9:$H$322,0)),"-")</f>
        <v>-</v>
      </c>
    </row>
    <row r="104" spans="7:18" x14ac:dyDescent="0.2">
      <c r="G104" s="5" t="s">
        <v>62</v>
      </c>
      <c r="H104" s="3" t="s">
        <v>131</v>
      </c>
      <c r="I104" s="3" t="s">
        <v>119</v>
      </c>
      <c r="K104" s="8" t="str">
        <v>Southern_PGAE_Solar</v>
      </c>
      <c r="L104" s="4" t="str">
        <f>IFERROR(INDEX('Resource Summary'!B:B,MATCH(K104,'Resource Summary'!A:A,0)),"-")</f>
        <v>CAISO</v>
      </c>
      <c r="M104" s="4" t="str" cm="1">
        <f t="array" ref="M104">IFERROR(INDEX($I$9:$I$322,MATCH($K104&amp;M$8,$G$9:$G$322&amp;$H$9:$H$322,0)),"-")</f>
        <v>Solar</v>
      </c>
      <c r="N104" s="4" t="str" cm="1">
        <f t="array" ref="N104">IFERROR(INDEX($I$9:$I$322,MATCH($K104&amp;N$8,$G$9:$G$322&amp;$H$9:$H$322,0)),"-")</f>
        <v>Renewables</v>
      </c>
      <c r="O104" s="4" t="str" cm="1">
        <f t="array" ref="O104">IFERROR(INDEX($I$9:$I$322,MATCH($K104&amp;O$8,$G$9:$G$322&amp;$H$9:$H$322,0)),"-")</f>
        <v>-</v>
      </c>
      <c r="P104" s="4" t="str" cm="1">
        <f t="array" ref="P104">IFERROR(INDEX($I$9:$I$322,MATCH($K104&amp;P$8,$G$9:$G$322&amp;$H$9:$H$322,0)),"-")</f>
        <v>-</v>
      </c>
      <c r="Q104" s="4" t="str" cm="1">
        <f t="array" ref="Q104">IFERROR(INDEX($I$9:$I$322,MATCH($K104&amp;Q$8,$G$9:$G$322&amp;$H$9:$H$322,0)),"-")</f>
        <v>-</v>
      </c>
      <c r="R104" s="4" t="str" cm="1">
        <f t="array" ref="R104">IFERROR(INDEX($I$9:$I$322,MATCH($K104&amp;R$8,$G$9:$G$322&amp;$H$9:$H$322,0)),"-")</f>
        <v>-</v>
      </c>
    </row>
    <row r="105" spans="7:18" x14ac:dyDescent="0.2">
      <c r="G105" s="5" t="s">
        <v>63</v>
      </c>
      <c r="H105" s="3" t="s">
        <v>131</v>
      </c>
      <c r="I105" s="3" t="s">
        <v>119</v>
      </c>
      <c r="K105" s="8" t="str">
        <v>Storage Curve</v>
      </c>
      <c r="L105" s="4" t="str">
        <f>IFERROR(INDEX('Resource Summary'!B:B,MATCH(K105,'Resource Summary'!A:A,0)),"-")</f>
        <v>-</v>
      </c>
      <c r="M105" s="4" t="str" cm="1">
        <f t="array" ref="M105">IFERROR(INDEX($I$9:$I$322,MATCH($K105&amp;M$8,$G$9:$G$322&amp;$H$9:$H$322,0)),"-")</f>
        <v>-</v>
      </c>
      <c r="N105" s="4" t="str" cm="1">
        <f t="array" ref="N105">IFERROR(INDEX($I$9:$I$322,MATCH($K105&amp;N$8,$G$9:$G$322&amp;$H$9:$H$322,0)),"-")</f>
        <v>-</v>
      </c>
      <c r="O105" s="4" t="str" cm="1">
        <f t="array" ref="O105">IFERROR(INDEX($I$9:$I$322,MATCH($K105&amp;O$8,$G$9:$G$322&amp;$H$9:$H$322,0)),"-")</f>
        <v>-</v>
      </c>
      <c r="P105" s="4" t="str" cm="1">
        <f t="array" ref="P105">IFERROR(INDEX($I$9:$I$322,MATCH($K105&amp;P$8,$G$9:$G$322&amp;$H$9:$H$322,0)),"-")</f>
        <v>-</v>
      </c>
      <c r="Q105" s="4" t="str" cm="1">
        <f t="array" ref="Q105">IFERROR(INDEX($I$9:$I$322,MATCH($K105&amp;Q$8,$G$9:$G$322&amp;$H$9:$H$322,0)),"-")</f>
        <v>-</v>
      </c>
      <c r="R105" s="4" t="str" cm="1">
        <f t="array" ref="R105">IFERROR(INDEX($I$9:$I$322,MATCH($K105&amp;R$8,$G$9:$G$322&amp;$H$9:$H$322,0)),"-")</f>
        <v>Battery Storage</v>
      </c>
    </row>
    <row r="106" spans="7:18" x14ac:dyDescent="0.2">
      <c r="G106" s="5" t="s">
        <v>70</v>
      </c>
      <c r="H106" s="3" t="s">
        <v>131</v>
      </c>
      <c r="I106" s="3" t="s">
        <v>119</v>
      </c>
      <c r="K106" s="8" t="str">
        <v>SW_CCGT</v>
      </c>
      <c r="L106" s="4" t="str">
        <f>IFERROR(INDEX('Resource Summary'!B:B,MATCH(K106,'Resource Summary'!A:A,0)),"-")</f>
        <v>SW</v>
      </c>
      <c r="M106" s="4" t="str" cm="1">
        <f t="array" ref="M106">IFERROR(INDEX($I$9:$I$322,MATCH($K106&amp;M$8,$G$9:$G$322&amp;$H$9:$H$322,0)),"-")</f>
        <v>-</v>
      </c>
      <c r="N106" s="4" t="str" cm="1">
        <f t="array" ref="N106">IFERROR(INDEX($I$9:$I$322,MATCH($K106&amp;N$8,$G$9:$G$322&amp;$H$9:$H$322,0)),"-")</f>
        <v>-</v>
      </c>
      <c r="O106" s="4" t="str" cm="1">
        <f t="array" ref="O106">IFERROR(INDEX($I$9:$I$322,MATCH($K106&amp;O$8,$G$9:$G$322&amp;$H$9:$H$322,0)),"-")</f>
        <v>-</v>
      </c>
      <c r="P106" s="4" t="str" cm="1">
        <f t="array" ref="P106">IFERROR(INDEX($I$9:$I$322,MATCH($K106&amp;P$8,$G$9:$G$322&amp;$H$9:$H$322,0)),"-")</f>
        <v>-</v>
      </c>
      <c r="Q106" s="4" t="str" cm="1">
        <f t="array" ref="Q106">IFERROR(INDEX($I$9:$I$322,MATCH($K106&amp;Q$8,$G$9:$G$322&amp;$H$9:$H$322,0)),"-")</f>
        <v>SW</v>
      </c>
      <c r="R106" s="4" t="str" cm="1">
        <f t="array" ref="R106">IFERROR(INDEX($I$9:$I$322,MATCH($K106&amp;R$8,$G$9:$G$322&amp;$H$9:$H$322,0)),"-")</f>
        <v>-</v>
      </c>
    </row>
    <row r="107" spans="7:18" x14ac:dyDescent="0.2">
      <c r="G107" s="5" t="s">
        <v>76</v>
      </c>
      <c r="H107" s="3" t="s">
        <v>131</v>
      </c>
      <c r="I107" s="3" t="s">
        <v>119</v>
      </c>
      <c r="K107" s="8" t="str">
        <v>SW_Coal</v>
      </c>
      <c r="L107" s="4" t="str">
        <f>IFERROR(INDEX('Resource Summary'!B:B,MATCH(K107,'Resource Summary'!A:A,0)),"-")</f>
        <v>SW</v>
      </c>
      <c r="M107" s="4" t="str" cm="1">
        <f t="array" ref="M107">IFERROR(INDEX($I$9:$I$322,MATCH($K107&amp;M$8,$G$9:$G$322&amp;$H$9:$H$322,0)),"-")</f>
        <v>-</v>
      </c>
      <c r="N107" s="4" t="str" cm="1">
        <f t="array" ref="N107">IFERROR(INDEX($I$9:$I$322,MATCH($K107&amp;N$8,$G$9:$G$322&amp;$H$9:$H$322,0)),"-")</f>
        <v>-</v>
      </c>
      <c r="O107" s="4" t="str" cm="1">
        <f t="array" ref="O107">IFERROR(INDEX($I$9:$I$322,MATCH($K107&amp;O$8,$G$9:$G$322&amp;$H$9:$H$322,0)),"-")</f>
        <v>-</v>
      </c>
      <c r="P107" s="4" t="str" cm="1">
        <f t="array" ref="P107">IFERROR(INDEX($I$9:$I$322,MATCH($K107&amp;P$8,$G$9:$G$322&amp;$H$9:$H$322,0)),"-")</f>
        <v>-</v>
      </c>
      <c r="Q107" s="4" t="str" cm="1">
        <f t="array" ref="Q107">IFERROR(INDEX($I$9:$I$322,MATCH($K107&amp;Q$8,$G$9:$G$322&amp;$H$9:$H$322,0)),"-")</f>
        <v>SW</v>
      </c>
      <c r="R107" s="4" t="str" cm="1">
        <f t="array" ref="R107">IFERROR(INDEX($I$9:$I$322,MATCH($K107&amp;R$8,$G$9:$G$322&amp;$H$9:$H$322,0)),"-")</f>
        <v>-</v>
      </c>
    </row>
    <row r="108" spans="7:18" x14ac:dyDescent="0.2">
      <c r="G108" s="5" t="s">
        <v>80</v>
      </c>
      <c r="H108" s="3" t="s">
        <v>131</v>
      </c>
      <c r="I108" s="3" t="s">
        <v>119</v>
      </c>
      <c r="K108" s="8" t="str">
        <v>SW_Ext_Tx_Wind</v>
      </c>
      <c r="L108" s="4" t="str">
        <f>IFERROR(INDEX('Resource Summary'!B:B,MATCH(K108,'Resource Summary'!A:A,0)),"-")</f>
        <v>CAISO</v>
      </c>
      <c r="M108" s="4" t="str" cm="1">
        <f t="array" ref="M108">IFERROR(INDEX($I$9:$I$322,MATCH($K108&amp;M$8,$G$9:$G$322&amp;$H$9:$H$322,0)),"-")</f>
        <v>Wind</v>
      </c>
      <c r="N108" s="4" t="str" cm="1">
        <f t="array" ref="N108">IFERROR(INDEX($I$9:$I$322,MATCH($K108&amp;N$8,$G$9:$G$322&amp;$H$9:$H$322,0)),"-")</f>
        <v>Renewables</v>
      </c>
      <c r="O108" s="4" t="str" cm="1">
        <f t="array" ref="O108">IFERROR(INDEX($I$9:$I$322,MATCH($K108&amp;O$8,$G$9:$G$322&amp;$H$9:$H$322,0)),"-")</f>
        <v>-</v>
      </c>
      <c r="P108" s="4" t="str" cm="1">
        <f t="array" ref="P108">IFERROR(INDEX($I$9:$I$322,MATCH($K108&amp;P$8,$G$9:$G$322&amp;$H$9:$H$322,0)),"-")</f>
        <v>-</v>
      </c>
      <c r="Q108" s="4" t="str" cm="1">
        <f t="array" ref="Q108">IFERROR(INDEX($I$9:$I$322,MATCH($K108&amp;Q$8,$G$9:$G$322&amp;$H$9:$H$322,0)),"-")</f>
        <v>-</v>
      </c>
      <c r="R108" s="4" t="str" cm="1">
        <f t="array" ref="R108">IFERROR(INDEX($I$9:$I$322,MATCH($K108&amp;R$8,$G$9:$G$322&amp;$H$9:$H$322,0)),"-")</f>
        <v>-</v>
      </c>
    </row>
    <row r="109" spans="7:18" x14ac:dyDescent="0.2">
      <c r="G109" s="5" t="s">
        <v>83</v>
      </c>
      <c r="H109" s="3" t="s">
        <v>131</v>
      </c>
      <c r="I109" s="3" t="s">
        <v>119</v>
      </c>
      <c r="K109" s="8" t="str">
        <v>SW_Peaker</v>
      </c>
      <c r="L109" s="4" t="str">
        <f>IFERROR(INDEX('Resource Summary'!B:B,MATCH(K109,'Resource Summary'!A:A,0)),"-")</f>
        <v>SW</v>
      </c>
      <c r="M109" s="4" t="str" cm="1">
        <f t="array" ref="M109">IFERROR(INDEX($I$9:$I$322,MATCH($K109&amp;M$8,$G$9:$G$322&amp;$H$9:$H$322,0)),"-")</f>
        <v>-</v>
      </c>
      <c r="N109" s="4" t="str" cm="1">
        <f t="array" ref="N109">IFERROR(INDEX($I$9:$I$322,MATCH($K109&amp;N$8,$G$9:$G$322&amp;$H$9:$H$322,0)),"-")</f>
        <v>-</v>
      </c>
      <c r="O109" s="4" t="str" cm="1">
        <f t="array" ref="O109">IFERROR(INDEX($I$9:$I$322,MATCH($K109&amp;O$8,$G$9:$G$322&amp;$H$9:$H$322,0)),"-")</f>
        <v>-</v>
      </c>
      <c r="P109" s="4" t="str" cm="1">
        <f t="array" ref="P109">IFERROR(INDEX($I$9:$I$322,MATCH($K109&amp;P$8,$G$9:$G$322&amp;$H$9:$H$322,0)),"-")</f>
        <v>-</v>
      </c>
      <c r="Q109" s="4" t="str" cm="1">
        <f t="array" ref="Q109">IFERROR(INDEX($I$9:$I$322,MATCH($K109&amp;Q$8,$G$9:$G$322&amp;$H$9:$H$322,0)),"-")</f>
        <v>SW</v>
      </c>
      <c r="R109" s="4" t="str" cm="1">
        <f t="array" ref="R109">IFERROR(INDEX($I$9:$I$322,MATCH($K109&amp;R$8,$G$9:$G$322&amp;$H$9:$H$322,0)),"-")</f>
        <v>-</v>
      </c>
    </row>
    <row r="110" spans="7:18" x14ac:dyDescent="0.2">
      <c r="G110" s="5" t="s">
        <v>88</v>
      </c>
      <c r="H110" s="3" t="s">
        <v>131</v>
      </c>
      <c r="I110" s="3" t="s">
        <v>119</v>
      </c>
      <c r="K110" s="8" t="str">
        <v>SW_ST</v>
      </c>
      <c r="L110" s="4" t="str">
        <f>IFERROR(INDEX('Resource Summary'!B:B,MATCH(K110,'Resource Summary'!A:A,0)),"-")</f>
        <v>SW</v>
      </c>
      <c r="M110" s="4" t="str" cm="1">
        <f t="array" ref="M110">IFERROR(INDEX($I$9:$I$322,MATCH($K110&amp;M$8,$G$9:$G$322&amp;$H$9:$H$322,0)),"-")</f>
        <v>-</v>
      </c>
      <c r="N110" s="4" t="str" cm="1">
        <f t="array" ref="N110">IFERROR(INDEX($I$9:$I$322,MATCH($K110&amp;N$8,$G$9:$G$322&amp;$H$9:$H$322,0)),"-")</f>
        <v>-</v>
      </c>
      <c r="O110" s="4" t="str" cm="1">
        <f t="array" ref="O110">IFERROR(INDEX($I$9:$I$322,MATCH($K110&amp;O$8,$G$9:$G$322&amp;$H$9:$H$322,0)),"-")</f>
        <v>-</v>
      </c>
      <c r="P110" s="4" t="str" cm="1">
        <f t="array" ref="P110">IFERROR(INDEX($I$9:$I$322,MATCH($K110&amp;P$8,$G$9:$G$322&amp;$H$9:$H$322,0)),"-")</f>
        <v>-</v>
      </c>
      <c r="Q110" s="4" t="str" cm="1">
        <f t="array" ref="Q110">IFERROR(INDEX($I$9:$I$322,MATCH($K110&amp;Q$8,$G$9:$G$322&amp;$H$9:$H$322,0)),"-")</f>
        <v>SW</v>
      </c>
      <c r="R110" s="4" t="str" cm="1">
        <f t="array" ref="R110">IFERROR(INDEX($I$9:$I$322,MATCH($K110&amp;R$8,$G$9:$G$322&amp;$H$9:$H$322,0)),"-")</f>
        <v>-</v>
      </c>
    </row>
    <row r="111" spans="7:18" x14ac:dyDescent="0.2">
      <c r="G111" s="5" t="s">
        <v>92</v>
      </c>
      <c r="H111" s="3" t="s">
        <v>131</v>
      </c>
      <c r="I111" s="3" t="s">
        <v>119</v>
      </c>
      <c r="K111" s="8" t="str">
        <v>Tehachapi_Li_Battery</v>
      </c>
      <c r="L111" s="4" t="str">
        <f>IFERROR(INDEX('Resource Summary'!B:B,MATCH(K111,'Resource Summary'!A:A,0)),"-")</f>
        <v>CAISO</v>
      </c>
      <c r="M111" s="4" t="str" cm="1">
        <f t="array" ref="M111">IFERROR(INDEX($I$9:$I$322,MATCH($K111&amp;M$8,$G$9:$G$322&amp;$H$9:$H$322,0)),"-")</f>
        <v>Battery Storage</v>
      </c>
      <c r="N111" s="4" t="str" cm="1">
        <f t="array" ref="N111">IFERROR(INDEX($I$9:$I$322,MATCH($K111&amp;N$8,$G$9:$G$322&amp;$H$9:$H$322,0)),"-")</f>
        <v>Storage</v>
      </c>
      <c r="O111" s="4" t="str" cm="1">
        <f t="array" ref="O111">IFERROR(INDEX($I$9:$I$322,MATCH($K111&amp;O$8,$G$9:$G$322&amp;$H$9:$H$322,0)),"-")</f>
        <v xml:space="preserve">Li Battery </v>
      </c>
      <c r="P111" s="4" t="str" cm="1">
        <f t="array" ref="P111">IFERROR(INDEX($I$9:$I$322,MATCH($K111&amp;P$8,$G$9:$G$322&amp;$H$9:$H$322,0)),"-")</f>
        <v>-</v>
      </c>
      <c r="Q111" s="4" t="str" cm="1">
        <f t="array" ref="Q111">IFERROR(INDEX($I$9:$I$322,MATCH($K111&amp;Q$8,$G$9:$G$322&amp;$H$9:$H$322,0)),"-")</f>
        <v>-</v>
      </c>
      <c r="R111" s="4" t="str" cm="1">
        <f t="array" ref="R111">IFERROR(INDEX($I$9:$I$322,MATCH($K111&amp;R$8,$G$9:$G$322&amp;$H$9:$H$322,0)),"-")</f>
        <v>-</v>
      </c>
    </row>
    <row r="112" spans="7:18" x14ac:dyDescent="0.2">
      <c r="G112" s="5" t="s">
        <v>98</v>
      </c>
      <c r="H112" s="3" t="s">
        <v>131</v>
      </c>
      <c r="I112" s="3" t="s">
        <v>119</v>
      </c>
      <c r="K112" s="8" t="str">
        <v>Tehachapi_Pumped_Storage</v>
      </c>
      <c r="L112" s="4" t="str">
        <f>IFERROR(INDEX('Resource Summary'!B:B,MATCH(K112,'Resource Summary'!A:A,0)),"-")</f>
        <v>CAISO</v>
      </c>
      <c r="M112" s="4" t="str" cm="1">
        <f t="array" ref="M112">IFERROR(INDEX($I$9:$I$322,MATCH($K112&amp;M$8,$G$9:$G$322&amp;$H$9:$H$322,0)),"-")</f>
        <v>Pumped Storage</v>
      </c>
      <c r="N112" s="4" t="str" cm="1">
        <f t="array" ref="N112">IFERROR(INDEX($I$9:$I$322,MATCH($K112&amp;N$8,$G$9:$G$322&amp;$H$9:$H$322,0)),"-")</f>
        <v>Storage</v>
      </c>
      <c r="O112" s="4" t="str" cm="1">
        <f t="array" ref="O112">IFERROR(INDEX($I$9:$I$322,MATCH($K112&amp;O$8,$G$9:$G$322&amp;$H$9:$H$322,0)),"-")</f>
        <v>Pumped Storage</v>
      </c>
      <c r="P112" s="4" t="str" cm="1">
        <f t="array" ref="P112">IFERROR(INDEX($I$9:$I$322,MATCH($K112&amp;P$8,$G$9:$G$322&amp;$H$9:$H$322,0)),"-")</f>
        <v>-</v>
      </c>
      <c r="Q112" s="4" t="str" cm="1">
        <f t="array" ref="Q112">IFERROR(INDEX($I$9:$I$322,MATCH($K112&amp;Q$8,$G$9:$G$322&amp;$H$9:$H$322,0)),"-")</f>
        <v>-</v>
      </c>
      <c r="R112" s="4" t="str" cm="1">
        <f t="array" ref="R112">IFERROR(INDEX($I$9:$I$322,MATCH($K112&amp;R$8,$G$9:$G$322&amp;$H$9:$H$322,0)),"-")</f>
        <v>Pumped Storage</v>
      </c>
    </row>
    <row r="113" spans="7:18" x14ac:dyDescent="0.2">
      <c r="G113" s="5" t="s">
        <v>100</v>
      </c>
      <c r="H113" s="3" t="s">
        <v>131</v>
      </c>
      <c r="I113" s="3" t="s">
        <v>119</v>
      </c>
      <c r="K113" s="8" t="str">
        <v>Tehachapi_Solar</v>
      </c>
      <c r="L113" s="4" t="str">
        <f>IFERROR(INDEX('Resource Summary'!B:B,MATCH(K113,'Resource Summary'!A:A,0)),"-")</f>
        <v>CAISO</v>
      </c>
      <c r="M113" s="4" t="str" cm="1">
        <f t="array" ref="M113">IFERROR(INDEX($I$9:$I$322,MATCH($K113&amp;M$8,$G$9:$G$322&amp;$H$9:$H$322,0)),"-")</f>
        <v>Solar</v>
      </c>
      <c r="N113" s="4" t="str" cm="1">
        <f t="array" ref="N113">IFERROR(INDEX($I$9:$I$322,MATCH($K113&amp;N$8,$G$9:$G$322&amp;$H$9:$H$322,0)),"-")</f>
        <v>Renewables</v>
      </c>
      <c r="O113" s="4" t="str" cm="1">
        <f t="array" ref="O113">IFERROR(INDEX($I$9:$I$322,MATCH($K113&amp;O$8,$G$9:$G$322&amp;$H$9:$H$322,0)),"-")</f>
        <v>-</v>
      </c>
      <c r="P113" s="4" t="str" cm="1">
        <f t="array" ref="P113">IFERROR(INDEX($I$9:$I$322,MATCH($K113&amp;P$8,$G$9:$G$322&amp;$H$9:$H$322,0)),"-")</f>
        <v>-</v>
      </c>
      <c r="Q113" s="4" t="str" cm="1">
        <f t="array" ref="Q113">IFERROR(INDEX($I$9:$I$322,MATCH($K113&amp;Q$8,$G$9:$G$322&amp;$H$9:$H$322,0)),"-")</f>
        <v>-</v>
      </c>
      <c r="R113" s="4" t="str" cm="1">
        <f t="array" ref="R113">IFERROR(INDEX($I$9:$I$322,MATCH($K113&amp;R$8,$G$9:$G$322&amp;$H$9:$H$322,0)),"-")</f>
        <v>-</v>
      </c>
    </row>
    <row r="114" spans="7:18" x14ac:dyDescent="0.2">
      <c r="G114" s="5" t="s">
        <v>107</v>
      </c>
      <c r="H114" s="3" t="s">
        <v>131</v>
      </c>
      <c r="I114" s="3" t="s">
        <v>119</v>
      </c>
      <c r="K114" s="8" t="str">
        <v>Tehachapi_Wind</v>
      </c>
      <c r="L114" s="4" t="str">
        <f>IFERROR(INDEX('Resource Summary'!B:B,MATCH(K114,'Resource Summary'!A:A,0)),"-")</f>
        <v>CAISO</v>
      </c>
      <c r="M114" s="4" t="str" cm="1">
        <f t="array" ref="M114">IFERROR(INDEX($I$9:$I$322,MATCH($K114&amp;M$8,$G$9:$G$322&amp;$H$9:$H$322,0)),"-")</f>
        <v>Wind</v>
      </c>
      <c r="N114" s="4" t="str" cm="1">
        <f t="array" ref="N114">IFERROR(INDEX($I$9:$I$322,MATCH($K114&amp;N$8,$G$9:$G$322&amp;$H$9:$H$322,0)),"-")</f>
        <v>Renewables</v>
      </c>
      <c r="O114" s="4" t="str" cm="1">
        <f t="array" ref="O114">IFERROR(INDEX($I$9:$I$322,MATCH($K114&amp;O$8,$G$9:$G$322&amp;$H$9:$H$322,0)),"-")</f>
        <v>-</v>
      </c>
      <c r="P114" s="4" t="str" cm="1">
        <f t="array" ref="P114">IFERROR(INDEX($I$9:$I$322,MATCH($K114&amp;P$8,$G$9:$G$322&amp;$H$9:$H$322,0)),"-")</f>
        <v>-</v>
      </c>
      <c r="Q114" s="4" t="str" cm="1">
        <f t="array" ref="Q114">IFERROR(INDEX($I$9:$I$322,MATCH($K114&amp;Q$8,$G$9:$G$322&amp;$H$9:$H$322,0)),"-")</f>
        <v>-</v>
      </c>
      <c r="R114" s="4" t="str" cm="1">
        <f t="array" ref="R114">IFERROR(INDEX($I$9:$I$322,MATCH($K114&amp;R$8,$G$9:$G$322&amp;$H$9:$H$322,0)),"-")</f>
        <v>-</v>
      </c>
    </row>
    <row r="115" spans="7:18" x14ac:dyDescent="0.2">
      <c r="G115" s="5" t="s">
        <v>113</v>
      </c>
      <c r="H115" s="3" t="s">
        <v>131</v>
      </c>
      <c r="I115" s="3" t="s">
        <v>119</v>
      </c>
      <c r="K115" s="8" t="str">
        <v>Utah_Wind</v>
      </c>
      <c r="L115" s="4" t="str">
        <f>IFERROR(INDEX('Resource Summary'!B:B,MATCH(K115,'Resource Summary'!A:A,0)),"-")</f>
        <v>CAISO</v>
      </c>
      <c r="M115" s="4" t="str" cm="1">
        <f t="array" ref="M115">IFERROR(INDEX($I$9:$I$322,MATCH($K115&amp;M$8,$G$9:$G$322&amp;$H$9:$H$322,0)),"-")</f>
        <v>Wind</v>
      </c>
      <c r="N115" s="4" t="str" cm="1">
        <f t="array" ref="N115">IFERROR(INDEX($I$9:$I$322,MATCH($K115&amp;N$8,$G$9:$G$322&amp;$H$9:$H$322,0)),"-")</f>
        <v>Renewables</v>
      </c>
      <c r="O115" s="4" t="str" cm="1">
        <f t="array" ref="O115">IFERROR(INDEX($I$9:$I$322,MATCH($K115&amp;O$8,$G$9:$G$322&amp;$H$9:$H$322,0)),"-")</f>
        <v>-</v>
      </c>
      <c r="P115" s="4" t="str" cm="1">
        <f t="array" ref="P115">IFERROR(INDEX($I$9:$I$322,MATCH($K115&amp;P$8,$G$9:$G$322&amp;$H$9:$H$322,0)),"-")</f>
        <v>-</v>
      </c>
      <c r="Q115" s="4" t="str" cm="1">
        <f t="array" ref="Q115">IFERROR(INDEX($I$9:$I$322,MATCH($K115&amp;Q$8,$G$9:$G$322&amp;$H$9:$H$322,0)),"-")</f>
        <v>-</v>
      </c>
      <c r="R115" s="4" t="str" cm="1">
        <f t="array" ref="R115">IFERROR(INDEX($I$9:$I$322,MATCH($K115&amp;R$8,$G$9:$G$322&amp;$H$9:$H$322,0)),"-")</f>
        <v>-</v>
      </c>
    </row>
    <row r="116" spans="7:18" x14ac:dyDescent="0.2">
      <c r="G116" s="5" t="s">
        <v>114</v>
      </c>
      <c r="H116" s="3" t="s">
        <v>131</v>
      </c>
      <c r="I116" s="3" t="s">
        <v>119</v>
      </c>
      <c r="K116" s="8" t="str">
        <v>Wyoming_Wind</v>
      </c>
      <c r="L116" s="4" t="str">
        <f>IFERROR(INDEX('Resource Summary'!B:B,MATCH(K116,'Resource Summary'!A:A,0)),"-")</f>
        <v>CAISO</v>
      </c>
      <c r="M116" s="4" t="str" cm="1">
        <f t="array" ref="M116">IFERROR(INDEX($I$9:$I$322,MATCH($K116&amp;M$8,$G$9:$G$322&amp;$H$9:$H$322,0)),"-")</f>
        <v>Wind</v>
      </c>
      <c r="N116" s="4" t="str" cm="1">
        <f t="array" ref="N116">IFERROR(INDEX($I$9:$I$322,MATCH($K116&amp;N$8,$G$9:$G$322&amp;$H$9:$H$322,0)),"-")</f>
        <v>Renewables</v>
      </c>
      <c r="O116" s="4" t="str" cm="1">
        <f t="array" ref="O116">IFERROR(INDEX($I$9:$I$322,MATCH($K116&amp;O$8,$G$9:$G$322&amp;$H$9:$H$322,0)),"-")</f>
        <v>-</v>
      </c>
      <c r="P116" s="4" t="str" cm="1">
        <f t="array" ref="P116">IFERROR(INDEX($I$9:$I$322,MATCH($K116&amp;P$8,$G$9:$G$322&amp;$H$9:$H$322,0)),"-")</f>
        <v>-</v>
      </c>
      <c r="Q116" s="4" t="str" cm="1">
        <f t="array" ref="Q116">IFERROR(INDEX($I$9:$I$322,MATCH($K116&amp;Q$8,$G$9:$G$322&amp;$H$9:$H$322,0)),"-")</f>
        <v>-</v>
      </c>
      <c r="R116" s="4" t="str" cm="1">
        <f t="array" ref="R116">IFERROR(INDEX($I$9:$I$322,MATCH($K116&amp;R$8,$G$9:$G$322&amp;$H$9:$H$322,0)),"-")</f>
        <v>-</v>
      </c>
    </row>
    <row r="117" spans="7:18" x14ac:dyDescent="0.2">
      <c r="G117" s="5" t="s">
        <v>115</v>
      </c>
      <c r="H117" s="3" t="s">
        <v>131</v>
      </c>
      <c r="I117" s="3" t="s">
        <v>119</v>
      </c>
      <c r="K117" s="5"/>
      <c r="L117" s="4" t="str">
        <f>IFERROR(INDEX('Resource Summary'!B:B,MATCH(K117,'Resource Summary'!A:A,0)),"-")</f>
        <v>-</v>
      </c>
      <c r="M117" s="4" t="str" cm="1">
        <f t="array" ref="M117">IFERROR(INDEX($I$9:$I$322,MATCH($K117&amp;M$8,$G$9:$G$322&amp;$H$9:$H$322,0)),"-")</f>
        <v>-</v>
      </c>
      <c r="N117" s="4" t="str" cm="1">
        <f t="array" ref="N117">IFERROR(INDEX($I$9:$I$322,MATCH($K117&amp;N$8,$G$9:$G$322&amp;$H$9:$H$322,0)),"-")</f>
        <v>-</v>
      </c>
      <c r="O117" s="4" t="str" cm="1">
        <f t="array" ref="O117">IFERROR(INDEX($I$9:$I$322,MATCH($K117&amp;O$8,$G$9:$G$322&amp;$H$9:$H$322,0)),"-")</f>
        <v>-</v>
      </c>
      <c r="P117" s="4" t="str" cm="1">
        <f t="array" ref="P117">IFERROR(INDEX($I$9:$I$322,MATCH($K117&amp;P$8,$G$9:$G$322&amp;$H$9:$H$322,0)),"-")</f>
        <v>-</v>
      </c>
      <c r="Q117" s="4" t="str" cm="1">
        <f t="array" ref="Q117">IFERROR(INDEX($I$9:$I$322,MATCH($K117&amp;Q$8,$G$9:$G$322&amp;$H$9:$H$322,0)),"-")</f>
        <v>-</v>
      </c>
      <c r="R117" s="4" t="str" cm="1">
        <f t="array" ref="R117">IFERROR(INDEX($I$9:$I$322,MATCH($K117&amp;R$8,$G$9:$G$322&amp;$H$9:$H$322,0)),"-")</f>
        <v>-</v>
      </c>
    </row>
    <row r="118" spans="7:18" x14ac:dyDescent="0.2">
      <c r="G118" s="5" t="s">
        <v>22</v>
      </c>
      <c r="H118" s="3" t="s">
        <v>4</v>
      </c>
      <c r="I118" s="3" t="s">
        <v>132</v>
      </c>
      <c r="K118" s="5"/>
      <c r="L118" s="4" t="str">
        <f>IFERROR(INDEX('Resource Summary'!B:B,MATCH(K118,'Resource Summary'!A:A,0)),"-")</f>
        <v>-</v>
      </c>
      <c r="M118" s="4" t="str" cm="1">
        <f t="array" ref="M118">IFERROR(INDEX($I$9:$I$322,MATCH($K118&amp;M$8,$G$9:$G$322&amp;$H$9:$H$322,0)),"-")</f>
        <v>-</v>
      </c>
      <c r="N118" s="4" t="str" cm="1">
        <f t="array" ref="N118">IFERROR(INDEX($I$9:$I$322,MATCH($K118&amp;N$8,$G$9:$G$322&amp;$H$9:$H$322,0)),"-")</f>
        <v>-</v>
      </c>
      <c r="O118" s="4" t="str" cm="1">
        <f t="array" ref="O118">IFERROR(INDEX($I$9:$I$322,MATCH($K118&amp;O$8,$G$9:$G$322&amp;$H$9:$H$322,0)),"-")</f>
        <v>-</v>
      </c>
      <c r="P118" s="4" t="str" cm="1">
        <f t="array" ref="P118">IFERROR(INDEX($I$9:$I$322,MATCH($K118&amp;P$8,$G$9:$G$322&amp;$H$9:$H$322,0)),"-")</f>
        <v>-</v>
      </c>
      <c r="Q118" s="4" t="str" cm="1">
        <f t="array" ref="Q118">IFERROR(INDEX($I$9:$I$322,MATCH($K118&amp;Q$8,$G$9:$G$322&amp;$H$9:$H$322,0)),"-")</f>
        <v>-</v>
      </c>
      <c r="R118" s="4" t="str" cm="1">
        <f t="array" ref="R118">IFERROR(INDEX($I$9:$I$322,MATCH($K118&amp;R$8,$G$9:$G$322&amp;$H$9:$H$322,0)),"-")</f>
        <v>-</v>
      </c>
    </row>
    <row r="119" spans="7:18" x14ac:dyDescent="0.2">
      <c r="G119" s="5" t="s">
        <v>23</v>
      </c>
      <c r="H119" s="3" t="s">
        <v>4</v>
      </c>
      <c r="I119" s="3" t="s">
        <v>132</v>
      </c>
      <c r="K119" s="5"/>
      <c r="L119" s="4" t="str">
        <f>IFERROR(INDEX('Resource Summary'!B:B,MATCH(K119,'Resource Summary'!A:A,0)),"-")</f>
        <v>-</v>
      </c>
      <c r="M119" s="4" t="str" cm="1">
        <f t="array" ref="M119">IFERROR(INDEX($I$9:$I$322,MATCH($K119&amp;M$8,$G$9:$G$322&amp;$H$9:$H$322,0)),"-")</f>
        <v>-</v>
      </c>
      <c r="N119" s="4" t="str" cm="1">
        <f t="array" ref="N119">IFERROR(INDEX($I$9:$I$322,MATCH($K119&amp;N$8,$G$9:$G$322&amp;$H$9:$H$322,0)),"-")</f>
        <v>-</v>
      </c>
      <c r="O119" s="4" t="str" cm="1">
        <f t="array" ref="O119">IFERROR(INDEX($I$9:$I$322,MATCH($K119&amp;O$8,$G$9:$G$322&amp;$H$9:$H$322,0)),"-")</f>
        <v>-</v>
      </c>
      <c r="P119" s="4" t="str" cm="1">
        <f t="array" ref="P119">IFERROR(INDEX($I$9:$I$322,MATCH($K119&amp;P$8,$G$9:$G$322&amp;$H$9:$H$322,0)),"-")</f>
        <v>-</v>
      </c>
      <c r="Q119" s="4" t="str" cm="1">
        <f t="array" ref="Q119">IFERROR(INDEX($I$9:$I$322,MATCH($K119&amp;Q$8,$G$9:$G$322&amp;$H$9:$H$322,0)),"-")</f>
        <v>-</v>
      </c>
      <c r="R119" s="4" t="str" cm="1">
        <f t="array" ref="R119">IFERROR(INDEX($I$9:$I$322,MATCH($K119&amp;R$8,$G$9:$G$322&amp;$H$9:$H$322,0)),"-")</f>
        <v>-</v>
      </c>
    </row>
    <row r="120" spans="7:18" x14ac:dyDescent="0.2">
      <c r="G120" s="5" t="s">
        <v>24</v>
      </c>
      <c r="H120" s="3" t="s">
        <v>4</v>
      </c>
      <c r="I120" s="3" t="s">
        <v>132</v>
      </c>
      <c r="K120" s="5"/>
      <c r="L120" s="4" t="str">
        <f>IFERROR(INDEX('Resource Summary'!B:B,MATCH(K120,'Resource Summary'!A:A,0)),"-")</f>
        <v>-</v>
      </c>
      <c r="M120" s="4" t="str" cm="1">
        <f t="array" ref="M120">IFERROR(INDEX($I$9:$I$322,MATCH($K120&amp;M$8,$G$9:$G$322&amp;$H$9:$H$322,0)),"-")</f>
        <v>-</v>
      </c>
      <c r="N120" s="4" t="str" cm="1">
        <f t="array" ref="N120">IFERROR(INDEX($I$9:$I$322,MATCH($K120&amp;N$8,$G$9:$G$322&amp;$H$9:$H$322,0)),"-")</f>
        <v>-</v>
      </c>
      <c r="O120" s="4" t="str" cm="1">
        <f t="array" ref="O120">IFERROR(INDEX($I$9:$I$322,MATCH($K120&amp;O$8,$G$9:$G$322&amp;$H$9:$H$322,0)),"-")</f>
        <v>-</v>
      </c>
      <c r="P120" s="4" t="str" cm="1">
        <f t="array" ref="P120">IFERROR(INDEX($I$9:$I$322,MATCH($K120&amp;P$8,$G$9:$G$322&amp;$H$9:$H$322,0)),"-")</f>
        <v>-</v>
      </c>
      <c r="Q120" s="4" t="str" cm="1">
        <f t="array" ref="Q120">IFERROR(INDEX($I$9:$I$322,MATCH($K120&amp;Q$8,$G$9:$G$322&amp;$H$9:$H$322,0)),"-")</f>
        <v>-</v>
      </c>
      <c r="R120" s="4" t="str" cm="1">
        <f t="array" ref="R120">IFERROR(INDEX($I$9:$I$322,MATCH($K120&amp;R$8,$G$9:$G$322&amp;$H$9:$H$322,0)),"-")</f>
        <v>-</v>
      </c>
    </row>
    <row r="121" spans="7:18" x14ac:dyDescent="0.2">
      <c r="G121" s="5" t="s">
        <v>25</v>
      </c>
      <c r="H121" s="3" t="s">
        <v>4</v>
      </c>
      <c r="I121" s="3" t="s">
        <v>132</v>
      </c>
      <c r="K121" s="5"/>
      <c r="L121" s="4" t="str">
        <f>IFERROR(INDEX('Resource Summary'!B:B,MATCH(K121,'Resource Summary'!A:A,0)),"-")</f>
        <v>-</v>
      </c>
      <c r="M121" s="4" t="str" cm="1">
        <f t="array" ref="M121">IFERROR(INDEX($I$9:$I$322,MATCH($K121&amp;M$8,$G$9:$G$322&amp;$H$9:$H$322,0)),"-")</f>
        <v>-</v>
      </c>
      <c r="N121" s="4" t="str" cm="1">
        <f t="array" ref="N121">IFERROR(INDEX($I$9:$I$322,MATCH($K121&amp;N$8,$G$9:$G$322&amp;$H$9:$H$322,0)),"-")</f>
        <v>-</v>
      </c>
      <c r="O121" s="4" t="str" cm="1">
        <f t="array" ref="O121">IFERROR(INDEX($I$9:$I$322,MATCH($K121&amp;O$8,$G$9:$G$322&amp;$H$9:$H$322,0)),"-")</f>
        <v>-</v>
      </c>
      <c r="P121" s="4" t="str" cm="1">
        <f t="array" ref="P121">IFERROR(INDEX($I$9:$I$322,MATCH($K121&amp;P$8,$G$9:$G$322&amp;$H$9:$H$322,0)),"-")</f>
        <v>-</v>
      </c>
      <c r="Q121" s="4" t="str" cm="1">
        <f t="array" ref="Q121">IFERROR(INDEX($I$9:$I$322,MATCH($K121&amp;Q$8,$G$9:$G$322&amp;$H$9:$H$322,0)),"-")</f>
        <v>-</v>
      </c>
      <c r="R121" s="4" t="str" cm="1">
        <f t="array" ref="R121">IFERROR(INDEX($I$9:$I$322,MATCH($K121&amp;R$8,$G$9:$G$322&amp;$H$9:$H$322,0)),"-")</f>
        <v>-</v>
      </c>
    </row>
    <row r="122" spans="7:18" x14ac:dyDescent="0.2">
      <c r="G122" s="5" t="s">
        <v>32</v>
      </c>
      <c r="H122" s="3" t="s">
        <v>4</v>
      </c>
      <c r="I122" s="3" t="s">
        <v>132</v>
      </c>
      <c r="K122" s="5"/>
      <c r="L122" s="4" t="str">
        <f>IFERROR(INDEX('Resource Summary'!B:B,MATCH(K122,'Resource Summary'!A:A,0)),"-")</f>
        <v>-</v>
      </c>
      <c r="M122" s="4" t="str" cm="1">
        <f t="array" ref="M122">IFERROR(INDEX($I$9:$I$322,MATCH($K122&amp;M$8,$G$9:$G$322&amp;$H$9:$H$322,0)),"-")</f>
        <v>-</v>
      </c>
      <c r="N122" s="4" t="str" cm="1">
        <f t="array" ref="N122">IFERROR(INDEX($I$9:$I$322,MATCH($K122&amp;N$8,$G$9:$G$322&amp;$H$9:$H$322,0)),"-")</f>
        <v>-</v>
      </c>
      <c r="O122" s="4" t="str" cm="1">
        <f t="array" ref="O122">IFERROR(INDEX($I$9:$I$322,MATCH($K122&amp;O$8,$G$9:$G$322&amp;$H$9:$H$322,0)),"-")</f>
        <v>-</v>
      </c>
      <c r="P122" s="4" t="str" cm="1">
        <f t="array" ref="P122">IFERROR(INDEX($I$9:$I$322,MATCH($K122&amp;P$8,$G$9:$G$322&amp;$H$9:$H$322,0)),"-")</f>
        <v>-</v>
      </c>
      <c r="Q122" s="4" t="str" cm="1">
        <f t="array" ref="Q122">IFERROR(INDEX($I$9:$I$322,MATCH($K122&amp;Q$8,$G$9:$G$322&amp;$H$9:$H$322,0)),"-")</f>
        <v>-</v>
      </c>
      <c r="R122" s="4" t="str" cm="1">
        <f t="array" ref="R122">IFERROR(INDEX($I$9:$I$322,MATCH($K122&amp;R$8,$G$9:$G$322&amp;$H$9:$H$322,0)),"-")</f>
        <v>-</v>
      </c>
    </row>
    <row r="123" spans="7:18" x14ac:dyDescent="0.2">
      <c r="G123" s="5" t="s">
        <v>33</v>
      </c>
      <c r="H123" s="3" t="s">
        <v>4</v>
      </c>
      <c r="I123" s="3" t="s">
        <v>132</v>
      </c>
      <c r="K123" s="5"/>
      <c r="L123" s="4" t="str">
        <f>IFERROR(INDEX('Resource Summary'!B:B,MATCH(K123,'Resource Summary'!A:A,0)),"-")</f>
        <v>-</v>
      </c>
      <c r="M123" s="4" t="str" cm="1">
        <f t="array" ref="M123">IFERROR(INDEX($I$9:$I$322,MATCH($K123&amp;M$8,$G$9:$G$322&amp;$H$9:$H$322,0)),"-")</f>
        <v>-</v>
      </c>
      <c r="N123" s="4" t="str" cm="1">
        <f t="array" ref="N123">IFERROR(INDEX($I$9:$I$322,MATCH($K123&amp;N$8,$G$9:$G$322&amp;$H$9:$H$322,0)),"-")</f>
        <v>-</v>
      </c>
      <c r="O123" s="4" t="str" cm="1">
        <f t="array" ref="O123">IFERROR(INDEX($I$9:$I$322,MATCH($K123&amp;O$8,$G$9:$G$322&amp;$H$9:$H$322,0)),"-")</f>
        <v>-</v>
      </c>
      <c r="P123" s="4" t="str" cm="1">
        <f t="array" ref="P123">IFERROR(INDEX($I$9:$I$322,MATCH($K123&amp;P$8,$G$9:$G$322&amp;$H$9:$H$322,0)),"-")</f>
        <v>-</v>
      </c>
      <c r="Q123" s="4" t="str" cm="1">
        <f t="array" ref="Q123">IFERROR(INDEX($I$9:$I$322,MATCH($K123&amp;Q$8,$G$9:$G$322&amp;$H$9:$H$322,0)),"-")</f>
        <v>-</v>
      </c>
      <c r="R123" s="4" t="str" cm="1">
        <f t="array" ref="R123">IFERROR(INDEX($I$9:$I$322,MATCH($K123&amp;R$8,$G$9:$G$322&amp;$H$9:$H$322,0)),"-")</f>
        <v>-</v>
      </c>
    </row>
    <row r="124" spans="7:18" x14ac:dyDescent="0.2">
      <c r="G124" s="5" t="s">
        <v>34</v>
      </c>
      <c r="H124" s="3" t="s">
        <v>4</v>
      </c>
      <c r="I124" s="3" t="s">
        <v>132</v>
      </c>
      <c r="K124" s="5"/>
      <c r="L124" s="4" t="str">
        <f>IFERROR(INDEX('Resource Summary'!B:B,MATCH(K124,'Resource Summary'!A:A,0)),"-")</f>
        <v>-</v>
      </c>
      <c r="M124" s="4" t="str" cm="1">
        <f t="array" ref="M124">IFERROR(INDEX($I$9:$I$322,MATCH($K124&amp;M$8,$G$9:$G$322&amp;$H$9:$H$322,0)),"-")</f>
        <v>-</v>
      </c>
      <c r="N124" s="4" t="str" cm="1">
        <f t="array" ref="N124">IFERROR(INDEX($I$9:$I$322,MATCH($K124&amp;N$8,$G$9:$G$322&amp;$H$9:$H$322,0)),"-")</f>
        <v>-</v>
      </c>
      <c r="O124" s="4" t="str" cm="1">
        <f t="array" ref="O124">IFERROR(INDEX($I$9:$I$322,MATCH($K124&amp;O$8,$G$9:$G$322&amp;$H$9:$H$322,0)),"-")</f>
        <v>-</v>
      </c>
      <c r="P124" s="4" t="str" cm="1">
        <f t="array" ref="P124">IFERROR(INDEX($I$9:$I$322,MATCH($K124&amp;P$8,$G$9:$G$322&amp;$H$9:$H$322,0)),"-")</f>
        <v>-</v>
      </c>
      <c r="Q124" s="4" t="str" cm="1">
        <f t="array" ref="Q124">IFERROR(INDEX($I$9:$I$322,MATCH($K124&amp;Q$8,$G$9:$G$322&amp;$H$9:$H$322,0)),"-")</f>
        <v>-</v>
      </c>
      <c r="R124" s="4" t="str" cm="1">
        <f t="array" ref="R124">IFERROR(INDEX($I$9:$I$322,MATCH($K124&amp;R$8,$G$9:$G$322&amp;$H$9:$H$322,0)),"-")</f>
        <v>-</v>
      </c>
    </row>
    <row r="125" spans="7:18" x14ac:dyDescent="0.2">
      <c r="G125" s="5" t="s">
        <v>37</v>
      </c>
      <c r="H125" s="3" t="s">
        <v>4</v>
      </c>
      <c r="I125" s="3" t="s">
        <v>242</v>
      </c>
      <c r="K125" s="5"/>
      <c r="L125" s="4" t="str">
        <f>IFERROR(INDEX('Resource Summary'!B:B,MATCH(K125,'Resource Summary'!A:A,0)),"-")</f>
        <v>-</v>
      </c>
      <c r="M125" s="4" t="str" cm="1">
        <f t="array" ref="M125">IFERROR(INDEX($I$9:$I$322,MATCH($K125&amp;M$8,$G$9:$G$322&amp;$H$9:$H$322,0)),"-")</f>
        <v>-</v>
      </c>
      <c r="N125" s="4" t="str" cm="1">
        <f t="array" ref="N125">IFERROR(INDEX($I$9:$I$322,MATCH($K125&amp;N$8,$G$9:$G$322&amp;$H$9:$H$322,0)),"-")</f>
        <v>-</v>
      </c>
      <c r="O125" s="4" t="str" cm="1">
        <f t="array" ref="O125">IFERROR(INDEX($I$9:$I$322,MATCH($K125&amp;O$8,$G$9:$G$322&amp;$H$9:$H$322,0)),"-")</f>
        <v>-</v>
      </c>
      <c r="P125" s="4" t="str" cm="1">
        <f t="array" ref="P125">IFERROR(INDEX($I$9:$I$322,MATCH($K125&amp;P$8,$G$9:$G$322&amp;$H$9:$H$322,0)),"-")</f>
        <v>-</v>
      </c>
      <c r="Q125" s="4" t="str" cm="1">
        <f t="array" ref="Q125">IFERROR(INDEX($I$9:$I$322,MATCH($K125&amp;Q$8,$G$9:$G$322&amp;$H$9:$H$322,0)),"-")</f>
        <v>-</v>
      </c>
      <c r="R125" s="4" t="str" cm="1">
        <f t="array" ref="R125">IFERROR(INDEX($I$9:$I$322,MATCH($K125&amp;R$8,$G$9:$G$322&amp;$H$9:$H$322,0)),"-")</f>
        <v>-</v>
      </c>
    </row>
    <row r="126" spans="7:18" x14ac:dyDescent="0.2">
      <c r="G126" s="5" t="s">
        <v>38</v>
      </c>
      <c r="H126" s="3" t="s">
        <v>4</v>
      </c>
      <c r="I126" s="3" t="s">
        <v>242</v>
      </c>
      <c r="K126" s="5"/>
      <c r="L126" s="4" t="str">
        <f>IFERROR(INDEX('Resource Summary'!B:B,MATCH(K126,'Resource Summary'!A:A,0)),"-")</f>
        <v>-</v>
      </c>
      <c r="M126" s="4" t="str" cm="1">
        <f t="array" ref="M126">IFERROR(INDEX($I$9:$I$322,MATCH($K126&amp;M$8,$G$9:$G$322&amp;$H$9:$H$322,0)),"-")</f>
        <v>-</v>
      </c>
      <c r="N126" s="4" t="str" cm="1">
        <f t="array" ref="N126">IFERROR(INDEX($I$9:$I$322,MATCH($K126&amp;N$8,$G$9:$G$322&amp;$H$9:$H$322,0)),"-")</f>
        <v>-</v>
      </c>
      <c r="O126" s="4" t="str" cm="1">
        <f t="array" ref="O126">IFERROR(INDEX($I$9:$I$322,MATCH($K126&amp;O$8,$G$9:$G$322&amp;$H$9:$H$322,0)),"-")</f>
        <v>-</v>
      </c>
      <c r="P126" s="4" t="str" cm="1">
        <f t="array" ref="P126">IFERROR(INDEX($I$9:$I$322,MATCH($K126&amp;P$8,$G$9:$G$322&amp;$H$9:$H$322,0)),"-")</f>
        <v>-</v>
      </c>
      <c r="Q126" s="4" t="str" cm="1">
        <f t="array" ref="Q126">IFERROR(INDEX($I$9:$I$322,MATCH($K126&amp;Q$8,$G$9:$G$322&amp;$H$9:$H$322,0)),"-")</f>
        <v>-</v>
      </c>
      <c r="R126" s="4" t="str" cm="1">
        <f t="array" ref="R126">IFERROR(INDEX($I$9:$I$322,MATCH($K126&amp;R$8,$G$9:$G$322&amp;$H$9:$H$322,0)),"-")</f>
        <v>-</v>
      </c>
    </row>
    <row r="127" spans="7:18" x14ac:dyDescent="0.2">
      <c r="G127" s="5" t="s">
        <v>39</v>
      </c>
      <c r="H127" s="3" t="s">
        <v>4</v>
      </c>
      <c r="I127" s="3" t="s">
        <v>242</v>
      </c>
      <c r="K127" s="5"/>
      <c r="L127" s="4" t="str">
        <f>IFERROR(INDEX('Resource Summary'!B:B,MATCH(K127,'Resource Summary'!A:A,0)),"-")</f>
        <v>-</v>
      </c>
      <c r="M127" s="4" t="str" cm="1">
        <f t="array" ref="M127">IFERROR(INDEX($I$9:$I$322,MATCH($K127&amp;M$8,$G$9:$G$322&amp;$H$9:$H$322,0)),"-")</f>
        <v>-</v>
      </c>
      <c r="N127" s="4" t="str" cm="1">
        <f t="array" ref="N127">IFERROR(INDEX($I$9:$I$322,MATCH($K127&amp;N$8,$G$9:$G$322&amp;$H$9:$H$322,0)),"-")</f>
        <v>-</v>
      </c>
      <c r="O127" s="4" t="str" cm="1">
        <f t="array" ref="O127">IFERROR(INDEX($I$9:$I$322,MATCH($K127&amp;O$8,$G$9:$G$322&amp;$H$9:$H$322,0)),"-")</f>
        <v>-</v>
      </c>
      <c r="P127" s="4" t="str" cm="1">
        <f t="array" ref="P127">IFERROR(INDEX($I$9:$I$322,MATCH($K127&amp;P$8,$G$9:$G$322&amp;$H$9:$H$322,0)),"-")</f>
        <v>-</v>
      </c>
      <c r="Q127" s="4" t="str" cm="1">
        <f t="array" ref="Q127">IFERROR(INDEX($I$9:$I$322,MATCH($K127&amp;Q$8,$G$9:$G$322&amp;$H$9:$H$322,0)),"-")</f>
        <v>-</v>
      </c>
      <c r="R127" s="4" t="str" cm="1">
        <f t="array" ref="R127">IFERROR(INDEX($I$9:$I$322,MATCH($K127&amp;R$8,$G$9:$G$322&amp;$H$9:$H$322,0)),"-")</f>
        <v>-</v>
      </c>
    </row>
    <row r="128" spans="7:18" x14ac:dyDescent="0.2">
      <c r="G128" s="5" t="s">
        <v>40</v>
      </c>
      <c r="H128" s="3" t="s">
        <v>4</v>
      </c>
      <c r="I128" s="3" t="s">
        <v>242</v>
      </c>
      <c r="K128" s="5"/>
      <c r="L128" s="4" t="str">
        <f>IFERROR(INDEX('Resource Summary'!B:B,MATCH(K128,'Resource Summary'!A:A,0)),"-")</f>
        <v>-</v>
      </c>
      <c r="M128" s="4" t="str" cm="1">
        <f t="array" ref="M128">IFERROR(INDEX($I$9:$I$322,MATCH($K128&amp;M$8,$G$9:$G$322&amp;$H$9:$H$322,0)),"-")</f>
        <v>-</v>
      </c>
      <c r="N128" s="4" t="str" cm="1">
        <f t="array" ref="N128">IFERROR(INDEX($I$9:$I$322,MATCH($K128&amp;N$8,$G$9:$G$322&amp;$H$9:$H$322,0)),"-")</f>
        <v>-</v>
      </c>
      <c r="O128" s="4" t="str" cm="1">
        <f t="array" ref="O128">IFERROR(INDEX($I$9:$I$322,MATCH($K128&amp;O$8,$G$9:$G$322&amp;$H$9:$H$322,0)),"-")</f>
        <v>-</v>
      </c>
      <c r="P128" s="4" t="str" cm="1">
        <f t="array" ref="P128">IFERROR(INDEX($I$9:$I$322,MATCH($K128&amp;P$8,$G$9:$G$322&amp;$H$9:$H$322,0)),"-")</f>
        <v>-</v>
      </c>
      <c r="Q128" s="4" t="str" cm="1">
        <f t="array" ref="Q128">IFERROR(INDEX($I$9:$I$322,MATCH($K128&amp;Q$8,$G$9:$G$322&amp;$H$9:$H$322,0)),"-")</f>
        <v>-</v>
      </c>
      <c r="R128" s="4" t="str" cm="1">
        <f t="array" ref="R128">IFERROR(INDEX($I$9:$I$322,MATCH($K128&amp;R$8,$G$9:$G$322&amp;$H$9:$H$322,0)),"-")</f>
        <v>-</v>
      </c>
    </row>
    <row r="129" spans="7:18" x14ac:dyDescent="0.2">
      <c r="G129" s="5" t="s">
        <v>41</v>
      </c>
      <c r="H129" s="3" t="s">
        <v>4</v>
      </c>
      <c r="I129" s="3" t="s">
        <v>242</v>
      </c>
      <c r="K129" s="5"/>
      <c r="L129" s="4" t="str">
        <f>IFERROR(INDEX('Resource Summary'!B:B,MATCH(K129,'Resource Summary'!A:A,0)),"-")</f>
        <v>-</v>
      </c>
      <c r="M129" s="4" t="str" cm="1">
        <f t="array" ref="M129">IFERROR(INDEX($I$9:$I$322,MATCH($K129&amp;M$8,$G$9:$G$322&amp;$H$9:$H$322,0)),"-")</f>
        <v>-</v>
      </c>
      <c r="N129" s="4" t="str" cm="1">
        <f t="array" ref="N129">IFERROR(INDEX($I$9:$I$322,MATCH($K129&amp;N$8,$G$9:$G$322&amp;$H$9:$H$322,0)),"-")</f>
        <v>-</v>
      </c>
      <c r="O129" s="4" t="str" cm="1">
        <f t="array" ref="O129">IFERROR(INDEX($I$9:$I$322,MATCH($K129&amp;O$8,$G$9:$G$322&amp;$H$9:$H$322,0)),"-")</f>
        <v>-</v>
      </c>
      <c r="P129" s="4" t="str" cm="1">
        <f t="array" ref="P129">IFERROR(INDEX($I$9:$I$322,MATCH($K129&amp;P$8,$G$9:$G$322&amp;$H$9:$H$322,0)),"-")</f>
        <v>-</v>
      </c>
      <c r="Q129" s="4" t="str" cm="1">
        <f t="array" ref="Q129">IFERROR(INDEX($I$9:$I$322,MATCH($K129&amp;Q$8,$G$9:$G$322&amp;$H$9:$H$322,0)),"-")</f>
        <v>-</v>
      </c>
      <c r="R129" s="4" t="str" cm="1">
        <f t="array" ref="R129">IFERROR(INDEX($I$9:$I$322,MATCH($K129&amp;R$8,$G$9:$G$322&amp;$H$9:$H$322,0)),"-")</f>
        <v>-</v>
      </c>
    </row>
    <row r="130" spans="7:18" x14ac:dyDescent="0.2">
      <c r="G130" s="5" t="s">
        <v>42</v>
      </c>
      <c r="H130" s="3" t="s">
        <v>4</v>
      </c>
      <c r="I130" s="3" t="s">
        <v>242</v>
      </c>
      <c r="K130" s="5"/>
      <c r="L130" s="4" t="str">
        <f>IFERROR(INDEX('Resource Summary'!B:B,MATCH(K130,'Resource Summary'!A:A,0)),"-")</f>
        <v>-</v>
      </c>
      <c r="M130" s="4" t="str" cm="1">
        <f t="array" ref="M130">IFERROR(INDEX($I$9:$I$322,MATCH($K130&amp;M$8,$G$9:$G$322&amp;$H$9:$H$322,0)),"-")</f>
        <v>-</v>
      </c>
      <c r="N130" s="4" t="str" cm="1">
        <f t="array" ref="N130">IFERROR(INDEX($I$9:$I$322,MATCH($K130&amp;N$8,$G$9:$G$322&amp;$H$9:$H$322,0)),"-")</f>
        <v>-</v>
      </c>
      <c r="O130" s="4" t="str" cm="1">
        <f t="array" ref="O130">IFERROR(INDEX($I$9:$I$322,MATCH($K130&amp;O$8,$G$9:$G$322&amp;$H$9:$H$322,0)),"-")</f>
        <v>-</v>
      </c>
      <c r="P130" s="4" t="str" cm="1">
        <f t="array" ref="P130">IFERROR(INDEX($I$9:$I$322,MATCH($K130&amp;P$8,$G$9:$G$322&amp;$H$9:$H$322,0)),"-")</f>
        <v>-</v>
      </c>
      <c r="Q130" s="4" t="str" cm="1">
        <f t="array" ref="Q130">IFERROR(INDEX($I$9:$I$322,MATCH($K130&amp;Q$8,$G$9:$G$322&amp;$H$9:$H$322,0)),"-")</f>
        <v>-</v>
      </c>
      <c r="R130" s="4" t="str" cm="1">
        <f t="array" ref="R130">IFERROR(INDEX($I$9:$I$322,MATCH($K130&amp;R$8,$G$9:$G$322&amp;$H$9:$H$322,0)),"-")</f>
        <v>-</v>
      </c>
    </row>
    <row r="131" spans="7:18" x14ac:dyDescent="0.2">
      <c r="G131" s="5" t="s">
        <v>43</v>
      </c>
      <c r="H131" s="3" t="s">
        <v>4</v>
      </c>
      <c r="I131" s="3" t="s">
        <v>242</v>
      </c>
      <c r="K131" s="5"/>
      <c r="L131" s="4" t="str">
        <f>IFERROR(INDEX('Resource Summary'!B:B,MATCH(K131,'Resource Summary'!A:A,0)),"-")</f>
        <v>-</v>
      </c>
      <c r="M131" s="4" t="str" cm="1">
        <f t="array" ref="M131">IFERROR(INDEX($I$9:$I$322,MATCH($K131&amp;M$8,$G$9:$G$322&amp;$H$9:$H$322,0)),"-")</f>
        <v>-</v>
      </c>
      <c r="N131" s="4" t="str" cm="1">
        <f t="array" ref="N131">IFERROR(INDEX($I$9:$I$322,MATCH($K131&amp;N$8,$G$9:$G$322&amp;$H$9:$H$322,0)),"-")</f>
        <v>-</v>
      </c>
      <c r="O131" s="4" t="str" cm="1">
        <f t="array" ref="O131">IFERROR(INDEX($I$9:$I$322,MATCH($K131&amp;O$8,$G$9:$G$322&amp;$H$9:$H$322,0)),"-")</f>
        <v>-</v>
      </c>
      <c r="P131" s="4" t="str" cm="1">
        <f t="array" ref="P131">IFERROR(INDEX($I$9:$I$322,MATCH($K131&amp;P$8,$G$9:$G$322&amp;$H$9:$H$322,0)),"-")</f>
        <v>-</v>
      </c>
      <c r="Q131" s="4" t="str" cm="1">
        <f t="array" ref="Q131">IFERROR(INDEX($I$9:$I$322,MATCH($K131&amp;Q$8,$G$9:$G$322&amp;$H$9:$H$322,0)),"-")</f>
        <v>-</v>
      </c>
      <c r="R131" s="4" t="str" cm="1">
        <f t="array" ref="R131">IFERROR(INDEX($I$9:$I$322,MATCH($K131&amp;R$8,$G$9:$G$322&amp;$H$9:$H$322,0)),"-")</f>
        <v>-</v>
      </c>
    </row>
    <row r="132" spans="7:18" x14ac:dyDescent="0.2">
      <c r="G132" s="5" t="s">
        <v>44</v>
      </c>
      <c r="H132" s="3" t="s">
        <v>4</v>
      </c>
      <c r="I132" s="3" t="s">
        <v>242</v>
      </c>
      <c r="K132" s="5"/>
      <c r="L132" s="4" t="str">
        <f>IFERROR(INDEX('Resource Summary'!B:B,MATCH(K132,'Resource Summary'!A:A,0)),"-")</f>
        <v>-</v>
      </c>
      <c r="M132" s="4" t="str" cm="1">
        <f t="array" ref="M132">IFERROR(INDEX($I$9:$I$322,MATCH($K132&amp;M$8,$G$9:$G$322&amp;$H$9:$H$322,0)),"-")</f>
        <v>-</v>
      </c>
      <c r="N132" s="4" t="str" cm="1">
        <f t="array" ref="N132">IFERROR(INDEX($I$9:$I$322,MATCH($K132&amp;N$8,$G$9:$G$322&amp;$H$9:$H$322,0)),"-")</f>
        <v>-</v>
      </c>
      <c r="O132" s="4" t="str" cm="1">
        <f t="array" ref="O132">IFERROR(INDEX($I$9:$I$322,MATCH($K132&amp;O$8,$G$9:$G$322&amp;$H$9:$H$322,0)),"-")</f>
        <v>-</v>
      </c>
      <c r="P132" s="4" t="str" cm="1">
        <f t="array" ref="P132">IFERROR(INDEX($I$9:$I$322,MATCH($K132&amp;P$8,$G$9:$G$322&amp;$H$9:$H$322,0)),"-")</f>
        <v>-</v>
      </c>
      <c r="Q132" s="4" t="str" cm="1">
        <f t="array" ref="Q132">IFERROR(INDEX($I$9:$I$322,MATCH($K132&amp;Q$8,$G$9:$G$322&amp;$H$9:$H$322,0)),"-")</f>
        <v>-</v>
      </c>
      <c r="R132" s="4" t="str" cm="1">
        <f t="array" ref="R132">IFERROR(INDEX($I$9:$I$322,MATCH($K132&amp;R$8,$G$9:$G$322&amp;$H$9:$H$322,0)),"-")</f>
        <v>-</v>
      </c>
    </row>
    <row r="133" spans="7:18" x14ac:dyDescent="0.2">
      <c r="G133" s="5" t="s">
        <v>16</v>
      </c>
      <c r="H133" s="3" t="s">
        <v>4</v>
      </c>
      <c r="I133" s="3" t="s">
        <v>133</v>
      </c>
      <c r="K133" s="5"/>
      <c r="L133" s="4" t="str">
        <f>IFERROR(INDEX('Resource Summary'!B:B,MATCH(K133,'Resource Summary'!A:A,0)),"-")</f>
        <v>-</v>
      </c>
      <c r="M133" s="4" t="str" cm="1">
        <f t="array" ref="M133">IFERROR(INDEX($I$9:$I$322,MATCH($K133&amp;M$8,$G$9:$G$322&amp;$H$9:$H$322,0)),"-")</f>
        <v>-</v>
      </c>
      <c r="N133" s="4" t="str" cm="1">
        <f t="array" ref="N133">IFERROR(INDEX($I$9:$I$322,MATCH($K133&amp;N$8,$G$9:$G$322&amp;$H$9:$H$322,0)),"-")</f>
        <v>-</v>
      </c>
      <c r="O133" s="4" t="str" cm="1">
        <f t="array" ref="O133">IFERROR(INDEX($I$9:$I$322,MATCH($K133&amp;O$8,$G$9:$G$322&amp;$H$9:$H$322,0)),"-")</f>
        <v>-</v>
      </c>
      <c r="P133" s="4" t="str" cm="1">
        <f t="array" ref="P133">IFERROR(INDEX($I$9:$I$322,MATCH($K133&amp;P$8,$G$9:$G$322&amp;$H$9:$H$322,0)),"-")</f>
        <v>-</v>
      </c>
      <c r="Q133" s="4" t="str" cm="1">
        <f t="array" ref="Q133">IFERROR(INDEX($I$9:$I$322,MATCH($K133&amp;Q$8,$G$9:$G$322&amp;$H$9:$H$322,0)),"-")</f>
        <v>-</v>
      </c>
      <c r="R133" s="4" t="str" cm="1">
        <f t="array" ref="R133">IFERROR(INDEX($I$9:$I$322,MATCH($K133&amp;R$8,$G$9:$G$322&amp;$H$9:$H$322,0)),"-")</f>
        <v>-</v>
      </c>
    </row>
    <row r="134" spans="7:18" x14ac:dyDescent="0.2">
      <c r="G134" s="5" t="s">
        <v>17</v>
      </c>
      <c r="H134" s="3" t="s">
        <v>4</v>
      </c>
      <c r="I134" s="3" t="s">
        <v>133</v>
      </c>
      <c r="K134" s="5"/>
      <c r="L134" s="4" t="str">
        <f>IFERROR(INDEX('Resource Summary'!B:B,MATCH(K134,'Resource Summary'!A:A,0)),"-")</f>
        <v>-</v>
      </c>
      <c r="M134" s="4" t="str" cm="1">
        <f t="array" ref="M134">IFERROR(INDEX($I$9:$I$322,MATCH($K134&amp;M$8,$G$9:$G$322&amp;$H$9:$H$322,0)),"-")</f>
        <v>-</v>
      </c>
      <c r="N134" s="4" t="str" cm="1">
        <f t="array" ref="N134">IFERROR(INDEX($I$9:$I$322,MATCH($K134&amp;N$8,$G$9:$G$322&amp;$H$9:$H$322,0)),"-")</f>
        <v>-</v>
      </c>
      <c r="O134" s="4" t="str" cm="1">
        <f t="array" ref="O134">IFERROR(INDEX($I$9:$I$322,MATCH($K134&amp;O$8,$G$9:$G$322&amp;$H$9:$H$322,0)),"-")</f>
        <v>-</v>
      </c>
      <c r="P134" s="4" t="str" cm="1">
        <f t="array" ref="P134">IFERROR(INDEX($I$9:$I$322,MATCH($K134&amp;P$8,$G$9:$G$322&amp;$H$9:$H$322,0)),"-")</f>
        <v>-</v>
      </c>
      <c r="Q134" s="4" t="str" cm="1">
        <f t="array" ref="Q134">IFERROR(INDEX($I$9:$I$322,MATCH($K134&amp;Q$8,$G$9:$G$322&amp;$H$9:$H$322,0)),"-")</f>
        <v>-</v>
      </c>
      <c r="R134" s="4" t="str" cm="1">
        <f t="array" ref="R134">IFERROR(INDEX($I$9:$I$322,MATCH($K134&amp;R$8,$G$9:$G$322&amp;$H$9:$H$322,0)),"-")</f>
        <v>-</v>
      </c>
    </row>
    <row r="135" spans="7:18" x14ac:dyDescent="0.2">
      <c r="G135" s="5" t="s">
        <v>35</v>
      </c>
      <c r="H135" s="3" t="s">
        <v>4</v>
      </c>
      <c r="I135" s="3" t="s">
        <v>132</v>
      </c>
      <c r="K135" s="5"/>
      <c r="L135" s="4" t="str">
        <f>IFERROR(INDEX('Resource Summary'!B:B,MATCH(K135,'Resource Summary'!A:A,0)),"-")</f>
        <v>-</v>
      </c>
      <c r="M135" s="4" t="str" cm="1">
        <f t="array" ref="M135">IFERROR(INDEX($I$9:$I$322,MATCH($K135&amp;M$8,$G$9:$G$322&amp;$H$9:$H$322,0)),"-")</f>
        <v>-</v>
      </c>
      <c r="N135" s="4" t="str" cm="1">
        <f t="array" ref="N135">IFERROR(INDEX($I$9:$I$322,MATCH($K135&amp;N$8,$G$9:$G$322&amp;$H$9:$H$322,0)),"-")</f>
        <v>-</v>
      </c>
      <c r="O135" s="4" t="str" cm="1">
        <f t="array" ref="O135">IFERROR(INDEX($I$9:$I$322,MATCH($K135&amp;O$8,$G$9:$G$322&amp;$H$9:$H$322,0)),"-")</f>
        <v>-</v>
      </c>
      <c r="P135" s="4" t="str" cm="1">
        <f t="array" ref="P135">IFERROR(INDEX($I$9:$I$322,MATCH($K135&amp;P$8,$G$9:$G$322&amp;$H$9:$H$322,0)),"-")</f>
        <v>-</v>
      </c>
      <c r="Q135" s="4" t="str" cm="1">
        <f t="array" ref="Q135">IFERROR(INDEX($I$9:$I$322,MATCH($K135&amp;Q$8,$G$9:$G$322&amp;$H$9:$H$322,0)),"-")</f>
        <v>-</v>
      </c>
      <c r="R135" s="4" t="str" cm="1">
        <f t="array" ref="R135">IFERROR(INDEX($I$9:$I$322,MATCH($K135&amp;R$8,$G$9:$G$322&amp;$H$9:$H$322,0)),"-")</f>
        <v>-</v>
      </c>
    </row>
    <row r="136" spans="7:18" x14ac:dyDescent="0.2">
      <c r="G136" s="5" t="s">
        <v>11</v>
      </c>
      <c r="H136" s="3" t="s">
        <v>4</v>
      </c>
      <c r="I136" s="3" t="s">
        <v>168</v>
      </c>
      <c r="K136" s="5"/>
      <c r="L136" s="4" t="str">
        <f>IFERROR(INDEX('Resource Summary'!B:B,MATCH(K136,'Resource Summary'!A:A,0)),"-")</f>
        <v>-</v>
      </c>
      <c r="M136" s="4" t="str" cm="1">
        <f t="array" ref="M136">IFERROR(INDEX($I$9:$I$322,MATCH($K136&amp;M$8,$G$9:$G$322&amp;$H$9:$H$322,0)),"-")</f>
        <v>-</v>
      </c>
      <c r="N136" s="4" t="str" cm="1">
        <f t="array" ref="N136">IFERROR(INDEX($I$9:$I$322,MATCH($K136&amp;N$8,$G$9:$G$322&amp;$H$9:$H$322,0)),"-")</f>
        <v>-</v>
      </c>
      <c r="O136" s="4" t="str" cm="1">
        <f t="array" ref="O136">IFERROR(INDEX($I$9:$I$322,MATCH($K136&amp;O$8,$G$9:$G$322&amp;$H$9:$H$322,0)),"-")</f>
        <v>-</v>
      </c>
      <c r="P136" s="4" t="str" cm="1">
        <f t="array" ref="P136">IFERROR(INDEX($I$9:$I$322,MATCH($K136&amp;P$8,$G$9:$G$322&amp;$H$9:$H$322,0)),"-")</f>
        <v>-</v>
      </c>
      <c r="Q136" s="4" t="str" cm="1">
        <f t="array" ref="Q136">IFERROR(INDEX($I$9:$I$322,MATCH($K136&amp;Q$8,$G$9:$G$322&amp;$H$9:$H$322,0)),"-")</f>
        <v>-</v>
      </c>
      <c r="R136" s="4" t="str" cm="1">
        <f t="array" ref="R136">IFERROR(INDEX($I$9:$I$322,MATCH($K136&amp;R$8,$G$9:$G$322&amp;$H$9:$H$322,0)),"-")</f>
        <v>-</v>
      </c>
    </row>
    <row r="137" spans="7:18" x14ac:dyDescent="0.2">
      <c r="G137" s="5" t="s">
        <v>12</v>
      </c>
      <c r="H137" s="3" t="s">
        <v>4</v>
      </c>
      <c r="I137" s="3" t="s">
        <v>168</v>
      </c>
      <c r="K137" s="5"/>
      <c r="L137" s="4" t="str">
        <f>IFERROR(INDEX('Resource Summary'!B:B,MATCH(K137,'Resource Summary'!A:A,0)),"-")</f>
        <v>-</v>
      </c>
      <c r="M137" s="4" t="str" cm="1">
        <f t="array" ref="M137">IFERROR(INDEX($I$9:$I$322,MATCH($K137&amp;M$8,$G$9:$G$322&amp;$H$9:$H$322,0)),"-")</f>
        <v>-</v>
      </c>
      <c r="N137" s="4" t="str" cm="1">
        <f t="array" ref="N137">IFERROR(INDEX($I$9:$I$322,MATCH($K137&amp;N$8,$G$9:$G$322&amp;$H$9:$H$322,0)),"-")</f>
        <v>-</v>
      </c>
      <c r="O137" s="4" t="str" cm="1">
        <f t="array" ref="O137">IFERROR(INDEX($I$9:$I$322,MATCH($K137&amp;O$8,$G$9:$G$322&amp;$H$9:$H$322,0)),"-")</f>
        <v>-</v>
      </c>
      <c r="P137" s="4" t="str" cm="1">
        <f t="array" ref="P137">IFERROR(INDEX($I$9:$I$322,MATCH($K137&amp;P$8,$G$9:$G$322&amp;$H$9:$H$322,0)),"-")</f>
        <v>-</v>
      </c>
      <c r="Q137" s="4" t="str" cm="1">
        <f t="array" ref="Q137">IFERROR(INDEX($I$9:$I$322,MATCH($K137&amp;Q$8,$G$9:$G$322&amp;$H$9:$H$322,0)),"-")</f>
        <v>-</v>
      </c>
      <c r="R137" s="4" t="str" cm="1">
        <f t="array" ref="R137">IFERROR(INDEX($I$9:$I$322,MATCH($K137&amp;R$8,$G$9:$G$322&amp;$H$9:$H$322,0)),"-")</f>
        <v>-</v>
      </c>
    </row>
    <row r="138" spans="7:18" x14ac:dyDescent="0.2">
      <c r="G138" s="5" t="s">
        <v>13</v>
      </c>
      <c r="H138" s="3" t="s">
        <v>4</v>
      </c>
      <c r="I138" s="3" t="s">
        <v>168</v>
      </c>
      <c r="K138" s="5"/>
      <c r="L138" s="4" t="str">
        <f>IFERROR(INDEX('Resource Summary'!B:B,MATCH(K138,'Resource Summary'!A:A,0)),"-")</f>
        <v>-</v>
      </c>
      <c r="M138" s="4" t="str" cm="1">
        <f t="array" ref="M138">IFERROR(INDEX($I$9:$I$322,MATCH($K138&amp;M$8,$G$9:$G$322&amp;$H$9:$H$322,0)),"-")</f>
        <v>-</v>
      </c>
      <c r="N138" s="4" t="str" cm="1">
        <f t="array" ref="N138">IFERROR(INDEX($I$9:$I$322,MATCH($K138&amp;N$8,$G$9:$G$322&amp;$H$9:$H$322,0)),"-")</f>
        <v>-</v>
      </c>
      <c r="O138" s="4" t="str" cm="1">
        <f t="array" ref="O138">IFERROR(INDEX($I$9:$I$322,MATCH($K138&amp;O$8,$G$9:$G$322&amp;$H$9:$H$322,0)),"-")</f>
        <v>-</v>
      </c>
      <c r="P138" s="4" t="str" cm="1">
        <f t="array" ref="P138">IFERROR(INDEX($I$9:$I$322,MATCH($K138&amp;P$8,$G$9:$G$322&amp;$H$9:$H$322,0)),"-")</f>
        <v>-</v>
      </c>
      <c r="Q138" s="4" t="str" cm="1">
        <f t="array" ref="Q138">IFERROR(INDEX($I$9:$I$322,MATCH($K138&amp;Q$8,$G$9:$G$322&amp;$H$9:$H$322,0)),"-")</f>
        <v>-</v>
      </c>
      <c r="R138" s="4" t="str" cm="1">
        <f t="array" ref="R138">IFERROR(INDEX($I$9:$I$322,MATCH($K138&amp;R$8,$G$9:$G$322&amp;$H$9:$H$322,0)),"-")</f>
        <v>-</v>
      </c>
    </row>
    <row r="139" spans="7:18" x14ac:dyDescent="0.2">
      <c r="G139" s="5" t="s">
        <v>19</v>
      </c>
      <c r="H139" s="3" t="s">
        <v>4</v>
      </c>
      <c r="I139" s="3" t="s">
        <v>168</v>
      </c>
      <c r="K139" s="5"/>
      <c r="L139" s="4" t="str">
        <f>IFERROR(INDEX('Resource Summary'!B:B,MATCH(K139,'Resource Summary'!A:A,0)),"-")</f>
        <v>-</v>
      </c>
      <c r="M139" s="4" t="str" cm="1">
        <f t="array" ref="M139">IFERROR(INDEX($I$9:$I$322,MATCH($K139&amp;M$8,$G$9:$G$322&amp;$H$9:$H$322,0)),"-")</f>
        <v>-</v>
      </c>
      <c r="N139" s="4" t="str" cm="1">
        <f t="array" ref="N139">IFERROR(INDEX($I$9:$I$322,MATCH($K139&amp;N$8,$G$9:$G$322&amp;$H$9:$H$322,0)),"-")</f>
        <v>-</v>
      </c>
      <c r="O139" s="4" t="str" cm="1">
        <f t="array" ref="O139">IFERROR(INDEX($I$9:$I$322,MATCH($K139&amp;O$8,$G$9:$G$322&amp;$H$9:$H$322,0)),"-")</f>
        <v>-</v>
      </c>
      <c r="P139" s="4" t="str" cm="1">
        <f t="array" ref="P139">IFERROR(INDEX($I$9:$I$322,MATCH($K139&amp;P$8,$G$9:$G$322&amp;$H$9:$H$322,0)),"-")</f>
        <v>-</v>
      </c>
      <c r="Q139" s="4" t="str" cm="1">
        <f t="array" ref="Q139">IFERROR(INDEX($I$9:$I$322,MATCH($K139&amp;Q$8,$G$9:$G$322&amp;$H$9:$H$322,0)),"-")</f>
        <v>-</v>
      </c>
      <c r="R139" s="4" t="str" cm="1">
        <f t="array" ref="R139">IFERROR(INDEX($I$9:$I$322,MATCH($K139&amp;R$8,$G$9:$G$322&amp;$H$9:$H$322,0)),"-")</f>
        <v>-</v>
      </c>
    </row>
    <row r="140" spans="7:18" x14ac:dyDescent="0.2">
      <c r="G140" s="5" t="s">
        <v>20</v>
      </c>
      <c r="H140" s="3" t="s">
        <v>4</v>
      </c>
      <c r="I140" s="3" t="s">
        <v>168</v>
      </c>
      <c r="K140" s="5"/>
      <c r="L140" s="4" t="str">
        <f>IFERROR(INDEX('Resource Summary'!B:B,MATCH(K140,'Resource Summary'!A:A,0)),"-")</f>
        <v>-</v>
      </c>
      <c r="M140" s="4" t="str" cm="1">
        <f t="array" ref="M140">IFERROR(INDEX($I$9:$I$322,MATCH($K140&amp;M$8,$G$9:$G$322&amp;$H$9:$H$322,0)),"-")</f>
        <v>-</v>
      </c>
      <c r="N140" s="4" t="str" cm="1">
        <f t="array" ref="N140">IFERROR(INDEX($I$9:$I$322,MATCH($K140&amp;N$8,$G$9:$G$322&amp;$H$9:$H$322,0)),"-")</f>
        <v>-</v>
      </c>
      <c r="O140" s="4" t="str" cm="1">
        <f t="array" ref="O140">IFERROR(INDEX($I$9:$I$322,MATCH($K140&amp;O$8,$G$9:$G$322&amp;$H$9:$H$322,0)),"-")</f>
        <v>-</v>
      </c>
      <c r="P140" s="4" t="str" cm="1">
        <f t="array" ref="P140">IFERROR(INDEX($I$9:$I$322,MATCH($K140&amp;P$8,$G$9:$G$322&amp;$H$9:$H$322,0)),"-")</f>
        <v>-</v>
      </c>
      <c r="Q140" s="4" t="str" cm="1">
        <f t="array" ref="Q140">IFERROR(INDEX($I$9:$I$322,MATCH($K140&amp;Q$8,$G$9:$G$322&amp;$H$9:$H$322,0)),"-")</f>
        <v>-</v>
      </c>
      <c r="R140" s="4" t="str" cm="1">
        <f t="array" ref="R140">IFERROR(INDEX($I$9:$I$322,MATCH($K140&amp;R$8,$G$9:$G$322&amp;$H$9:$H$322,0)),"-")</f>
        <v>-</v>
      </c>
    </row>
    <row r="141" spans="7:18" x14ac:dyDescent="0.2">
      <c r="G141" s="5" t="s">
        <v>27</v>
      </c>
      <c r="H141" s="3" t="s">
        <v>4</v>
      </c>
      <c r="I141" s="3" t="s">
        <v>168</v>
      </c>
      <c r="K141" s="5"/>
      <c r="L141" s="4" t="str">
        <f>IFERROR(INDEX('Resource Summary'!B:B,MATCH(K141,'Resource Summary'!A:A,0)),"-")</f>
        <v>-</v>
      </c>
      <c r="M141" s="4" t="str" cm="1">
        <f t="array" ref="M141">IFERROR(INDEX($I$9:$I$322,MATCH($K141&amp;M$8,$G$9:$G$322&amp;$H$9:$H$322,0)),"-")</f>
        <v>-</v>
      </c>
      <c r="N141" s="4" t="str" cm="1">
        <f t="array" ref="N141">IFERROR(INDEX($I$9:$I$322,MATCH($K141&amp;N$8,$G$9:$G$322&amp;$H$9:$H$322,0)),"-")</f>
        <v>-</v>
      </c>
      <c r="O141" s="4" t="str" cm="1">
        <f t="array" ref="O141">IFERROR(INDEX($I$9:$I$322,MATCH($K141&amp;O$8,$G$9:$G$322&amp;$H$9:$H$322,0)),"-")</f>
        <v>-</v>
      </c>
      <c r="P141" s="4" t="str" cm="1">
        <f t="array" ref="P141">IFERROR(INDEX($I$9:$I$322,MATCH($K141&amp;P$8,$G$9:$G$322&amp;$H$9:$H$322,0)),"-")</f>
        <v>-</v>
      </c>
      <c r="Q141" s="4" t="str" cm="1">
        <f t="array" ref="Q141">IFERROR(INDEX($I$9:$I$322,MATCH($K141&amp;Q$8,$G$9:$G$322&amp;$H$9:$H$322,0)),"-")</f>
        <v>-</v>
      </c>
      <c r="R141" s="4" t="str" cm="1">
        <f t="array" ref="R141">IFERROR(INDEX($I$9:$I$322,MATCH($K141&amp;R$8,$G$9:$G$322&amp;$H$9:$H$322,0)),"-")</f>
        <v>-</v>
      </c>
    </row>
    <row r="142" spans="7:18" x14ac:dyDescent="0.2">
      <c r="G142" s="5" t="s">
        <v>28</v>
      </c>
      <c r="H142" s="3" t="s">
        <v>4</v>
      </c>
      <c r="I142" s="3" t="s">
        <v>168</v>
      </c>
      <c r="K142" s="5"/>
      <c r="L142" s="4" t="str">
        <f>IFERROR(INDEX('Resource Summary'!B:B,MATCH(K142,'Resource Summary'!A:A,0)),"-")</f>
        <v>-</v>
      </c>
      <c r="M142" s="4" t="str" cm="1">
        <f t="array" ref="M142">IFERROR(INDEX($I$9:$I$322,MATCH($K142&amp;M$8,$G$9:$G$322&amp;$H$9:$H$322,0)),"-")</f>
        <v>-</v>
      </c>
      <c r="N142" s="4" t="str" cm="1">
        <f t="array" ref="N142">IFERROR(INDEX($I$9:$I$322,MATCH($K142&amp;N$8,$G$9:$G$322&amp;$H$9:$H$322,0)),"-")</f>
        <v>-</v>
      </c>
      <c r="O142" s="4" t="str" cm="1">
        <f t="array" ref="O142">IFERROR(INDEX($I$9:$I$322,MATCH($K142&amp;O$8,$G$9:$G$322&amp;$H$9:$H$322,0)),"-")</f>
        <v>-</v>
      </c>
      <c r="P142" s="4" t="str" cm="1">
        <f t="array" ref="P142">IFERROR(INDEX($I$9:$I$322,MATCH($K142&amp;P$8,$G$9:$G$322&amp;$H$9:$H$322,0)),"-")</f>
        <v>-</v>
      </c>
      <c r="Q142" s="4" t="str" cm="1">
        <f t="array" ref="Q142">IFERROR(INDEX($I$9:$I$322,MATCH($K142&amp;Q$8,$G$9:$G$322&amp;$H$9:$H$322,0)),"-")</f>
        <v>-</v>
      </c>
      <c r="R142" s="4" t="str" cm="1">
        <f t="array" ref="R142">IFERROR(INDEX($I$9:$I$322,MATCH($K142&amp;R$8,$G$9:$G$322&amp;$H$9:$H$322,0)),"-")</f>
        <v>-</v>
      </c>
    </row>
    <row r="143" spans="7:18" x14ac:dyDescent="0.2">
      <c r="G143" s="5" t="s">
        <v>29</v>
      </c>
      <c r="H143" s="3" t="s">
        <v>4</v>
      </c>
      <c r="I143" s="3" t="s">
        <v>168</v>
      </c>
      <c r="K143" s="5"/>
      <c r="L143" s="4" t="str">
        <f>IFERROR(INDEX('Resource Summary'!B:B,MATCH(K143,'Resource Summary'!A:A,0)),"-")</f>
        <v>-</v>
      </c>
      <c r="M143" s="4" t="str" cm="1">
        <f t="array" ref="M143">IFERROR(INDEX($I$9:$I$322,MATCH($K143&amp;M$8,$G$9:$G$322&amp;$H$9:$H$322,0)),"-")</f>
        <v>-</v>
      </c>
      <c r="N143" s="4" t="str" cm="1">
        <f t="array" ref="N143">IFERROR(INDEX($I$9:$I$322,MATCH($K143&amp;N$8,$G$9:$G$322&amp;$H$9:$H$322,0)),"-")</f>
        <v>-</v>
      </c>
      <c r="O143" s="4" t="str" cm="1">
        <f t="array" ref="O143">IFERROR(INDEX($I$9:$I$322,MATCH($K143&amp;O$8,$G$9:$G$322&amp;$H$9:$H$322,0)),"-")</f>
        <v>-</v>
      </c>
      <c r="P143" s="4" t="str" cm="1">
        <f t="array" ref="P143">IFERROR(INDEX($I$9:$I$322,MATCH($K143&amp;P$8,$G$9:$G$322&amp;$H$9:$H$322,0)),"-")</f>
        <v>-</v>
      </c>
      <c r="Q143" s="4" t="str" cm="1">
        <f t="array" ref="Q143">IFERROR(INDEX($I$9:$I$322,MATCH($K143&amp;Q$8,$G$9:$G$322&amp;$H$9:$H$322,0)),"-")</f>
        <v>-</v>
      </c>
      <c r="R143" s="4" t="str" cm="1">
        <f t="array" ref="R143">IFERROR(INDEX($I$9:$I$322,MATCH($K143&amp;R$8,$G$9:$G$322&amp;$H$9:$H$322,0)),"-")</f>
        <v>-</v>
      </c>
    </row>
    <row r="144" spans="7:18" x14ac:dyDescent="0.2">
      <c r="G144" s="5" t="s">
        <v>45</v>
      </c>
      <c r="H144" s="3" t="s">
        <v>4</v>
      </c>
      <c r="I144" s="3" t="s">
        <v>168</v>
      </c>
      <c r="K144" s="5"/>
      <c r="L144" s="4" t="str">
        <f>IFERROR(INDEX('Resource Summary'!B:B,MATCH(K144,'Resource Summary'!A:A,0)),"-")</f>
        <v>-</v>
      </c>
      <c r="M144" s="4" t="str" cm="1">
        <f t="array" ref="M144">IFERROR(INDEX($I$9:$I$322,MATCH($K144&amp;M$8,$G$9:$G$322&amp;$H$9:$H$322,0)),"-")</f>
        <v>-</v>
      </c>
      <c r="N144" s="4" t="str" cm="1">
        <f t="array" ref="N144">IFERROR(INDEX($I$9:$I$322,MATCH($K144&amp;N$8,$G$9:$G$322&amp;$H$9:$H$322,0)),"-")</f>
        <v>-</v>
      </c>
      <c r="O144" s="4" t="str" cm="1">
        <f t="array" ref="O144">IFERROR(INDEX($I$9:$I$322,MATCH($K144&amp;O$8,$G$9:$G$322&amp;$H$9:$H$322,0)),"-")</f>
        <v>-</v>
      </c>
      <c r="P144" s="4" t="str" cm="1">
        <f t="array" ref="P144">IFERROR(INDEX($I$9:$I$322,MATCH($K144&amp;P$8,$G$9:$G$322&amp;$H$9:$H$322,0)),"-")</f>
        <v>-</v>
      </c>
      <c r="Q144" s="4" t="str" cm="1">
        <f t="array" ref="Q144">IFERROR(INDEX($I$9:$I$322,MATCH($K144&amp;Q$8,$G$9:$G$322&amp;$H$9:$H$322,0)),"-")</f>
        <v>-</v>
      </c>
      <c r="R144" s="4" t="str" cm="1">
        <f t="array" ref="R144">IFERROR(INDEX($I$9:$I$322,MATCH($K144&amp;R$8,$G$9:$G$322&amp;$H$9:$H$322,0)),"-")</f>
        <v>-</v>
      </c>
    </row>
    <row r="145" spans="7:18" x14ac:dyDescent="0.2">
      <c r="G145" s="5" t="s">
        <v>46</v>
      </c>
      <c r="H145" s="3" t="s">
        <v>4</v>
      </c>
      <c r="I145" s="3" t="s">
        <v>168</v>
      </c>
      <c r="K145" s="5"/>
      <c r="L145" s="4" t="str">
        <f>IFERROR(INDEX('Resource Summary'!B:B,MATCH(K145,'Resource Summary'!A:A,0)),"-")</f>
        <v>-</v>
      </c>
      <c r="M145" s="4" t="str" cm="1">
        <f t="array" ref="M145">IFERROR(INDEX($I$9:$I$322,MATCH($K145&amp;M$8,$G$9:$G$322&amp;$H$9:$H$322,0)),"-")</f>
        <v>-</v>
      </c>
      <c r="N145" s="4" t="str" cm="1">
        <f t="array" ref="N145">IFERROR(INDEX($I$9:$I$322,MATCH($K145&amp;N$8,$G$9:$G$322&amp;$H$9:$H$322,0)),"-")</f>
        <v>-</v>
      </c>
      <c r="O145" s="4" t="str" cm="1">
        <f t="array" ref="O145">IFERROR(INDEX($I$9:$I$322,MATCH($K145&amp;O$8,$G$9:$G$322&amp;$H$9:$H$322,0)),"-")</f>
        <v>-</v>
      </c>
      <c r="P145" s="4" t="str" cm="1">
        <f t="array" ref="P145">IFERROR(INDEX($I$9:$I$322,MATCH($K145&amp;P$8,$G$9:$G$322&amp;$H$9:$H$322,0)),"-")</f>
        <v>-</v>
      </c>
      <c r="Q145" s="4" t="str" cm="1">
        <f t="array" ref="Q145">IFERROR(INDEX($I$9:$I$322,MATCH($K145&amp;Q$8,$G$9:$G$322&amp;$H$9:$H$322,0)),"-")</f>
        <v>-</v>
      </c>
      <c r="R145" s="4" t="str" cm="1">
        <f t="array" ref="R145">IFERROR(INDEX($I$9:$I$322,MATCH($K145&amp;R$8,$G$9:$G$322&amp;$H$9:$H$322,0)),"-")</f>
        <v>-</v>
      </c>
    </row>
    <row r="146" spans="7:18" x14ac:dyDescent="0.2">
      <c r="G146" s="5" t="s">
        <v>47</v>
      </c>
      <c r="H146" s="3" t="s">
        <v>4</v>
      </c>
      <c r="I146" s="3" t="s">
        <v>168</v>
      </c>
      <c r="K146" s="5"/>
      <c r="L146" s="4" t="str">
        <f>IFERROR(INDEX('Resource Summary'!B:B,MATCH(K146,'Resource Summary'!A:A,0)),"-")</f>
        <v>-</v>
      </c>
      <c r="M146" s="4" t="str" cm="1">
        <f t="array" ref="M146">IFERROR(INDEX($I$9:$I$322,MATCH($K146&amp;M$8,$G$9:$G$322&amp;$H$9:$H$322,0)),"-")</f>
        <v>-</v>
      </c>
      <c r="N146" s="4" t="str" cm="1">
        <f t="array" ref="N146">IFERROR(INDEX($I$9:$I$322,MATCH($K146&amp;N$8,$G$9:$G$322&amp;$H$9:$H$322,0)),"-")</f>
        <v>-</v>
      </c>
      <c r="O146" s="4" t="str" cm="1">
        <f t="array" ref="O146">IFERROR(INDEX($I$9:$I$322,MATCH($K146&amp;O$8,$G$9:$G$322&amp;$H$9:$H$322,0)),"-")</f>
        <v>-</v>
      </c>
      <c r="P146" s="4" t="str" cm="1">
        <f t="array" ref="P146">IFERROR(INDEX($I$9:$I$322,MATCH($K146&amp;P$8,$G$9:$G$322&amp;$H$9:$H$322,0)),"-")</f>
        <v>-</v>
      </c>
      <c r="Q146" s="4" t="str" cm="1">
        <f t="array" ref="Q146">IFERROR(INDEX($I$9:$I$322,MATCH($K146&amp;Q$8,$G$9:$G$322&amp;$H$9:$H$322,0)),"-")</f>
        <v>-</v>
      </c>
      <c r="R146" s="4" t="str" cm="1">
        <f t="array" ref="R146">IFERROR(INDEX($I$9:$I$322,MATCH($K146&amp;R$8,$G$9:$G$322&amp;$H$9:$H$322,0)),"-")</f>
        <v>-</v>
      </c>
    </row>
    <row r="147" spans="7:18" x14ac:dyDescent="0.2">
      <c r="G147" s="5" t="s">
        <v>48</v>
      </c>
      <c r="H147" s="3" t="s">
        <v>4</v>
      </c>
      <c r="I147" s="3" t="s">
        <v>168</v>
      </c>
      <c r="K147" s="5"/>
      <c r="L147" s="4" t="str">
        <f>IFERROR(INDEX('Resource Summary'!B:B,MATCH(K147,'Resource Summary'!A:A,0)),"-")</f>
        <v>-</v>
      </c>
      <c r="M147" s="4" t="str" cm="1">
        <f t="array" ref="M147">IFERROR(INDEX($I$9:$I$322,MATCH($K147&amp;M$8,$G$9:$G$322&amp;$H$9:$H$322,0)),"-")</f>
        <v>-</v>
      </c>
      <c r="N147" s="4" t="str" cm="1">
        <f t="array" ref="N147">IFERROR(INDEX($I$9:$I$322,MATCH($K147&amp;N$8,$G$9:$G$322&amp;$H$9:$H$322,0)),"-")</f>
        <v>-</v>
      </c>
      <c r="O147" s="4" t="str" cm="1">
        <f t="array" ref="O147">IFERROR(INDEX($I$9:$I$322,MATCH($K147&amp;O$8,$G$9:$G$322&amp;$H$9:$H$322,0)),"-")</f>
        <v>-</v>
      </c>
      <c r="P147" s="4" t="str" cm="1">
        <f t="array" ref="P147">IFERROR(INDEX($I$9:$I$322,MATCH($K147&amp;P$8,$G$9:$G$322&amp;$H$9:$H$322,0)),"-")</f>
        <v>-</v>
      </c>
      <c r="Q147" s="4" t="str" cm="1">
        <f t="array" ref="Q147">IFERROR(INDEX($I$9:$I$322,MATCH($K147&amp;Q$8,$G$9:$G$322&amp;$H$9:$H$322,0)),"-")</f>
        <v>-</v>
      </c>
      <c r="R147" s="4" t="str" cm="1">
        <f t="array" ref="R147">IFERROR(INDEX($I$9:$I$322,MATCH($K147&amp;R$8,$G$9:$G$322&amp;$H$9:$H$322,0)),"-")</f>
        <v>-</v>
      </c>
    </row>
    <row r="148" spans="7:18" x14ac:dyDescent="0.2">
      <c r="G148" s="5" t="s">
        <v>50</v>
      </c>
      <c r="H148" s="3" t="s">
        <v>4</v>
      </c>
      <c r="I148" s="3" t="s">
        <v>168</v>
      </c>
      <c r="K148" s="5"/>
      <c r="L148" s="4" t="str">
        <f>IFERROR(INDEX('Resource Summary'!B:B,MATCH(K148,'Resource Summary'!A:A,0)),"-")</f>
        <v>-</v>
      </c>
      <c r="M148" s="4" t="str" cm="1">
        <f t="array" ref="M148">IFERROR(INDEX($I$9:$I$322,MATCH($K148&amp;M$8,$G$9:$G$322&amp;$H$9:$H$322,0)),"-")</f>
        <v>-</v>
      </c>
      <c r="N148" s="4" t="str" cm="1">
        <f t="array" ref="N148">IFERROR(INDEX($I$9:$I$322,MATCH($K148&amp;N$8,$G$9:$G$322&amp;$H$9:$H$322,0)),"-")</f>
        <v>-</v>
      </c>
      <c r="O148" s="4" t="str" cm="1">
        <f t="array" ref="O148">IFERROR(INDEX($I$9:$I$322,MATCH($K148&amp;O$8,$G$9:$G$322&amp;$H$9:$H$322,0)),"-")</f>
        <v>-</v>
      </c>
      <c r="P148" s="4" t="str" cm="1">
        <f t="array" ref="P148">IFERROR(INDEX($I$9:$I$322,MATCH($K148&amp;P$8,$G$9:$G$322&amp;$H$9:$H$322,0)),"-")</f>
        <v>-</v>
      </c>
      <c r="Q148" s="4" t="str" cm="1">
        <f t="array" ref="Q148">IFERROR(INDEX($I$9:$I$322,MATCH($K148&amp;Q$8,$G$9:$G$322&amp;$H$9:$H$322,0)),"-")</f>
        <v>-</v>
      </c>
      <c r="R148" s="4" t="str" cm="1">
        <f t="array" ref="R148">IFERROR(INDEX($I$9:$I$322,MATCH($K148&amp;R$8,$G$9:$G$322&amp;$H$9:$H$322,0)),"-")</f>
        <v>-</v>
      </c>
    </row>
    <row r="149" spans="7:18" x14ac:dyDescent="0.2">
      <c r="G149" s="5" t="s">
        <v>51</v>
      </c>
      <c r="H149" s="3" t="s">
        <v>4</v>
      </c>
      <c r="I149" s="3" t="s">
        <v>168</v>
      </c>
      <c r="K149" s="5"/>
      <c r="L149" s="4" t="str">
        <f>IFERROR(INDEX('Resource Summary'!B:B,MATCH(K149,'Resource Summary'!A:A,0)),"-")</f>
        <v>-</v>
      </c>
      <c r="M149" s="4" t="str" cm="1">
        <f t="array" ref="M149">IFERROR(INDEX($I$9:$I$322,MATCH($K149&amp;M$8,$G$9:$G$322&amp;$H$9:$H$322,0)),"-")</f>
        <v>-</v>
      </c>
      <c r="N149" s="4" t="str" cm="1">
        <f t="array" ref="N149">IFERROR(INDEX($I$9:$I$322,MATCH($K149&amp;N$8,$G$9:$G$322&amp;$H$9:$H$322,0)),"-")</f>
        <v>-</v>
      </c>
      <c r="O149" s="4" t="str" cm="1">
        <f t="array" ref="O149">IFERROR(INDEX($I$9:$I$322,MATCH($K149&amp;O$8,$G$9:$G$322&amp;$H$9:$H$322,0)),"-")</f>
        <v>-</v>
      </c>
      <c r="P149" s="4" t="str" cm="1">
        <f t="array" ref="P149">IFERROR(INDEX($I$9:$I$322,MATCH($K149&amp;P$8,$G$9:$G$322&amp;$H$9:$H$322,0)),"-")</f>
        <v>-</v>
      </c>
      <c r="Q149" s="4" t="str" cm="1">
        <f t="array" ref="Q149">IFERROR(INDEX($I$9:$I$322,MATCH($K149&amp;Q$8,$G$9:$G$322&amp;$H$9:$H$322,0)),"-")</f>
        <v>-</v>
      </c>
      <c r="R149" s="4" t="str" cm="1">
        <f t="array" ref="R149">IFERROR(INDEX($I$9:$I$322,MATCH($K149&amp;R$8,$G$9:$G$322&amp;$H$9:$H$322,0)),"-")</f>
        <v>-</v>
      </c>
    </row>
    <row r="150" spans="7:18" x14ac:dyDescent="0.2">
      <c r="G150" s="5" t="s">
        <v>52</v>
      </c>
      <c r="H150" s="3" t="s">
        <v>4</v>
      </c>
      <c r="I150" s="3" t="s">
        <v>168</v>
      </c>
      <c r="K150" s="5"/>
      <c r="L150" s="4" t="str">
        <f>IFERROR(INDEX('Resource Summary'!B:B,MATCH(K150,'Resource Summary'!A:A,0)),"-")</f>
        <v>-</v>
      </c>
      <c r="M150" s="4" t="str" cm="1">
        <f t="array" ref="M150">IFERROR(INDEX($I$9:$I$322,MATCH($K150&amp;M$8,$G$9:$G$322&amp;$H$9:$H$322,0)),"-")</f>
        <v>-</v>
      </c>
      <c r="N150" s="4" t="str" cm="1">
        <f t="array" ref="N150">IFERROR(INDEX($I$9:$I$322,MATCH($K150&amp;N$8,$G$9:$G$322&amp;$H$9:$H$322,0)),"-")</f>
        <v>-</v>
      </c>
      <c r="O150" s="4" t="str" cm="1">
        <f t="array" ref="O150">IFERROR(INDEX($I$9:$I$322,MATCH($K150&amp;O$8,$G$9:$G$322&amp;$H$9:$H$322,0)),"-")</f>
        <v>-</v>
      </c>
      <c r="P150" s="4" t="str" cm="1">
        <f t="array" ref="P150">IFERROR(INDEX($I$9:$I$322,MATCH($K150&amp;P$8,$G$9:$G$322&amp;$H$9:$H$322,0)),"-")</f>
        <v>-</v>
      </c>
      <c r="Q150" s="4" t="str" cm="1">
        <f t="array" ref="Q150">IFERROR(INDEX($I$9:$I$322,MATCH($K150&amp;Q$8,$G$9:$G$322&amp;$H$9:$H$322,0)),"-")</f>
        <v>-</v>
      </c>
      <c r="R150" s="4" t="str" cm="1">
        <f t="array" ref="R150">IFERROR(INDEX($I$9:$I$322,MATCH($K150&amp;R$8,$G$9:$G$322&amp;$H$9:$H$322,0)),"-")</f>
        <v>-</v>
      </c>
    </row>
    <row r="151" spans="7:18" x14ac:dyDescent="0.2">
      <c r="G151" s="5" t="s">
        <v>53</v>
      </c>
      <c r="H151" s="3" t="s">
        <v>4</v>
      </c>
      <c r="I151" s="3" t="s">
        <v>168</v>
      </c>
      <c r="K151" s="5"/>
      <c r="L151" s="4" t="str">
        <f>IFERROR(INDEX('Resource Summary'!B:B,MATCH(K151,'Resource Summary'!A:A,0)),"-")</f>
        <v>-</v>
      </c>
      <c r="M151" s="4" t="str" cm="1">
        <f t="array" ref="M151">IFERROR(INDEX($I$9:$I$322,MATCH($K151&amp;M$8,$G$9:$G$322&amp;$H$9:$H$322,0)),"-")</f>
        <v>-</v>
      </c>
      <c r="N151" s="4" t="str" cm="1">
        <f t="array" ref="N151">IFERROR(INDEX($I$9:$I$322,MATCH($K151&amp;N$8,$G$9:$G$322&amp;$H$9:$H$322,0)),"-")</f>
        <v>-</v>
      </c>
      <c r="O151" s="4" t="str" cm="1">
        <f t="array" ref="O151">IFERROR(INDEX($I$9:$I$322,MATCH($K151&amp;O$8,$G$9:$G$322&amp;$H$9:$H$322,0)),"-")</f>
        <v>-</v>
      </c>
      <c r="P151" s="4" t="str" cm="1">
        <f t="array" ref="P151">IFERROR(INDEX($I$9:$I$322,MATCH($K151&amp;P$8,$G$9:$G$322&amp;$H$9:$H$322,0)),"-")</f>
        <v>-</v>
      </c>
      <c r="Q151" s="4" t="str" cm="1">
        <f t="array" ref="Q151">IFERROR(INDEX($I$9:$I$322,MATCH($K151&amp;Q$8,$G$9:$G$322&amp;$H$9:$H$322,0)),"-")</f>
        <v>-</v>
      </c>
      <c r="R151" s="4" t="str" cm="1">
        <f t="array" ref="R151">IFERROR(INDEX($I$9:$I$322,MATCH($K151&amp;R$8,$G$9:$G$322&amp;$H$9:$H$322,0)),"-")</f>
        <v>-</v>
      </c>
    </row>
    <row r="152" spans="7:18" x14ac:dyDescent="0.2">
      <c r="G152" s="5" t="s">
        <v>54</v>
      </c>
      <c r="H152" s="3" t="s">
        <v>4</v>
      </c>
      <c r="I152" s="3" t="s">
        <v>168</v>
      </c>
      <c r="K152" s="5"/>
      <c r="L152" s="4" t="str">
        <f>IFERROR(INDEX('Resource Summary'!B:B,MATCH(K152,'Resource Summary'!A:A,0)),"-")</f>
        <v>-</v>
      </c>
      <c r="M152" s="4" t="str" cm="1">
        <f t="array" ref="M152">IFERROR(INDEX($I$9:$I$322,MATCH($K152&amp;M$8,$G$9:$G$322&amp;$H$9:$H$322,0)),"-")</f>
        <v>-</v>
      </c>
      <c r="N152" s="4" t="str" cm="1">
        <f t="array" ref="N152">IFERROR(INDEX($I$9:$I$322,MATCH($K152&amp;N$8,$G$9:$G$322&amp;$H$9:$H$322,0)),"-")</f>
        <v>-</v>
      </c>
      <c r="O152" s="4" t="str" cm="1">
        <f t="array" ref="O152">IFERROR(INDEX($I$9:$I$322,MATCH($K152&amp;O$8,$G$9:$G$322&amp;$H$9:$H$322,0)),"-")</f>
        <v>-</v>
      </c>
      <c r="P152" s="4" t="str" cm="1">
        <f t="array" ref="P152">IFERROR(INDEX($I$9:$I$322,MATCH($K152&amp;P$8,$G$9:$G$322&amp;$H$9:$H$322,0)),"-")</f>
        <v>-</v>
      </c>
      <c r="Q152" s="4" t="str" cm="1">
        <f t="array" ref="Q152">IFERROR(INDEX($I$9:$I$322,MATCH($K152&amp;Q$8,$G$9:$G$322&amp;$H$9:$H$322,0)),"-")</f>
        <v>-</v>
      </c>
      <c r="R152" s="4" t="str" cm="1">
        <f t="array" ref="R152">IFERROR(INDEX($I$9:$I$322,MATCH($K152&amp;R$8,$G$9:$G$322&amp;$H$9:$H$322,0)),"-")</f>
        <v>-</v>
      </c>
    </row>
    <row r="153" spans="7:18" x14ac:dyDescent="0.2">
      <c r="G153" s="5" t="s">
        <v>55</v>
      </c>
      <c r="H153" s="3" t="s">
        <v>4</v>
      </c>
      <c r="I153" s="3" t="s">
        <v>168</v>
      </c>
      <c r="K153" s="5"/>
      <c r="L153" s="4" t="str">
        <f>IFERROR(INDEX('Resource Summary'!B:B,MATCH(K153,'Resource Summary'!A:A,0)),"-")</f>
        <v>-</v>
      </c>
      <c r="M153" s="4" t="str" cm="1">
        <f t="array" ref="M153">IFERROR(INDEX($I$9:$I$322,MATCH($K153&amp;M$8,$G$9:$G$322&amp;$H$9:$H$322,0)),"-")</f>
        <v>-</v>
      </c>
      <c r="N153" s="4" t="str" cm="1">
        <f t="array" ref="N153">IFERROR(INDEX($I$9:$I$322,MATCH($K153&amp;N$8,$G$9:$G$322&amp;$H$9:$H$322,0)),"-")</f>
        <v>-</v>
      </c>
      <c r="O153" s="4" t="str" cm="1">
        <f t="array" ref="O153">IFERROR(INDEX($I$9:$I$322,MATCH($K153&amp;O$8,$G$9:$G$322&amp;$H$9:$H$322,0)),"-")</f>
        <v>-</v>
      </c>
      <c r="P153" s="4" t="str" cm="1">
        <f t="array" ref="P153">IFERROR(INDEX($I$9:$I$322,MATCH($K153&amp;P$8,$G$9:$G$322&amp;$H$9:$H$322,0)),"-")</f>
        <v>-</v>
      </c>
      <c r="Q153" s="4" t="str" cm="1">
        <f t="array" ref="Q153">IFERROR(INDEX($I$9:$I$322,MATCH($K153&amp;Q$8,$G$9:$G$322&amp;$H$9:$H$322,0)),"-")</f>
        <v>-</v>
      </c>
      <c r="R153" s="4" t="str" cm="1">
        <f t="array" ref="R153">IFERROR(INDEX($I$9:$I$322,MATCH($K153&amp;R$8,$G$9:$G$322&amp;$H$9:$H$322,0)),"-")</f>
        <v>-</v>
      </c>
    </row>
    <row r="154" spans="7:18" x14ac:dyDescent="0.2">
      <c r="G154" s="5" t="s">
        <v>56</v>
      </c>
      <c r="H154" s="3" t="s">
        <v>4</v>
      </c>
      <c r="I154" s="3" t="s">
        <v>168</v>
      </c>
      <c r="K154" s="5"/>
      <c r="L154" s="4" t="str">
        <f>IFERROR(INDEX('Resource Summary'!B:B,MATCH(K154,'Resource Summary'!A:A,0)),"-")</f>
        <v>-</v>
      </c>
      <c r="M154" s="4" t="str" cm="1">
        <f t="array" ref="M154">IFERROR(INDEX($I$9:$I$322,MATCH($K154&amp;M$8,$G$9:$G$322&amp;$H$9:$H$322,0)),"-")</f>
        <v>-</v>
      </c>
      <c r="N154" s="4" t="str" cm="1">
        <f t="array" ref="N154">IFERROR(INDEX($I$9:$I$322,MATCH($K154&amp;N$8,$G$9:$G$322&amp;$H$9:$H$322,0)),"-")</f>
        <v>-</v>
      </c>
      <c r="O154" s="4" t="str" cm="1">
        <f t="array" ref="O154">IFERROR(INDEX($I$9:$I$322,MATCH($K154&amp;O$8,$G$9:$G$322&amp;$H$9:$H$322,0)),"-")</f>
        <v>-</v>
      </c>
      <c r="P154" s="4" t="str" cm="1">
        <f t="array" ref="P154">IFERROR(INDEX($I$9:$I$322,MATCH($K154&amp;P$8,$G$9:$G$322&amp;$H$9:$H$322,0)),"-")</f>
        <v>-</v>
      </c>
      <c r="Q154" s="4" t="str" cm="1">
        <f t="array" ref="Q154">IFERROR(INDEX($I$9:$I$322,MATCH($K154&amp;Q$8,$G$9:$G$322&amp;$H$9:$H$322,0)),"-")</f>
        <v>-</v>
      </c>
      <c r="R154" s="4" t="str" cm="1">
        <f t="array" ref="R154">IFERROR(INDEX($I$9:$I$322,MATCH($K154&amp;R$8,$G$9:$G$322&amp;$H$9:$H$322,0)),"-")</f>
        <v>-</v>
      </c>
    </row>
    <row r="155" spans="7:18" x14ac:dyDescent="0.2">
      <c r="G155" s="5" t="s">
        <v>58</v>
      </c>
      <c r="H155" s="3" t="s">
        <v>4</v>
      </c>
      <c r="I155" s="3" t="s">
        <v>168</v>
      </c>
      <c r="K155" s="5"/>
      <c r="L155" s="4" t="str">
        <f>IFERROR(INDEX('Resource Summary'!B:B,MATCH(K155,'Resource Summary'!A:A,0)),"-")</f>
        <v>-</v>
      </c>
      <c r="M155" s="4" t="str" cm="1">
        <f t="array" ref="M155">IFERROR(INDEX($I$9:$I$322,MATCH($K155&amp;M$8,$G$9:$G$322&amp;$H$9:$H$322,0)),"-")</f>
        <v>-</v>
      </c>
      <c r="N155" s="4" t="str" cm="1">
        <f t="array" ref="N155">IFERROR(INDEX($I$9:$I$322,MATCH($K155&amp;N$8,$G$9:$G$322&amp;$H$9:$H$322,0)),"-")</f>
        <v>-</v>
      </c>
      <c r="O155" s="4" t="str" cm="1">
        <f t="array" ref="O155">IFERROR(INDEX($I$9:$I$322,MATCH($K155&amp;O$8,$G$9:$G$322&amp;$H$9:$H$322,0)),"-")</f>
        <v>-</v>
      </c>
      <c r="P155" s="4" t="str" cm="1">
        <f t="array" ref="P155">IFERROR(INDEX($I$9:$I$322,MATCH($K155&amp;P$8,$G$9:$G$322&amp;$H$9:$H$322,0)),"-")</f>
        <v>-</v>
      </c>
      <c r="Q155" s="4" t="str" cm="1">
        <f t="array" ref="Q155">IFERROR(INDEX($I$9:$I$322,MATCH($K155&amp;Q$8,$G$9:$G$322&amp;$H$9:$H$322,0)),"-")</f>
        <v>-</v>
      </c>
      <c r="R155" s="4" t="str" cm="1">
        <f t="array" ref="R155">IFERROR(INDEX($I$9:$I$322,MATCH($K155&amp;R$8,$G$9:$G$322&amp;$H$9:$H$322,0)),"-")</f>
        <v>-</v>
      </c>
    </row>
    <row r="156" spans="7:18" x14ac:dyDescent="0.2">
      <c r="G156" s="5" t="s">
        <v>60</v>
      </c>
      <c r="H156" s="3" t="s">
        <v>4</v>
      </c>
      <c r="I156" s="3" t="s">
        <v>168</v>
      </c>
      <c r="K156" s="5"/>
      <c r="L156" s="4" t="str">
        <f>IFERROR(INDEX('Resource Summary'!B:B,MATCH(K156,'Resource Summary'!A:A,0)),"-")</f>
        <v>-</v>
      </c>
      <c r="M156" s="4" t="str" cm="1">
        <f t="array" ref="M156">IFERROR(INDEX($I$9:$I$322,MATCH($K156&amp;M$8,$G$9:$G$322&amp;$H$9:$H$322,0)),"-")</f>
        <v>-</v>
      </c>
      <c r="N156" s="4" t="str" cm="1">
        <f t="array" ref="N156">IFERROR(INDEX($I$9:$I$322,MATCH($K156&amp;N$8,$G$9:$G$322&amp;$H$9:$H$322,0)),"-")</f>
        <v>-</v>
      </c>
      <c r="O156" s="4" t="str" cm="1">
        <f t="array" ref="O156">IFERROR(INDEX($I$9:$I$322,MATCH($K156&amp;O$8,$G$9:$G$322&amp;$H$9:$H$322,0)),"-")</f>
        <v>-</v>
      </c>
      <c r="P156" s="4" t="str" cm="1">
        <f t="array" ref="P156">IFERROR(INDEX($I$9:$I$322,MATCH($K156&amp;P$8,$G$9:$G$322&amp;$H$9:$H$322,0)),"-")</f>
        <v>-</v>
      </c>
      <c r="Q156" s="4" t="str" cm="1">
        <f t="array" ref="Q156">IFERROR(INDEX($I$9:$I$322,MATCH($K156&amp;Q$8,$G$9:$G$322&amp;$H$9:$H$322,0)),"-")</f>
        <v>-</v>
      </c>
      <c r="R156" s="4" t="str" cm="1">
        <f t="array" ref="R156">IFERROR(INDEX($I$9:$I$322,MATCH($K156&amp;R$8,$G$9:$G$322&amp;$H$9:$H$322,0)),"-")</f>
        <v>-</v>
      </c>
    </row>
    <row r="157" spans="7:18" x14ac:dyDescent="0.2">
      <c r="G157" s="5" t="s">
        <v>61</v>
      </c>
      <c r="H157" s="3" t="s">
        <v>4</v>
      </c>
      <c r="I157" s="3" t="s">
        <v>168</v>
      </c>
    </row>
    <row r="158" spans="7:18" x14ac:dyDescent="0.2">
      <c r="G158" s="5" t="s">
        <v>62</v>
      </c>
      <c r="H158" s="3" t="s">
        <v>4</v>
      </c>
      <c r="I158" s="3" t="s">
        <v>168</v>
      </c>
    </row>
    <row r="159" spans="7:18" x14ac:dyDescent="0.2">
      <c r="G159" s="5" t="s">
        <v>63</v>
      </c>
      <c r="H159" s="3" t="s">
        <v>4</v>
      </c>
      <c r="I159" s="3" t="s">
        <v>168</v>
      </c>
    </row>
    <row r="160" spans="7:18" x14ac:dyDescent="0.2">
      <c r="G160" s="5" t="s">
        <v>67</v>
      </c>
      <c r="H160" s="3" t="s">
        <v>4</v>
      </c>
      <c r="I160" s="3" t="s">
        <v>168</v>
      </c>
    </row>
    <row r="161" spans="7:9" x14ac:dyDescent="0.2">
      <c r="G161" s="5" t="s">
        <v>68</v>
      </c>
      <c r="H161" s="3" t="s">
        <v>4</v>
      </c>
      <c r="I161" s="3" t="s">
        <v>168</v>
      </c>
    </row>
    <row r="162" spans="7:9" x14ac:dyDescent="0.2">
      <c r="G162" s="5" t="s">
        <v>69</v>
      </c>
      <c r="H162" s="3" t="s">
        <v>4</v>
      </c>
      <c r="I162" s="3" t="s">
        <v>168</v>
      </c>
    </row>
    <row r="163" spans="7:9" x14ac:dyDescent="0.2">
      <c r="G163" s="5" t="s">
        <v>70</v>
      </c>
      <c r="H163" s="3" t="s">
        <v>4</v>
      </c>
      <c r="I163" s="3" t="s">
        <v>168</v>
      </c>
    </row>
    <row r="164" spans="7:9" x14ac:dyDescent="0.2">
      <c r="G164" s="5" t="s">
        <v>75</v>
      </c>
      <c r="H164" s="3" t="s">
        <v>4</v>
      </c>
      <c r="I164" s="3" t="s">
        <v>168</v>
      </c>
    </row>
    <row r="165" spans="7:9" x14ac:dyDescent="0.2">
      <c r="G165" s="5" t="s">
        <v>76</v>
      </c>
      <c r="H165" s="3" t="s">
        <v>4</v>
      </c>
      <c r="I165" s="3" t="s">
        <v>168</v>
      </c>
    </row>
    <row r="166" spans="7:9" x14ac:dyDescent="0.2">
      <c r="G166" s="5" t="s">
        <v>77</v>
      </c>
      <c r="H166" s="3" t="s">
        <v>4</v>
      </c>
      <c r="I166" s="3" t="s">
        <v>168</v>
      </c>
    </row>
    <row r="167" spans="7:9" x14ac:dyDescent="0.2">
      <c r="G167" s="5" t="s">
        <v>79</v>
      </c>
      <c r="H167" s="3" t="s">
        <v>4</v>
      </c>
      <c r="I167" s="3" t="s">
        <v>168</v>
      </c>
    </row>
    <row r="168" spans="7:9" x14ac:dyDescent="0.2">
      <c r="G168" s="5" t="s">
        <v>80</v>
      </c>
      <c r="H168" s="3" t="s">
        <v>4</v>
      </c>
      <c r="I168" s="3" t="s">
        <v>168</v>
      </c>
    </row>
    <row r="169" spans="7:9" x14ac:dyDescent="0.2">
      <c r="G169" s="5" t="s">
        <v>83</v>
      </c>
      <c r="H169" s="3" t="s">
        <v>4</v>
      </c>
      <c r="I169" s="3" t="s">
        <v>168</v>
      </c>
    </row>
    <row r="170" spans="7:9" x14ac:dyDescent="0.2">
      <c r="G170" s="5" t="s">
        <v>85</v>
      </c>
      <c r="H170" s="3" t="s">
        <v>4</v>
      </c>
      <c r="I170" s="3" t="s">
        <v>168</v>
      </c>
    </row>
    <row r="171" spans="7:9" x14ac:dyDescent="0.2">
      <c r="G171" s="5" t="s">
        <v>87</v>
      </c>
      <c r="H171" s="3" t="s">
        <v>4</v>
      </c>
      <c r="I171" s="3" t="s">
        <v>168</v>
      </c>
    </row>
    <row r="172" spans="7:9" x14ac:dyDescent="0.2">
      <c r="G172" s="5" t="s">
        <v>88</v>
      </c>
      <c r="H172" s="3" t="s">
        <v>4</v>
      </c>
      <c r="I172" s="3" t="s">
        <v>168</v>
      </c>
    </row>
    <row r="173" spans="7:9" x14ac:dyDescent="0.2">
      <c r="G173" s="5" t="s">
        <v>92</v>
      </c>
      <c r="H173" s="3" t="s">
        <v>4</v>
      </c>
      <c r="I173" s="3" t="s">
        <v>168</v>
      </c>
    </row>
    <row r="174" spans="7:9" x14ac:dyDescent="0.2">
      <c r="G174" s="5" t="s">
        <v>93</v>
      </c>
      <c r="H174" s="3" t="s">
        <v>4</v>
      </c>
      <c r="I174" s="3" t="s">
        <v>168</v>
      </c>
    </row>
    <row r="175" spans="7:9" x14ac:dyDescent="0.2">
      <c r="G175" s="5" t="s">
        <v>97</v>
      </c>
      <c r="H175" s="3" t="s">
        <v>4</v>
      </c>
      <c r="I175" s="3" t="s">
        <v>168</v>
      </c>
    </row>
    <row r="176" spans="7:9" x14ac:dyDescent="0.2">
      <c r="G176" s="5" t="s">
        <v>98</v>
      </c>
      <c r="H176" s="3" t="s">
        <v>4</v>
      </c>
      <c r="I176" s="3" t="s">
        <v>168</v>
      </c>
    </row>
    <row r="177" spans="7:9" x14ac:dyDescent="0.2">
      <c r="G177" s="5" t="s">
        <v>99</v>
      </c>
      <c r="H177" s="3" t="s">
        <v>4</v>
      </c>
      <c r="I177" s="3" t="s">
        <v>168</v>
      </c>
    </row>
    <row r="178" spans="7:9" x14ac:dyDescent="0.2">
      <c r="G178" s="5" t="s">
        <v>100</v>
      </c>
      <c r="H178" s="3" t="s">
        <v>4</v>
      </c>
      <c r="I178" s="3" t="s">
        <v>168</v>
      </c>
    </row>
    <row r="179" spans="7:9" x14ac:dyDescent="0.2">
      <c r="G179" s="5" t="s">
        <v>102</v>
      </c>
      <c r="H179" s="3" t="s">
        <v>4</v>
      </c>
      <c r="I179" s="3" t="s">
        <v>168</v>
      </c>
    </row>
    <row r="180" spans="7:9" x14ac:dyDescent="0.2">
      <c r="G180" s="5" t="s">
        <v>104</v>
      </c>
      <c r="H180" s="3" t="s">
        <v>4</v>
      </c>
      <c r="I180" s="3" t="s">
        <v>168</v>
      </c>
    </row>
    <row r="181" spans="7:9" x14ac:dyDescent="0.2">
      <c r="G181" s="5" t="s">
        <v>107</v>
      </c>
      <c r="H181" s="3" t="s">
        <v>4</v>
      </c>
      <c r="I181" s="3" t="s">
        <v>168</v>
      </c>
    </row>
    <row r="182" spans="7:9" x14ac:dyDescent="0.2">
      <c r="G182" s="5" t="s">
        <v>112</v>
      </c>
      <c r="H182" s="3" t="s">
        <v>4</v>
      </c>
      <c r="I182" s="3" t="s">
        <v>168</v>
      </c>
    </row>
    <row r="183" spans="7:9" x14ac:dyDescent="0.2">
      <c r="G183" s="5" t="s">
        <v>113</v>
      </c>
      <c r="H183" s="3" t="s">
        <v>4</v>
      </c>
      <c r="I183" s="3" t="s">
        <v>168</v>
      </c>
    </row>
    <row r="184" spans="7:9" x14ac:dyDescent="0.2">
      <c r="G184" s="5" t="s">
        <v>114</v>
      </c>
      <c r="H184" s="3" t="s">
        <v>4</v>
      </c>
      <c r="I184" s="3" t="s">
        <v>168</v>
      </c>
    </row>
    <row r="185" spans="7:9" x14ac:dyDescent="0.2">
      <c r="G185" s="5" t="s">
        <v>115</v>
      </c>
      <c r="H185" s="3" t="s">
        <v>4</v>
      </c>
      <c r="I185" s="3" t="s">
        <v>168</v>
      </c>
    </row>
    <row r="186" spans="7:9" x14ac:dyDescent="0.2">
      <c r="G186" s="5" t="s">
        <v>10</v>
      </c>
      <c r="H186" s="3" t="s">
        <v>4</v>
      </c>
      <c r="I186" s="3" t="s">
        <v>167</v>
      </c>
    </row>
    <row r="187" spans="7:9" x14ac:dyDescent="0.2">
      <c r="G187" s="5" t="s">
        <v>18</v>
      </c>
      <c r="H187" s="3" t="s">
        <v>4</v>
      </c>
      <c r="I187" s="3" t="s">
        <v>167</v>
      </c>
    </row>
    <row r="188" spans="7:9" x14ac:dyDescent="0.2">
      <c r="G188" s="5" t="s">
        <v>21</v>
      </c>
      <c r="H188" s="3" t="s">
        <v>4</v>
      </c>
      <c r="I188" s="3" t="s">
        <v>167</v>
      </c>
    </row>
    <row r="189" spans="7:9" x14ac:dyDescent="0.2">
      <c r="G189" s="5" t="s">
        <v>26</v>
      </c>
      <c r="H189" s="3" t="s">
        <v>4</v>
      </c>
      <c r="I189" s="3" t="s">
        <v>167</v>
      </c>
    </row>
    <row r="190" spans="7:9" x14ac:dyDescent="0.2">
      <c r="G190" s="5" t="s">
        <v>30</v>
      </c>
      <c r="H190" s="3" t="s">
        <v>4</v>
      </c>
      <c r="I190" s="3" t="s">
        <v>167</v>
      </c>
    </row>
    <row r="191" spans="7:9" x14ac:dyDescent="0.2">
      <c r="G191" s="5" t="s">
        <v>31</v>
      </c>
      <c r="H191" s="3" t="s">
        <v>4</v>
      </c>
      <c r="I191" s="3" t="s">
        <v>167</v>
      </c>
    </row>
    <row r="192" spans="7:9" x14ac:dyDescent="0.2">
      <c r="G192" s="5" t="s">
        <v>49</v>
      </c>
      <c r="H192" s="3" t="s">
        <v>4</v>
      </c>
      <c r="I192" s="3" t="s">
        <v>132</v>
      </c>
    </row>
    <row r="193" spans="7:9" x14ac:dyDescent="0.2">
      <c r="G193" s="5" t="s">
        <v>57</v>
      </c>
      <c r="H193" s="3" t="s">
        <v>4</v>
      </c>
      <c r="I193" s="3" t="s">
        <v>167</v>
      </c>
    </row>
    <row r="194" spans="7:9" x14ac:dyDescent="0.2">
      <c r="G194" s="5" t="s">
        <v>59</v>
      </c>
      <c r="H194" s="3" t="s">
        <v>4</v>
      </c>
      <c r="I194" s="3" t="s">
        <v>167</v>
      </c>
    </row>
    <row r="195" spans="7:9" x14ac:dyDescent="0.2">
      <c r="G195" s="5" t="s">
        <v>66</v>
      </c>
      <c r="H195" s="3" t="s">
        <v>4</v>
      </c>
      <c r="I195" s="3" t="s">
        <v>167</v>
      </c>
    </row>
    <row r="196" spans="7:9" x14ac:dyDescent="0.2">
      <c r="G196" s="5" t="s">
        <v>78</v>
      </c>
      <c r="H196" s="3" t="s">
        <v>4</v>
      </c>
      <c r="I196" s="3" t="s">
        <v>167</v>
      </c>
    </row>
    <row r="197" spans="7:9" x14ac:dyDescent="0.2">
      <c r="G197" s="5" t="s">
        <v>89</v>
      </c>
      <c r="H197" s="3" t="s">
        <v>4</v>
      </c>
      <c r="I197" s="3" t="s">
        <v>167</v>
      </c>
    </row>
    <row r="198" spans="7:9" x14ac:dyDescent="0.2">
      <c r="G198" s="5" t="s">
        <v>90</v>
      </c>
      <c r="H198" s="3" t="s">
        <v>4</v>
      </c>
      <c r="I198" s="3" t="s">
        <v>167</v>
      </c>
    </row>
    <row r="199" spans="7:9" x14ac:dyDescent="0.2">
      <c r="G199" s="5" t="s">
        <v>91</v>
      </c>
      <c r="H199" s="3" t="s">
        <v>4</v>
      </c>
      <c r="I199" s="3" t="s">
        <v>167</v>
      </c>
    </row>
    <row r="200" spans="7:9" x14ac:dyDescent="0.2">
      <c r="G200" s="5" t="s">
        <v>94</v>
      </c>
      <c r="H200" s="3" t="s">
        <v>4</v>
      </c>
      <c r="I200" s="3" t="s">
        <v>167</v>
      </c>
    </row>
    <row r="201" spans="7:9" x14ac:dyDescent="0.2">
      <c r="G201" s="5" t="s">
        <v>95</v>
      </c>
      <c r="H201" s="3" t="s">
        <v>4</v>
      </c>
      <c r="I201" s="3" t="s">
        <v>167</v>
      </c>
    </row>
    <row r="202" spans="7:9" x14ac:dyDescent="0.2">
      <c r="G202" s="5" t="s">
        <v>96</v>
      </c>
      <c r="H202" s="3" t="s">
        <v>4</v>
      </c>
      <c r="I202" s="3" t="s">
        <v>167</v>
      </c>
    </row>
    <row r="203" spans="7:9" x14ac:dyDescent="0.2">
      <c r="G203" s="5" t="s">
        <v>101</v>
      </c>
      <c r="H203" s="3" t="s">
        <v>4</v>
      </c>
      <c r="I203" s="3" t="s">
        <v>167</v>
      </c>
    </row>
    <row r="204" spans="7:9" x14ac:dyDescent="0.2">
      <c r="G204" s="5" t="s">
        <v>103</v>
      </c>
      <c r="H204" s="3" t="s">
        <v>4</v>
      </c>
      <c r="I204" s="3" t="s">
        <v>167</v>
      </c>
    </row>
    <row r="205" spans="7:9" x14ac:dyDescent="0.2">
      <c r="G205" s="5" t="s">
        <v>110</v>
      </c>
      <c r="H205" s="3" t="s">
        <v>4</v>
      </c>
      <c r="I205" s="3" t="s">
        <v>167</v>
      </c>
    </row>
    <row r="206" spans="7:9" x14ac:dyDescent="0.2">
      <c r="G206" s="5" t="s">
        <v>111</v>
      </c>
      <c r="H206" s="3" t="s">
        <v>4</v>
      </c>
      <c r="I206" s="3" t="s">
        <v>167</v>
      </c>
    </row>
    <row r="207" spans="7:9" x14ac:dyDescent="0.2">
      <c r="G207" s="5" t="s">
        <v>424</v>
      </c>
      <c r="H207" s="3" t="s">
        <v>8</v>
      </c>
      <c r="I207" s="3" t="s">
        <v>151</v>
      </c>
    </row>
    <row r="208" spans="7:9" x14ac:dyDescent="0.2">
      <c r="G208" s="5" t="s">
        <v>19</v>
      </c>
      <c r="H208" s="3" t="s">
        <v>8</v>
      </c>
      <c r="I208" s="3" t="s">
        <v>120</v>
      </c>
    </row>
    <row r="209" spans="7:9" x14ac:dyDescent="0.2">
      <c r="G209" s="5" t="s">
        <v>20</v>
      </c>
      <c r="H209" s="3" t="s">
        <v>8</v>
      </c>
      <c r="I209" s="3" t="s">
        <v>120</v>
      </c>
    </row>
    <row r="210" spans="7:9" x14ac:dyDescent="0.2">
      <c r="G210" s="5" t="s">
        <v>68</v>
      </c>
      <c r="H210" s="3" t="s">
        <v>8</v>
      </c>
      <c r="I210" s="3" t="s">
        <v>120</v>
      </c>
    </row>
    <row r="211" spans="7:9" x14ac:dyDescent="0.2">
      <c r="G211" s="5" t="s">
        <v>24</v>
      </c>
      <c r="H211" s="3" t="s">
        <v>8</v>
      </c>
      <c r="I211" s="3" t="s">
        <v>149</v>
      </c>
    </row>
    <row r="212" spans="7:9" x14ac:dyDescent="0.2">
      <c r="G212" s="5" t="s">
        <v>25</v>
      </c>
      <c r="H212" s="3" t="s">
        <v>8</v>
      </c>
      <c r="I212" s="3" t="s">
        <v>145</v>
      </c>
    </row>
    <row r="213" spans="7:9" x14ac:dyDescent="0.2">
      <c r="G213" s="5" t="s">
        <v>54</v>
      </c>
      <c r="H213" s="3" t="s">
        <v>8</v>
      </c>
      <c r="I213" s="3" t="s">
        <v>126</v>
      </c>
    </row>
    <row r="214" spans="7:9" x14ac:dyDescent="0.2">
      <c r="G214" s="5" t="s">
        <v>16</v>
      </c>
      <c r="H214" s="3" t="s">
        <v>8</v>
      </c>
      <c r="I214" s="3" t="s">
        <v>178</v>
      </c>
    </row>
    <row r="215" spans="7:9" x14ac:dyDescent="0.2">
      <c r="G215" s="5" t="s">
        <v>17</v>
      </c>
      <c r="H215" s="3" t="s">
        <v>8</v>
      </c>
      <c r="I215" s="3" t="s">
        <v>179</v>
      </c>
    </row>
    <row r="216" spans="7:9" x14ac:dyDescent="0.2">
      <c r="G216" s="5" t="s">
        <v>22</v>
      </c>
      <c r="H216" s="3" t="s">
        <v>8</v>
      </c>
      <c r="I216" s="3" t="s">
        <v>178</v>
      </c>
    </row>
    <row r="217" spans="7:9" x14ac:dyDescent="0.2">
      <c r="G217" s="5" t="s">
        <v>23</v>
      </c>
      <c r="H217" s="3" t="s">
        <v>8</v>
      </c>
      <c r="I217" s="3" t="s">
        <v>178</v>
      </c>
    </row>
    <row r="218" spans="7:9" x14ac:dyDescent="0.2">
      <c r="G218" s="5" t="s">
        <v>33</v>
      </c>
      <c r="H218" s="3" t="s">
        <v>8</v>
      </c>
      <c r="I218" s="3" t="s">
        <v>179</v>
      </c>
    </row>
    <row r="219" spans="7:9" x14ac:dyDescent="0.2">
      <c r="G219" s="5" t="s">
        <v>34</v>
      </c>
      <c r="H219" s="3" t="s">
        <v>8</v>
      </c>
      <c r="I219" s="3" t="s">
        <v>179</v>
      </c>
    </row>
    <row r="220" spans="7:9" x14ac:dyDescent="0.2">
      <c r="G220" s="5" t="s">
        <v>35</v>
      </c>
      <c r="H220" s="3" t="s">
        <v>8</v>
      </c>
      <c r="I220" s="3" t="s">
        <v>179</v>
      </c>
    </row>
    <row r="221" spans="7:9" x14ac:dyDescent="0.2">
      <c r="G221" s="5" t="s">
        <v>49</v>
      </c>
      <c r="H221" s="3" t="s">
        <v>8</v>
      </c>
      <c r="I221" s="3" t="s">
        <v>180</v>
      </c>
    </row>
    <row r="222" spans="7:9" x14ac:dyDescent="0.2">
      <c r="G222" s="5" t="s">
        <v>27</v>
      </c>
      <c r="H222" s="3" t="s">
        <v>8</v>
      </c>
      <c r="I222" s="3" t="s">
        <v>121</v>
      </c>
    </row>
    <row r="223" spans="7:9" x14ac:dyDescent="0.2">
      <c r="G223" s="5" t="s">
        <v>28</v>
      </c>
      <c r="H223" s="3" t="s">
        <v>8</v>
      </c>
      <c r="I223" s="3" t="s">
        <v>121</v>
      </c>
    </row>
    <row r="224" spans="7:9" x14ac:dyDescent="0.2">
      <c r="G224" s="5" t="s">
        <v>56</v>
      </c>
      <c r="H224" s="3" t="s">
        <v>8</v>
      </c>
      <c r="I224" s="3" t="s">
        <v>121</v>
      </c>
    </row>
    <row r="225" spans="7:9" x14ac:dyDescent="0.2">
      <c r="G225" s="5" t="s">
        <v>69</v>
      </c>
      <c r="H225" s="3" t="s">
        <v>8</v>
      </c>
      <c r="I225" s="3" t="s">
        <v>121</v>
      </c>
    </row>
    <row r="226" spans="7:9" x14ac:dyDescent="0.2">
      <c r="G226" s="5" t="s">
        <v>77</v>
      </c>
      <c r="H226" s="3" t="s">
        <v>8</v>
      </c>
      <c r="I226" s="3" t="s">
        <v>121</v>
      </c>
    </row>
    <row r="227" spans="7:9" x14ac:dyDescent="0.2">
      <c r="G227" s="5" t="s">
        <v>87</v>
      </c>
      <c r="H227" s="3" t="s">
        <v>8</v>
      </c>
      <c r="I227" s="3" t="s">
        <v>121</v>
      </c>
    </row>
    <row r="228" spans="7:9" x14ac:dyDescent="0.2">
      <c r="G228" s="5" t="s">
        <v>91</v>
      </c>
      <c r="H228" s="3" t="s">
        <v>8</v>
      </c>
      <c r="I228" s="3" t="s">
        <v>121</v>
      </c>
    </row>
    <row r="229" spans="7:9" x14ac:dyDescent="0.2">
      <c r="G229" s="5" t="s">
        <v>97</v>
      </c>
      <c r="H229" s="3" t="s">
        <v>8</v>
      </c>
      <c r="I229" s="3" t="s">
        <v>121</v>
      </c>
    </row>
    <row r="230" spans="7:9" x14ac:dyDescent="0.2">
      <c r="G230" s="5" t="s">
        <v>99</v>
      </c>
      <c r="H230" s="3" t="s">
        <v>8</v>
      </c>
      <c r="I230" s="3" t="s">
        <v>121</v>
      </c>
    </row>
    <row r="231" spans="7:9" x14ac:dyDescent="0.2">
      <c r="G231" s="5" t="s">
        <v>29</v>
      </c>
      <c r="H231" s="3" t="s">
        <v>8</v>
      </c>
      <c r="I231" s="3" t="s">
        <v>181</v>
      </c>
    </row>
    <row r="232" spans="7:9" x14ac:dyDescent="0.2">
      <c r="G232" s="5" t="s">
        <v>45</v>
      </c>
      <c r="H232" s="3" t="s">
        <v>8</v>
      </c>
      <c r="I232" s="3" t="s">
        <v>181</v>
      </c>
    </row>
    <row r="233" spans="7:9" x14ac:dyDescent="0.2">
      <c r="G233" s="5" t="s">
        <v>46</v>
      </c>
      <c r="H233" s="3" t="s">
        <v>8</v>
      </c>
      <c r="I233" s="3" t="s">
        <v>181</v>
      </c>
    </row>
    <row r="234" spans="7:9" x14ac:dyDescent="0.2">
      <c r="G234" s="5" t="s">
        <v>84</v>
      </c>
      <c r="H234" s="3" t="s">
        <v>8</v>
      </c>
      <c r="I234" s="3" t="s">
        <v>181</v>
      </c>
    </row>
    <row r="235" spans="7:9" x14ac:dyDescent="0.2">
      <c r="G235" s="5" t="s">
        <v>85</v>
      </c>
      <c r="H235" s="3" t="s">
        <v>8</v>
      </c>
      <c r="I235" s="3" t="s">
        <v>181</v>
      </c>
    </row>
    <row r="236" spans="7:9" x14ac:dyDescent="0.2">
      <c r="G236" s="5" t="s">
        <v>32</v>
      </c>
      <c r="H236" s="3" t="s">
        <v>8</v>
      </c>
      <c r="I236" s="3" t="s">
        <v>148</v>
      </c>
    </row>
    <row r="237" spans="7:9" x14ac:dyDescent="0.2">
      <c r="G237" s="5" t="s">
        <v>26</v>
      </c>
      <c r="H237" s="3" t="s">
        <v>8</v>
      </c>
      <c r="I237" s="3" t="s">
        <v>152</v>
      </c>
    </row>
    <row r="238" spans="7:9" x14ac:dyDescent="0.2">
      <c r="G238" s="5" t="s">
        <v>89</v>
      </c>
      <c r="H238" s="3" t="s">
        <v>8</v>
      </c>
      <c r="I238" s="3" t="s">
        <v>152</v>
      </c>
    </row>
    <row r="239" spans="7:9" x14ac:dyDescent="0.2">
      <c r="G239" s="5" t="s">
        <v>94</v>
      </c>
      <c r="H239" s="3" t="s">
        <v>8</v>
      </c>
      <c r="I239" s="3" t="s">
        <v>152</v>
      </c>
    </row>
    <row r="240" spans="7:9" x14ac:dyDescent="0.2">
      <c r="G240" s="5" t="s">
        <v>96</v>
      </c>
      <c r="H240" s="3" t="s">
        <v>8</v>
      </c>
      <c r="I240" s="3" t="s">
        <v>152</v>
      </c>
    </row>
    <row r="241" spans="7:9" x14ac:dyDescent="0.2">
      <c r="G241" s="5" t="s">
        <v>111</v>
      </c>
      <c r="H241" s="3" t="s">
        <v>8</v>
      </c>
      <c r="I241" s="3" t="s">
        <v>152</v>
      </c>
    </row>
    <row r="242" spans="7:9" x14ac:dyDescent="0.2">
      <c r="G242" s="5" t="s">
        <v>423</v>
      </c>
      <c r="H242" s="3" t="s">
        <v>8</v>
      </c>
      <c r="I242" s="3" t="s">
        <v>168</v>
      </c>
    </row>
    <row r="243" spans="7:9" x14ac:dyDescent="0.2">
      <c r="G243" s="5" t="s">
        <v>36</v>
      </c>
      <c r="H243" s="3" t="s">
        <v>8</v>
      </c>
      <c r="I243" s="3" t="s">
        <v>123</v>
      </c>
    </row>
    <row r="244" spans="7:9" x14ac:dyDescent="0.2">
      <c r="G244" s="5" t="s">
        <v>37</v>
      </c>
      <c r="H244" s="3" t="s">
        <v>8</v>
      </c>
      <c r="I244" s="3" t="s">
        <v>123</v>
      </c>
    </row>
    <row r="245" spans="7:9" x14ac:dyDescent="0.2">
      <c r="G245" s="5" t="s">
        <v>38</v>
      </c>
      <c r="H245" s="3" t="s">
        <v>8</v>
      </c>
      <c r="I245" s="3" t="s">
        <v>123</v>
      </c>
    </row>
    <row r="246" spans="7:9" x14ac:dyDescent="0.2">
      <c r="G246" s="5" t="s">
        <v>39</v>
      </c>
      <c r="H246" s="3" t="s">
        <v>8</v>
      </c>
      <c r="I246" s="3" t="s">
        <v>123</v>
      </c>
    </row>
    <row r="247" spans="7:9" x14ac:dyDescent="0.2">
      <c r="G247" s="5" t="s">
        <v>40</v>
      </c>
      <c r="H247" s="3" t="s">
        <v>8</v>
      </c>
      <c r="I247" s="3" t="s">
        <v>123</v>
      </c>
    </row>
    <row r="248" spans="7:9" x14ac:dyDescent="0.2">
      <c r="G248" s="5" t="s">
        <v>41</v>
      </c>
      <c r="H248" s="3" t="s">
        <v>8</v>
      </c>
      <c r="I248" s="3" t="s">
        <v>123</v>
      </c>
    </row>
    <row r="249" spans="7:9" x14ac:dyDescent="0.2">
      <c r="G249" s="5" t="s">
        <v>42</v>
      </c>
      <c r="H249" s="3" t="s">
        <v>8</v>
      </c>
      <c r="I249" s="3" t="s">
        <v>123</v>
      </c>
    </row>
    <row r="250" spans="7:9" x14ac:dyDescent="0.2">
      <c r="G250" s="5" t="s">
        <v>43</v>
      </c>
      <c r="H250" s="3" t="s">
        <v>8</v>
      </c>
      <c r="I250" s="3" t="s">
        <v>123</v>
      </c>
    </row>
    <row r="251" spans="7:9" x14ac:dyDescent="0.2">
      <c r="G251" s="5" t="s">
        <v>44</v>
      </c>
      <c r="H251" s="3" t="s">
        <v>8</v>
      </c>
      <c r="I251" s="3" t="s">
        <v>123</v>
      </c>
    </row>
    <row r="252" spans="7:9" x14ac:dyDescent="0.2">
      <c r="G252" s="5" t="s">
        <v>18</v>
      </c>
      <c r="H252" s="3" t="s">
        <v>156</v>
      </c>
      <c r="I252" s="3" t="s">
        <v>124</v>
      </c>
    </row>
    <row r="253" spans="7:9" x14ac:dyDescent="0.2">
      <c r="G253" s="5" t="s">
        <v>21</v>
      </c>
      <c r="H253" s="3" t="s">
        <v>156</v>
      </c>
      <c r="I253" s="3" t="s">
        <v>124</v>
      </c>
    </row>
    <row r="254" spans="7:9" x14ac:dyDescent="0.2">
      <c r="G254" s="5" t="s">
        <v>30</v>
      </c>
      <c r="H254" s="3" t="s">
        <v>156</v>
      </c>
      <c r="I254" s="3" t="s">
        <v>124</v>
      </c>
    </row>
    <row r="255" spans="7:9" x14ac:dyDescent="0.2">
      <c r="G255" s="5" t="s">
        <v>31</v>
      </c>
      <c r="H255" s="3" t="s">
        <v>156</v>
      </c>
      <c r="I255" s="3" t="s">
        <v>125</v>
      </c>
    </row>
    <row r="256" spans="7:9" x14ac:dyDescent="0.2">
      <c r="G256" s="5" t="s">
        <v>57</v>
      </c>
      <c r="H256" s="3" t="s">
        <v>156</v>
      </c>
      <c r="I256" s="3" t="s">
        <v>157</v>
      </c>
    </row>
    <row r="257" spans="7:9" x14ac:dyDescent="0.2">
      <c r="G257" s="5" t="s">
        <v>59</v>
      </c>
      <c r="H257" s="3" t="s">
        <v>156</v>
      </c>
      <c r="I257" s="3" t="s">
        <v>157</v>
      </c>
    </row>
    <row r="258" spans="7:9" x14ac:dyDescent="0.2">
      <c r="G258" s="5" t="s">
        <v>66</v>
      </c>
      <c r="H258" s="3" t="s">
        <v>156</v>
      </c>
      <c r="I258" s="3" t="s">
        <v>157</v>
      </c>
    </row>
    <row r="259" spans="7:9" x14ac:dyDescent="0.2">
      <c r="G259" s="5" t="s">
        <v>78</v>
      </c>
      <c r="H259" s="3" t="s">
        <v>156</v>
      </c>
      <c r="I259" s="3" t="s">
        <v>157</v>
      </c>
    </row>
    <row r="260" spans="7:9" x14ac:dyDescent="0.2">
      <c r="G260" s="5" t="s">
        <v>90</v>
      </c>
      <c r="H260" s="3" t="s">
        <v>156</v>
      </c>
      <c r="I260" s="3" t="s">
        <v>157</v>
      </c>
    </row>
    <row r="261" spans="7:9" x14ac:dyDescent="0.2">
      <c r="G261" s="5" t="s">
        <v>95</v>
      </c>
      <c r="H261" s="3" t="s">
        <v>156</v>
      </c>
      <c r="I261" s="3" t="s">
        <v>157</v>
      </c>
    </row>
    <row r="262" spans="7:9" x14ac:dyDescent="0.2">
      <c r="G262" s="5" t="s">
        <v>101</v>
      </c>
      <c r="H262" s="3" t="s">
        <v>156</v>
      </c>
      <c r="I262" s="3" t="s">
        <v>157</v>
      </c>
    </row>
    <row r="263" spans="7:9" x14ac:dyDescent="0.2">
      <c r="G263" s="5" t="s">
        <v>103</v>
      </c>
      <c r="H263" s="3" t="s">
        <v>156</v>
      </c>
      <c r="I263" s="3" t="s">
        <v>157</v>
      </c>
    </row>
    <row r="264" spans="7:9" x14ac:dyDescent="0.2">
      <c r="G264" s="5" t="s">
        <v>110</v>
      </c>
      <c r="H264" s="3" t="s">
        <v>156</v>
      </c>
      <c r="I264" s="3" t="s">
        <v>157</v>
      </c>
    </row>
    <row r="265" spans="7:9" x14ac:dyDescent="0.2">
      <c r="G265" s="5" t="s">
        <v>26</v>
      </c>
      <c r="H265" s="3" t="s">
        <v>156</v>
      </c>
      <c r="I265" s="3" t="s">
        <v>152</v>
      </c>
    </row>
    <row r="266" spans="7:9" x14ac:dyDescent="0.2">
      <c r="G266" s="5" t="s">
        <v>89</v>
      </c>
      <c r="H266" s="3" t="s">
        <v>156</v>
      </c>
      <c r="I266" s="3" t="s">
        <v>152</v>
      </c>
    </row>
    <row r="267" spans="7:9" x14ac:dyDescent="0.2">
      <c r="G267" s="5" t="s">
        <v>94</v>
      </c>
      <c r="H267" s="3" t="s">
        <v>156</v>
      </c>
      <c r="I267" s="3" t="s">
        <v>152</v>
      </c>
    </row>
    <row r="268" spans="7:9" x14ac:dyDescent="0.2">
      <c r="G268" s="5" t="s">
        <v>96</v>
      </c>
      <c r="H268" s="3" t="s">
        <v>156</v>
      </c>
      <c r="I268" s="3" t="s">
        <v>152</v>
      </c>
    </row>
    <row r="269" spans="7:9" x14ac:dyDescent="0.2">
      <c r="G269" s="5" t="s">
        <v>111</v>
      </c>
      <c r="H269" s="3" t="s">
        <v>156</v>
      </c>
      <c r="I269" s="3" t="s">
        <v>152</v>
      </c>
    </row>
    <row r="270" spans="7:9" x14ac:dyDescent="0.2">
      <c r="G270" s="5" t="s">
        <v>14</v>
      </c>
      <c r="H270" s="3" t="s">
        <v>418</v>
      </c>
      <c r="I270" s="3" t="s">
        <v>140</v>
      </c>
    </row>
    <row r="271" spans="7:9" x14ac:dyDescent="0.2">
      <c r="G271" s="5" t="s">
        <v>15</v>
      </c>
      <c r="H271" s="3" t="s">
        <v>418</v>
      </c>
      <c r="I271" s="3" t="s">
        <v>140</v>
      </c>
    </row>
    <row r="272" spans="7:9" x14ac:dyDescent="0.2">
      <c r="G272" s="5" t="s">
        <v>64</v>
      </c>
      <c r="H272" s="3" t="s">
        <v>418</v>
      </c>
      <c r="I272" s="3" t="s">
        <v>141</v>
      </c>
    </row>
    <row r="273" spans="7:9" x14ac:dyDescent="0.2">
      <c r="G273" s="5" t="s">
        <v>65</v>
      </c>
      <c r="H273" s="3" t="s">
        <v>418</v>
      </c>
      <c r="I273" s="3" t="s">
        <v>141</v>
      </c>
    </row>
    <row r="274" spans="7:9" x14ac:dyDescent="0.2">
      <c r="G274" s="5" t="s">
        <v>71</v>
      </c>
      <c r="H274" s="3" t="s">
        <v>418</v>
      </c>
      <c r="I274" s="3" t="s">
        <v>142</v>
      </c>
    </row>
    <row r="275" spans="7:9" x14ac:dyDescent="0.2">
      <c r="G275" s="5" t="s">
        <v>72</v>
      </c>
      <c r="H275" s="3" t="s">
        <v>418</v>
      </c>
      <c r="I275" s="3" t="s">
        <v>142</v>
      </c>
    </row>
    <row r="276" spans="7:9" x14ac:dyDescent="0.2">
      <c r="G276" s="5" t="s">
        <v>73</v>
      </c>
      <c r="H276" s="3" t="s">
        <v>418</v>
      </c>
      <c r="I276" s="3" t="s">
        <v>142</v>
      </c>
    </row>
    <row r="277" spans="7:9" x14ac:dyDescent="0.2">
      <c r="G277" s="5" t="s">
        <v>74</v>
      </c>
      <c r="H277" s="3" t="s">
        <v>418</v>
      </c>
      <c r="I277" s="3" t="s">
        <v>142</v>
      </c>
    </row>
    <row r="278" spans="7:9" x14ac:dyDescent="0.2">
      <c r="G278" s="5" t="s">
        <v>81</v>
      </c>
      <c r="H278" s="3" t="s">
        <v>418</v>
      </c>
      <c r="I278" s="3" t="s">
        <v>143</v>
      </c>
    </row>
    <row r="279" spans="7:9" x14ac:dyDescent="0.2">
      <c r="G279" s="5" t="s">
        <v>82</v>
      </c>
      <c r="H279" s="3" t="s">
        <v>418</v>
      </c>
      <c r="I279" s="3" t="s">
        <v>143</v>
      </c>
    </row>
    <row r="280" spans="7:9" x14ac:dyDescent="0.2">
      <c r="G280" s="5" t="s">
        <v>86</v>
      </c>
      <c r="H280" s="3" t="s">
        <v>418</v>
      </c>
      <c r="I280" s="3" t="s">
        <v>143</v>
      </c>
    </row>
    <row r="281" spans="7:9" x14ac:dyDescent="0.2">
      <c r="G281" s="5" t="s">
        <v>105</v>
      </c>
      <c r="H281" s="3" t="s">
        <v>418</v>
      </c>
      <c r="I281" s="3" t="s">
        <v>144</v>
      </c>
    </row>
    <row r="282" spans="7:9" x14ac:dyDescent="0.2">
      <c r="G282" s="5" t="s">
        <v>106</v>
      </c>
      <c r="H282" s="3" t="s">
        <v>418</v>
      </c>
      <c r="I282" s="3" t="s">
        <v>144</v>
      </c>
    </row>
    <row r="283" spans="7:9" x14ac:dyDescent="0.2">
      <c r="G283" s="5" t="s">
        <v>108</v>
      </c>
      <c r="H283" s="3" t="s">
        <v>418</v>
      </c>
      <c r="I283" s="3" t="s">
        <v>144</v>
      </c>
    </row>
    <row r="284" spans="7:9" x14ac:dyDescent="0.2">
      <c r="G284" s="5" t="s">
        <v>109</v>
      </c>
      <c r="H284" s="3" t="s">
        <v>418</v>
      </c>
      <c r="I284" s="3" t="s">
        <v>144</v>
      </c>
    </row>
    <row r="285" spans="7:9" x14ac:dyDescent="0.2">
      <c r="G285" s="5"/>
      <c r="H285" s="3"/>
      <c r="I285" s="3"/>
    </row>
    <row r="286" spans="7:9" x14ac:dyDescent="0.2">
      <c r="G286" s="5"/>
      <c r="H286" s="3"/>
      <c r="I286" s="3"/>
    </row>
    <row r="287" spans="7:9" x14ac:dyDescent="0.2">
      <c r="G287" s="5"/>
      <c r="H287" s="3"/>
      <c r="I287" s="3"/>
    </row>
    <row r="288" spans="7:9" x14ac:dyDescent="0.2">
      <c r="G288" s="5"/>
      <c r="H288" s="3"/>
      <c r="I288" s="3"/>
    </row>
    <row r="289" spans="7:9" x14ac:dyDescent="0.2">
      <c r="G289" s="5"/>
      <c r="H289" s="3"/>
      <c r="I289" s="3"/>
    </row>
    <row r="290" spans="7:9" x14ac:dyDescent="0.2">
      <c r="G290" s="5"/>
      <c r="H290" s="3"/>
      <c r="I290" s="3"/>
    </row>
    <row r="291" spans="7:9" x14ac:dyDescent="0.2">
      <c r="G291" s="5"/>
      <c r="H291" s="3"/>
      <c r="I291" s="3"/>
    </row>
    <row r="292" spans="7:9" x14ac:dyDescent="0.2">
      <c r="G292" s="5"/>
      <c r="H292" s="3"/>
      <c r="I292" s="3"/>
    </row>
    <row r="293" spans="7:9" x14ac:dyDescent="0.2">
      <c r="G293" s="5"/>
      <c r="H293" s="3"/>
      <c r="I293" s="3"/>
    </row>
    <row r="294" spans="7:9" x14ac:dyDescent="0.2">
      <c r="G294" s="5"/>
      <c r="H294" s="3"/>
      <c r="I294" s="3"/>
    </row>
    <row r="295" spans="7:9" x14ac:dyDescent="0.2">
      <c r="G295" s="5"/>
      <c r="H295" s="3"/>
      <c r="I295" s="3"/>
    </row>
    <row r="296" spans="7:9" x14ac:dyDescent="0.2">
      <c r="G296" s="5"/>
      <c r="H296" s="3"/>
      <c r="I296" s="3"/>
    </row>
    <row r="297" spans="7:9" x14ac:dyDescent="0.2">
      <c r="G297" s="5"/>
      <c r="H297" s="3"/>
      <c r="I297" s="3"/>
    </row>
    <row r="298" spans="7:9" x14ac:dyDescent="0.2">
      <c r="G298" s="5"/>
      <c r="H298" s="3"/>
      <c r="I298" s="3"/>
    </row>
    <row r="299" spans="7:9" x14ac:dyDescent="0.2">
      <c r="G299" s="5"/>
      <c r="H299" s="3"/>
      <c r="I299" s="3"/>
    </row>
    <row r="300" spans="7:9" x14ac:dyDescent="0.2">
      <c r="G300" s="5"/>
      <c r="H300" s="3"/>
      <c r="I300" s="3"/>
    </row>
    <row r="301" spans="7:9" x14ac:dyDescent="0.2">
      <c r="G301" s="5"/>
      <c r="H301" s="3"/>
      <c r="I301" s="3"/>
    </row>
    <row r="302" spans="7:9" x14ac:dyDescent="0.2">
      <c r="G302" s="5"/>
      <c r="H302" s="3"/>
      <c r="I302" s="3"/>
    </row>
    <row r="303" spans="7:9" x14ac:dyDescent="0.2">
      <c r="G303" s="5"/>
      <c r="H303" s="3"/>
      <c r="I303" s="3"/>
    </row>
    <row r="304" spans="7:9" x14ac:dyDescent="0.2">
      <c r="G304" s="5"/>
      <c r="H304" s="3"/>
      <c r="I304" s="3"/>
    </row>
    <row r="305" spans="7:9" x14ac:dyDescent="0.2">
      <c r="G305" s="5"/>
      <c r="H305" s="3"/>
      <c r="I305" s="3"/>
    </row>
    <row r="306" spans="7:9" x14ac:dyDescent="0.2">
      <c r="G306" s="5"/>
      <c r="H306" s="3"/>
      <c r="I306" s="3"/>
    </row>
    <row r="307" spans="7:9" x14ac:dyDescent="0.2">
      <c r="G307" s="5"/>
      <c r="H307" s="3"/>
      <c r="I307" s="3"/>
    </row>
    <row r="308" spans="7:9" x14ac:dyDescent="0.2">
      <c r="G308" s="5"/>
      <c r="H308" s="3"/>
      <c r="I308" s="3"/>
    </row>
    <row r="309" spans="7:9" x14ac:dyDescent="0.2">
      <c r="G309" s="5"/>
      <c r="H309" s="3"/>
      <c r="I309" s="3"/>
    </row>
    <row r="310" spans="7:9" x14ac:dyDescent="0.2">
      <c r="G310" s="5"/>
      <c r="H310" s="3"/>
      <c r="I310" s="3"/>
    </row>
    <row r="311" spans="7:9" x14ac:dyDescent="0.2">
      <c r="G311" s="5"/>
      <c r="H311" s="3"/>
      <c r="I311" s="3"/>
    </row>
    <row r="312" spans="7:9" x14ac:dyDescent="0.2">
      <c r="G312" s="5"/>
      <c r="H312" s="3"/>
      <c r="I312" s="3"/>
    </row>
    <row r="313" spans="7:9" x14ac:dyDescent="0.2">
      <c r="G313" s="5"/>
      <c r="H313" s="3"/>
      <c r="I313" s="3"/>
    </row>
    <row r="314" spans="7:9" x14ac:dyDescent="0.2">
      <c r="G314" s="5"/>
      <c r="H314" s="3"/>
      <c r="I314" s="3"/>
    </row>
    <row r="315" spans="7:9" x14ac:dyDescent="0.2">
      <c r="G315" s="5"/>
      <c r="H315" s="3"/>
      <c r="I315" s="3"/>
    </row>
    <row r="316" spans="7:9" x14ac:dyDescent="0.2">
      <c r="G316" s="5"/>
      <c r="H316" s="3"/>
      <c r="I316" s="3"/>
    </row>
    <row r="317" spans="7:9" x14ac:dyDescent="0.2">
      <c r="G317" s="5"/>
      <c r="H317" s="3"/>
      <c r="I317" s="3"/>
    </row>
    <row r="318" spans="7:9" x14ac:dyDescent="0.2">
      <c r="G318" s="5"/>
      <c r="H318" s="3"/>
      <c r="I318" s="3"/>
    </row>
    <row r="319" spans="7:9" x14ac:dyDescent="0.2">
      <c r="G319" s="5"/>
      <c r="H319" s="3"/>
      <c r="I319" s="3"/>
    </row>
    <row r="320" spans="7:9" x14ac:dyDescent="0.2">
      <c r="G320" s="5"/>
      <c r="H320" s="3"/>
      <c r="I320" s="3"/>
    </row>
    <row r="321" spans="7:9" x14ac:dyDescent="0.2">
      <c r="G321" s="5"/>
      <c r="H321" s="3"/>
      <c r="I321" s="3"/>
    </row>
    <row r="322" spans="7:9" x14ac:dyDescent="0.2">
      <c r="G322" s="5"/>
      <c r="H322" s="3"/>
      <c r="I322" s="3"/>
    </row>
  </sheetData>
  <autoFilter ref="K8:R156" xr:uid="{819ADDD2-5B05-8144-B9B5-8043DF4B0F3F}"/>
  <dataValidations count="2">
    <dataValidation type="list" allowBlank="1" showInputMessage="1" showErrorMessage="1" sqref="D9:D55 H9:H154" xr:uid="{F6CF0F1A-D475-6241-B913-6D0E420C883E}">
      <formula1>OFFSET(lists_results_types,,,COUNTA(lists_results_types))</formula1>
    </dataValidation>
    <dataValidation type="list" allowBlank="1" showInputMessage="1" showErrorMessage="1" sqref="I9:I322" xr:uid="{74B1A462-EF5F-434C-8B13-1448081C3CF6}">
      <formula1>OFFSET($E$9:$E$55,,,COUNTA($E$9:$E$55))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3E629-FC72-074D-A8B6-C76EECF10B27}">
  <sheetPr codeName="Sheet3"/>
  <dimension ref="A1:D305"/>
  <sheetViews>
    <sheetView showGridLines="0" workbookViewId="0">
      <selection activeCell="D6" sqref="D6:D155"/>
    </sheetView>
  </sheetViews>
  <sheetFormatPr defaultColWidth="11.375" defaultRowHeight="11.4" x14ac:dyDescent="0.2"/>
  <cols>
    <col min="2" max="2" width="20.75" bestFit="1" customWidth="1"/>
    <col min="4" max="4" width="61.25" bestFit="1" customWidth="1"/>
  </cols>
  <sheetData>
    <row r="1" spans="1:4" s="1" customFormat="1" ht="28.8" thickBot="1" x14ac:dyDescent="0.25">
      <c r="A1" s="1" t="s">
        <v>9</v>
      </c>
    </row>
    <row r="5" spans="1:4" ht="13.2" x14ac:dyDescent="0.2">
      <c r="B5" s="2" t="s">
        <v>3</v>
      </c>
      <c r="D5" s="2" t="s">
        <v>241</v>
      </c>
    </row>
    <row r="6" spans="1:4" x14ac:dyDescent="0.2">
      <c r="B6" s="4" t="s">
        <v>131</v>
      </c>
      <c r="D6" s="4" t="s">
        <v>622</v>
      </c>
    </row>
    <row r="7" spans="1:4" x14ac:dyDescent="0.2">
      <c r="B7" s="4" t="s">
        <v>4</v>
      </c>
      <c r="D7" s="4" t="s">
        <v>623</v>
      </c>
    </row>
    <row r="8" spans="1:4" x14ac:dyDescent="0.2">
      <c r="B8" s="4" t="s">
        <v>5</v>
      </c>
      <c r="D8" s="4" t="s">
        <v>624</v>
      </c>
    </row>
    <row r="9" spans="1:4" x14ac:dyDescent="0.2">
      <c r="B9" s="4" t="s">
        <v>6</v>
      </c>
      <c r="D9" s="4" t="s">
        <v>625</v>
      </c>
    </row>
    <row r="10" spans="1:4" x14ac:dyDescent="0.2">
      <c r="B10" s="4" t="s">
        <v>7</v>
      </c>
      <c r="D10" s="4" t="s">
        <v>455</v>
      </c>
    </row>
    <row r="11" spans="1:4" x14ac:dyDescent="0.2">
      <c r="B11" s="4" t="s">
        <v>8</v>
      </c>
      <c r="D11" s="4" t="s">
        <v>456</v>
      </c>
    </row>
    <row r="12" spans="1:4" x14ac:dyDescent="0.2">
      <c r="B12" s="4" t="s">
        <v>117</v>
      </c>
      <c r="D12" s="4" t="s">
        <v>457</v>
      </c>
    </row>
    <row r="13" spans="1:4" x14ac:dyDescent="0.2">
      <c r="B13" s="4" t="s">
        <v>156</v>
      </c>
      <c r="D13" s="4" t="s">
        <v>458</v>
      </c>
    </row>
    <row r="14" spans="1:4" x14ac:dyDescent="0.2">
      <c r="B14" s="4" t="s">
        <v>418</v>
      </c>
      <c r="D14" s="4" t="s">
        <v>459</v>
      </c>
    </row>
    <row r="15" spans="1:4" x14ac:dyDescent="0.2">
      <c r="B15" s="4"/>
      <c r="D15" s="4" t="s">
        <v>460</v>
      </c>
    </row>
    <row r="16" spans="1:4" x14ac:dyDescent="0.2">
      <c r="D16" s="4" t="s">
        <v>461</v>
      </c>
    </row>
    <row r="17" spans="4:4" x14ac:dyDescent="0.2">
      <c r="D17" s="4" t="s">
        <v>462</v>
      </c>
    </row>
    <row r="18" spans="4:4" x14ac:dyDescent="0.2">
      <c r="D18" s="4" t="s">
        <v>463</v>
      </c>
    </row>
    <row r="19" spans="4:4" x14ac:dyDescent="0.2">
      <c r="D19" s="4" t="s">
        <v>464</v>
      </c>
    </row>
    <row r="20" spans="4:4" x14ac:dyDescent="0.2">
      <c r="D20" s="4" t="s">
        <v>465</v>
      </c>
    </row>
    <row r="21" spans="4:4" x14ac:dyDescent="0.2">
      <c r="D21" s="4" t="s">
        <v>466</v>
      </c>
    </row>
    <row r="22" spans="4:4" x14ac:dyDescent="0.2">
      <c r="D22" s="4" t="s">
        <v>467</v>
      </c>
    </row>
    <row r="23" spans="4:4" x14ac:dyDescent="0.2">
      <c r="D23" s="4" t="s">
        <v>468</v>
      </c>
    </row>
    <row r="24" spans="4:4" x14ac:dyDescent="0.2">
      <c r="D24" s="4" t="s">
        <v>469</v>
      </c>
    </row>
    <row r="25" spans="4:4" x14ac:dyDescent="0.2">
      <c r="D25" s="4" t="s">
        <v>470</v>
      </c>
    </row>
    <row r="26" spans="4:4" x14ac:dyDescent="0.2">
      <c r="D26" s="4" t="s">
        <v>471</v>
      </c>
    </row>
    <row r="27" spans="4:4" x14ac:dyDescent="0.2">
      <c r="D27" s="4" t="s">
        <v>472</v>
      </c>
    </row>
    <row r="28" spans="4:4" x14ac:dyDescent="0.2">
      <c r="D28" s="4" t="s">
        <v>473</v>
      </c>
    </row>
    <row r="29" spans="4:4" x14ac:dyDescent="0.2">
      <c r="D29" s="4" t="s">
        <v>474</v>
      </c>
    </row>
    <row r="30" spans="4:4" x14ac:dyDescent="0.2">
      <c r="D30" s="4" t="s">
        <v>414</v>
      </c>
    </row>
    <row r="31" spans="4:4" x14ac:dyDescent="0.2">
      <c r="D31" s="4" t="s">
        <v>475</v>
      </c>
    </row>
    <row r="32" spans="4:4" x14ac:dyDescent="0.2">
      <c r="D32" s="4" t="s">
        <v>476</v>
      </c>
    </row>
    <row r="33" spans="4:4" x14ac:dyDescent="0.2">
      <c r="D33" s="4" t="s">
        <v>477</v>
      </c>
    </row>
    <row r="34" spans="4:4" x14ac:dyDescent="0.2">
      <c r="D34" s="4" t="s">
        <v>478</v>
      </c>
    </row>
    <row r="35" spans="4:4" x14ac:dyDescent="0.2">
      <c r="D35" s="4" t="s">
        <v>479</v>
      </c>
    </row>
    <row r="36" spans="4:4" x14ac:dyDescent="0.2">
      <c r="D36" s="4" t="s">
        <v>480</v>
      </c>
    </row>
    <row r="37" spans="4:4" x14ac:dyDescent="0.2">
      <c r="D37" s="4" t="s">
        <v>481</v>
      </c>
    </row>
    <row r="38" spans="4:4" x14ac:dyDescent="0.2">
      <c r="D38" s="4" t="s">
        <v>482</v>
      </c>
    </row>
    <row r="39" spans="4:4" x14ac:dyDescent="0.2">
      <c r="D39" s="4" t="s">
        <v>483</v>
      </c>
    </row>
    <row r="40" spans="4:4" x14ac:dyDescent="0.2">
      <c r="D40" s="4" t="s">
        <v>484</v>
      </c>
    </row>
    <row r="41" spans="4:4" x14ac:dyDescent="0.2">
      <c r="D41" s="4" t="s">
        <v>485</v>
      </c>
    </row>
    <row r="42" spans="4:4" x14ac:dyDescent="0.2">
      <c r="D42" s="4" t="s">
        <v>486</v>
      </c>
    </row>
    <row r="43" spans="4:4" x14ac:dyDescent="0.2">
      <c r="D43" s="4" t="s">
        <v>487</v>
      </c>
    </row>
    <row r="44" spans="4:4" x14ac:dyDescent="0.2">
      <c r="D44" s="4" t="s">
        <v>488</v>
      </c>
    </row>
    <row r="45" spans="4:4" x14ac:dyDescent="0.2">
      <c r="D45" s="4" t="s">
        <v>489</v>
      </c>
    </row>
    <row r="46" spans="4:4" x14ac:dyDescent="0.2">
      <c r="D46" s="4" t="s">
        <v>490</v>
      </c>
    </row>
    <row r="47" spans="4:4" x14ac:dyDescent="0.2">
      <c r="D47" s="4" t="s">
        <v>491</v>
      </c>
    </row>
    <row r="48" spans="4:4" x14ac:dyDescent="0.2">
      <c r="D48" s="4" t="s">
        <v>492</v>
      </c>
    </row>
    <row r="49" spans="4:4" x14ac:dyDescent="0.2">
      <c r="D49" s="4" t="s">
        <v>493</v>
      </c>
    </row>
    <row r="50" spans="4:4" x14ac:dyDescent="0.2">
      <c r="D50" s="4" t="s">
        <v>494</v>
      </c>
    </row>
    <row r="51" spans="4:4" x14ac:dyDescent="0.2">
      <c r="D51" s="4" t="s">
        <v>495</v>
      </c>
    </row>
    <row r="52" spans="4:4" x14ac:dyDescent="0.2">
      <c r="D52" s="4" t="s">
        <v>496</v>
      </c>
    </row>
    <row r="53" spans="4:4" x14ac:dyDescent="0.2">
      <c r="D53" s="4" t="s">
        <v>497</v>
      </c>
    </row>
    <row r="54" spans="4:4" x14ac:dyDescent="0.2">
      <c r="D54" s="4" t="s">
        <v>498</v>
      </c>
    </row>
    <row r="55" spans="4:4" x14ac:dyDescent="0.2">
      <c r="D55" s="4" t="s">
        <v>499</v>
      </c>
    </row>
    <row r="56" spans="4:4" x14ac:dyDescent="0.2">
      <c r="D56" s="4" t="s">
        <v>500</v>
      </c>
    </row>
    <row r="57" spans="4:4" x14ac:dyDescent="0.2">
      <c r="D57" s="4" t="s">
        <v>501</v>
      </c>
    </row>
    <row r="58" spans="4:4" x14ac:dyDescent="0.2">
      <c r="D58" s="4" t="s">
        <v>502</v>
      </c>
    </row>
    <row r="59" spans="4:4" x14ac:dyDescent="0.2">
      <c r="D59" s="4" t="s">
        <v>503</v>
      </c>
    </row>
    <row r="60" spans="4:4" x14ac:dyDescent="0.2">
      <c r="D60" s="4" t="s">
        <v>504</v>
      </c>
    </row>
    <row r="61" spans="4:4" x14ac:dyDescent="0.2">
      <c r="D61" s="4" t="s">
        <v>505</v>
      </c>
    </row>
    <row r="62" spans="4:4" x14ac:dyDescent="0.2">
      <c r="D62" s="4" t="s">
        <v>506</v>
      </c>
    </row>
    <row r="63" spans="4:4" x14ac:dyDescent="0.2">
      <c r="D63" s="4" t="s">
        <v>507</v>
      </c>
    </row>
    <row r="64" spans="4:4" x14ac:dyDescent="0.2">
      <c r="D64" s="4" t="s">
        <v>508</v>
      </c>
    </row>
    <row r="65" spans="4:4" x14ac:dyDescent="0.2">
      <c r="D65" s="4" t="s">
        <v>509</v>
      </c>
    </row>
    <row r="66" spans="4:4" x14ac:dyDescent="0.2">
      <c r="D66" s="4" t="s">
        <v>510</v>
      </c>
    </row>
    <row r="67" spans="4:4" x14ac:dyDescent="0.2">
      <c r="D67" s="4" t="s">
        <v>511</v>
      </c>
    </row>
    <row r="68" spans="4:4" x14ac:dyDescent="0.2">
      <c r="D68" s="4" t="s">
        <v>512</v>
      </c>
    </row>
    <row r="69" spans="4:4" x14ac:dyDescent="0.2">
      <c r="D69" s="4" t="s">
        <v>513</v>
      </c>
    </row>
    <row r="70" spans="4:4" x14ac:dyDescent="0.2">
      <c r="D70" s="4" t="s">
        <v>514</v>
      </c>
    </row>
    <row r="71" spans="4:4" x14ac:dyDescent="0.2">
      <c r="D71" s="4" t="s">
        <v>515</v>
      </c>
    </row>
    <row r="72" spans="4:4" x14ac:dyDescent="0.2">
      <c r="D72" s="4" t="s">
        <v>516</v>
      </c>
    </row>
    <row r="73" spans="4:4" x14ac:dyDescent="0.2">
      <c r="D73" s="4" t="s">
        <v>517</v>
      </c>
    </row>
    <row r="74" spans="4:4" x14ac:dyDescent="0.2">
      <c r="D74" s="4" t="s">
        <v>518</v>
      </c>
    </row>
    <row r="75" spans="4:4" x14ac:dyDescent="0.2">
      <c r="D75" s="4" t="s">
        <v>519</v>
      </c>
    </row>
    <row r="76" spans="4:4" x14ac:dyDescent="0.2">
      <c r="D76" s="4" t="s">
        <v>520</v>
      </c>
    </row>
    <row r="77" spans="4:4" x14ac:dyDescent="0.2">
      <c r="D77" s="4" t="s">
        <v>521</v>
      </c>
    </row>
    <row r="78" spans="4:4" x14ac:dyDescent="0.2">
      <c r="D78" s="4" t="s">
        <v>522</v>
      </c>
    </row>
    <row r="79" spans="4:4" x14ac:dyDescent="0.2">
      <c r="D79" s="4" t="s">
        <v>523</v>
      </c>
    </row>
    <row r="80" spans="4:4" x14ac:dyDescent="0.2">
      <c r="D80" s="4" t="s">
        <v>524</v>
      </c>
    </row>
    <row r="81" spans="4:4" x14ac:dyDescent="0.2">
      <c r="D81" s="4" t="s">
        <v>525</v>
      </c>
    </row>
    <row r="82" spans="4:4" x14ac:dyDescent="0.2">
      <c r="D82" s="4" t="s">
        <v>526</v>
      </c>
    </row>
    <row r="83" spans="4:4" x14ac:dyDescent="0.2">
      <c r="D83" s="4" t="s">
        <v>527</v>
      </c>
    </row>
    <row r="84" spans="4:4" x14ac:dyDescent="0.2">
      <c r="D84" s="4" t="s">
        <v>528</v>
      </c>
    </row>
    <row r="85" spans="4:4" x14ac:dyDescent="0.2">
      <c r="D85" s="4" t="s">
        <v>529</v>
      </c>
    </row>
    <row r="86" spans="4:4" x14ac:dyDescent="0.2">
      <c r="D86" s="4" t="s">
        <v>530</v>
      </c>
    </row>
    <row r="87" spans="4:4" x14ac:dyDescent="0.2">
      <c r="D87" s="4" t="s">
        <v>531</v>
      </c>
    </row>
    <row r="88" spans="4:4" x14ac:dyDescent="0.2">
      <c r="D88" s="4" t="s">
        <v>532</v>
      </c>
    </row>
    <row r="89" spans="4:4" x14ac:dyDescent="0.2">
      <c r="D89" s="4" t="s">
        <v>533</v>
      </c>
    </row>
    <row r="90" spans="4:4" x14ac:dyDescent="0.2">
      <c r="D90" s="4" t="s">
        <v>534</v>
      </c>
    </row>
    <row r="91" spans="4:4" x14ac:dyDescent="0.2">
      <c r="D91" s="4" t="s">
        <v>535</v>
      </c>
    </row>
    <row r="92" spans="4:4" x14ac:dyDescent="0.2">
      <c r="D92" s="4" t="s">
        <v>536</v>
      </c>
    </row>
    <row r="93" spans="4:4" x14ac:dyDescent="0.2">
      <c r="D93" s="4" t="s">
        <v>537</v>
      </c>
    </row>
    <row r="94" spans="4:4" x14ac:dyDescent="0.2">
      <c r="D94" s="4" t="s">
        <v>538</v>
      </c>
    </row>
    <row r="95" spans="4:4" x14ac:dyDescent="0.2">
      <c r="D95" s="4" t="s">
        <v>539</v>
      </c>
    </row>
    <row r="96" spans="4:4" x14ac:dyDescent="0.2">
      <c r="D96" s="4" t="s">
        <v>540</v>
      </c>
    </row>
    <row r="97" spans="4:4" x14ac:dyDescent="0.2">
      <c r="D97" s="4" t="s">
        <v>541</v>
      </c>
    </row>
    <row r="98" spans="4:4" x14ac:dyDescent="0.2">
      <c r="D98" s="4" t="s">
        <v>542</v>
      </c>
    </row>
    <row r="99" spans="4:4" x14ac:dyDescent="0.2">
      <c r="D99" s="4" t="s">
        <v>543</v>
      </c>
    </row>
    <row r="100" spans="4:4" x14ac:dyDescent="0.2">
      <c r="D100" s="4" t="s">
        <v>544</v>
      </c>
    </row>
    <row r="101" spans="4:4" x14ac:dyDescent="0.2">
      <c r="D101" s="4" t="s">
        <v>545</v>
      </c>
    </row>
    <row r="102" spans="4:4" x14ac:dyDescent="0.2">
      <c r="D102" s="4" t="s">
        <v>546</v>
      </c>
    </row>
    <row r="103" spans="4:4" x14ac:dyDescent="0.2">
      <c r="D103" s="4" t="s">
        <v>547</v>
      </c>
    </row>
    <row r="104" spans="4:4" x14ac:dyDescent="0.2">
      <c r="D104" s="4" t="s">
        <v>548</v>
      </c>
    </row>
    <row r="105" spans="4:4" x14ac:dyDescent="0.2">
      <c r="D105" s="4" t="s">
        <v>549</v>
      </c>
    </row>
    <row r="106" spans="4:4" x14ac:dyDescent="0.2">
      <c r="D106" s="4" t="s">
        <v>550</v>
      </c>
    </row>
    <row r="107" spans="4:4" x14ac:dyDescent="0.2">
      <c r="D107" s="4" t="s">
        <v>551</v>
      </c>
    </row>
    <row r="108" spans="4:4" x14ac:dyDescent="0.2">
      <c r="D108" s="4" t="s">
        <v>552</v>
      </c>
    </row>
    <row r="109" spans="4:4" x14ac:dyDescent="0.2">
      <c r="D109" s="4" t="s">
        <v>553</v>
      </c>
    </row>
    <row r="110" spans="4:4" x14ac:dyDescent="0.2">
      <c r="D110" s="4" t="s">
        <v>554</v>
      </c>
    </row>
    <row r="111" spans="4:4" x14ac:dyDescent="0.2">
      <c r="D111" s="4" t="s">
        <v>555</v>
      </c>
    </row>
    <row r="112" spans="4:4" x14ac:dyDescent="0.2">
      <c r="D112" s="4" t="s">
        <v>556</v>
      </c>
    </row>
    <row r="113" spans="4:4" x14ac:dyDescent="0.2">
      <c r="D113" s="4" t="s">
        <v>557</v>
      </c>
    </row>
    <row r="114" spans="4:4" x14ac:dyDescent="0.2">
      <c r="D114" s="4" t="s">
        <v>558</v>
      </c>
    </row>
    <row r="115" spans="4:4" x14ac:dyDescent="0.2">
      <c r="D115" s="4" t="s">
        <v>559</v>
      </c>
    </row>
    <row r="116" spans="4:4" x14ac:dyDescent="0.2">
      <c r="D116" s="4" t="s">
        <v>560</v>
      </c>
    </row>
    <row r="117" spans="4:4" x14ac:dyDescent="0.2">
      <c r="D117" s="4" t="s">
        <v>561</v>
      </c>
    </row>
    <row r="118" spans="4:4" x14ac:dyDescent="0.2">
      <c r="D118" s="4" t="s">
        <v>562</v>
      </c>
    </row>
    <row r="119" spans="4:4" x14ac:dyDescent="0.2">
      <c r="D119" s="4" t="s">
        <v>563</v>
      </c>
    </row>
    <row r="120" spans="4:4" x14ac:dyDescent="0.2">
      <c r="D120" s="4" t="s">
        <v>564</v>
      </c>
    </row>
    <row r="121" spans="4:4" x14ac:dyDescent="0.2">
      <c r="D121" s="4" t="s">
        <v>565</v>
      </c>
    </row>
    <row r="122" spans="4:4" x14ac:dyDescent="0.2">
      <c r="D122" s="4" t="s">
        <v>566</v>
      </c>
    </row>
    <row r="123" spans="4:4" x14ac:dyDescent="0.2">
      <c r="D123" s="4" t="s">
        <v>567</v>
      </c>
    </row>
    <row r="124" spans="4:4" x14ac:dyDescent="0.2">
      <c r="D124" s="4" t="s">
        <v>568</v>
      </c>
    </row>
    <row r="125" spans="4:4" x14ac:dyDescent="0.2">
      <c r="D125" s="4" t="s">
        <v>569</v>
      </c>
    </row>
    <row r="126" spans="4:4" x14ac:dyDescent="0.2">
      <c r="D126" s="4" t="s">
        <v>570</v>
      </c>
    </row>
    <row r="127" spans="4:4" x14ac:dyDescent="0.2">
      <c r="D127" s="4" t="s">
        <v>571</v>
      </c>
    </row>
    <row r="128" spans="4:4" x14ac:dyDescent="0.2">
      <c r="D128" s="4" t="s">
        <v>572</v>
      </c>
    </row>
    <row r="129" spans="4:4" x14ac:dyDescent="0.2">
      <c r="D129" s="4" t="s">
        <v>573</v>
      </c>
    </row>
    <row r="130" spans="4:4" x14ac:dyDescent="0.2">
      <c r="D130" s="4" t="s">
        <v>574</v>
      </c>
    </row>
    <row r="131" spans="4:4" x14ac:dyDescent="0.2">
      <c r="D131" s="4" t="s">
        <v>575</v>
      </c>
    </row>
    <row r="132" spans="4:4" x14ac:dyDescent="0.2">
      <c r="D132" s="4" t="s">
        <v>576</v>
      </c>
    </row>
    <row r="133" spans="4:4" x14ac:dyDescent="0.2">
      <c r="D133" s="4" t="s">
        <v>577</v>
      </c>
    </row>
    <row r="134" spans="4:4" x14ac:dyDescent="0.2">
      <c r="D134" s="4" t="s">
        <v>578</v>
      </c>
    </row>
    <row r="135" spans="4:4" x14ac:dyDescent="0.2">
      <c r="D135" s="4" t="s">
        <v>579</v>
      </c>
    </row>
    <row r="136" spans="4:4" x14ac:dyDescent="0.2">
      <c r="D136" s="4" t="s">
        <v>580</v>
      </c>
    </row>
    <row r="137" spans="4:4" x14ac:dyDescent="0.2">
      <c r="D137" s="4" t="s">
        <v>581</v>
      </c>
    </row>
    <row r="138" spans="4:4" x14ac:dyDescent="0.2">
      <c r="D138" s="4" t="s">
        <v>582</v>
      </c>
    </row>
    <row r="139" spans="4:4" x14ac:dyDescent="0.2">
      <c r="D139" s="4" t="s">
        <v>583</v>
      </c>
    </row>
    <row r="140" spans="4:4" x14ac:dyDescent="0.2">
      <c r="D140" s="4" t="s">
        <v>584</v>
      </c>
    </row>
    <row r="141" spans="4:4" x14ac:dyDescent="0.2">
      <c r="D141" s="4" t="s">
        <v>585</v>
      </c>
    </row>
    <row r="142" spans="4:4" x14ac:dyDescent="0.2">
      <c r="D142" s="4" t="s">
        <v>586</v>
      </c>
    </row>
    <row r="143" spans="4:4" x14ac:dyDescent="0.2">
      <c r="D143" s="4" t="s">
        <v>587</v>
      </c>
    </row>
    <row r="144" spans="4:4" x14ac:dyDescent="0.2">
      <c r="D144" s="4" t="s">
        <v>588</v>
      </c>
    </row>
    <row r="145" spans="4:4" x14ac:dyDescent="0.2">
      <c r="D145" s="4" t="s">
        <v>589</v>
      </c>
    </row>
    <row r="146" spans="4:4" x14ac:dyDescent="0.2">
      <c r="D146" s="4" t="s">
        <v>590</v>
      </c>
    </row>
    <row r="147" spans="4:4" x14ac:dyDescent="0.2">
      <c r="D147" s="4" t="s">
        <v>591</v>
      </c>
    </row>
    <row r="148" spans="4:4" x14ac:dyDescent="0.2">
      <c r="D148" s="4" t="s">
        <v>592</v>
      </c>
    </row>
    <row r="149" spans="4:4" x14ac:dyDescent="0.2">
      <c r="D149" s="4" t="s">
        <v>593</v>
      </c>
    </row>
    <row r="150" spans="4:4" x14ac:dyDescent="0.2">
      <c r="D150" s="4" t="s">
        <v>594</v>
      </c>
    </row>
    <row r="151" spans="4:4" x14ac:dyDescent="0.2">
      <c r="D151" s="4" t="s">
        <v>595</v>
      </c>
    </row>
    <row r="152" spans="4:4" x14ac:dyDescent="0.2">
      <c r="D152" s="4" t="s">
        <v>596</v>
      </c>
    </row>
    <row r="153" spans="4:4" x14ac:dyDescent="0.2">
      <c r="D153" s="4" t="s">
        <v>597</v>
      </c>
    </row>
    <row r="154" spans="4:4" x14ac:dyDescent="0.2">
      <c r="D154" s="4" t="s">
        <v>598</v>
      </c>
    </row>
    <row r="155" spans="4:4" x14ac:dyDescent="0.2">
      <c r="D155" s="4" t="s">
        <v>599</v>
      </c>
    </row>
    <row r="156" spans="4:4" x14ac:dyDescent="0.2">
      <c r="D156" s="4" t="s">
        <v>600</v>
      </c>
    </row>
    <row r="157" spans="4:4" x14ac:dyDescent="0.2">
      <c r="D157" s="4" t="s">
        <v>601</v>
      </c>
    </row>
    <row r="158" spans="4:4" x14ac:dyDescent="0.2">
      <c r="D158" s="4" t="s">
        <v>602</v>
      </c>
    </row>
    <row r="159" spans="4:4" x14ac:dyDescent="0.2">
      <c r="D159" s="4" t="s">
        <v>603</v>
      </c>
    </row>
    <row r="160" spans="4:4" x14ac:dyDescent="0.2">
      <c r="D160" s="4" t="s">
        <v>604</v>
      </c>
    </row>
    <row r="161" spans="4:4" x14ac:dyDescent="0.2">
      <c r="D161" s="4" t="s">
        <v>605</v>
      </c>
    </row>
    <row r="162" spans="4:4" x14ac:dyDescent="0.2">
      <c r="D162" s="4" t="s">
        <v>606</v>
      </c>
    </row>
    <row r="163" spans="4:4" x14ac:dyDescent="0.2">
      <c r="D163" s="4" t="s">
        <v>607</v>
      </c>
    </row>
    <row r="164" spans="4:4" x14ac:dyDescent="0.2">
      <c r="D164" s="4" t="s">
        <v>608</v>
      </c>
    </row>
    <row r="165" spans="4:4" x14ac:dyDescent="0.2">
      <c r="D165" s="4" t="s">
        <v>609</v>
      </c>
    </row>
    <row r="166" spans="4:4" x14ac:dyDescent="0.2">
      <c r="D166" s="4" t="s">
        <v>610</v>
      </c>
    </row>
    <row r="167" spans="4:4" x14ac:dyDescent="0.2">
      <c r="D167" s="4" t="s">
        <v>611</v>
      </c>
    </row>
    <row r="168" spans="4:4" x14ac:dyDescent="0.2">
      <c r="D168" s="4" t="s">
        <v>612</v>
      </c>
    </row>
    <row r="169" spans="4:4" x14ac:dyDescent="0.2">
      <c r="D169" s="4" t="s">
        <v>613</v>
      </c>
    </row>
    <row r="170" spans="4:4" x14ac:dyDescent="0.2">
      <c r="D170" s="4" t="s">
        <v>614</v>
      </c>
    </row>
    <row r="171" spans="4:4" x14ac:dyDescent="0.2">
      <c r="D171" s="4"/>
    </row>
    <row r="172" spans="4:4" x14ac:dyDescent="0.2">
      <c r="D172" s="4"/>
    </row>
    <row r="173" spans="4:4" x14ac:dyDescent="0.2">
      <c r="D173" s="4"/>
    </row>
    <row r="174" spans="4:4" x14ac:dyDescent="0.2">
      <c r="D174" s="4"/>
    </row>
    <row r="175" spans="4:4" x14ac:dyDescent="0.2">
      <c r="D175" s="4"/>
    </row>
    <row r="176" spans="4:4" x14ac:dyDescent="0.2">
      <c r="D176" s="4"/>
    </row>
    <row r="177" spans="4:4" x14ac:dyDescent="0.2">
      <c r="D177" s="4"/>
    </row>
    <row r="178" spans="4:4" x14ac:dyDescent="0.2">
      <c r="D178" s="4"/>
    </row>
    <row r="179" spans="4:4" x14ac:dyDescent="0.2">
      <c r="D179" s="4"/>
    </row>
    <row r="180" spans="4:4" x14ac:dyDescent="0.2">
      <c r="D180" s="4"/>
    </row>
    <row r="181" spans="4:4" x14ac:dyDescent="0.2">
      <c r="D181" s="4"/>
    </row>
    <row r="182" spans="4:4" x14ac:dyDescent="0.2">
      <c r="D182" s="4"/>
    </row>
    <row r="183" spans="4:4" x14ac:dyDescent="0.2">
      <c r="D183" s="4"/>
    </row>
    <row r="184" spans="4:4" x14ac:dyDescent="0.2">
      <c r="D184" s="4"/>
    </row>
    <row r="185" spans="4:4" x14ac:dyDescent="0.2">
      <c r="D185" s="4"/>
    </row>
    <row r="186" spans="4:4" x14ac:dyDescent="0.2">
      <c r="D186" s="4"/>
    </row>
    <row r="187" spans="4:4" x14ac:dyDescent="0.2">
      <c r="D187" s="4"/>
    </row>
    <row r="188" spans="4:4" x14ac:dyDescent="0.2">
      <c r="D188" s="4"/>
    </row>
    <row r="189" spans="4:4" x14ac:dyDescent="0.2">
      <c r="D189" s="4"/>
    </row>
    <row r="190" spans="4:4" x14ac:dyDescent="0.2">
      <c r="D190" s="4"/>
    </row>
    <row r="191" spans="4:4" x14ac:dyDescent="0.2">
      <c r="D191" s="4"/>
    </row>
    <row r="192" spans="4:4" x14ac:dyDescent="0.2">
      <c r="D192" s="4"/>
    </row>
    <row r="193" spans="4:4" x14ac:dyDescent="0.2">
      <c r="D193" s="4"/>
    </row>
    <row r="194" spans="4:4" x14ac:dyDescent="0.2">
      <c r="D194" s="4"/>
    </row>
    <row r="195" spans="4:4" x14ac:dyDescent="0.2">
      <c r="D195" s="4"/>
    </row>
    <row r="196" spans="4:4" x14ac:dyDescent="0.2">
      <c r="D196" s="4"/>
    </row>
    <row r="197" spans="4:4" x14ac:dyDescent="0.2">
      <c r="D197" s="4"/>
    </row>
    <row r="198" spans="4:4" x14ac:dyDescent="0.2">
      <c r="D198" s="4"/>
    </row>
    <row r="199" spans="4:4" x14ac:dyDescent="0.2">
      <c r="D199" s="4"/>
    </row>
    <row r="200" spans="4:4" x14ac:dyDescent="0.2">
      <c r="D200" s="4"/>
    </row>
    <row r="201" spans="4:4" x14ac:dyDescent="0.2">
      <c r="D201" s="4"/>
    </row>
    <row r="202" spans="4:4" x14ac:dyDescent="0.2">
      <c r="D202" s="4"/>
    </row>
    <row r="203" spans="4:4" x14ac:dyDescent="0.2">
      <c r="D203" s="4"/>
    </row>
    <row r="204" spans="4:4" x14ac:dyDescent="0.2">
      <c r="D204" s="4"/>
    </row>
    <row r="205" spans="4:4" x14ac:dyDescent="0.2">
      <c r="D205" s="4"/>
    </row>
    <row r="206" spans="4:4" x14ac:dyDescent="0.2">
      <c r="D206" s="4"/>
    </row>
    <row r="207" spans="4:4" x14ac:dyDescent="0.2">
      <c r="D207" s="4"/>
    </row>
    <row r="208" spans="4:4" x14ac:dyDescent="0.2">
      <c r="D208" s="4"/>
    </row>
    <row r="209" spans="4:4" x14ac:dyDescent="0.2">
      <c r="D209" s="4"/>
    </row>
    <row r="210" spans="4:4" x14ac:dyDescent="0.2">
      <c r="D210" s="4"/>
    </row>
    <row r="211" spans="4:4" x14ac:dyDescent="0.2">
      <c r="D211" s="4"/>
    </row>
    <row r="212" spans="4:4" x14ac:dyDescent="0.2">
      <c r="D212" s="4"/>
    </row>
    <row r="213" spans="4:4" x14ac:dyDescent="0.2">
      <c r="D213" s="4"/>
    </row>
    <row r="214" spans="4:4" x14ac:dyDescent="0.2">
      <c r="D214" s="4"/>
    </row>
    <row r="215" spans="4:4" x14ac:dyDescent="0.2">
      <c r="D215" s="4"/>
    </row>
    <row r="216" spans="4:4" x14ac:dyDescent="0.2">
      <c r="D216" s="4"/>
    </row>
    <row r="217" spans="4:4" x14ac:dyDescent="0.2">
      <c r="D217" s="4"/>
    </row>
    <row r="218" spans="4:4" x14ac:dyDescent="0.2">
      <c r="D218" s="4"/>
    </row>
    <row r="219" spans="4:4" x14ac:dyDescent="0.2">
      <c r="D219" s="4"/>
    </row>
    <row r="220" spans="4:4" x14ac:dyDescent="0.2">
      <c r="D220" s="4"/>
    </row>
    <row r="221" spans="4:4" x14ac:dyDescent="0.2">
      <c r="D221" s="4"/>
    </row>
    <row r="222" spans="4:4" x14ac:dyDescent="0.2">
      <c r="D222" s="4"/>
    </row>
    <row r="223" spans="4:4" x14ac:dyDescent="0.2">
      <c r="D223" s="4"/>
    </row>
    <row r="224" spans="4:4" x14ac:dyDescent="0.2">
      <c r="D224" s="4"/>
    </row>
    <row r="225" spans="4:4" x14ac:dyDescent="0.2">
      <c r="D225" s="4"/>
    </row>
    <row r="226" spans="4:4" x14ac:dyDescent="0.2">
      <c r="D226" s="4"/>
    </row>
    <row r="227" spans="4:4" x14ac:dyDescent="0.2">
      <c r="D227" s="4"/>
    </row>
    <row r="228" spans="4:4" x14ac:dyDescent="0.2">
      <c r="D228" s="4"/>
    </row>
    <row r="229" spans="4:4" x14ac:dyDescent="0.2">
      <c r="D229" s="4"/>
    </row>
    <row r="230" spans="4:4" x14ac:dyDescent="0.2">
      <c r="D230" s="4"/>
    </row>
    <row r="231" spans="4:4" x14ac:dyDescent="0.2">
      <c r="D231" s="4"/>
    </row>
    <row r="232" spans="4:4" x14ac:dyDescent="0.2">
      <c r="D232" s="4"/>
    </row>
    <row r="233" spans="4:4" x14ac:dyDescent="0.2">
      <c r="D233" s="4"/>
    </row>
    <row r="234" spans="4:4" x14ac:dyDescent="0.2">
      <c r="D234" s="4"/>
    </row>
    <row r="235" spans="4:4" x14ac:dyDescent="0.2">
      <c r="D235" s="4"/>
    </row>
    <row r="236" spans="4:4" x14ac:dyDescent="0.2">
      <c r="D236" s="4"/>
    </row>
    <row r="237" spans="4:4" x14ac:dyDescent="0.2">
      <c r="D237" s="4"/>
    </row>
    <row r="238" spans="4:4" x14ac:dyDescent="0.2">
      <c r="D238" s="4"/>
    </row>
    <row r="239" spans="4:4" x14ac:dyDescent="0.2">
      <c r="D239" s="4"/>
    </row>
    <row r="240" spans="4:4" x14ac:dyDescent="0.2">
      <c r="D240" s="4"/>
    </row>
    <row r="241" spans="4:4" x14ac:dyDescent="0.2">
      <c r="D241" s="4"/>
    </row>
    <row r="242" spans="4:4" x14ac:dyDescent="0.2">
      <c r="D242" s="4"/>
    </row>
    <row r="243" spans="4:4" x14ac:dyDescent="0.2">
      <c r="D243" s="4"/>
    </row>
    <row r="244" spans="4:4" x14ac:dyDescent="0.2">
      <c r="D244" s="4"/>
    </row>
    <row r="245" spans="4:4" x14ac:dyDescent="0.2">
      <c r="D245" s="4"/>
    </row>
    <row r="246" spans="4:4" x14ac:dyDescent="0.2">
      <c r="D246" s="4"/>
    </row>
    <row r="247" spans="4:4" x14ac:dyDescent="0.2">
      <c r="D247" s="4"/>
    </row>
    <row r="248" spans="4:4" x14ac:dyDescent="0.2">
      <c r="D248" s="4"/>
    </row>
    <row r="249" spans="4:4" x14ac:dyDescent="0.2">
      <c r="D249" s="4"/>
    </row>
    <row r="250" spans="4:4" x14ac:dyDescent="0.2">
      <c r="D250" s="4"/>
    </row>
    <row r="251" spans="4:4" x14ac:dyDescent="0.2">
      <c r="D251" s="4"/>
    </row>
    <row r="252" spans="4:4" x14ac:dyDescent="0.2">
      <c r="D252" s="4"/>
    </row>
    <row r="253" spans="4:4" x14ac:dyDescent="0.2">
      <c r="D253" s="4"/>
    </row>
    <row r="254" spans="4:4" x14ac:dyDescent="0.2">
      <c r="D254" s="4"/>
    </row>
    <row r="255" spans="4:4" x14ac:dyDescent="0.2">
      <c r="D255" s="4"/>
    </row>
    <row r="256" spans="4:4" x14ac:dyDescent="0.2">
      <c r="D256" s="4"/>
    </row>
    <row r="257" spans="4:4" x14ac:dyDescent="0.2">
      <c r="D257" s="4"/>
    </row>
    <row r="258" spans="4:4" x14ac:dyDescent="0.2">
      <c r="D258" s="4"/>
    </row>
    <row r="259" spans="4:4" x14ac:dyDescent="0.2">
      <c r="D259" s="4"/>
    </row>
    <row r="260" spans="4:4" x14ac:dyDescent="0.2">
      <c r="D260" s="4"/>
    </row>
    <row r="261" spans="4:4" x14ac:dyDescent="0.2">
      <c r="D261" s="4"/>
    </row>
    <row r="262" spans="4:4" x14ac:dyDescent="0.2">
      <c r="D262" s="4"/>
    </row>
    <row r="263" spans="4:4" x14ac:dyDescent="0.2">
      <c r="D263" s="4"/>
    </row>
    <row r="264" spans="4:4" x14ac:dyDescent="0.2">
      <c r="D264" s="4"/>
    </row>
    <row r="265" spans="4:4" x14ac:dyDescent="0.2">
      <c r="D265" s="4"/>
    </row>
    <row r="266" spans="4:4" x14ac:dyDescent="0.2">
      <c r="D266" s="4"/>
    </row>
    <row r="267" spans="4:4" x14ac:dyDescent="0.2">
      <c r="D267" s="4"/>
    </row>
    <row r="268" spans="4:4" x14ac:dyDescent="0.2">
      <c r="D268" s="4"/>
    </row>
    <row r="269" spans="4:4" x14ac:dyDescent="0.2">
      <c r="D269" s="4"/>
    </row>
    <row r="270" spans="4:4" x14ac:dyDescent="0.2">
      <c r="D270" s="4"/>
    </row>
    <row r="271" spans="4:4" x14ac:dyDescent="0.2">
      <c r="D271" s="4"/>
    </row>
    <row r="272" spans="4:4" x14ac:dyDescent="0.2">
      <c r="D272" s="4"/>
    </row>
    <row r="273" spans="4:4" x14ac:dyDescent="0.2">
      <c r="D273" s="4"/>
    </row>
    <row r="274" spans="4:4" x14ac:dyDescent="0.2">
      <c r="D274" s="4"/>
    </row>
    <row r="275" spans="4:4" x14ac:dyDescent="0.2">
      <c r="D275" s="4"/>
    </row>
    <row r="276" spans="4:4" x14ac:dyDescent="0.2">
      <c r="D276" s="4"/>
    </row>
    <row r="277" spans="4:4" x14ac:dyDescent="0.2">
      <c r="D277" s="4"/>
    </row>
    <row r="278" spans="4:4" x14ac:dyDescent="0.2">
      <c r="D278" s="4"/>
    </row>
    <row r="279" spans="4:4" x14ac:dyDescent="0.2">
      <c r="D279" s="4"/>
    </row>
    <row r="280" spans="4:4" x14ac:dyDescent="0.2">
      <c r="D280" s="4"/>
    </row>
    <row r="281" spans="4:4" x14ac:dyDescent="0.2">
      <c r="D281" s="4"/>
    </row>
    <row r="282" spans="4:4" x14ac:dyDescent="0.2">
      <c r="D282" s="4"/>
    </row>
    <row r="283" spans="4:4" x14ac:dyDescent="0.2">
      <c r="D283" s="4"/>
    </row>
    <row r="284" spans="4:4" x14ac:dyDescent="0.2">
      <c r="D284" s="4"/>
    </row>
    <row r="285" spans="4:4" x14ac:dyDescent="0.2">
      <c r="D285" s="4"/>
    </row>
    <row r="286" spans="4:4" x14ac:dyDescent="0.2">
      <c r="D286" s="4"/>
    </row>
    <row r="287" spans="4:4" x14ac:dyDescent="0.2">
      <c r="D287" s="4"/>
    </row>
    <row r="288" spans="4:4" x14ac:dyDescent="0.2">
      <c r="D288" s="4"/>
    </row>
    <row r="289" spans="4:4" x14ac:dyDescent="0.2">
      <c r="D289" s="4"/>
    </row>
    <row r="290" spans="4:4" x14ac:dyDescent="0.2">
      <c r="D290" s="4"/>
    </row>
    <row r="291" spans="4:4" x14ac:dyDescent="0.2">
      <c r="D291" s="4"/>
    </row>
    <row r="292" spans="4:4" x14ac:dyDescent="0.2">
      <c r="D292" s="4"/>
    </row>
    <row r="293" spans="4:4" x14ac:dyDescent="0.2">
      <c r="D293" s="4"/>
    </row>
    <row r="294" spans="4:4" x14ac:dyDescent="0.2">
      <c r="D294" s="4"/>
    </row>
    <row r="295" spans="4:4" x14ac:dyDescent="0.2">
      <c r="D295" s="4"/>
    </row>
    <row r="296" spans="4:4" x14ac:dyDescent="0.2">
      <c r="D296" s="4"/>
    </row>
    <row r="297" spans="4:4" x14ac:dyDescent="0.2">
      <c r="D297" s="4"/>
    </row>
    <row r="298" spans="4:4" x14ac:dyDescent="0.2">
      <c r="D298" s="4"/>
    </row>
    <row r="299" spans="4:4" x14ac:dyDescent="0.2">
      <c r="D299" s="4"/>
    </row>
    <row r="300" spans="4:4" x14ac:dyDescent="0.2">
      <c r="D300" s="4"/>
    </row>
    <row r="301" spans="4:4" x14ac:dyDescent="0.2">
      <c r="D301" s="4"/>
    </row>
    <row r="302" spans="4:4" x14ac:dyDescent="0.2">
      <c r="D302" s="4"/>
    </row>
    <row r="303" spans="4:4" x14ac:dyDescent="0.2">
      <c r="D303" s="4"/>
    </row>
    <row r="304" spans="4:4" x14ac:dyDescent="0.2">
      <c r="D304" s="4"/>
    </row>
    <row r="305" spans="4:4" x14ac:dyDescent="0.2">
      <c r="D305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19DC9-8D39-1443-A5B7-7C61486AA634}">
  <sheetPr codeName="Sheet8"/>
  <dimension ref="A1:B17"/>
  <sheetViews>
    <sheetView workbookViewId="0">
      <selection activeCell="E3" sqref="E3"/>
    </sheetView>
  </sheetViews>
  <sheetFormatPr defaultColWidth="10.625" defaultRowHeight="11.4" x14ac:dyDescent="0.2"/>
  <cols>
    <col min="1" max="1" width="17.625" customWidth="1"/>
    <col min="2" max="2" width="11" customWidth="1"/>
  </cols>
  <sheetData>
    <row r="1" spans="1:2" x14ac:dyDescent="0.2">
      <c r="A1" t="s">
        <v>226</v>
      </c>
      <c r="B1" t="s">
        <v>621</v>
      </c>
    </row>
    <row r="2" spans="1:2" x14ac:dyDescent="0.2">
      <c r="A2" t="s">
        <v>227</v>
      </c>
    </row>
    <row r="3" spans="1:2" x14ac:dyDescent="0.2">
      <c r="A3" t="s">
        <v>228</v>
      </c>
    </row>
    <row r="4" spans="1:2" x14ac:dyDescent="0.2">
      <c r="A4" t="s">
        <v>229</v>
      </c>
    </row>
    <row r="5" spans="1:2" x14ac:dyDescent="0.2">
      <c r="A5" t="s">
        <v>230</v>
      </c>
      <c r="B5" t="s">
        <v>231</v>
      </c>
    </row>
    <row r="6" spans="1:2" x14ac:dyDescent="0.2">
      <c r="A6" t="s">
        <v>232</v>
      </c>
    </row>
    <row r="7" spans="1:2" x14ac:dyDescent="0.2">
      <c r="A7" t="s">
        <v>233</v>
      </c>
      <c r="B7" t="b">
        <v>0</v>
      </c>
    </row>
    <row r="8" spans="1:2" x14ac:dyDescent="0.2">
      <c r="A8" t="s">
        <v>234</v>
      </c>
      <c r="B8" t="b">
        <v>0</v>
      </c>
    </row>
    <row r="9" spans="1:2" x14ac:dyDescent="0.2">
      <c r="A9" t="s">
        <v>235</v>
      </c>
      <c r="B9" t="b">
        <v>0</v>
      </c>
    </row>
    <row r="13" spans="1:2" x14ac:dyDescent="0.2">
      <c r="A13" t="s">
        <v>236</v>
      </c>
    </row>
    <row r="14" spans="1:2" x14ac:dyDescent="0.2">
      <c r="A14" t="s">
        <v>237</v>
      </c>
    </row>
    <row r="15" spans="1:2" x14ac:dyDescent="0.2">
      <c r="A15" t="s">
        <v>238</v>
      </c>
    </row>
    <row r="16" spans="1:2" x14ac:dyDescent="0.2">
      <c r="A16" t="s">
        <v>239</v>
      </c>
    </row>
    <row r="17" spans="1:1" x14ac:dyDescent="0.2">
      <c r="A17" t="s">
        <v>240</v>
      </c>
    </row>
  </sheetData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94B04-4B1F-9341-AF89-4113022AECDD}">
  <sheetPr codeName="Sheet4">
    <tabColor theme="0" tint="-0.14999847407452621"/>
  </sheetPr>
  <dimension ref="A1"/>
  <sheetViews>
    <sheetView showGridLines="0" workbookViewId="0">
      <selection activeCell="C3" sqref="C3"/>
    </sheetView>
  </sheetViews>
  <sheetFormatPr defaultColWidth="11.375" defaultRowHeight="11.4" x14ac:dyDescent="0.2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DEFB3-24FA-B84B-ADCA-446F77093C9D}">
  <sheetPr codeName="Sheet6">
    <tabColor theme="0" tint="-0.14999847407452621"/>
  </sheetPr>
  <dimension ref="A1:H29"/>
  <sheetViews>
    <sheetView workbookViewId="0">
      <selection activeCell="K22" sqref="K22"/>
    </sheetView>
  </sheetViews>
  <sheetFormatPr defaultColWidth="11" defaultRowHeight="11.4" x14ac:dyDescent="0.2"/>
  <cols>
    <col min="1" max="1" width="40" bestFit="1" customWidth="1"/>
  </cols>
  <sheetData>
    <row r="1" spans="1:8" x14ac:dyDescent="0.2">
      <c r="A1" t="s">
        <v>448</v>
      </c>
      <c r="B1" t="s">
        <v>626</v>
      </c>
      <c r="C1" t="s">
        <v>627</v>
      </c>
      <c r="D1" t="s">
        <v>628</v>
      </c>
      <c r="E1" t="s">
        <v>629</v>
      </c>
      <c r="F1" t="s">
        <v>630</v>
      </c>
      <c r="G1" t="s">
        <v>631</v>
      </c>
      <c r="H1" t="s">
        <v>632</v>
      </c>
    </row>
    <row r="2" spans="1:8" x14ac:dyDescent="0.2">
      <c r="A2" t="s">
        <v>257</v>
      </c>
      <c r="B2" s="48">
        <v>52963</v>
      </c>
      <c r="C2">
        <v>0</v>
      </c>
      <c r="D2">
        <v>0</v>
      </c>
      <c r="E2">
        <v>0</v>
      </c>
      <c r="F2">
        <v>1000</v>
      </c>
      <c r="G2">
        <v>0</v>
      </c>
    </row>
    <row r="3" spans="1:8" x14ac:dyDescent="0.2">
      <c r="A3" t="s">
        <v>258</v>
      </c>
      <c r="B3" s="48">
        <v>52963</v>
      </c>
      <c r="C3">
        <v>0</v>
      </c>
      <c r="D3">
        <v>0</v>
      </c>
      <c r="E3">
        <v>0</v>
      </c>
      <c r="F3">
        <v>1476.0142069999999</v>
      </c>
      <c r="G3">
        <v>0</v>
      </c>
    </row>
    <row r="4" spans="1:8" x14ac:dyDescent="0.2">
      <c r="A4" t="s">
        <v>259</v>
      </c>
      <c r="B4" s="48">
        <v>52963</v>
      </c>
      <c r="C4">
        <v>0</v>
      </c>
      <c r="D4">
        <v>0</v>
      </c>
      <c r="E4">
        <v>0</v>
      </c>
      <c r="F4">
        <v>2838.4654719999999</v>
      </c>
      <c r="G4">
        <v>0</v>
      </c>
    </row>
    <row r="5" spans="1:8" x14ac:dyDescent="0.2">
      <c r="A5" t="s">
        <v>260</v>
      </c>
      <c r="B5" s="48">
        <v>52963</v>
      </c>
      <c r="C5">
        <v>0</v>
      </c>
      <c r="D5">
        <v>0</v>
      </c>
      <c r="E5">
        <v>0</v>
      </c>
      <c r="F5">
        <v>3100</v>
      </c>
      <c r="G5">
        <v>0</v>
      </c>
    </row>
    <row r="6" spans="1:8" x14ac:dyDescent="0.2">
      <c r="A6" t="s">
        <v>261</v>
      </c>
      <c r="B6" s="48">
        <v>52963</v>
      </c>
      <c r="C6">
        <v>0</v>
      </c>
      <c r="D6">
        <v>0</v>
      </c>
      <c r="E6">
        <v>0</v>
      </c>
      <c r="F6">
        <v>1412</v>
      </c>
      <c r="G6">
        <v>0</v>
      </c>
    </row>
    <row r="7" spans="1:8" x14ac:dyDescent="0.2">
      <c r="A7" t="s">
        <v>262</v>
      </c>
      <c r="B7" s="48">
        <v>52963</v>
      </c>
      <c r="C7">
        <v>0</v>
      </c>
      <c r="D7">
        <v>400</v>
      </c>
      <c r="E7">
        <v>400</v>
      </c>
      <c r="F7">
        <v>400</v>
      </c>
      <c r="G7">
        <v>6767947.9999999991</v>
      </c>
    </row>
    <row r="8" spans="1:8" x14ac:dyDescent="0.2">
      <c r="A8" t="s">
        <v>263</v>
      </c>
      <c r="B8" s="48">
        <v>52963</v>
      </c>
      <c r="C8">
        <v>0</v>
      </c>
      <c r="D8">
        <v>0</v>
      </c>
      <c r="E8">
        <v>0</v>
      </c>
      <c r="F8">
        <v>3718</v>
      </c>
      <c r="G8">
        <v>0</v>
      </c>
    </row>
    <row r="9" spans="1:8" x14ac:dyDescent="0.2">
      <c r="A9" t="s">
        <v>264</v>
      </c>
      <c r="B9" s="48">
        <v>52963</v>
      </c>
      <c r="C9">
        <v>0</v>
      </c>
      <c r="D9">
        <v>0</v>
      </c>
      <c r="E9">
        <v>0</v>
      </c>
      <c r="F9">
        <v>4453</v>
      </c>
      <c r="G9">
        <v>0</v>
      </c>
    </row>
    <row r="10" spans="1:8" x14ac:dyDescent="0.2">
      <c r="A10" t="s">
        <v>265</v>
      </c>
      <c r="B10" s="48">
        <v>52963</v>
      </c>
      <c r="C10">
        <v>0</v>
      </c>
      <c r="D10">
        <v>0</v>
      </c>
      <c r="E10">
        <v>0</v>
      </c>
      <c r="F10">
        <v>3136.64</v>
      </c>
      <c r="G10">
        <v>0</v>
      </c>
    </row>
    <row r="11" spans="1:8" x14ac:dyDescent="0.2">
      <c r="A11" t="s">
        <v>266</v>
      </c>
      <c r="B11" s="48">
        <v>52963</v>
      </c>
      <c r="C11">
        <v>0</v>
      </c>
      <c r="D11">
        <v>0</v>
      </c>
      <c r="E11">
        <v>0</v>
      </c>
      <c r="F11">
        <v>378</v>
      </c>
      <c r="G11">
        <v>0</v>
      </c>
    </row>
    <row r="12" spans="1:8" x14ac:dyDescent="0.2">
      <c r="A12" t="s">
        <v>267</v>
      </c>
      <c r="B12" s="48">
        <v>52963</v>
      </c>
      <c r="C12">
        <v>0</v>
      </c>
      <c r="D12">
        <v>0</v>
      </c>
      <c r="E12">
        <v>0</v>
      </c>
      <c r="F12">
        <v>1000</v>
      </c>
      <c r="G12">
        <v>0</v>
      </c>
    </row>
    <row r="13" spans="1:8" x14ac:dyDescent="0.2">
      <c r="A13" t="s">
        <v>268</v>
      </c>
      <c r="B13" s="48">
        <v>52963</v>
      </c>
      <c r="C13">
        <v>0</v>
      </c>
      <c r="D13">
        <v>0</v>
      </c>
      <c r="E13">
        <v>0</v>
      </c>
      <c r="F13">
        <v>100000</v>
      </c>
      <c r="G13">
        <v>0</v>
      </c>
    </row>
    <row r="14" spans="1:8" x14ac:dyDescent="0.2">
      <c r="A14" t="s">
        <v>269</v>
      </c>
      <c r="B14" s="48">
        <v>52963</v>
      </c>
      <c r="C14">
        <v>0</v>
      </c>
      <c r="D14">
        <v>0</v>
      </c>
      <c r="E14">
        <v>0</v>
      </c>
      <c r="F14">
        <v>57.398269999999997</v>
      </c>
      <c r="G14">
        <v>0</v>
      </c>
    </row>
    <row r="15" spans="1:8" x14ac:dyDescent="0.2">
      <c r="A15" t="s">
        <v>270</v>
      </c>
      <c r="B15" s="48">
        <v>52963</v>
      </c>
      <c r="C15">
        <v>0</v>
      </c>
      <c r="D15">
        <v>0</v>
      </c>
      <c r="E15">
        <v>0</v>
      </c>
      <c r="F15">
        <v>400</v>
      </c>
      <c r="G15">
        <v>0</v>
      </c>
    </row>
    <row r="16" spans="1:8" x14ac:dyDescent="0.2">
      <c r="A16" t="s">
        <v>271</v>
      </c>
      <c r="B16" s="48">
        <v>52963</v>
      </c>
      <c r="C16">
        <v>0</v>
      </c>
      <c r="D16">
        <v>1933</v>
      </c>
      <c r="E16">
        <v>1933</v>
      </c>
      <c r="F16">
        <v>2067</v>
      </c>
      <c r="G16">
        <v>8372221.1980000008</v>
      </c>
    </row>
    <row r="17" spans="1:7" x14ac:dyDescent="0.2">
      <c r="A17" t="s">
        <v>272</v>
      </c>
      <c r="B17" s="48">
        <v>52963</v>
      </c>
      <c r="C17">
        <v>0</v>
      </c>
      <c r="D17">
        <v>0</v>
      </c>
      <c r="E17">
        <v>0</v>
      </c>
      <c r="F17">
        <v>446</v>
      </c>
      <c r="G17">
        <v>0</v>
      </c>
    </row>
    <row r="18" spans="1:7" x14ac:dyDescent="0.2">
      <c r="A18" t="s">
        <v>273</v>
      </c>
      <c r="B18" s="48">
        <v>52963</v>
      </c>
      <c r="C18">
        <v>0</v>
      </c>
      <c r="D18">
        <v>0</v>
      </c>
      <c r="E18">
        <v>0</v>
      </c>
      <c r="F18">
        <v>2246</v>
      </c>
      <c r="G18">
        <v>0</v>
      </c>
    </row>
    <row r="19" spans="1:7" x14ac:dyDescent="0.2">
      <c r="A19" t="s">
        <v>274</v>
      </c>
      <c r="B19" s="48">
        <v>52963</v>
      </c>
      <c r="C19">
        <v>0</v>
      </c>
      <c r="D19">
        <v>980</v>
      </c>
      <c r="E19">
        <v>980</v>
      </c>
      <c r="F19">
        <v>980</v>
      </c>
      <c r="G19">
        <v>6767947.620000001</v>
      </c>
    </row>
    <row r="20" spans="1:7" x14ac:dyDescent="0.2">
      <c r="A20" t="s">
        <v>275</v>
      </c>
      <c r="B20" s="48">
        <v>52963</v>
      </c>
      <c r="C20">
        <v>0</v>
      </c>
      <c r="D20">
        <v>0</v>
      </c>
      <c r="E20">
        <v>0</v>
      </c>
      <c r="G20">
        <v>0</v>
      </c>
    </row>
    <row r="21" spans="1:7" x14ac:dyDescent="0.2">
      <c r="A21" t="s">
        <v>276</v>
      </c>
      <c r="B21" s="48">
        <v>52963</v>
      </c>
      <c r="C21">
        <v>0</v>
      </c>
      <c r="D21">
        <v>0</v>
      </c>
      <c r="E21">
        <v>0</v>
      </c>
      <c r="F21">
        <v>738.69</v>
      </c>
      <c r="G21">
        <v>0</v>
      </c>
    </row>
    <row r="22" spans="1:7" x14ac:dyDescent="0.2">
      <c r="A22" t="s">
        <v>277</v>
      </c>
      <c r="B22" s="48">
        <v>52963</v>
      </c>
      <c r="C22">
        <v>0</v>
      </c>
      <c r="D22">
        <v>0</v>
      </c>
      <c r="E22">
        <v>0</v>
      </c>
      <c r="F22">
        <v>1822</v>
      </c>
      <c r="G22">
        <v>0</v>
      </c>
    </row>
    <row r="23" spans="1:7" x14ac:dyDescent="0.2">
      <c r="A23" t="s">
        <v>278</v>
      </c>
      <c r="B23" s="48">
        <v>52963</v>
      </c>
      <c r="C23">
        <v>0</v>
      </c>
      <c r="D23">
        <v>1153</v>
      </c>
      <c r="E23">
        <v>1153</v>
      </c>
      <c r="F23">
        <v>4269</v>
      </c>
      <c r="G23">
        <v>5495527.7580000004</v>
      </c>
    </row>
    <row r="24" spans="1:7" x14ac:dyDescent="0.2">
      <c r="A24" t="s">
        <v>279</v>
      </c>
      <c r="B24" s="48">
        <v>52963</v>
      </c>
      <c r="C24">
        <v>0</v>
      </c>
      <c r="D24">
        <v>0</v>
      </c>
      <c r="E24">
        <v>0</v>
      </c>
      <c r="F24">
        <v>3648</v>
      </c>
      <c r="G24">
        <v>0</v>
      </c>
    </row>
    <row r="25" spans="1:7" x14ac:dyDescent="0.2">
      <c r="A25" t="s">
        <v>280</v>
      </c>
      <c r="B25" s="48">
        <v>52963</v>
      </c>
      <c r="C25">
        <v>0</v>
      </c>
      <c r="D25">
        <v>1699</v>
      </c>
      <c r="E25">
        <v>1699</v>
      </c>
      <c r="F25">
        <v>2119</v>
      </c>
      <c r="G25">
        <v>2309844.8679999998</v>
      </c>
    </row>
    <row r="26" spans="1:7" x14ac:dyDescent="0.2">
      <c r="A26" t="s">
        <v>281</v>
      </c>
      <c r="B26" s="48">
        <v>52963</v>
      </c>
      <c r="C26">
        <v>0</v>
      </c>
      <c r="D26">
        <v>0</v>
      </c>
      <c r="E26">
        <v>0</v>
      </c>
      <c r="F26">
        <v>430</v>
      </c>
      <c r="G26">
        <v>0</v>
      </c>
    </row>
    <row r="27" spans="1:7" x14ac:dyDescent="0.2">
      <c r="A27" t="s">
        <v>282</v>
      </c>
      <c r="B27" s="48">
        <v>52963</v>
      </c>
      <c r="C27">
        <v>0</v>
      </c>
      <c r="D27">
        <v>0</v>
      </c>
      <c r="E27">
        <v>0</v>
      </c>
      <c r="F27">
        <v>430</v>
      </c>
      <c r="G27">
        <v>0</v>
      </c>
    </row>
    <row r="28" spans="1:7" x14ac:dyDescent="0.2">
      <c r="A28" t="s">
        <v>283</v>
      </c>
      <c r="B28" s="48">
        <v>52963</v>
      </c>
      <c r="C28">
        <v>0</v>
      </c>
      <c r="D28">
        <v>2700</v>
      </c>
      <c r="E28">
        <v>2700</v>
      </c>
      <c r="F28">
        <v>2700</v>
      </c>
      <c r="G28">
        <v>1284140.79</v>
      </c>
    </row>
    <row r="29" spans="1:7" x14ac:dyDescent="0.2">
      <c r="A29" t="s">
        <v>284</v>
      </c>
      <c r="B29" s="48">
        <v>52963</v>
      </c>
      <c r="C29">
        <v>0</v>
      </c>
      <c r="D29">
        <v>0</v>
      </c>
      <c r="E29">
        <v>0</v>
      </c>
      <c r="F29">
        <v>114</v>
      </c>
      <c r="G29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FE5F4-B6AA-7945-AE62-49263AB5A152}">
  <sheetPr codeName="Sheet9">
    <tabColor theme="0" tint="-0.14999847407452621"/>
  </sheetPr>
  <dimension ref="A1:Y149"/>
  <sheetViews>
    <sheetView zoomScaleNormal="100" workbookViewId="0">
      <selection activeCell="D354" sqref="A354:XFD364"/>
    </sheetView>
  </sheetViews>
  <sheetFormatPr defaultColWidth="11" defaultRowHeight="11.4" x14ac:dyDescent="0.2"/>
  <cols>
    <col min="1" max="1" width="34.625" bestFit="1" customWidth="1"/>
  </cols>
  <sheetData>
    <row r="1" spans="1:25" x14ac:dyDescent="0.2">
      <c r="A1" t="s">
        <v>450</v>
      </c>
      <c r="B1" t="s">
        <v>250</v>
      </c>
      <c r="C1" t="s">
        <v>626</v>
      </c>
      <c r="D1" t="s">
        <v>627</v>
      </c>
      <c r="E1" t="s">
        <v>628</v>
      </c>
      <c r="F1" t="s">
        <v>686</v>
      </c>
      <c r="G1" t="s">
        <v>629</v>
      </c>
      <c r="H1" t="s">
        <v>630</v>
      </c>
      <c r="I1" t="s">
        <v>687</v>
      </c>
      <c r="J1" t="s">
        <v>688</v>
      </c>
      <c r="K1" t="s">
        <v>689</v>
      </c>
      <c r="L1" t="s">
        <v>690</v>
      </c>
      <c r="M1" t="s">
        <v>691</v>
      </c>
      <c r="N1" t="s">
        <v>692</v>
      </c>
      <c r="O1" t="s">
        <v>693</v>
      </c>
      <c r="P1" t="s">
        <v>694</v>
      </c>
      <c r="Q1" t="s">
        <v>695</v>
      </c>
      <c r="R1" t="s">
        <v>696</v>
      </c>
      <c r="S1" t="s">
        <v>631</v>
      </c>
      <c r="T1" t="s">
        <v>632</v>
      </c>
      <c r="U1" t="s">
        <v>697</v>
      </c>
      <c r="V1" t="s">
        <v>698</v>
      </c>
      <c r="W1" t="s">
        <v>699</v>
      </c>
      <c r="X1" t="s">
        <v>700</v>
      </c>
      <c r="Y1" t="s">
        <v>701</v>
      </c>
    </row>
    <row r="2" spans="1:25" x14ac:dyDescent="0.2">
      <c r="A2" t="s">
        <v>10</v>
      </c>
      <c r="B2" t="s">
        <v>128</v>
      </c>
      <c r="C2" s="48">
        <v>52963</v>
      </c>
      <c r="E2">
        <v>255.01208549700056</v>
      </c>
      <c r="G2">
        <v>255.01208549700056</v>
      </c>
      <c r="J2">
        <v>1517.321908707152</v>
      </c>
      <c r="L2">
        <v>1517.321908707152</v>
      </c>
      <c r="M2">
        <v>640570.52477463847</v>
      </c>
      <c r="N2">
        <v>544484.9460584427</v>
      </c>
      <c r="O2">
        <v>-96085.578716195756</v>
      </c>
      <c r="P2">
        <v>0</v>
      </c>
      <c r="S2">
        <v>22423064.501923226</v>
      </c>
      <c r="U2">
        <v>0</v>
      </c>
      <c r="V2">
        <v>0</v>
      </c>
      <c r="W2">
        <v>0</v>
      </c>
    </row>
    <row r="3" spans="1:25" x14ac:dyDescent="0.2">
      <c r="A3" t="s">
        <v>11</v>
      </c>
      <c r="B3" t="s">
        <v>128</v>
      </c>
      <c r="C3" s="48">
        <v>52963</v>
      </c>
      <c r="E3">
        <v>913.30619883636359</v>
      </c>
      <c r="G3">
        <v>913.30619883636359</v>
      </c>
      <c r="H3">
        <v>77080</v>
      </c>
      <c r="N3">
        <v>2674057.0762124425</v>
      </c>
      <c r="O3">
        <v>2674057.0762124425</v>
      </c>
      <c r="P3">
        <v>52179.358067853122</v>
      </c>
      <c r="S3">
        <v>50965668.006408237</v>
      </c>
      <c r="U3">
        <v>0</v>
      </c>
      <c r="V3">
        <v>0</v>
      </c>
      <c r="W3">
        <v>0</v>
      </c>
    </row>
    <row r="4" spans="1:25" x14ac:dyDescent="0.2">
      <c r="A4" t="s">
        <v>12</v>
      </c>
      <c r="B4" t="s">
        <v>128</v>
      </c>
      <c r="C4" s="48">
        <v>52963</v>
      </c>
      <c r="E4">
        <v>0</v>
      </c>
      <c r="G4">
        <v>0</v>
      </c>
      <c r="N4">
        <v>0</v>
      </c>
      <c r="O4">
        <v>0</v>
      </c>
      <c r="P4">
        <v>0</v>
      </c>
      <c r="S4">
        <v>0</v>
      </c>
      <c r="U4">
        <v>0</v>
      </c>
      <c r="V4">
        <v>0</v>
      </c>
      <c r="W4">
        <v>0</v>
      </c>
    </row>
    <row r="5" spans="1:25" x14ac:dyDescent="0.2">
      <c r="A5" t="s">
        <v>13</v>
      </c>
      <c r="B5" t="s">
        <v>128</v>
      </c>
      <c r="C5" s="48">
        <v>52963</v>
      </c>
      <c r="E5">
        <v>600</v>
      </c>
      <c r="G5">
        <v>600</v>
      </c>
      <c r="H5">
        <v>600</v>
      </c>
      <c r="N5">
        <v>1358769.9764182081</v>
      </c>
      <c r="O5">
        <v>1358769.9764182081</v>
      </c>
      <c r="P5">
        <v>68332.329914977425</v>
      </c>
      <c r="S5">
        <v>75466672.053841829</v>
      </c>
      <c r="U5">
        <v>0</v>
      </c>
      <c r="V5">
        <v>0</v>
      </c>
      <c r="W5">
        <v>0</v>
      </c>
    </row>
    <row r="6" spans="1:25" x14ac:dyDescent="0.2">
      <c r="A6" t="s">
        <v>644</v>
      </c>
      <c r="B6" t="s">
        <v>140</v>
      </c>
      <c r="C6" s="48">
        <v>52963</v>
      </c>
      <c r="D6">
        <v>17.5</v>
      </c>
      <c r="E6">
        <v>0</v>
      </c>
      <c r="F6">
        <v>0</v>
      </c>
      <c r="G6">
        <v>17.5</v>
      </c>
      <c r="N6">
        <v>153300</v>
      </c>
      <c r="O6">
        <v>153300</v>
      </c>
      <c r="P6">
        <v>0</v>
      </c>
      <c r="S6">
        <v>0</v>
      </c>
      <c r="U6">
        <v>257202.11769839999</v>
      </c>
      <c r="V6">
        <v>0</v>
      </c>
      <c r="W6">
        <v>0</v>
      </c>
    </row>
    <row r="7" spans="1:25" x14ac:dyDescent="0.2">
      <c r="A7" t="s">
        <v>14</v>
      </c>
      <c r="B7" t="s">
        <v>140</v>
      </c>
      <c r="C7" s="48">
        <v>52963</v>
      </c>
      <c r="D7">
        <v>1797.5000000000002</v>
      </c>
      <c r="E7">
        <v>0</v>
      </c>
      <c r="F7">
        <v>0</v>
      </c>
      <c r="G7">
        <v>1797.5000000000002</v>
      </c>
      <c r="N7">
        <v>805959.96237569966</v>
      </c>
      <c r="O7">
        <v>805959.96237569966</v>
      </c>
      <c r="P7">
        <v>0</v>
      </c>
      <c r="Q7">
        <v>197.50624487594499</v>
      </c>
      <c r="R7">
        <v>197.50624487594399</v>
      </c>
      <c r="S7">
        <v>0</v>
      </c>
      <c r="U7">
        <v>213213.8226324539</v>
      </c>
      <c r="V7">
        <v>49255396.244805768</v>
      </c>
      <c r="W7">
        <v>0</v>
      </c>
      <c r="X7">
        <v>1969539.7019354459</v>
      </c>
      <c r="Y7">
        <v>1969539.7019354361</v>
      </c>
    </row>
    <row r="8" spans="1:25" x14ac:dyDescent="0.2">
      <c r="A8" t="s">
        <v>645</v>
      </c>
      <c r="B8" t="s">
        <v>140</v>
      </c>
      <c r="C8" s="48">
        <v>52963</v>
      </c>
      <c r="D8">
        <v>31</v>
      </c>
      <c r="E8">
        <v>0</v>
      </c>
      <c r="F8">
        <v>0</v>
      </c>
      <c r="G8">
        <v>31</v>
      </c>
      <c r="N8">
        <v>271560</v>
      </c>
      <c r="O8">
        <v>271560</v>
      </c>
      <c r="P8">
        <v>0</v>
      </c>
      <c r="S8">
        <v>0</v>
      </c>
      <c r="U8">
        <v>320400.35233286401</v>
      </c>
      <c r="V8">
        <v>0</v>
      </c>
      <c r="W8">
        <v>0</v>
      </c>
    </row>
    <row r="9" spans="1:25" x14ac:dyDescent="0.2">
      <c r="A9" t="s">
        <v>646</v>
      </c>
      <c r="B9" t="s">
        <v>140</v>
      </c>
      <c r="C9" s="48">
        <v>52963</v>
      </c>
      <c r="D9">
        <v>2724.0600000000004</v>
      </c>
      <c r="E9">
        <v>0</v>
      </c>
      <c r="F9">
        <v>0</v>
      </c>
      <c r="G9">
        <v>2724.0600000000004</v>
      </c>
      <c r="N9">
        <v>5806828.9241860257</v>
      </c>
      <c r="O9">
        <v>5806828.9241860257</v>
      </c>
      <c r="P9">
        <v>0</v>
      </c>
      <c r="S9">
        <v>0</v>
      </c>
      <c r="U9">
        <v>0</v>
      </c>
      <c r="V9">
        <v>0</v>
      </c>
      <c r="W9">
        <v>0</v>
      </c>
    </row>
    <row r="10" spans="1:25" x14ac:dyDescent="0.2">
      <c r="A10" t="s">
        <v>15</v>
      </c>
      <c r="B10" t="s">
        <v>140</v>
      </c>
      <c r="C10" s="48">
        <v>52963</v>
      </c>
      <c r="D10">
        <v>866.99000000000012</v>
      </c>
      <c r="E10">
        <v>0</v>
      </c>
      <c r="F10">
        <v>0</v>
      </c>
      <c r="G10">
        <v>866.99000000000012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2">
      <c r="A11" t="s">
        <v>647</v>
      </c>
      <c r="B11" t="s">
        <v>140</v>
      </c>
      <c r="C11" s="48">
        <v>52963</v>
      </c>
      <c r="D11">
        <v>0</v>
      </c>
      <c r="E11">
        <v>0</v>
      </c>
      <c r="F11">
        <v>0</v>
      </c>
      <c r="G11">
        <v>0</v>
      </c>
      <c r="N11">
        <v>0</v>
      </c>
      <c r="O11">
        <v>0</v>
      </c>
      <c r="P11">
        <v>0</v>
      </c>
      <c r="S11">
        <v>0</v>
      </c>
      <c r="U11">
        <v>0</v>
      </c>
      <c r="V11">
        <v>0</v>
      </c>
      <c r="W11">
        <v>0</v>
      </c>
    </row>
    <row r="12" spans="1:25" x14ac:dyDescent="0.2">
      <c r="A12" t="s">
        <v>648</v>
      </c>
      <c r="B12" t="s">
        <v>140</v>
      </c>
      <c r="C12" s="48">
        <v>52963</v>
      </c>
      <c r="D12">
        <v>41.2</v>
      </c>
      <c r="E12">
        <v>0</v>
      </c>
      <c r="F12">
        <v>0</v>
      </c>
      <c r="G12">
        <v>41.2</v>
      </c>
      <c r="N12">
        <v>360912</v>
      </c>
      <c r="O12">
        <v>360912</v>
      </c>
      <c r="P12">
        <v>0</v>
      </c>
      <c r="S12">
        <v>0</v>
      </c>
      <c r="U12">
        <v>0</v>
      </c>
      <c r="V12">
        <v>0</v>
      </c>
      <c r="W12">
        <v>0</v>
      </c>
    </row>
    <row r="13" spans="1:25" x14ac:dyDescent="0.2">
      <c r="A13" t="s">
        <v>649</v>
      </c>
      <c r="B13" t="s">
        <v>140</v>
      </c>
      <c r="C13" s="48">
        <v>52963</v>
      </c>
      <c r="D13">
        <v>3747.2728994766248</v>
      </c>
      <c r="E13">
        <v>0</v>
      </c>
      <c r="F13">
        <v>0</v>
      </c>
      <c r="G13">
        <v>3747.2728994766248</v>
      </c>
      <c r="N13">
        <v>10280098.160933118</v>
      </c>
      <c r="O13">
        <v>10280098.160933118</v>
      </c>
      <c r="P13">
        <v>16615.812441667</v>
      </c>
      <c r="S13">
        <v>0</v>
      </c>
      <c r="U13">
        <v>0</v>
      </c>
      <c r="V13">
        <v>0</v>
      </c>
      <c r="W13">
        <v>498474.37325001002</v>
      </c>
    </row>
    <row r="14" spans="1:25" x14ac:dyDescent="0.2">
      <c r="A14" t="s">
        <v>650</v>
      </c>
      <c r="B14" t="s">
        <v>140</v>
      </c>
      <c r="C14" s="48">
        <v>52963</v>
      </c>
      <c r="D14">
        <v>0</v>
      </c>
      <c r="E14">
        <v>0</v>
      </c>
      <c r="F14">
        <v>0</v>
      </c>
      <c r="G14">
        <v>0</v>
      </c>
      <c r="N14">
        <v>0</v>
      </c>
      <c r="O14">
        <v>0</v>
      </c>
      <c r="P14">
        <v>0</v>
      </c>
      <c r="S14">
        <v>0</v>
      </c>
      <c r="U14">
        <v>0</v>
      </c>
      <c r="V14">
        <v>0</v>
      </c>
      <c r="W14">
        <v>0</v>
      </c>
    </row>
    <row r="15" spans="1:25" x14ac:dyDescent="0.2">
      <c r="A15" t="s">
        <v>16</v>
      </c>
      <c r="B15" t="s">
        <v>128</v>
      </c>
      <c r="C15" s="48">
        <v>52963</v>
      </c>
      <c r="D15">
        <v>0</v>
      </c>
      <c r="E15">
        <v>3420.9643003847432</v>
      </c>
      <c r="F15">
        <v>0</v>
      </c>
      <c r="G15">
        <v>3420.9643003847432</v>
      </c>
      <c r="H15">
        <v>99999</v>
      </c>
      <c r="N15">
        <v>5727729.1192789804</v>
      </c>
      <c r="O15">
        <v>5727729.1192789804</v>
      </c>
      <c r="P15">
        <v>0</v>
      </c>
      <c r="Q15">
        <v>656.21022086232006</v>
      </c>
      <c r="R15">
        <v>656.21022086232006</v>
      </c>
      <c r="S15">
        <v>359250451.9821471</v>
      </c>
      <c r="U15">
        <v>1580748.5706780511</v>
      </c>
      <c r="V15">
        <v>324331169.19811255</v>
      </c>
      <c r="W15">
        <v>0</v>
      </c>
      <c r="X15">
        <v>10654545.701731171</v>
      </c>
      <c r="Y15">
        <v>10654545.701731171</v>
      </c>
    </row>
    <row r="16" spans="1:25" x14ac:dyDescent="0.2">
      <c r="A16" t="s">
        <v>17</v>
      </c>
      <c r="B16" t="s">
        <v>128</v>
      </c>
      <c r="C16" s="48">
        <v>52963</v>
      </c>
      <c r="D16">
        <v>0</v>
      </c>
      <c r="E16">
        <v>0</v>
      </c>
      <c r="F16">
        <v>0</v>
      </c>
      <c r="G16">
        <v>0</v>
      </c>
      <c r="H16">
        <v>99999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2">
      <c r="A17" t="s">
        <v>18</v>
      </c>
      <c r="B17" t="s">
        <v>128</v>
      </c>
      <c r="C17" s="48">
        <v>52963</v>
      </c>
      <c r="D17">
        <v>1987.24</v>
      </c>
      <c r="E17">
        <v>0</v>
      </c>
      <c r="F17">
        <v>0</v>
      </c>
      <c r="G17">
        <v>1987.24</v>
      </c>
      <c r="I17">
        <v>7754.96</v>
      </c>
      <c r="J17">
        <v>0</v>
      </c>
      <c r="K17">
        <v>0</v>
      </c>
      <c r="L17">
        <v>7754.96</v>
      </c>
      <c r="M17">
        <v>3244975.9505194579</v>
      </c>
      <c r="N17">
        <v>2758229.5579415392</v>
      </c>
      <c r="O17">
        <v>-486746.39257791871</v>
      </c>
      <c r="P17">
        <v>0</v>
      </c>
      <c r="S17">
        <v>0</v>
      </c>
      <c r="U17">
        <v>0</v>
      </c>
      <c r="V17">
        <v>0</v>
      </c>
      <c r="W17">
        <v>0</v>
      </c>
    </row>
    <row r="18" spans="1:25" x14ac:dyDescent="0.2">
      <c r="A18" t="s">
        <v>19</v>
      </c>
      <c r="B18" t="s">
        <v>128</v>
      </c>
      <c r="C18" s="48">
        <v>52963</v>
      </c>
      <c r="D18">
        <v>796.02099999999996</v>
      </c>
      <c r="E18">
        <v>0</v>
      </c>
      <c r="F18">
        <v>0</v>
      </c>
      <c r="G18">
        <v>796.02099999999996</v>
      </c>
      <c r="N18">
        <v>4044423.4967999998</v>
      </c>
      <c r="O18">
        <v>4044423.4967999998</v>
      </c>
      <c r="P18">
        <v>0</v>
      </c>
      <c r="S18">
        <v>0</v>
      </c>
      <c r="U18">
        <v>6785611.7954737637</v>
      </c>
      <c r="V18">
        <v>0</v>
      </c>
      <c r="W18">
        <v>0</v>
      </c>
    </row>
    <row r="19" spans="1:25" x14ac:dyDescent="0.2">
      <c r="A19" t="s">
        <v>20</v>
      </c>
      <c r="B19" t="s">
        <v>128</v>
      </c>
      <c r="C19" s="48">
        <v>52963</v>
      </c>
      <c r="D19">
        <v>11.7</v>
      </c>
      <c r="E19">
        <v>0</v>
      </c>
      <c r="F19">
        <v>0</v>
      </c>
      <c r="G19">
        <v>11.7</v>
      </c>
      <c r="N19">
        <v>102492</v>
      </c>
      <c r="O19">
        <v>102492</v>
      </c>
      <c r="P19">
        <v>0</v>
      </c>
      <c r="S19">
        <v>0</v>
      </c>
      <c r="U19">
        <v>171957.98726121598</v>
      </c>
      <c r="V19">
        <v>0</v>
      </c>
      <c r="W19">
        <v>0</v>
      </c>
    </row>
    <row r="20" spans="1:25" x14ac:dyDescent="0.2">
      <c r="A20" t="s">
        <v>21</v>
      </c>
      <c r="B20" t="s">
        <v>128</v>
      </c>
      <c r="C20" s="48">
        <v>52963</v>
      </c>
      <c r="D20">
        <v>2584.204188958096</v>
      </c>
      <c r="E20">
        <v>0</v>
      </c>
      <c r="F20">
        <v>0</v>
      </c>
      <c r="G20">
        <v>2584.204188958096</v>
      </c>
      <c r="J20">
        <v>0</v>
      </c>
      <c r="L20">
        <v>6460.51047239524</v>
      </c>
      <c r="M20">
        <v>2774219.2028520731</v>
      </c>
      <c r="N20">
        <v>2358086.3224242623</v>
      </c>
      <c r="O20">
        <v>-416132.88042781077</v>
      </c>
      <c r="P20">
        <v>0</v>
      </c>
      <c r="S20">
        <v>0</v>
      </c>
      <c r="U20">
        <v>0</v>
      </c>
      <c r="V20">
        <v>0</v>
      </c>
      <c r="W20">
        <v>0</v>
      </c>
    </row>
    <row r="21" spans="1:25" x14ac:dyDescent="0.2">
      <c r="A21" t="s">
        <v>22</v>
      </c>
      <c r="B21" t="s">
        <v>128</v>
      </c>
      <c r="C21" s="48">
        <v>52963</v>
      </c>
      <c r="D21">
        <v>13499.52</v>
      </c>
      <c r="E21">
        <v>0</v>
      </c>
      <c r="F21">
        <v>0</v>
      </c>
      <c r="G21">
        <v>13499.52</v>
      </c>
      <c r="N21">
        <v>9128326.6470671203</v>
      </c>
      <c r="O21">
        <v>9128326.6470671203</v>
      </c>
      <c r="P21">
        <v>0</v>
      </c>
      <c r="Q21">
        <v>917.06103839097523</v>
      </c>
      <c r="R21">
        <v>917.06103839097523</v>
      </c>
      <c r="S21">
        <v>162414642.96844369</v>
      </c>
      <c r="U21">
        <v>2519251.3471814021</v>
      </c>
      <c r="V21">
        <v>545887378.13914204</v>
      </c>
      <c r="W21">
        <v>0</v>
      </c>
      <c r="X21">
        <v>16465617.068700146</v>
      </c>
      <c r="Y21">
        <v>16465617.068700146</v>
      </c>
    </row>
    <row r="22" spans="1:25" x14ac:dyDescent="0.2">
      <c r="A22" t="s">
        <v>23</v>
      </c>
      <c r="B22" t="s">
        <v>128</v>
      </c>
      <c r="C22" s="48">
        <v>52963</v>
      </c>
      <c r="D22">
        <v>2921.2200000000003</v>
      </c>
      <c r="E22">
        <v>0</v>
      </c>
      <c r="F22">
        <v>0</v>
      </c>
      <c r="G22">
        <v>2921.2200000000003</v>
      </c>
      <c r="N22">
        <v>1.4060241014392856E-8</v>
      </c>
      <c r="O22">
        <v>1.4060241014392856E-8</v>
      </c>
      <c r="P22">
        <v>0</v>
      </c>
      <c r="Q22">
        <v>0</v>
      </c>
      <c r="R22">
        <v>0</v>
      </c>
      <c r="S22">
        <v>35145612.831587873</v>
      </c>
      <c r="U22">
        <v>6.272375186721672E-9</v>
      </c>
      <c r="V22">
        <v>0</v>
      </c>
      <c r="W22">
        <v>0</v>
      </c>
      <c r="X22">
        <v>0</v>
      </c>
      <c r="Y22">
        <v>0</v>
      </c>
    </row>
    <row r="23" spans="1:25" x14ac:dyDescent="0.2">
      <c r="A23" t="s">
        <v>24</v>
      </c>
      <c r="B23" t="s">
        <v>128</v>
      </c>
      <c r="C23" s="48">
        <v>52963</v>
      </c>
      <c r="D23">
        <v>0</v>
      </c>
      <c r="E23">
        <v>0</v>
      </c>
      <c r="F23">
        <v>0</v>
      </c>
      <c r="G23">
        <v>0</v>
      </c>
      <c r="N23">
        <v>0</v>
      </c>
      <c r="O23">
        <v>0</v>
      </c>
      <c r="P23">
        <v>0</v>
      </c>
      <c r="S23">
        <v>0</v>
      </c>
      <c r="U23">
        <v>0</v>
      </c>
      <c r="V23">
        <v>0</v>
      </c>
      <c r="W23">
        <v>0</v>
      </c>
    </row>
    <row r="24" spans="1:25" x14ac:dyDescent="0.2">
      <c r="A24" t="s">
        <v>25</v>
      </c>
      <c r="B24" t="s">
        <v>128</v>
      </c>
      <c r="C24" s="48">
        <v>52963</v>
      </c>
      <c r="D24">
        <v>0</v>
      </c>
      <c r="E24">
        <v>0</v>
      </c>
      <c r="F24">
        <v>0</v>
      </c>
      <c r="G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2">
      <c r="A25" t="s">
        <v>26</v>
      </c>
      <c r="B25" t="s">
        <v>128</v>
      </c>
      <c r="C25" s="48">
        <v>52963</v>
      </c>
      <c r="D25">
        <v>1898.5</v>
      </c>
      <c r="E25">
        <v>0</v>
      </c>
      <c r="F25">
        <v>0</v>
      </c>
      <c r="G25">
        <v>1898.5</v>
      </c>
      <c r="I25">
        <v>300138.13455240172</v>
      </c>
      <c r="J25">
        <v>0</v>
      </c>
      <c r="K25">
        <v>0</v>
      </c>
      <c r="L25">
        <v>300138.13455240172</v>
      </c>
      <c r="M25">
        <v>5978990.7238798859</v>
      </c>
      <c r="N25">
        <v>4842982.4863427076</v>
      </c>
      <c r="O25">
        <v>-1136008.2375371782</v>
      </c>
      <c r="P25">
        <v>0</v>
      </c>
      <c r="S25">
        <v>0</v>
      </c>
      <c r="U25">
        <v>0</v>
      </c>
      <c r="V25">
        <v>0</v>
      </c>
      <c r="W25">
        <v>0</v>
      </c>
    </row>
    <row r="26" spans="1:25" x14ac:dyDescent="0.2">
      <c r="A26" t="s">
        <v>27</v>
      </c>
      <c r="B26" t="s">
        <v>128</v>
      </c>
      <c r="C26" s="48">
        <v>52963</v>
      </c>
      <c r="D26">
        <v>1578.7720000000002</v>
      </c>
      <c r="E26">
        <v>0</v>
      </c>
      <c r="F26">
        <v>0</v>
      </c>
      <c r="G26">
        <v>1578.7720000000002</v>
      </c>
      <c r="N26">
        <v>8574626.4864000008</v>
      </c>
      <c r="O26">
        <v>8574626.4864000008</v>
      </c>
      <c r="P26">
        <v>0</v>
      </c>
      <c r="S26">
        <v>0</v>
      </c>
      <c r="U26">
        <v>10116782.101065209</v>
      </c>
      <c r="V26">
        <v>0</v>
      </c>
      <c r="W26">
        <v>0</v>
      </c>
    </row>
    <row r="27" spans="1:25" x14ac:dyDescent="0.2">
      <c r="A27" t="s">
        <v>28</v>
      </c>
      <c r="B27" t="s">
        <v>128</v>
      </c>
      <c r="C27" s="48">
        <v>52963</v>
      </c>
      <c r="D27">
        <v>8.6679999999999993</v>
      </c>
      <c r="E27">
        <v>0</v>
      </c>
      <c r="F27">
        <v>0</v>
      </c>
      <c r="G27">
        <v>8.6679999999999993</v>
      </c>
      <c r="N27">
        <v>75931.679999999993</v>
      </c>
      <c r="O27">
        <v>75931.679999999993</v>
      </c>
      <c r="P27">
        <v>0</v>
      </c>
      <c r="S27">
        <v>0</v>
      </c>
      <c r="U27">
        <v>89588.072710363384</v>
      </c>
      <c r="V27">
        <v>0</v>
      </c>
      <c r="W27">
        <v>0</v>
      </c>
    </row>
    <row r="28" spans="1:25" x14ac:dyDescent="0.2">
      <c r="A28" t="s">
        <v>29</v>
      </c>
      <c r="B28" t="s">
        <v>128</v>
      </c>
      <c r="C28" s="48">
        <v>52963</v>
      </c>
      <c r="D28">
        <v>7072.77</v>
      </c>
      <c r="E28">
        <v>0</v>
      </c>
      <c r="F28">
        <v>0</v>
      </c>
      <c r="G28">
        <v>7072.77</v>
      </c>
      <c r="N28">
        <v>17822641.856021494</v>
      </c>
      <c r="O28">
        <v>17822641.856021494</v>
      </c>
      <c r="P28">
        <v>0</v>
      </c>
      <c r="S28">
        <v>0</v>
      </c>
      <c r="U28">
        <v>0</v>
      </c>
      <c r="V28">
        <v>0</v>
      </c>
      <c r="W28">
        <v>0</v>
      </c>
    </row>
    <row r="29" spans="1:25" x14ac:dyDescent="0.2">
      <c r="A29" t="s">
        <v>30</v>
      </c>
      <c r="B29" t="s">
        <v>128</v>
      </c>
      <c r="C29" s="48">
        <v>52963</v>
      </c>
      <c r="D29">
        <v>0</v>
      </c>
      <c r="E29">
        <v>7.9</v>
      </c>
      <c r="F29">
        <v>0</v>
      </c>
      <c r="G29">
        <v>7.9</v>
      </c>
      <c r="H29">
        <v>100002</v>
      </c>
      <c r="J29">
        <v>7.9</v>
      </c>
      <c r="L29">
        <v>7.9</v>
      </c>
      <c r="M29">
        <v>4495.4239487716568</v>
      </c>
      <c r="N29">
        <v>3821.110356455908</v>
      </c>
      <c r="O29">
        <v>-674.31359231574879</v>
      </c>
      <c r="P29">
        <v>0</v>
      </c>
      <c r="S29">
        <v>792426.94519603904</v>
      </c>
      <c r="U29">
        <v>0</v>
      </c>
      <c r="V29">
        <v>0</v>
      </c>
      <c r="W29">
        <v>0</v>
      </c>
    </row>
    <row r="30" spans="1:25" x14ac:dyDescent="0.2">
      <c r="A30" t="s">
        <v>31</v>
      </c>
      <c r="B30" t="s">
        <v>128</v>
      </c>
      <c r="C30" s="48">
        <v>52963</v>
      </c>
      <c r="E30">
        <v>0</v>
      </c>
      <c r="G30">
        <v>0</v>
      </c>
      <c r="J30">
        <v>0</v>
      </c>
      <c r="L30">
        <v>0</v>
      </c>
      <c r="M30">
        <v>0</v>
      </c>
      <c r="N30">
        <v>0</v>
      </c>
      <c r="O30">
        <v>0</v>
      </c>
      <c r="P30">
        <v>0</v>
      </c>
      <c r="S30">
        <v>0</v>
      </c>
      <c r="U30">
        <v>0</v>
      </c>
      <c r="V30">
        <v>0</v>
      </c>
      <c r="W30">
        <v>0</v>
      </c>
    </row>
    <row r="31" spans="1:25" x14ac:dyDescent="0.2">
      <c r="A31" t="s">
        <v>32</v>
      </c>
      <c r="B31" t="s">
        <v>128</v>
      </c>
      <c r="C31" s="48">
        <v>52963</v>
      </c>
      <c r="D31">
        <v>635</v>
      </c>
      <c r="E31">
        <v>0</v>
      </c>
      <c r="F31">
        <v>0</v>
      </c>
      <c r="G31">
        <v>635</v>
      </c>
      <c r="N31">
        <v>5212399.8175182482</v>
      </c>
      <c r="O31">
        <v>5212399.8175182482</v>
      </c>
      <c r="P31">
        <v>0</v>
      </c>
      <c r="S31">
        <v>0</v>
      </c>
      <c r="U31">
        <v>10156288.754787115</v>
      </c>
      <c r="V31">
        <v>44880674.751266353</v>
      </c>
      <c r="W31">
        <v>0</v>
      </c>
    </row>
    <row r="32" spans="1:25" x14ac:dyDescent="0.2">
      <c r="A32" t="s">
        <v>33</v>
      </c>
      <c r="B32" t="s">
        <v>128</v>
      </c>
      <c r="C32" s="48">
        <v>52963</v>
      </c>
      <c r="D32">
        <v>4940.7199999999993</v>
      </c>
      <c r="E32">
        <v>0</v>
      </c>
      <c r="F32">
        <v>0</v>
      </c>
      <c r="G32">
        <v>4940.7199999999993</v>
      </c>
      <c r="N32">
        <v>0</v>
      </c>
      <c r="O32">
        <v>0</v>
      </c>
      <c r="P32">
        <v>0</v>
      </c>
      <c r="Q32">
        <v>0</v>
      </c>
      <c r="R32">
        <v>0</v>
      </c>
      <c r="S32">
        <v>73238902.924761757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 x14ac:dyDescent="0.2">
      <c r="A33" t="s">
        <v>34</v>
      </c>
      <c r="B33" t="s">
        <v>128</v>
      </c>
      <c r="C33" s="48">
        <v>52963</v>
      </c>
      <c r="D33">
        <v>3125.37</v>
      </c>
      <c r="E33">
        <v>0</v>
      </c>
      <c r="F33">
        <v>0</v>
      </c>
      <c r="G33">
        <v>3125.37</v>
      </c>
      <c r="N33">
        <v>0</v>
      </c>
      <c r="O33">
        <v>0</v>
      </c>
      <c r="P33">
        <v>0</v>
      </c>
      <c r="Q33">
        <v>0</v>
      </c>
      <c r="R33">
        <v>0</v>
      </c>
      <c r="S33">
        <v>46329010.758343458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 x14ac:dyDescent="0.2">
      <c r="A34" t="s">
        <v>35</v>
      </c>
      <c r="B34" t="s">
        <v>128</v>
      </c>
      <c r="C34" s="48">
        <v>52963</v>
      </c>
      <c r="D34">
        <v>255.3</v>
      </c>
      <c r="E34">
        <v>0</v>
      </c>
      <c r="F34">
        <v>0</v>
      </c>
      <c r="G34">
        <v>255.3</v>
      </c>
      <c r="H34">
        <v>99999</v>
      </c>
      <c r="N34">
        <v>0</v>
      </c>
      <c r="O34">
        <v>0</v>
      </c>
      <c r="P34">
        <v>0</v>
      </c>
      <c r="Q34">
        <v>0</v>
      </c>
      <c r="R34">
        <v>0</v>
      </c>
      <c r="S34">
        <v>3784446.7844143528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 x14ac:dyDescent="0.2">
      <c r="A35" t="s">
        <v>36</v>
      </c>
      <c r="B35" t="s">
        <v>128</v>
      </c>
      <c r="C35" s="48">
        <v>52963</v>
      </c>
      <c r="D35">
        <v>2195</v>
      </c>
      <c r="E35">
        <v>0</v>
      </c>
      <c r="F35">
        <v>0</v>
      </c>
      <c r="G35">
        <v>2195</v>
      </c>
      <c r="N35">
        <v>0</v>
      </c>
      <c r="O35">
        <v>0</v>
      </c>
      <c r="P35">
        <v>0</v>
      </c>
      <c r="S35">
        <v>0</v>
      </c>
      <c r="U35">
        <v>0</v>
      </c>
      <c r="V35">
        <v>0</v>
      </c>
      <c r="W35">
        <v>0</v>
      </c>
    </row>
    <row r="36" spans="1:25" x14ac:dyDescent="0.2">
      <c r="A36" t="s">
        <v>37</v>
      </c>
      <c r="B36" t="s">
        <v>128</v>
      </c>
      <c r="C36" s="48">
        <v>52963</v>
      </c>
      <c r="E36">
        <v>0</v>
      </c>
      <c r="G36">
        <v>0</v>
      </c>
      <c r="H36">
        <v>0</v>
      </c>
      <c r="N36">
        <v>0</v>
      </c>
      <c r="O36">
        <v>0</v>
      </c>
      <c r="P36">
        <v>0</v>
      </c>
      <c r="S36">
        <v>0</v>
      </c>
      <c r="U36">
        <v>0</v>
      </c>
      <c r="V36">
        <v>0</v>
      </c>
      <c r="W36">
        <v>0</v>
      </c>
    </row>
    <row r="37" spans="1:25" x14ac:dyDescent="0.2">
      <c r="A37" t="s">
        <v>38</v>
      </c>
      <c r="B37" t="s">
        <v>128</v>
      </c>
      <c r="C37" s="48">
        <v>52963</v>
      </c>
      <c r="E37">
        <v>0</v>
      </c>
      <c r="G37">
        <v>0</v>
      </c>
      <c r="H37">
        <v>0</v>
      </c>
      <c r="N37">
        <v>0</v>
      </c>
      <c r="O37">
        <v>0</v>
      </c>
      <c r="P37">
        <v>0</v>
      </c>
      <c r="S37">
        <v>0</v>
      </c>
      <c r="U37">
        <v>0</v>
      </c>
      <c r="V37">
        <v>0</v>
      </c>
      <c r="W37">
        <v>0</v>
      </c>
    </row>
    <row r="38" spans="1:25" x14ac:dyDescent="0.2">
      <c r="A38" t="s">
        <v>39</v>
      </c>
      <c r="B38" t="s">
        <v>128</v>
      </c>
      <c r="C38" s="48">
        <v>52963</v>
      </c>
      <c r="E38">
        <v>440.70415400000002</v>
      </c>
      <c r="G38">
        <v>440.70415400000002</v>
      </c>
      <c r="H38">
        <v>440.70415400000002</v>
      </c>
      <c r="N38">
        <v>0</v>
      </c>
      <c r="O38">
        <v>0</v>
      </c>
      <c r="P38">
        <v>0</v>
      </c>
      <c r="S38">
        <v>35777426.200139455</v>
      </c>
      <c r="U38">
        <v>0</v>
      </c>
      <c r="V38">
        <v>0</v>
      </c>
      <c r="W38">
        <v>0</v>
      </c>
    </row>
    <row r="39" spans="1:25" x14ac:dyDescent="0.2">
      <c r="A39" t="s">
        <v>40</v>
      </c>
      <c r="B39" t="s">
        <v>128</v>
      </c>
      <c r="C39" s="48">
        <v>52963</v>
      </c>
      <c r="E39">
        <v>0</v>
      </c>
      <c r="G39">
        <v>0</v>
      </c>
      <c r="H39">
        <v>670.511618</v>
      </c>
      <c r="N39">
        <v>0</v>
      </c>
      <c r="O39">
        <v>0</v>
      </c>
      <c r="P39">
        <v>0</v>
      </c>
      <c r="S39">
        <v>0</v>
      </c>
      <c r="U39">
        <v>0</v>
      </c>
      <c r="V39">
        <v>0</v>
      </c>
      <c r="W39">
        <v>0</v>
      </c>
    </row>
    <row r="40" spans="1:25" x14ac:dyDescent="0.2">
      <c r="A40" t="s">
        <v>41</v>
      </c>
      <c r="B40" t="s">
        <v>128</v>
      </c>
      <c r="C40" s="48">
        <v>52963</v>
      </c>
      <c r="E40">
        <v>0</v>
      </c>
      <c r="G40">
        <v>0</v>
      </c>
      <c r="H40">
        <v>605.06756700000005</v>
      </c>
      <c r="N40">
        <v>0</v>
      </c>
      <c r="O40">
        <v>0</v>
      </c>
      <c r="P40">
        <v>0</v>
      </c>
      <c r="S40">
        <v>0</v>
      </c>
      <c r="U40">
        <v>0</v>
      </c>
      <c r="V40">
        <v>0</v>
      </c>
      <c r="W40">
        <v>0</v>
      </c>
    </row>
    <row r="41" spans="1:25" x14ac:dyDescent="0.2">
      <c r="A41" t="s">
        <v>42</v>
      </c>
      <c r="B41" t="s">
        <v>128</v>
      </c>
      <c r="C41" s="48">
        <v>52963</v>
      </c>
      <c r="E41">
        <v>0</v>
      </c>
      <c r="G41">
        <v>0</v>
      </c>
      <c r="H41">
        <v>440.63792599999988</v>
      </c>
      <c r="N41">
        <v>0</v>
      </c>
      <c r="O41">
        <v>0</v>
      </c>
      <c r="P41">
        <v>0</v>
      </c>
      <c r="S41">
        <v>0</v>
      </c>
      <c r="U41">
        <v>0</v>
      </c>
      <c r="V41">
        <v>0</v>
      </c>
      <c r="W41">
        <v>0</v>
      </c>
    </row>
    <row r="42" spans="1:25" x14ac:dyDescent="0.2">
      <c r="A42" t="s">
        <v>43</v>
      </c>
      <c r="B42" t="s">
        <v>128</v>
      </c>
      <c r="C42" s="48">
        <v>52963</v>
      </c>
      <c r="E42">
        <v>0</v>
      </c>
      <c r="G42">
        <v>0</v>
      </c>
      <c r="H42">
        <v>339.03136600000016</v>
      </c>
      <c r="N42">
        <v>0</v>
      </c>
      <c r="O42">
        <v>0</v>
      </c>
      <c r="P42">
        <v>0</v>
      </c>
      <c r="S42">
        <v>0</v>
      </c>
      <c r="U42">
        <v>0</v>
      </c>
      <c r="V42">
        <v>0</v>
      </c>
      <c r="W42">
        <v>0</v>
      </c>
    </row>
    <row r="43" spans="1:25" x14ac:dyDescent="0.2">
      <c r="A43" t="s">
        <v>44</v>
      </c>
      <c r="B43" t="s">
        <v>128</v>
      </c>
      <c r="C43" s="48">
        <v>52963</v>
      </c>
      <c r="E43">
        <v>0</v>
      </c>
      <c r="G43">
        <v>0</v>
      </c>
      <c r="H43">
        <v>250.37083499999969</v>
      </c>
      <c r="N43">
        <v>0</v>
      </c>
      <c r="O43">
        <v>0</v>
      </c>
      <c r="P43">
        <v>0</v>
      </c>
      <c r="S43">
        <v>0</v>
      </c>
      <c r="U43">
        <v>0</v>
      </c>
      <c r="V43">
        <v>0</v>
      </c>
      <c r="W43">
        <v>0</v>
      </c>
    </row>
    <row r="44" spans="1:25" x14ac:dyDescent="0.2">
      <c r="A44" t="s">
        <v>45</v>
      </c>
      <c r="B44" t="s">
        <v>128</v>
      </c>
      <c r="C44" s="48">
        <v>52963</v>
      </c>
      <c r="D44">
        <v>944.52999999999963</v>
      </c>
      <c r="E44">
        <v>0</v>
      </c>
      <c r="F44">
        <v>0</v>
      </c>
      <c r="G44">
        <v>944.52999999999963</v>
      </c>
      <c r="N44">
        <v>4137041.399999999</v>
      </c>
      <c r="O44">
        <v>4137041.399999999</v>
      </c>
      <c r="P44">
        <v>0</v>
      </c>
      <c r="S44">
        <v>0</v>
      </c>
      <c r="U44">
        <v>0</v>
      </c>
      <c r="V44">
        <v>0</v>
      </c>
      <c r="W44">
        <v>0</v>
      </c>
    </row>
    <row r="45" spans="1:25" x14ac:dyDescent="0.2">
      <c r="A45" t="s">
        <v>46</v>
      </c>
      <c r="B45" t="s">
        <v>128</v>
      </c>
      <c r="C45" s="48">
        <v>52963</v>
      </c>
      <c r="D45">
        <v>13.8</v>
      </c>
      <c r="E45">
        <v>0</v>
      </c>
      <c r="F45">
        <v>0</v>
      </c>
      <c r="G45">
        <v>13.8</v>
      </c>
      <c r="N45">
        <v>120888</v>
      </c>
      <c r="O45">
        <v>120888</v>
      </c>
      <c r="P45">
        <v>0</v>
      </c>
      <c r="S45">
        <v>0</v>
      </c>
      <c r="U45">
        <v>0</v>
      </c>
      <c r="V45">
        <v>0</v>
      </c>
      <c r="W45">
        <v>0</v>
      </c>
    </row>
    <row r="46" spans="1:25" x14ac:dyDescent="0.2">
      <c r="A46" t="s">
        <v>47</v>
      </c>
      <c r="B46" t="s">
        <v>128</v>
      </c>
      <c r="C46" s="48">
        <v>52963</v>
      </c>
      <c r="D46">
        <v>16404.790999999997</v>
      </c>
      <c r="E46">
        <v>0</v>
      </c>
      <c r="F46">
        <v>0</v>
      </c>
      <c r="G46">
        <v>16404.790999999997</v>
      </c>
      <c r="N46">
        <v>32739320.48510322</v>
      </c>
      <c r="O46">
        <v>32739320.48510322</v>
      </c>
      <c r="P46">
        <v>10933787.50660626</v>
      </c>
      <c r="S46">
        <v>0</v>
      </c>
      <c r="U46">
        <v>0</v>
      </c>
      <c r="V46">
        <v>0</v>
      </c>
      <c r="W46">
        <v>0</v>
      </c>
    </row>
    <row r="47" spans="1:25" x14ac:dyDescent="0.2">
      <c r="A47" t="s">
        <v>48</v>
      </c>
      <c r="B47" t="s">
        <v>128</v>
      </c>
      <c r="C47" s="48">
        <v>52963</v>
      </c>
      <c r="D47">
        <v>12</v>
      </c>
      <c r="E47">
        <v>0</v>
      </c>
      <c r="F47">
        <v>0</v>
      </c>
      <c r="G47">
        <v>12</v>
      </c>
      <c r="N47">
        <v>29488.504921262014</v>
      </c>
      <c r="O47">
        <v>29488.504921262014</v>
      </c>
      <c r="P47">
        <v>1806.5805388138619</v>
      </c>
      <c r="S47">
        <v>0</v>
      </c>
      <c r="U47">
        <v>0</v>
      </c>
      <c r="V47">
        <v>0</v>
      </c>
      <c r="W47">
        <v>0</v>
      </c>
    </row>
    <row r="48" spans="1:25" x14ac:dyDescent="0.2">
      <c r="A48" t="s">
        <v>49</v>
      </c>
      <c r="B48" t="s">
        <v>128</v>
      </c>
      <c r="C48" s="48">
        <v>52963</v>
      </c>
      <c r="D48">
        <v>0</v>
      </c>
      <c r="E48">
        <v>0</v>
      </c>
      <c r="F48">
        <v>0</v>
      </c>
      <c r="G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 x14ac:dyDescent="0.2">
      <c r="A49" t="s">
        <v>50</v>
      </c>
      <c r="B49" t="s">
        <v>128</v>
      </c>
      <c r="C49" s="48">
        <v>52963</v>
      </c>
      <c r="D49">
        <v>6690.1409999999996</v>
      </c>
      <c r="E49">
        <v>0</v>
      </c>
      <c r="F49">
        <v>0</v>
      </c>
      <c r="G49">
        <v>6690.1409999999996</v>
      </c>
      <c r="N49">
        <v>15490265.977214426</v>
      </c>
      <c r="O49">
        <v>15490265.977214426</v>
      </c>
      <c r="P49">
        <v>938854.32331283705</v>
      </c>
      <c r="S49">
        <v>0</v>
      </c>
      <c r="U49">
        <v>0</v>
      </c>
      <c r="V49">
        <v>0</v>
      </c>
      <c r="W49">
        <v>0</v>
      </c>
    </row>
    <row r="50" spans="1:25" x14ac:dyDescent="0.2">
      <c r="A50" t="s">
        <v>51</v>
      </c>
      <c r="B50" t="s">
        <v>128</v>
      </c>
      <c r="C50" s="48">
        <v>52963</v>
      </c>
      <c r="D50">
        <v>279.98</v>
      </c>
      <c r="E50">
        <v>0</v>
      </c>
      <c r="F50">
        <v>0</v>
      </c>
      <c r="G50">
        <v>279.98</v>
      </c>
      <c r="N50">
        <v>682226.41843196691</v>
      </c>
      <c r="O50">
        <v>682226.41843196691</v>
      </c>
      <c r="P50">
        <v>4255.0575232939409</v>
      </c>
      <c r="S50">
        <v>0</v>
      </c>
      <c r="U50">
        <v>0</v>
      </c>
      <c r="V50">
        <v>0</v>
      </c>
      <c r="W50">
        <v>0</v>
      </c>
    </row>
    <row r="51" spans="1:25" x14ac:dyDescent="0.2">
      <c r="A51" t="s">
        <v>52</v>
      </c>
      <c r="B51" t="s">
        <v>128</v>
      </c>
      <c r="C51" s="48">
        <v>52963</v>
      </c>
      <c r="E51">
        <v>287</v>
      </c>
      <c r="G51">
        <v>287</v>
      </c>
      <c r="H51">
        <v>287</v>
      </c>
      <c r="N51">
        <v>682055.8737231933</v>
      </c>
      <c r="O51">
        <v>682055.8737231933</v>
      </c>
      <c r="P51">
        <v>43455.385086963171</v>
      </c>
      <c r="S51">
        <v>39735622.094344892</v>
      </c>
      <c r="U51">
        <v>0</v>
      </c>
      <c r="V51">
        <v>0</v>
      </c>
      <c r="W51">
        <v>0</v>
      </c>
    </row>
    <row r="52" spans="1:25" x14ac:dyDescent="0.2">
      <c r="A52" t="s">
        <v>53</v>
      </c>
      <c r="B52" t="s">
        <v>128</v>
      </c>
      <c r="C52" s="48">
        <v>52963</v>
      </c>
      <c r="E52">
        <v>173</v>
      </c>
      <c r="G52">
        <v>173</v>
      </c>
      <c r="H52">
        <v>173</v>
      </c>
      <c r="N52">
        <v>551821.07869016216</v>
      </c>
      <c r="O52">
        <v>551821.07869016216</v>
      </c>
      <c r="P52">
        <v>12767.8348981329</v>
      </c>
      <c r="S52">
        <v>23791008.210623115</v>
      </c>
      <c r="U52">
        <v>0</v>
      </c>
      <c r="V52">
        <v>0</v>
      </c>
      <c r="W52">
        <v>0</v>
      </c>
    </row>
    <row r="53" spans="1:25" x14ac:dyDescent="0.2">
      <c r="A53" t="s">
        <v>54</v>
      </c>
      <c r="B53" t="s">
        <v>128</v>
      </c>
      <c r="C53" s="48">
        <v>52963</v>
      </c>
      <c r="D53">
        <v>37373.517441210686</v>
      </c>
      <c r="E53">
        <v>0</v>
      </c>
      <c r="F53">
        <v>0</v>
      </c>
      <c r="G53">
        <v>37373.517441210686</v>
      </c>
      <c r="N53">
        <v>72304982.776073277</v>
      </c>
      <c r="O53">
        <v>72304982.776073277</v>
      </c>
      <c r="P53">
        <v>0</v>
      </c>
      <c r="S53">
        <v>0</v>
      </c>
      <c r="U53">
        <v>0</v>
      </c>
      <c r="V53">
        <v>0</v>
      </c>
      <c r="W53">
        <v>0</v>
      </c>
    </row>
    <row r="54" spans="1:25" x14ac:dyDescent="0.2">
      <c r="A54" t="s">
        <v>55</v>
      </c>
      <c r="B54" t="s">
        <v>128</v>
      </c>
      <c r="C54" s="48">
        <v>52963</v>
      </c>
      <c r="E54">
        <v>125.18999999999998</v>
      </c>
      <c r="G54">
        <v>125.18999999999998</v>
      </c>
      <c r="H54">
        <v>125.18999999999998</v>
      </c>
      <c r="N54">
        <v>181900.91287090303</v>
      </c>
      <c r="O54">
        <v>181900.91287090303</v>
      </c>
      <c r="P54">
        <v>74732.036774843742</v>
      </c>
      <c r="S54">
        <v>9917156.9476542678</v>
      </c>
      <c r="U54">
        <v>0</v>
      </c>
      <c r="V54">
        <v>0</v>
      </c>
      <c r="W54">
        <v>0</v>
      </c>
    </row>
    <row r="55" spans="1:25" x14ac:dyDescent="0.2">
      <c r="A55" t="s">
        <v>56</v>
      </c>
      <c r="B55" t="s">
        <v>128</v>
      </c>
      <c r="C55" s="48">
        <v>52963</v>
      </c>
      <c r="E55">
        <v>102.300458628</v>
      </c>
      <c r="G55">
        <v>102.300458628</v>
      </c>
      <c r="H55">
        <v>1352.1</v>
      </c>
      <c r="N55">
        <v>789443.82162898581</v>
      </c>
      <c r="O55">
        <v>789443.82162898581</v>
      </c>
      <c r="P55">
        <v>0</v>
      </c>
      <c r="S55">
        <v>48705710.666663162</v>
      </c>
      <c r="U55">
        <v>931426.12533852435</v>
      </c>
      <c r="V55">
        <v>0</v>
      </c>
      <c r="W55">
        <v>0</v>
      </c>
    </row>
    <row r="56" spans="1:25" x14ac:dyDescent="0.2">
      <c r="A56" t="s">
        <v>57</v>
      </c>
      <c r="B56" t="s">
        <v>128</v>
      </c>
      <c r="C56" s="48">
        <v>52963</v>
      </c>
      <c r="E56">
        <v>2556</v>
      </c>
      <c r="G56">
        <v>2556</v>
      </c>
      <c r="J56">
        <v>16690.094335256457</v>
      </c>
      <c r="L56">
        <v>16690.094335256457</v>
      </c>
      <c r="M56">
        <v>7108854.650116778</v>
      </c>
      <c r="N56">
        <v>6042526.452599261</v>
      </c>
      <c r="O56">
        <v>-1066328.197517517</v>
      </c>
      <c r="P56">
        <v>0</v>
      </c>
      <c r="S56">
        <v>241290710.38209897</v>
      </c>
      <c r="U56">
        <v>0</v>
      </c>
      <c r="V56">
        <v>0</v>
      </c>
      <c r="W56">
        <v>0</v>
      </c>
    </row>
    <row r="57" spans="1:25" x14ac:dyDescent="0.2">
      <c r="A57" t="s">
        <v>58</v>
      </c>
      <c r="B57" t="s">
        <v>128</v>
      </c>
      <c r="C57" s="48">
        <v>52963</v>
      </c>
      <c r="E57">
        <v>850.30085377</v>
      </c>
      <c r="G57">
        <v>850.30085377</v>
      </c>
      <c r="H57">
        <v>30409.668364611367</v>
      </c>
      <c r="N57">
        <v>2085893.8720248411</v>
      </c>
      <c r="O57">
        <v>2085893.8720248411</v>
      </c>
      <c r="P57">
        <v>136962.86954917456</v>
      </c>
      <c r="S57">
        <v>48677617.657956593</v>
      </c>
      <c r="U57">
        <v>0</v>
      </c>
      <c r="V57">
        <v>0</v>
      </c>
      <c r="W57">
        <v>0</v>
      </c>
    </row>
    <row r="58" spans="1:25" x14ac:dyDescent="0.2">
      <c r="A58" t="s">
        <v>59</v>
      </c>
      <c r="B58" t="s">
        <v>128</v>
      </c>
      <c r="C58" s="48">
        <v>52963</v>
      </c>
      <c r="E58">
        <v>7241</v>
      </c>
      <c r="G58">
        <v>7241</v>
      </c>
      <c r="J58">
        <v>47406.899764848153</v>
      </c>
      <c r="L58">
        <v>47406.899764848153</v>
      </c>
      <c r="M58">
        <v>19986163.813224919</v>
      </c>
      <c r="N58">
        <v>16988239.241241179</v>
      </c>
      <c r="O58">
        <v>-2997924.5719837402</v>
      </c>
      <c r="P58">
        <v>0</v>
      </c>
      <c r="S58">
        <v>684956137.70325661</v>
      </c>
      <c r="U58">
        <v>0</v>
      </c>
      <c r="V58">
        <v>0</v>
      </c>
      <c r="W58">
        <v>0</v>
      </c>
    </row>
    <row r="59" spans="1:25" x14ac:dyDescent="0.2">
      <c r="A59" t="s">
        <v>60</v>
      </c>
      <c r="B59" t="s">
        <v>128</v>
      </c>
      <c r="C59" s="48">
        <v>52963</v>
      </c>
      <c r="E59">
        <v>3000</v>
      </c>
      <c r="G59">
        <v>3000</v>
      </c>
      <c r="H59">
        <v>3000</v>
      </c>
      <c r="N59">
        <v>8810399.2142728548</v>
      </c>
      <c r="O59">
        <v>8810399.2142728548</v>
      </c>
      <c r="P59">
        <v>184298.8643738488</v>
      </c>
      <c r="S59">
        <v>171742568.91122746</v>
      </c>
      <c r="U59">
        <v>0</v>
      </c>
      <c r="V59">
        <v>0</v>
      </c>
      <c r="W59">
        <v>0</v>
      </c>
    </row>
    <row r="60" spans="1:25" x14ac:dyDescent="0.2">
      <c r="A60" t="s">
        <v>61</v>
      </c>
      <c r="B60" t="s">
        <v>128</v>
      </c>
      <c r="C60" s="48">
        <v>52963</v>
      </c>
      <c r="E60">
        <v>20.52</v>
      </c>
      <c r="G60">
        <v>20.52</v>
      </c>
      <c r="H60">
        <v>1607.0384126893921</v>
      </c>
      <c r="N60">
        <v>114790.74394025133</v>
      </c>
      <c r="O60">
        <v>114790.74394025133</v>
      </c>
      <c r="P60">
        <v>1434.2951474994354</v>
      </c>
      <c r="S60">
        <v>4495247.1244799998</v>
      </c>
      <c r="U60">
        <v>0</v>
      </c>
      <c r="V60">
        <v>0</v>
      </c>
      <c r="W60">
        <v>0</v>
      </c>
    </row>
    <row r="61" spans="1:25" x14ac:dyDescent="0.2">
      <c r="A61" t="s">
        <v>62</v>
      </c>
      <c r="B61" t="s">
        <v>128</v>
      </c>
      <c r="C61" s="48">
        <v>52963</v>
      </c>
      <c r="E61">
        <v>31</v>
      </c>
      <c r="G61">
        <v>31</v>
      </c>
      <c r="H61">
        <v>34</v>
      </c>
      <c r="N61">
        <v>76121.672009624628</v>
      </c>
      <c r="O61">
        <v>76121.672009624628</v>
      </c>
      <c r="P61">
        <v>2256.0408839793336</v>
      </c>
      <c r="S61">
        <v>3926814.9891632162</v>
      </c>
      <c r="U61">
        <v>0</v>
      </c>
      <c r="V61">
        <v>0</v>
      </c>
      <c r="W61">
        <v>0</v>
      </c>
    </row>
    <row r="62" spans="1:25" x14ac:dyDescent="0.2">
      <c r="A62" t="s">
        <v>63</v>
      </c>
      <c r="B62" t="s">
        <v>128</v>
      </c>
      <c r="C62" s="48">
        <v>52963</v>
      </c>
      <c r="E62">
        <v>0</v>
      </c>
      <c r="G62">
        <v>0</v>
      </c>
      <c r="N62">
        <v>0</v>
      </c>
      <c r="O62">
        <v>0</v>
      </c>
      <c r="P62">
        <v>0</v>
      </c>
      <c r="S62">
        <v>0</v>
      </c>
      <c r="U62">
        <v>0</v>
      </c>
      <c r="V62">
        <v>0</v>
      </c>
      <c r="W62">
        <v>0</v>
      </c>
    </row>
    <row r="63" spans="1:25" x14ac:dyDescent="0.2">
      <c r="A63" t="s">
        <v>651</v>
      </c>
      <c r="B63" t="s">
        <v>141</v>
      </c>
      <c r="C63" s="48">
        <v>52963</v>
      </c>
      <c r="D63">
        <v>77</v>
      </c>
      <c r="E63">
        <v>0</v>
      </c>
      <c r="F63">
        <v>0</v>
      </c>
      <c r="G63">
        <v>77</v>
      </c>
      <c r="N63">
        <v>674520</v>
      </c>
      <c r="O63">
        <v>674520</v>
      </c>
      <c r="P63">
        <v>0</v>
      </c>
      <c r="S63">
        <v>0</v>
      </c>
      <c r="U63">
        <v>1131689.3178729599</v>
      </c>
      <c r="V63">
        <v>0</v>
      </c>
      <c r="W63">
        <v>0</v>
      </c>
    </row>
    <row r="64" spans="1:25" x14ac:dyDescent="0.2">
      <c r="A64" t="s">
        <v>64</v>
      </c>
      <c r="B64" t="s">
        <v>141</v>
      </c>
      <c r="C64" s="48">
        <v>52963</v>
      </c>
      <c r="D64">
        <v>255.3</v>
      </c>
      <c r="E64">
        <v>0</v>
      </c>
      <c r="F64">
        <v>0</v>
      </c>
      <c r="G64">
        <v>255.3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 x14ac:dyDescent="0.2">
      <c r="A65" t="s">
        <v>652</v>
      </c>
      <c r="B65" t="s">
        <v>141</v>
      </c>
      <c r="C65" s="48">
        <v>52963</v>
      </c>
      <c r="D65">
        <v>83</v>
      </c>
      <c r="E65">
        <v>0</v>
      </c>
      <c r="F65">
        <v>0</v>
      </c>
      <c r="G65">
        <v>83</v>
      </c>
      <c r="N65">
        <v>450789.6</v>
      </c>
      <c r="O65">
        <v>450789.6</v>
      </c>
      <c r="P65">
        <v>0</v>
      </c>
      <c r="S65">
        <v>0</v>
      </c>
      <c r="U65">
        <v>531864.58487255429</v>
      </c>
      <c r="V65">
        <v>0</v>
      </c>
      <c r="W65">
        <v>0</v>
      </c>
    </row>
    <row r="66" spans="1:25" x14ac:dyDescent="0.2">
      <c r="A66" t="s">
        <v>653</v>
      </c>
      <c r="B66" t="s">
        <v>141</v>
      </c>
      <c r="C66" s="48">
        <v>52963</v>
      </c>
      <c r="D66">
        <v>401.22</v>
      </c>
      <c r="E66">
        <v>0</v>
      </c>
      <c r="F66">
        <v>0</v>
      </c>
      <c r="G66">
        <v>401.22</v>
      </c>
      <c r="N66">
        <v>3514687.2</v>
      </c>
      <c r="O66">
        <v>3514687.2</v>
      </c>
      <c r="P66">
        <v>0</v>
      </c>
      <c r="S66">
        <v>0</v>
      </c>
      <c r="U66">
        <v>4146807.3988061841</v>
      </c>
      <c r="V66">
        <v>0</v>
      </c>
      <c r="W66">
        <v>0</v>
      </c>
    </row>
    <row r="67" spans="1:25" x14ac:dyDescent="0.2">
      <c r="A67" t="s">
        <v>654</v>
      </c>
      <c r="B67" t="s">
        <v>141</v>
      </c>
      <c r="C67" s="48">
        <v>52963</v>
      </c>
      <c r="D67">
        <v>83.5</v>
      </c>
      <c r="E67">
        <v>0</v>
      </c>
      <c r="F67">
        <v>0</v>
      </c>
      <c r="G67">
        <v>83.5</v>
      </c>
      <c r="N67">
        <v>246410.14368157947</v>
      </c>
      <c r="O67">
        <v>246410.14368157947</v>
      </c>
      <c r="P67">
        <v>0</v>
      </c>
      <c r="S67">
        <v>0</v>
      </c>
      <c r="U67">
        <v>0</v>
      </c>
      <c r="V67">
        <v>0</v>
      </c>
      <c r="W67">
        <v>0</v>
      </c>
    </row>
    <row r="68" spans="1:25" x14ac:dyDescent="0.2">
      <c r="A68" t="s">
        <v>65</v>
      </c>
      <c r="B68" t="s">
        <v>141</v>
      </c>
      <c r="C68" s="48">
        <v>52963</v>
      </c>
      <c r="D68">
        <v>327</v>
      </c>
      <c r="E68">
        <v>0</v>
      </c>
      <c r="F68">
        <v>0</v>
      </c>
      <c r="G68">
        <v>327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 x14ac:dyDescent="0.2">
      <c r="A69" t="s">
        <v>655</v>
      </c>
      <c r="B69" t="s">
        <v>141</v>
      </c>
      <c r="C69" s="48">
        <v>52963</v>
      </c>
      <c r="D69">
        <v>0</v>
      </c>
      <c r="E69">
        <v>0</v>
      </c>
      <c r="F69">
        <v>0</v>
      </c>
      <c r="G69">
        <v>0</v>
      </c>
      <c r="N69">
        <v>0</v>
      </c>
      <c r="O69">
        <v>0</v>
      </c>
      <c r="P69">
        <v>0</v>
      </c>
      <c r="S69">
        <v>0</v>
      </c>
      <c r="U69">
        <v>0</v>
      </c>
      <c r="V69">
        <v>0</v>
      </c>
      <c r="W69">
        <v>0</v>
      </c>
    </row>
    <row r="70" spans="1:25" x14ac:dyDescent="0.2">
      <c r="A70" t="s">
        <v>656</v>
      </c>
      <c r="B70" t="s">
        <v>141</v>
      </c>
      <c r="C70" s="48">
        <v>52963</v>
      </c>
      <c r="D70">
        <v>49.9</v>
      </c>
      <c r="E70">
        <v>0</v>
      </c>
      <c r="F70">
        <v>0</v>
      </c>
      <c r="G70">
        <v>49.9</v>
      </c>
      <c r="N70">
        <v>158115.27500612201</v>
      </c>
      <c r="O70">
        <v>158115.27500612201</v>
      </c>
      <c r="P70">
        <v>0</v>
      </c>
      <c r="S70">
        <v>0</v>
      </c>
      <c r="U70">
        <v>0</v>
      </c>
      <c r="V70">
        <v>0</v>
      </c>
      <c r="W70">
        <v>0</v>
      </c>
    </row>
    <row r="71" spans="1:25" x14ac:dyDescent="0.2">
      <c r="A71" t="s">
        <v>657</v>
      </c>
      <c r="B71" t="s">
        <v>141</v>
      </c>
      <c r="C71" s="48">
        <v>52963</v>
      </c>
      <c r="D71">
        <v>115.7</v>
      </c>
      <c r="E71">
        <v>0</v>
      </c>
      <c r="F71">
        <v>0</v>
      </c>
      <c r="G71">
        <v>115.7</v>
      </c>
      <c r="N71">
        <v>340105.69970973465</v>
      </c>
      <c r="O71">
        <v>340105.69970973465</v>
      </c>
      <c r="P71">
        <v>0</v>
      </c>
      <c r="S71">
        <v>0</v>
      </c>
      <c r="U71">
        <v>0</v>
      </c>
      <c r="V71">
        <v>0</v>
      </c>
      <c r="W71">
        <v>0</v>
      </c>
    </row>
    <row r="72" spans="1:25" x14ac:dyDescent="0.2">
      <c r="A72" t="s">
        <v>658</v>
      </c>
      <c r="B72" t="s">
        <v>141</v>
      </c>
      <c r="C72" s="48">
        <v>52963</v>
      </c>
      <c r="D72">
        <v>0</v>
      </c>
      <c r="E72">
        <v>0</v>
      </c>
      <c r="F72">
        <v>0</v>
      </c>
      <c r="G72">
        <v>0</v>
      </c>
      <c r="N72">
        <v>0</v>
      </c>
      <c r="O72">
        <v>0</v>
      </c>
      <c r="P72">
        <v>0</v>
      </c>
      <c r="S72">
        <v>0</v>
      </c>
      <c r="U72">
        <v>0</v>
      </c>
      <c r="V72">
        <v>0</v>
      </c>
      <c r="W72">
        <v>0</v>
      </c>
    </row>
    <row r="73" spans="1:25" x14ac:dyDescent="0.2">
      <c r="A73" t="s">
        <v>66</v>
      </c>
      <c r="B73" t="s">
        <v>128</v>
      </c>
      <c r="C73" s="48">
        <v>52963</v>
      </c>
      <c r="E73">
        <v>-5.6843418860808015E-13</v>
      </c>
      <c r="G73">
        <v>-5.6843418860808015E-13</v>
      </c>
      <c r="J73">
        <v>-2.5155380510003551E-12</v>
      </c>
      <c r="L73">
        <v>-2.5155380510003551E-12</v>
      </c>
      <c r="M73">
        <v>-7.4619722023817434E-10</v>
      </c>
      <c r="N73">
        <v>-6.3515459689572438E-10</v>
      </c>
      <c r="O73">
        <v>1.1104262334245008E-10</v>
      </c>
      <c r="P73">
        <v>0</v>
      </c>
      <c r="S73">
        <v>-4.0307299244843824E-8</v>
      </c>
      <c r="U73">
        <v>0</v>
      </c>
      <c r="V73">
        <v>0</v>
      </c>
      <c r="W73">
        <v>0</v>
      </c>
    </row>
    <row r="74" spans="1:25" x14ac:dyDescent="0.2">
      <c r="A74" t="s">
        <v>67</v>
      </c>
      <c r="B74" t="s">
        <v>128</v>
      </c>
      <c r="C74" s="48">
        <v>52963</v>
      </c>
      <c r="E74">
        <v>0</v>
      </c>
      <c r="G74">
        <v>0</v>
      </c>
      <c r="H74">
        <v>35868.080000000002</v>
      </c>
      <c r="N74">
        <v>0</v>
      </c>
      <c r="O74">
        <v>0</v>
      </c>
      <c r="P74">
        <v>0</v>
      </c>
      <c r="S74">
        <v>0</v>
      </c>
      <c r="U74">
        <v>0</v>
      </c>
      <c r="V74">
        <v>0</v>
      </c>
      <c r="W74">
        <v>0</v>
      </c>
    </row>
    <row r="75" spans="1:25" x14ac:dyDescent="0.2">
      <c r="A75" t="s">
        <v>68</v>
      </c>
      <c r="B75" t="s">
        <v>128</v>
      </c>
      <c r="C75" s="48">
        <v>52963</v>
      </c>
      <c r="E75">
        <v>0</v>
      </c>
      <c r="G75">
        <v>0</v>
      </c>
      <c r="H75">
        <v>1146.8529871414398</v>
      </c>
      <c r="N75">
        <v>0</v>
      </c>
      <c r="O75">
        <v>0</v>
      </c>
      <c r="P75">
        <v>0</v>
      </c>
      <c r="S75">
        <v>0</v>
      </c>
      <c r="U75">
        <v>0</v>
      </c>
      <c r="V75">
        <v>0</v>
      </c>
      <c r="W75">
        <v>0</v>
      </c>
    </row>
    <row r="76" spans="1:25" x14ac:dyDescent="0.2">
      <c r="A76" t="s">
        <v>69</v>
      </c>
      <c r="B76" t="s">
        <v>128</v>
      </c>
      <c r="C76" s="48">
        <v>52963</v>
      </c>
      <c r="E76">
        <v>0</v>
      </c>
      <c r="G76">
        <v>0</v>
      </c>
      <c r="H76">
        <v>24</v>
      </c>
      <c r="N76">
        <v>0</v>
      </c>
      <c r="O76">
        <v>0</v>
      </c>
      <c r="P76">
        <v>0</v>
      </c>
      <c r="S76">
        <v>0</v>
      </c>
      <c r="U76">
        <v>0</v>
      </c>
      <c r="V76">
        <v>0</v>
      </c>
      <c r="W76">
        <v>0</v>
      </c>
    </row>
    <row r="77" spans="1:25" x14ac:dyDescent="0.2">
      <c r="A77" t="s">
        <v>70</v>
      </c>
      <c r="B77" t="s">
        <v>128</v>
      </c>
      <c r="C77" s="48">
        <v>52963</v>
      </c>
      <c r="E77">
        <v>60</v>
      </c>
      <c r="G77">
        <v>60</v>
      </c>
      <c r="H77">
        <v>60</v>
      </c>
      <c r="N77">
        <v>144828.65117447931</v>
      </c>
      <c r="O77">
        <v>144828.65117447931</v>
      </c>
      <c r="P77">
        <v>6846.1764513373837</v>
      </c>
      <c r="S77">
        <v>8343096.1987516722</v>
      </c>
      <c r="U77">
        <v>0</v>
      </c>
      <c r="V77">
        <v>0</v>
      </c>
      <c r="W77">
        <v>0</v>
      </c>
    </row>
    <row r="78" spans="1:25" x14ac:dyDescent="0.2">
      <c r="A78" t="s">
        <v>659</v>
      </c>
      <c r="B78" t="s">
        <v>142</v>
      </c>
      <c r="C78" s="48">
        <v>52963</v>
      </c>
      <c r="D78">
        <v>0</v>
      </c>
      <c r="E78">
        <v>0</v>
      </c>
      <c r="F78">
        <v>0</v>
      </c>
      <c r="G78">
        <v>0</v>
      </c>
      <c r="N78">
        <v>0</v>
      </c>
      <c r="O78">
        <v>0</v>
      </c>
      <c r="P78">
        <v>0</v>
      </c>
      <c r="S78">
        <v>0</v>
      </c>
      <c r="U78">
        <v>0</v>
      </c>
      <c r="V78">
        <v>0</v>
      </c>
      <c r="W78">
        <v>0</v>
      </c>
    </row>
    <row r="79" spans="1:25" x14ac:dyDescent="0.2">
      <c r="A79" t="s">
        <v>71</v>
      </c>
      <c r="B79" t="s">
        <v>142</v>
      </c>
      <c r="C79" s="48">
        <v>52963</v>
      </c>
      <c r="D79">
        <v>2754.7</v>
      </c>
      <c r="E79">
        <v>0</v>
      </c>
      <c r="F79">
        <v>0</v>
      </c>
      <c r="G79">
        <v>2754.7</v>
      </c>
      <c r="N79">
        <v>907298.6372861648</v>
      </c>
      <c r="O79">
        <v>907298.6372861648</v>
      </c>
      <c r="P79">
        <v>0</v>
      </c>
      <c r="Q79">
        <v>128.37276391377262</v>
      </c>
      <c r="R79">
        <v>128.37276391377259</v>
      </c>
      <c r="S79">
        <v>0</v>
      </c>
      <c r="U79">
        <v>268581.27871718648</v>
      </c>
      <c r="V79">
        <v>53958211.062228918</v>
      </c>
      <c r="W79">
        <v>0</v>
      </c>
      <c r="X79">
        <v>2420797.7941000098</v>
      </c>
      <c r="Y79">
        <v>2420797.7941000094</v>
      </c>
    </row>
    <row r="80" spans="1:25" x14ac:dyDescent="0.2">
      <c r="A80" t="s">
        <v>72</v>
      </c>
      <c r="B80" t="s">
        <v>142</v>
      </c>
      <c r="C80" s="48">
        <v>52963</v>
      </c>
      <c r="D80">
        <v>0</v>
      </c>
      <c r="E80">
        <v>0</v>
      </c>
      <c r="F80">
        <v>0</v>
      </c>
      <c r="G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 x14ac:dyDescent="0.2">
      <c r="A81" t="s">
        <v>660</v>
      </c>
      <c r="B81" t="s">
        <v>142</v>
      </c>
      <c r="C81" s="48">
        <v>52963</v>
      </c>
      <c r="D81">
        <v>0</v>
      </c>
      <c r="E81">
        <v>0</v>
      </c>
      <c r="F81">
        <v>0</v>
      </c>
      <c r="G81">
        <v>0</v>
      </c>
      <c r="N81">
        <v>0</v>
      </c>
      <c r="O81">
        <v>0</v>
      </c>
      <c r="P81">
        <v>0</v>
      </c>
      <c r="S81">
        <v>0</v>
      </c>
      <c r="U81">
        <v>0</v>
      </c>
      <c r="V81">
        <v>0</v>
      </c>
      <c r="W81">
        <v>0</v>
      </c>
    </row>
    <row r="82" spans="1:25" x14ac:dyDescent="0.2">
      <c r="A82" t="s">
        <v>661</v>
      </c>
      <c r="B82" t="s">
        <v>142</v>
      </c>
      <c r="C82" s="48">
        <v>52963</v>
      </c>
      <c r="D82">
        <v>233.7</v>
      </c>
      <c r="E82">
        <v>0</v>
      </c>
      <c r="F82">
        <v>0</v>
      </c>
      <c r="G82">
        <v>233.7</v>
      </c>
      <c r="N82">
        <v>104653.17054083323</v>
      </c>
      <c r="O82">
        <v>104653.17054083323</v>
      </c>
      <c r="P82">
        <v>0</v>
      </c>
      <c r="S82">
        <v>0</v>
      </c>
      <c r="U82">
        <v>0</v>
      </c>
      <c r="V82">
        <v>0</v>
      </c>
      <c r="W82">
        <v>0</v>
      </c>
    </row>
    <row r="83" spans="1:25" x14ac:dyDescent="0.2">
      <c r="A83" t="s">
        <v>662</v>
      </c>
      <c r="B83" t="s">
        <v>142</v>
      </c>
      <c r="C83" s="48">
        <v>52963</v>
      </c>
      <c r="D83">
        <v>407</v>
      </c>
      <c r="E83">
        <v>0</v>
      </c>
      <c r="F83">
        <v>0</v>
      </c>
      <c r="G83">
        <v>407</v>
      </c>
      <c r="N83">
        <v>3340860.98540146</v>
      </c>
      <c r="O83">
        <v>3340860.98540146</v>
      </c>
      <c r="P83">
        <v>0</v>
      </c>
      <c r="S83">
        <v>0</v>
      </c>
      <c r="U83">
        <v>6509621.2963753631</v>
      </c>
      <c r="V83">
        <v>26690433.066574771</v>
      </c>
      <c r="W83">
        <v>0</v>
      </c>
    </row>
    <row r="84" spans="1:25" x14ac:dyDescent="0.2">
      <c r="A84" t="s">
        <v>73</v>
      </c>
      <c r="B84" t="s">
        <v>142</v>
      </c>
      <c r="C84" s="48">
        <v>52963</v>
      </c>
      <c r="D84">
        <v>1647</v>
      </c>
      <c r="E84">
        <v>0</v>
      </c>
      <c r="F84">
        <v>0</v>
      </c>
      <c r="G84">
        <v>1647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 x14ac:dyDescent="0.2">
      <c r="A85" t="s">
        <v>663</v>
      </c>
      <c r="B85" t="s">
        <v>142</v>
      </c>
      <c r="C85" s="48">
        <v>52963</v>
      </c>
      <c r="D85">
        <v>56</v>
      </c>
      <c r="E85">
        <v>0</v>
      </c>
      <c r="F85">
        <v>0</v>
      </c>
      <c r="G85">
        <v>56</v>
      </c>
      <c r="N85">
        <v>490560</v>
      </c>
      <c r="O85">
        <v>490560</v>
      </c>
      <c r="P85">
        <v>0</v>
      </c>
      <c r="S85">
        <v>0</v>
      </c>
      <c r="U85">
        <v>0</v>
      </c>
      <c r="V85">
        <v>0</v>
      </c>
      <c r="W85">
        <v>0</v>
      </c>
    </row>
    <row r="86" spans="1:25" x14ac:dyDescent="0.2">
      <c r="A86" t="s">
        <v>664</v>
      </c>
      <c r="B86" t="s">
        <v>142</v>
      </c>
      <c r="C86" s="48">
        <v>52963</v>
      </c>
      <c r="D86">
        <v>3459.4316353886315</v>
      </c>
      <c r="E86">
        <v>0</v>
      </c>
      <c r="F86">
        <v>0</v>
      </c>
      <c r="G86">
        <v>3459.4316353886315</v>
      </c>
      <c r="N86">
        <v>9548773.9351142775</v>
      </c>
      <c r="O86">
        <v>9548773.9351142775</v>
      </c>
      <c r="P86">
        <v>0</v>
      </c>
      <c r="S86">
        <v>0</v>
      </c>
      <c r="U86">
        <v>0</v>
      </c>
      <c r="V86">
        <v>0</v>
      </c>
      <c r="W86">
        <v>0</v>
      </c>
    </row>
    <row r="87" spans="1:25" x14ac:dyDescent="0.2">
      <c r="A87" t="s">
        <v>74</v>
      </c>
      <c r="B87" t="s">
        <v>142</v>
      </c>
      <c r="C87" s="48">
        <v>52963</v>
      </c>
      <c r="D87">
        <v>197</v>
      </c>
      <c r="E87">
        <v>0</v>
      </c>
      <c r="F87">
        <v>0</v>
      </c>
      <c r="G87">
        <v>197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 x14ac:dyDescent="0.2">
      <c r="A88" t="s">
        <v>665</v>
      </c>
      <c r="B88" t="s">
        <v>142</v>
      </c>
      <c r="C88" s="48">
        <v>52963</v>
      </c>
      <c r="D88">
        <v>5.0875000000000004</v>
      </c>
      <c r="E88">
        <v>0</v>
      </c>
      <c r="F88">
        <v>0</v>
      </c>
      <c r="G88">
        <v>5.0875000000000004</v>
      </c>
      <c r="N88">
        <v>10302.118555766034</v>
      </c>
      <c r="O88">
        <v>10302.118555766034</v>
      </c>
      <c r="P88">
        <v>0</v>
      </c>
      <c r="S88">
        <v>0</v>
      </c>
      <c r="U88">
        <v>0</v>
      </c>
      <c r="V88">
        <v>0</v>
      </c>
      <c r="W88">
        <v>0</v>
      </c>
    </row>
    <row r="89" spans="1:25" x14ac:dyDescent="0.2">
      <c r="A89" t="s">
        <v>666</v>
      </c>
      <c r="B89" t="s">
        <v>142</v>
      </c>
      <c r="C89" s="48">
        <v>52963</v>
      </c>
      <c r="D89">
        <v>704.83749999999998</v>
      </c>
      <c r="E89">
        <v>0</v>
      </c>
      <c r="F89">
        <v>0</v>
      </c>
      <c r="G89">
        <v>704.83749999999998</v>
      </c>
      <c r="N89">
        <v>1427286.3857591629</v>
      </c>
      <c r="O89">
        <v>1427286.3857591629</v>
      </c>
      <c r="P89">
        <v>0</v>
      </c>
      <c r="S89">
        <v>0</v>
      </c>
      <c r="U89">
        <v>0</v>
      </c>
      <c r="V89">
        <v>0</v>
      </c>
      <c r="W89">
        <v>0</v>
      </c>
    </row>
    <row r="90" spans="1:25" x14ac:dyDescent="0.2">
      <c r="A90" t="s">
        <v>75</v>
      </c>
      <c r="B90" t="s">
        <v>128</v>
      </c>
      <c r="C90" s="48">
        <v>52963</v>
      </c>
      <c r="E90">
        <v>75</v>
      </c>
      <c r="G90">
        <v>75</v>
      </c>
      <c r="H90">
        <v>3100</v>
      </c>
      <c r="N90">
        <v>208114.51649070185</v>
      </c>
      <c r="O90">
        <v>208114.51649070185</v>
      </c>
      <c r="P90">
        <v>1445.6328018548936</v>
      </c>
      <c r="S90">
        <v>16767866.699999999</v>
      </c>
      <c r="U90">
        <v>0</v>
      </c>
      <c r="V90">
        <v>0</v>
      </c>
      <c r="W90">
        <v>0</v>
      </c>
    </row>
    <row r="91" spans="1:25" x14ac:dyDescent="0.2">
      <c r="A91" t="s">
        <v>76</v>
      </c>
      <c r="B91" t="s">
        <v>128</v>
      </c>
      <c r="C91" s="48">
        <v>52963</v>
      </c>
      <c r="E91">
        <v>0</v>
      </c>
      <c r="G91">
        <v>0</v>
      </c>
      <c r="H91">
        <v>34580</v>
      </c>
      <c r="N91">
        <v>0</v>
      </c>
      <c r="O91">
        <v>0</v>
      </c>
      <c r="P91">
        <v>0</v>
      </c>
      <c r="S91">
        <v>0</v>
      </c>
      <c r="U91">
        <v>0</v>
      </c>
      <c r="V91">
        <v>0</v>
      </c>
      <c r="W91">
        <v>0</v>
      </c>
    </row>
    <row r="92" spans="1:25" x14ac:dyDescent="0.2">
      <c r="A92" t="s">
        <v>77</v>
      </c>
      <c r="B92" t="s">
        <v>128</v>
      </c>
      <c r="C92" s="48">
        <v>52963</v>
      </c>
      <c r="E92">
        <v>0</v>
      </c>
      <c r="G92">
        <v>0</v>
      </c>
      <c r="H92">
        <v>469</v>
      </c>
      <c r="N92">
        <v>0</v>
      </c>
      <c r="O92">
        <v>0</v>
      </c>
      <c r="P92">
        <v>0</v>
      </c>
      <c r="S92">
        <v>0</v>
      </c>
      <c r="U92">
        <v>0</v>
      </c>
      <c r="V92">
        <v>0</v>
      </c>
      <c r="W92">
        <v>0</v>
      </c>
    </row>
    <row r="93" spans="1:25" x14ac:dyDescent="0.2">
      <c r="A93" t="s">
        <v>78</v>
      </c>
      <c r="B93" t="s">
        <v>128</v>
      </c>
      <c r="C93" s="48">
        <v>52963</v>
      </c>
      <c r="E93">
        <v>0</v>
      </c>
      <c r="G93">
        <v>0</v>
      </c>
      <c r="J93">
        <v>0</v>
      </c>
      <c r="L93">
        <v>0</v>
      </c>
      <c r="M93">
        <v>0</v>
      </c>
      <c r="N93">
        <v>0</v>
      </c>
      <c r="O93">
        <v>0</v>
      </c>
      <c r="P93">
        <v>0</v>
      </c>
      <c r="S93">
        <v>0</v>
      </c>
      <c r="U93">
        <v>0</v>
      </c>
      <c r="V93">
        <v>0</v>
      </c>
      <c r="W93">
        <v>0</v>
      </c>
    </row>
    <row r="94" spans="1:25" x14ac:dyDescent="0.2">
      <c r="A94" t="s">
        <v>79</v>
      </c>
      <c r="B94" t="s">
        <v>128</v>
      </c>
      <c r="C94" s="48">
        <v>52963</v>
      </c>
      <c r="E94">
        <v>0</v>
      </c>
      <c r="G94">
        <v>0</v>
      </c>
      <c r="H94">
        <v>79974.847100523373</v>
      </c>
      <c r="N94">
        <v>0</v>
      </c>
      <c r="O94">
        <v>0</v>
      </c>
      <c r="P94">
        <v>0</v>
      </c>
      <c r="S94">
        <v>0</v>
      </c>
      <c r="U94">
        <v>0</v>
      </c>
      <c r="V94">
        <v>0</v>
      </c>
      <c r="W94">
        <v>0</v>
      </c>
    </row>
    <row r="95" spans="1:25" x14ac:dyDescent="0.2">
      <c r="A95" t="s">
        <v>80</v>
      </c>
      <c r="B95" t="s">
        <v>128</v>
      </c>
      <c r="C95" s="48">
        <v>52963</v>
      </c>
      <c r="E95">
        <v>619.12499999999989</v>
      </c>
      <c r="G95">
        <v>619.12499999999989</v>
      </c>
      <c r="H95">
        <v>865.9</v>
      </c>
      <c r="N95">
        <v>1564936.9477995159</v>
      </c>
      <c r="O95">
        <v>1564936.9477995159</v>
      </c>
      <c r="P95">
        <v>51740.134547385896</v>
      </c>
      <c r="S95">
        <v>87357446.014097467</v>
      </c>
      <c r="U95">
        <v>0</v>
      </c>
      <c r="V95">
        <v>0</v>
      </c>
      <c r="W95">
        <v>0</v>
      </c>
    </row>
    <row r="96" spans="1:25" x14ac:dyDescent="0.2">
      <c r="A96" t="s">
        <v>667</v>
      </c>
      <c r="B96" t="s">
        <v>143</v>
      </c>
      <c r="C96" s="48">
        <v>52963</v>
      </c>
      <c r="D96">
        <v>46</v>
      </c>
      <c r="E96">
        <v>0</v>
      </c>
      <c r="F96">
        <v>0</v>
      </c>
      <c r="G96">
        <v>46</v>
      </c>
      <c r="N96">
        <v>233716.8</v>
      </c>
      <c r="O96">
        <v>233716.8</v>
      </c>
      <c r="P96">
        <v>0</v>
      </c>
      <c r="S96">
        <v>0</v>
      </c>
      <c r="U96">
        <v>392123.00001104642</v>
      </c>
      <c r="V96">
        <v>0</v>
      </c>
      <c r="W96">
        <v>0</v>
      </c>
    </row>
    <row r="97" spans="1:25" x14ac:dyDescent="0.2">
      <c r="A97" t="s">
        <v>668</v>
      </c>
      <c r="B97" t="s">
        <v>143</v>
      </c>
      <c r="C97" s="48">
        <v>52963</v>
      </c>
      <c r="D97">
        <v>544.1</v>
      </c>
      <c r="E97">
        <v>0</v>
      </c>
      <c r="F97">
        <v>0</v>
      </c>
      <c r="G97">
        <v>544.1</v>
      </c>
      <c r="N97">
        <v>4766316</v>
      </c>
      <c r="O97">
        <v>4766316</v>
      </c>
      <c r="P97">
        <v>0</v>
      </c>
      <c r="S97">
        <v>0</v>
      </c>
      <c r="U97">
        <v>7996781.2708399687</v>
      </c>
      <c r="V97">
        <v>0</v>
      </c>
      <c r="W97">
        <v>0</v>
      </c>
    </row>
    <row r="98" spans="1:25" x14ac:dyDescent="0.2">
      <c r="A98" t="s">
        <v>81</v>
      </c>
      <c r="B98" t="s">
        <v>143</v>
      </c>
      <c r="C98" s="48">
        <v>52963</v>
      </c>
      <c r="D98">
        <v>9573.4280000000017</v>
      </c>
      <c r="E98">
        <v>0</v>
      </c>
      <c r="F98">
        <v>0</v>
      </c>
      <c r="G98">
        <v>9573.4280000000017</v>
      </c>
      <c r="N98">
        <v>67857624.22349152</v>
      </c>
      <c r="O98">
        <v>67857624.22349152</v>
      </c>
      <c r="P98">
        <v>0</v>
      </c>
      <c r="Q98">
        <v>0</v>
      </c>
      <c r="R98">
        <v>4.9515136516512167E-12</v>
      </c>
      <c r="S98">
        <v>0</v>
      </c>
      <c r="U98">
        <v>18388646.62824716</v>
      </c>
      <c r="V98">
        <v>1855253599.6449149</v>
      </c>
      <c r="W98">
        <v>0</v>
      </c>
      <c r="X98">
        <v>0</v>
      </c>
      <c r="Y98">
        <v>8.248539353653331E-8</v>
      </c>
    </row>
    <row r="99" spans="1:25" x14ac:dyDescent="0.2">
      <c r="A99" t="s">
        <v>82</v>
      </c>
      <c r="B99" t="s">
        <v>143</v>
      </c>
      <c r="C99" s="48">
        <v>52963</v>
      </c>
      <c r="D99">
        <v>7363.8029999999999</v>
      </c>
      <c r="E99">
        <v>0</v>
      </c>
      <c r="F99">
        <v>0</v>
      </c>
      <c r="G99">
        <v>7363.8029999999999</v>
      </c>
      <c r="N99">
        <v>26538236.259415507</v>
      </c>
      <c r="O99">
        <v>26538236.259415507</v>
      </c>
      <c r="P99">
        <v>0</v>
      </c>
      <c r="Q99">
        <v>281.96618359764642</v>
      </c>
      <c r="R99">
        <v>281.96618359764898</v>
      </c>
      <c r="S99">
        <v>0</v>
      </c>
      <c r="U99">
        <v>71376053.16211465</v>
      </c>
      <c r="V99">
        <v>625231236.53340375</v>
      </c>
      <c r="W99">
        <v>0</v>
      </c>
      <c r="X99">
        <v>6922098.1896302644</v>
      </c>
      <c r="Y99">
        <v>6922098.1896303277</v>
      </c>
    </row>
    <row r="100" spans="1:25" x14ac:dyDescent="0.2">
      <c r="A100" t="s">
        <v>83</v>
      </c>
      <c r="B100" t="s">
        <v>128</v>
      </c>
      <c r="C100" s="48">
        <v>52963</v>
      </c>
      <c r="E100">
        <v>0</v>
      </c>
      <c r="G100">
        <v>0</v>
      </c>
      <c r="H100">
        <v>1500</v>
      </c>
      <c r="N100">
        <v>0</v>
      </c>
      <c r="O100">
        <v>0</v>
      </c>
      <c r="P100">
        <v>0</v>
      </c>
      <c r="S100">
        <v>0</v>
      </c>
      <c r="U100">
        <v>0</v>
      </c>
      <c r="V100">
        <v>0</v>
      </c>
      <c r="W100">
        <v>0</v>
      </c>
    </row>
    <row r="101" spans="1:25" x14ac:dyDescent="0.2">
      <c r="A101" t="s">
        <v>669</v>
      </c>
      <c r="B101" t="s">
        <v>143</v>
      </c>
      <c r="C101" s="48">
        <v>52963</v>
      </c>
      <c r="D101">
        <v>0</v>
      </c>
      <c r="E101">
        <v>0</v>
      </c>
      <c r="F101">
        <v>0</v>
      </c>
      <c r="G101">
        <v>0</v>
      </c>
      <c r="N101">
        <v>0</v>
      </c>
      <c r="O101">
        <v>0</v>
      </c>
      <c r="P101">
        <v>0</v>
      </c>
      <c r="S101">
        <v>0</v>
      </c>
      <c r="U101">
        <v>0</v>
      </c>
      <c r="V101">
        <v>0</v>
      </c>
      <c r="W101">
        <v>0</v>
      </c>
    </row>
    <row r="102" spans="1:25" x14ac:dyDescent="0.2">
      <c r="A102" t="s">
        <v>670</v>
      </c>
      <c r="B102" t="s">
        <v>143</v>
      </c>
      <c r="C102" s="48">
        <v>52963</v>
      </c>
      <c r="D102">
        <v>154.095</v>
      </c>
      <c r="E102">
        <v>0</v>
      </c>
      <c r="F102">
        <v>0</v>
      </c>
      <c r="G102">
        <v>154.095</v>
      </c>
      <c r="N102">
        <v>1349872.2</v>
      </c>
      <c r="O102">
        <v>1349872.2</v>
      </c>
      <c r="P102">
        <v>0</v>
      </c>
      <c r="S102">
        <v>0</v>
      </c>
      <c r="U102">
        <v>1592648.1384752474</v>
      </c>
      <c r="V102">
        <v>0</v>
      </c>
      <c r="W102">
        <v>0</v>
      </c>
    </row>
    <row r="103" spans="1:25" x14ac:dyDescent="0.2">
      <c r="A103" t="s">
        <v>84</v>
      </c>
      <c r="B103" t="s">
        <v>143</v>
      </c>
      <c r="C103" s="48">
        <v>52963</v>
      </c>
      <c r="D103">
        <v>31287.61580671135</v>
      </c>
      <c r="E103">
        <v>0</v>
      </c>
      <c r="F103">
        <v>0</v>
      </c>
      <c r="G103">
        <v>31287.61580671135</v>
      </c>
      <c r="N103">
        <v>126554042.51986223</v>
      </c>
      <c r="O103">
        <v>126554042.51986223</v>
      </c>
      <c r="P103">
        <v>0</v>
      </c>
      <c r="S103">
        <v>0</v>
      </c>
      <c r="U103">
        <v>0</v>
      </c>
      <c r="V103">
        <v>0</v>
      </c>
      <c r="W103">
        <v>0</v>
      </c>
    </row>
    <row r="104" spans="1:25" x14ac:dyDescent="0.2">
      <c r="A104" t="s">
        <v>85</v>
      </c>
      <c r="B104" t="s">
        <v>129</v>
      </c>
      <c r="C104" s="48">
        <v>52963</v>
      </c>
      <c r="D104">
        <v>2851.7671932886424</v>
      </c>
      <c r="E104">
        <v>0</v>
      </c>
      <c r="F104">
        <v>0</v>
      </c>
      <c r="G104">
        <v>2851.7671932886424</v>
      </c>
      <c r="N104">
        <v>11535000.58508081</v>
      </c>
      <c r="O104">
        <v>11535000.58508081</v>
      </c>
      <c r="P104">
        <v>0</v>
      </c>
      <c r="S104">
        <v>0</v>
      </c>
      <c r="U104">
        <v>0</v>
      </c>
      <c r="V104">
        <v>0</v>
      </c>
      <c r="W104">
        <v>0</v>
      </c>
    </row>
    <row r="105" spans="1:25" x14ac:dyDescent="0.2">
      <c r="A105" t="s">
        <v>671</v>
      </c>
      <c r="B105" t="s">
        <v>143</v>
      </c>
      <c r="C105" s="48">
        <v>52963</v>
      </c>
      <c r="D105">
        <v>1756.56</v>
      </c>
      <c r="E105">
        <v>0</v>
      </c>
      <c r="F105">
        <v>0</v>
      </c>
      <c r="G105">
        <v>1756.56</v>
      </c>
      <c r="N105">
        <v>13449992.741605841</v>
      </c>
      <c r="O105">
        <v>13449992.741605841</v>
      </c>
      <c r="P105">
        <v>0</v>
      </c>
      <c r="S105">
        <v>0</v>
      </c>
      <c r="U105">
        <v>26207124.321974844</v>
      </c>
      <c r="V105">
        <v>111154254.47799882</v>
      </c>
      <c r="W105">
        <v>0</v>
      </c>
    </row>
    <row r="106" spans="1:25" x14ac:dyDescent="0.2">
      <c r="A106" t="s">
        <v>86</v>
      </c>
      <c r="B106" t="s">
        <v>143</v>
      </c>
      <c r="C106" s="48">
        <v>52963</v>
      </c>
      <c r="D106">
        <v>2587.5300000000011</v>
      </c>
      <c r="E106">
        <v>0</v>
      </c>
      <c r="F106">
        <v>0</v>
      </c>
      <c r="G106">
        <v>2587.5300000000011</v>
      </c>
      <c r="N106">
        <v>1000207.993487404</v>
      </c>
      <c r="O106">
        <v>1000207.993487404</v>
      </c>
      <c r="P106">
        <v>0</v>
      </c>
      <c r="Q106">
        <v>1496.4710720276471</v>
      </c>
      <c r="R106">
        <v>1496.4710720276471</v>
      </c>
      <c r="S106">
        <v>0</v>
      </c>
      <c r="U106">
        <v>1516099.2014207672</v>
      </c>
      <c r="V106">
        <v>38147410.123555541</v>
      </c>
      <c r="W106">
        <v>0</v>
      </c>
      <c r="X106">
        <v>1408411.4374778329</v>
      </c>
      <c r="Y106">
        <v>1408411.4374778329</v>
      </c>
    </row>
    <row r="107" spans="1:25" x14ac:dyDescent="0.2">
      <c r="A107" t="s">
        <v>672</v>
      </c>
      <c r="B107" t="s">
        <v>143</v>
      </c>
      <c r="C107" s="48">
        <v>52963</v>
      </c>
      <c r="D107">
        <v>6.9</v>
      </c>
      <c r="E107">
        <v>0</v>
      </c>
      <c r="F107">
        <v>0</v>
      </c>
      <c r="G107">
        <v>6.9</v>
      </c>
      <c r="N107">
        <v>30222</v>
      </c>
      <c r="O107">
        <v>30222</v>
      </c>
      <c r="P107">
        <v>0</v>
      </c>
      <c r="S107">
        <v>0</v>
      </c>
      <c r="U107">
        <v>0</v>
      </c>
      <c r="V107">
        <v>0</v>
      </c>
      <c r="W107">
        <v>0</v>
      </c>
    </row>
    <row r="108" spans="1:25" x14ac:dyDescent="0.2">
      <c r="A108" t="s">
        <v>673</v>
      </c>
      <c r="B108" t="s">
        <v>143</v>
      </c>
      <c r="C108" s="48">
        <v>52963</v>
      </c>
      <c r="D108">
        <v>41</v>
      </c>
      <c r="E108">
        <v>0</v>
      </c>
      <c r="F108">
        <v>0</v>
      </c>
      <c r="G108">
        <v>41</v>
      </c>
      <c r="N108">
        <v>359160</v>
      </c>
      <c r="O108">
        <v>359160</v>
      </c>
      <c r="P108">
        <v>0</v>
      </c>
      <c r="S108">
        <v>0</v>
      </c>
      <c r="U108">
        <v>0</v>
      </c>
      <c r="V108">
        <v>0</v>
      </c>
      <c r="W108">
        <v>0</v>
      </c>
    </row>
    <row r="109" spans="1:25" x14ac:dyDescent="0.2">
      <c r="A109" t="s">
        <v>674</v>
      </c>
      <c r="B109" t="s">
        <v>143</v>
      </c>
      <c r="C109" s="48">
        <v>52963</v>
      </c>
      <c r="D109">
        <v>2599.6999999999998</v>
      </c>
      <c r="E109">
        <v>0</v>
      </c>
      <c r="F109">
        <v>0</v>
      </c>
      <c r="G109">
        <v>2599.6999999999998</v>
      </c>
      <c r="N109">
        <v>5944370.9083076259</v>
      </c>
      <c r="O109">
        <v>5944370.9083076259</v>
      </c>
      <c r="P109">
        <v>0</v>
      </c>
      <c r="S109">
        <v>0</v>
      </c>
      <c r="U109">
        <v>0</v>
      </c>
      <c r="V109">
        <v>0</v>
      </c>
      <c r="W109">
        <v>0</v>
      </c>
    </row>
    <row r="110" spans="1:25" x14ac:dyDescent="0.2">
      <c r="A110" t="s">
        <v>675</v>
      </c>
      <c r="B110" t="s">
        <v>143</v>
      </c>
      <c r="C110" s="48">
        <v>52963</v>
      </c>
      <c r="D110">
        <v>1417.2920800000002</v>
      </c>
      <c r="E110">
        <v>0</v>
      </c>
      <c r="F110">
        <v>0</v>
      </c>
      <c r="G110">
        <v>1417.2920800000002</v>
      </c>
      <c r="N110">
        <v>2959980.4270955408</v>
      </c>
      <c r="O110">
        <v>2959980.4270955408</v>
      </c>
      <c r="P110">
        <v>0</v>
      </c>
      <c r="S110">
        <v>0</v>
      </c>
      <c r="U110">
        <v>0</v>
      </c>
      <c r="V110">
        <v>0</v>
      </c>
      <c r="W110">
        <v>0</v>
      </c>
    </row>
    <row r="111" spans="1:25" x14ac:dyDescent="0.2">
      <c r="A111" t="s">
        <v>676</v>
      </c>
      <c r="B111" t="s">
        <v>143</v>
      </c>
      <c r="C111" s="48">
        <v>52963</v>
      </c>
      <c r="D111">
        <v>10989.48792</v>
      </c>
      <c r="E111">
        <v>0</v>
      </c>
      <c r="F111">
        <v>0</v>
      </c>
      <c r="G111">
        <v>10989.48792</v>
      </c>
      <c r="N111">
        <v>25247918.652355146</v>
      </c>
      <c r="O111">
        <v>25247918.652355146</v>
      </c>
      <c r="P111">
        <v>0</v>
      </c>
      <c r="S111">
        <v>0</v>
      </c>
      <c r="U111">
        <v>0</v>
      </c>
      <c r="V111">
        <v>0</v>
      </c>
      <c r="W111">
        <v>0</v>
      </c>
    </row>
    <row r="112" spans="1:25" x14ac:dyDescent="0.2">
      <c r="A112" t="s">
        <v>87</v>
      </c>
      <c r="B112" t="s">
        <v>128</v>
      </c>
      <c r="C112" s="48">
        <v>52963</v>
      </c>
      <c r="E112">
        <v>0</v>
      </c>
      <c r="G112">
        <v>0</v>
      </c>
      <c r="N112">
        <v>0</v>
      </c>
      <c r="O112">
        <v>0</v>
      </c>
      <c r="P112">
        <v>0</v>
      </c>
      <c r="S112">
        <v>0</v>
      </c>
      <c r="U112">
        <v>0</v>
      </c>
      <c r="V112">
        <v>0</v>
      </c>
      <c r="W112">
        <v>0</v>
      </c>
    </row>
    <row r="113" spans="1:23" x14ac:dyDescent="0.2">
      <c r="A113" t="s">
        <v>88</v>
      </c>
      <c r="B113" t="s">
        <v>128</v>
      </c>
      <c r="C113" s="48">
        <v>52963</v>
      </c>
      <c r="E113">
        <v>0</v>
      </c>
      <c r="G113">
        <v>0</v>
      </c>
      <c r="N113">
        <v>0</v>
      </c>
      <c r="O113">
        <v>0</v>
      </c>
      <c r="P113">
        <v>0</v>
      </c>
      <c r="S113">
        <v>0</v>
      </c>
      <c r="U113">
        <v>0</v>
      </c>
      <c r="V113">
        <v>0</v>
      </c>
      <c r="W113">
        <v>0</v>
      </c>
    </row>
    <row r="114" spans="1:23" x14ac:dyDescent="0.2">
      <c r="A114" t="s">
        <v>89</v>
      </c>
      <c r="B114" t="s">
        <v>128</v>
      </c>
      <c r="C114" s="48">
        <v>52963</v>
      </c>
      <c r="E114">
        <v>0</v>
      </c>
      <c r="G114">
        <v>0</v>
      </c>
      <c r="H114">
        <v>1400</v>
      </c>
      <c r="J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S114">
        <v>0</v>
      </c>
      <c r="U114">
        <v>0</v>
      </c>
      <c r="V114">
        <v>0</v>
      </c>
      <c r="W114">
        <v>0</v>
      </c>
    </row>
    <row r="115" spans="1:23" x14ac:dyDescent="0.2">
      <c r="A115" t="s">
        <v>90</v>
      </c>
      <c r="B115" t="s">
        <v>128</v>
      </c>
      <c r="C115" s="48">
        <v>52963</v>
      </c>
      <c r="E115">
        <v>5171.2</v>
      </c>
      <c r="G115">
        <v>5171.2</v>
      </c>
      <c r="J115">
        <v>35778.438341434638</v>
      </c>
      <c r="L115">
        <v>35778.438341434638</v>
      </c>
      <c r="M115">
        <v>15159478.129982151</v>
      </c>
      <c r="N115">
        <v>12885556.41048483</v>
      </c>
      <c r="O115">
        <v>-2273921.7194973212</v>
      </c>
      <c r="P115">
        <v>0</v>
      </c>
      <c r="S115">
        <v>510627454.95905018</v>
      </c>
      <c r="U115">
        <v>0</v>
      </c>
      <c r="V115">
        <v>0</v>
      </c>
      <c r="W115">
        <v>0</v>
      </c>
    </row>
    <row r="116" spans="1:23" x14ac:dyDescent="0.2">
      <c r="A116" t="s">
        <v>91</v>
      </c>
      <c r="B116" t="s">
        <v>128</v>
      </c>
      <c r="C116" s="48">
        <v>52963</v>
      </c>
      <c r="E116">
        <v>0</v>
      </c>
      <c r="G116">
        <v>0</v>
      </c>
      <c r="H116">
        <v>32</v>
      </c>
      <c r="N116">
        <v>0</v>
      </c>
      <c r="O116">
        <v>0</v>
      </c>
      <c r="P116">
        <v>0</v>
      </c>
      <c r="S116">
        <v>0</v>
      </c>
      <c r="U116">
        <v>0</v>
      </c>
      <c r="V116">
        <v>0</v>
      </c>
      <c r="W116">
        <v>0</v>
      </c>
    </row>
    <row r="117" spans="1:23" x14ac:dyDescent="0.2">
      <c r="A117" t="s">
        <v>92</v>
      </c>
      <c r="B117" t="s">
        <v>128</v>
      </c>
      <c r="C117" s="48">
        <v>52963</v>
      </c>
      <c r="E117">
        <v>0</v>
      </c>
      <c r="G117">
        <v>0</v>
      </c>
      <c r="N117">
        <v>0</v>
      </c>
      <c r="O117">
        <v>0</v>
      </c>
      <c r="P117">
        <v>0</v>
      </c>
      <c r="S117">
        <v>0</v>
      </c>
      <c r="U117">
        <v>0</v>
      </c>
      <c r="V117">
        <v>0</v>
      </c>
      <c r="W117">
        <v>0</v>
      </c>
    </row>
    <row r="118" spans="1:23" x14ac:dyDescent="0.2">
      <c r="A118" t="s">
        <v>93</v>
      </c>
      <c r="B118" t="s">
        <v>128</v>
      </c>
      <c r="C118" s="48">
        <v>52963</v>
      </c>
      <c r="E118">
        <v>21149.610389610389</v>
      </c>
      <c r="G118">
        <v>21149.610389610389</v>
      </c>
      <c r="H118">
        <v>106392.40268877566</v>
      </c>
      <c r="N118">
        <v>62170294.210429691</v>
      </c>
      <c r="O118">
        <v>62170294.210429691</v>
      </c>
      <c r="P118">
        <v>0</v>
      </c>
      <c r="S118">
        <v>1210762806.594425</v>
      </c>
      <c r="U118">
        <v>0</v>
      </c>
      <c r="V118">
        <v>0</v>
      </c>
      <c r="W118">
        <v>0</v>
      </c>
    </row>
    <row r="119" spans="1:23" x14ac:dyDescent="0.2">
      <c r="A119" t="s">
        <v>94</v>
      </c>
      <c r="B119" t="s">
        <v>128</v>
      </c>
      <c r="C119" s="48">
        <v>52963</v>
      </c>
      <c r="E119">
        <v>0</v>
      </c>
      <c r="G119">
        <v>0</v>
      </c>
      <c r="H119">
        <v>500</v>
      </c>
      <c r="J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S119">
        <v>0</v>
      </c>
      <c r="U119">
        <v>0</v>
      </c>
      <c r="V119">
        <v>0</v>
      </c>
      <c r="W119">
        <v>0</v>
      </c>
    </row>
    <row r="120" spans="1:23" x14ac:dyDescent="0.2">
      <c r="A120" t="s">
        <v>95</v>
      </c>
      <c r="B120" t="s">
        <v>128</v>
      </c>
      <c r="C120" s="48">
        <v>52963</v>
      </c>
      <c r="E120">
        <v>2596.4995413720007</v>
      </c>
      <c r="G120">
        <v>2596.4995413720007</v>
      </c>
      <c r="J120">
        <v>19863.2214914957</v>
      </c>
      <c r="L120">
        <v>19863.2214914957</v>
      </c>
      <c r="M120">
        <v>8211942.508021486</v>
      </c>
      <c r="N120">
        <v>6980151.1318182629</v>
      </c>
      <c r="O120">
        <v>-1231791.3762032231</v>
      </c>
      <c r="P120">
        <v>0</v>
      </c>
      <c r="S120">
        <v>277584899.12481785</v>
      </c>
      <c r="U120">
        <v>0</v>
      </c>
      <c r="V120">
        <v>0</v>
      </c>
      <c r="W120">
        <v>0</v>
      </c>
    </row>
    <row r="121" spans="1:23" x14ac:dyDescent="0.2">
      <c r="A121" t="s">
        <v>96</v>
      </c>
      <c r="B121" t="s">
        <v>128</v>
      </c>
      <c r="C121" s="48">
        <v>52963</v>
      </c>
      <c r="E121">
        <v>0</v>
      </c>
      <c r="G121">
        <v>0</v>
      </c>
      <c r="H121">
        <v>500</v>
      </c>
      <c r="J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S121">
        <v>0</v>
      </c>
      <c r="U121">
        <v>0</v>
      </c>
      <c r="V121">
        <v>0</v>
      </c>
      <c r="W121">
        <v>0</v>
      </c>
    </row>
    <row r="122" spans="1:23" x14ac:dyDescent="0.2">
      <c r="A122" t="s">
        <v>97</v>
      </c>
      <c r="B122" t="s">
        <v>128</v>
      </c>
      <c r="C122" s="48">
        <v>52963</v>
      </c>
      <c r="E122">
        <v>0</v>
      </c>
      <c r="G122">
        <v>0</v>
      </c>
      <c r="H122">
        <v>135</v>
      </c>
      <c r="N122">
        <v>0</v>
      </c>
      <c r="O122">
        <v>0</v>
      </c>
      <c r="P122">
        <v>0</v>
      </c>
      <c r="S122">
        <v>0</v>
      </c>
      <c r="U122">
        <v>0</v>
      </c>
      <c r="V122">
        <v>0</v>
      </c>
      <c r="W122">
        <v>0</v>
      </c>
    </row>
    <row r="123" spans="1:23" x14ac:dyDescent="0.2">
      <c r="A123" t="s">
        <v>98</v>
      </c>
      <c r="B123" t="s">
        <v>128</v>
      </c>
      <c r="C123" s="48">
        <v>52963</v>
      </c>
      <c r="E123">
        <v>560</v>
      </c>
      <c r="G123">
        <v>560</v>
      </c>
      <c r="H123">
        <v>560</v>
      </c>
      <c r="N123">
        <v>1958929.8971847121</v>
      </c>
      <c r="O123">
        <v>1958929.8971847121</v>
      </c>
      <c r="P123">
        <v>43041.654168834953</v>
      </c>
      <c r="S123">
        <v>77073187.858797237</v>
      </c>
      <c r="U123">
        <v>0</v>
      </c>
      <c r="V123">
        <v>0</v>
      </c>
      <c r="W123">
        <v>0</v>
      </c>
    </row>
    <row r="124" spans="1:23" x14ac:dyDescent="0.2">
      <c r="A124" t="s">
        <v>99</v>
      </c>
      <c r="B124" t="s">
        <v>128</v>
      </c>
      <c r="C124" s="48">
        <v>52963</v>
      </c>
      <c r="E124">
        <v>0</v>
      </c>
      <c r="G124">
        <v>0</v>
      </c>
      <c r="H124">
        <v>320</v>
      </c>
      <c r="N124">
        <v>0</v>
      </c>
      <c r="O124">
        <v>0</v>
      </c>
      <c r="P124">
        <v>0</v>
      </c>
      <c r="S124">
        <v>0</v>
      </c>
      <c r="U124">
        <v>0</v>
      </c>
      <c r="V124">
        <v>0</v>
      </c>
      <c r="W124">
        <v>0</v>
      </c>
    </row>
    <row r="125" spans="1:23" x14ac:dyDescent="0.2">
      <c r="A125" t="s">
        <v>100</v>
      </c>
      <c r="B125" t="s">
        <v>128</v>
      </c>
      <c r="C125" s="48">
        <v>52963</v>
      </c>
      <c r="E125">
        <v>177</v>
      </c>
      <c r="G125">
        <v>177</v>
      </c>
      <c r="H125">
        <v>442.03456499999999</v>
      </c>
      <c r="N125">
        <v>355791.52919382823</v>
      </c>
      <c r="O125">
        <v>355791.52919382823</v>
      </c>
      <c r="P125">
        <v>13533.841274160455</v>
      </c>
      <c r="S125">
        <v>24983038.338487029</v>
      </c>
      <c r="U125">
        <v>0</v>
      </c>
      <c r="V125">
        <v>0</v>
      </c>
      <c r="W125">
        <v>0</v>
      </c>
    </row>
    <row r="126" spans="1:23" x14ac:dyDescent="0.2">
      <c r="A126" t="s">
        <v>101</v>
      </c>
      <c r="B126" t="s">
        <v>128</v>
      </c>
      <c r="C126" s="48">
        <v>52963</v>
      </c>
      <c r="E126">
        <v>3661.4110000000001</v>
      </c>
      <c r="G126">
        <v>3661.4110000000001</v>
      </c>
      <c r="J126">
        <v>29267.770499317296</v>
      </c>
      <c r="L126">
        <v>29267.770499317296</v>
      </c>
      <c r="M126">
        <v>11656134.117460929</v>
      </c>
      <c r="N126">
        <v>9907713.9998417906</v>
      </c>
      <c r="O126">
        <v>-1748420.1176191382</v>
      </c>
      <c r="P126">
        <v>0</v>
      </c>
      <c r="S126">
        <v>405475175.75603348</v>
      </c>
      <c r="U126">
        <v>0</v>
      </c>
      <c r="V126">
        <v>0</v>
      </c>
      <c r="W126">
        <v>0</v>
      </c>
    </row>
    <row r="127" spans="1:23" x14ac:dyDescent="0.2">
      <c r="A127" t="s">
        <v>102</v>
      </c>
      <c r="B127" t="s">
        <v>128</v>
      </c>
      <c r="C127" s="48">
        <v>52963</v>
      </c>
      <c r="E127">
        <v>9017.5727272727272</v>
      </c>
      <c r="G127">
        <v>9017.5727272727272</v>
      </c>
      <c r="H127">
        <v>148848</v>
      </c>
      <c r="N127">
        <v>26437845.795381457</v>
      </c>
      <c r="O127">
        <v>26437845.795381457</v>
      </c>
      <c r="P127">
        <v>69741.776723221061</v>
      </c>
      <c r="S127">
        <v>504691660.77650702</v>
      </c>
      <c r="U127">
        <v>0</v>
      </c>
      <c r="V127">
        <v>0</v>
      </c>
      <c r="W127">
        <v>0</v>
      </c>
    </row>
    <row r="128" spans="1:23" x14ac:dyDescent="0.2">
      <c r="A128" t="s">
        <v>103</v>
      </c>
      <c r="B128" t="s">
        <v>128</v>
      </c>
      <c r="C128" s="48">
        <v>52963</v>
      </c>
      <c r="E128">
        <v>10520.317708262062</v>
      </c>
      <c r="G128">
        <v>10520.317708262062</v>
      </c>
      <c r="J128">
        <v>80480.430468204766</v>
      </c>
      <c r="L128">
        <v>80480.430468204766</v>
      </c>
      <c r="M128">
        <v>31708466.430002209</v>
      </c>
      <c r="N128">
        <v>26952196.465501878</v>
      </c>
      <c r="O128">
        <v>-4756269.9645003304</v>
      </c>
      <c r="P128">
        <v>0</v>
      </c>
      <c r="S128">
        <v>1124699343.5885158</v>
      </c>
      <c r="U128">
        <v>0</v>
      </c>
      <c r="V128">
        <v>0</v>
      </c>
      <c r="W128">
        <v>0</v>
      </c>
    </row>
    <row r="129" spans="1:25" x14ac:dyDescent="0.2">
      <c r="A129" t="s">
        <v>104</v>
      </c>
      <c r="B129" t="s">
        <v>128</v>
      </c>
      <c r="C129" s="48">
        <v>52963</v>
      </c>
      <c r="E129">
        <v>23823.090074727639</v>
      </c>
      <c r="G129">
        <v>23823.090074727639</v>
      </c>
      <c r="H129">
        <v>91663</v>
      </c>
      <c r="N129">
        <v>62132489.957035273</v>
      </c>
      <c r="O129">
        <v>62132489.957035273</v>
      </c>
      <c r="P129">
        <v>145839.11078121202</v>
      </c>
      <c r="S129">
        <v>1363812896.2790973</v>
      </c>
      <c r="U129">
        <v>0</v>
      </c>
      <c r="V129">
        <v>0</v>
      </c>
      <c r="W129">
        <v>0</v>
      </c>
    </row>
    <row r="130" spans="1:25" x14ac:dyDescent="0.2">
      <c r="A130" t="s">
        <v>677</v>
      </c>
      <c r="B130" t="s">
        <v>144</v>
      </c>
      <c r="C130" s="48">
        <v>52963</v>
      </c>
      <c r="D130">
        <v>107.53499999999998</v>
      </c>
      <c r="E130">
        <v>0</v>
      </c>
      <c r="F130">
        <v>0</v>
      </c>
      <c r="G130">
        <v>107.53499999999998</v>
      </c>
      <c r="N130">
        <v>942006.6</v>
      </c>
      <c r="O130">
        <v>942006.6</v>
      </c>
      <c r="P130">
        <v>0</v>
      </c>
      <c r="S130">
        <v>0</v>
      </c>
      <c r="U130">
        <v>1580470.2700969966</v>
      </c>
      <c r="V130">
        <v>0</v>
      </c>
      <c r="W130">
        <v>0</v>
      </c>
    </row>
    <row r="131" spans="1:25" x14ac:dyDescent="0.2">
      <c r="A131" t="s">
        <v>105</v>
      </c>
      <c r="B131" t="s">
        <v>144</v>
      </c>
      <c r="C131" s="48">
        <v>52963</v>
      </c>
      <c r="D131">
        <v>16156.700000000004</v>
      </c>
      <c r="E131">
        <v>0</v>
      </c>
      <c r="F131">
        <v>0</v>
      </c>
      <c r="G131">
        <v>16156.700000000004</v>
      </c>
      <c r="N131">
        <v>106382230.44210941</v>
      </c>
      <c r="O131">
        <v>106382230.44210941</v>
      </c>
      <c r="P131">
        <v>0</v>
      </c>
      <c r="Q131">
        <v>0</v>
      </c>
      <c r="R131">
        <v>0</v>
      </c>
      <c r="S131">
        <v>0</v>
      </c>
      <c r="U131">
        <v>30063941.857394785</v>
      </c>
      <c r="V131">
        <v>3001455397.5162382</v>
      </c>
      <c r="W131">
        <v>0</v>
      </c>
      <c r="X131">
        <v>0</v>
      </c>
      <c r="Y131">
        <v>0</v>
      </c>
    </row>
    <row r="132" spans="1:25" x14ac:dyDescent="0.2">
      <c r="A132" t="s">
        <v>106</v>
      </c>
      <c r="B132" t="s">
        <v>144</v>
      </c>
      <c r="C132" s="48">
        <v>52963</v>
      </c>
      <c r="D132">
        <v>6140.6</v>
      </c>
      <c r="E132">
        <v>0</v>
      </c>
      <c r="F132">
        <v>0</v>
      </c>
      <c r="G132">
        <v>6140.6</v>
      </c>
      <c r="N132">
        <v>30271811.594379783</v>
      </c>
      <c r="O132">
        <v>30271811.594379783</v>
      </c>
      <c r="P132">
        <v>0</v>
      </c>
      <c r="Q132">
        <v>519.16476263246682</v>
      </c>
      <c r="R132">
        <v>519.16476263246705</v>
      </c>
      <c r="S132">
        <v>0</v>
      </c>
      <c r="U132">
        <v>81417710.376565859</v>
      </c>
      <c r="V132">
        <v>681326183.74349594</v>
      </c>
      <c r="W132">
        <v>0</v>
      </c>
      <c r="X132">
        <v>14718792.211414903</v>
      </c>
      <c r="Y132">
        <v>14718792.211414907</v>
      </c>
    </row>
    <row r="133" spans="1:25" x14ac:dyDescent="0.2">
      <c r="A133" t="s">
        <v>107</v>
      </c>
      <c r="B133" t="s">
        <v>128</v>
      </c>
      <c r="C133" s="48">
        <v>52963</v>
      </c>
      <c r="E133">
        <v>265</v>
      </c>
      <c r="G133">
        <v>265</v>
      </c>
      <c r="H133">
        <v>500</v>
      </c>
      <c r="N133">
        <v>651492.03143779584</v>
      </c>
      <c r="O133">
        <v>651492.03143779584</v>
      </c>
      <c r="P133">
        <v>17891.245186004537</v>
      </c>
      <c r="S133">
        <v>55131864.83773829</v>
      </c>
      <c r="U133">
        <v>0</v>
      </c>
      <c r="V133">
        <v>0</v>
      </c>
      <c r="W133">
        <v>0</v>
      </c>
    </row>
    <row r="134" spans="1:25" x14ac:dyDescent="0.2">
      <c r="A134" t="s">
        <v>678</v>
      </c>
      <c r="B134" t="s">
        <v>144</v>
      </c>
      <c r="C134" s="48">
        <v>52963</v>
      </c>
      <c r="D134">
        <v>778.09</v>
      </c>
      <c r="E134">
        <v>0</v>
      </c>
      <c r="F134">
        <v>0</v>
      </c>
      <c r="G134">
        <v>778.09</v>
      </c>
      <c r="N134">
        <v>6816068.3999999994</v>
      </c>
      <c r="O134">
        <v>6816068.3999999994</v>
      </c>
      <c r="P134">
        <v>0</v>
      </c>
      <c r="S134">
        <v>0</v>
      </c>
      <c r="U134">
        <v>8041945.4886025209</v>
      </c>
      <c r="V134">
        <v>0</v>
      </c>
      <c r="W134">
        <v>0</v>
      </c>
    </row>
    <row r="135" spans="1:25" x14ac:dyDescent="0.2">
      <c r="A135" t="s">
        <v>679</v>
      </c>
      <c r="B135" t="s">
        <v>144</v>
      </c>
      <c r="C135" s="48">
        <v>52963</v>
      </c>
      <c r="D135">
        <v>2532.4300000000007</v>
      </c>
      <c r="E135">
        <v>0</v>
      </c>
      <c r="F135">
        <v>0</v>
      </c>
      <c r="G135">
        <v>2532.4300000000007</v>
      </c>
      <c r="N135">
        <v>4898950.6162992483</v>
      </c>
      <c r="O135">
        <v>4898950.6162992483</v>
      </c>
      <c r="P135">
        <v>0</v>
      </c>
      <c r="S135">
        <v>0</v>
      </c>
      <c r="U135">
        <v>0</v>
      </c>
      <c r="V135">
        <v>0</v>
      </c>
      <c r="W135">
        <v>0</v>
      </c>
    </row>
    <row r="136" spans="1:25" x14ac:dyDescent="0.2">
      <c r="A136" t="s">
        <v>680</v>
      </c>
      <c r="B136" t="s">
        <v>144</v>
      </c>
      <c r="C136" s="48">
        <v>52963</v>
      </c>
      <c r="D136">
        <v>2998</v>
      </c>
      <c r="E136">
        <v>0</v>
      </c>
      <c r="F136">
        <v>0</v>
      </c>
      <c r="G136">
        <v>2998</v>
      </c>
      <c r="N136">
        <v>24609093.94160584</v>
      </c>
      <c r="O136">
        <v>24609093.94160584</v>
      </c>
      <c r="P136">
        <v>0</v>
      </c>
      <c r="S136">
        <v>0</v>
      </c>
      <c r="U136">
        <v>47950478.247010663</v>
      </c>
      <c r="V136">
        <v>196607349.50588092</v>
      </c>
      <c r="W136">
        <v>0</v>
      </c>
    </row>
    <row r="137" spans="1:25" x14ac:dyDescent="0.2">
      <c r="A137" t="s">
        <v>108</v>
      </c>
      <c r="B137" t="s">
        <v>144</v>
      </c>
      <c r="C137" s="48">
        <v>52963</v>
      </c>
      <c r="D137">
        <v>5481.9199999999983</v>
      </c>
      <c r="E137">
        <v>0</v>
      </c>
      <c r="F137">
        <v>0</v>
      </c>
      <c r="G137">
        <v>5481.9199999999983</v>
      </c>
      <c r="N137">
        <v>184830.40537383533</v>
      </c>
      <c r="O137">
        <v>184830.40537383533</v>
      </c>
      <c r="P137">
        <v>0</v>
      </c>
      <c r="Q137">
        <v>1130.2398388573256</v>
      </c>
      <c r="R137">
        <v>1130.2398388573256</v>
      </c>
      <c r="S137">
        <v>0</v>
      </c>
      <c r="U137">
        <v>300853.29689201474</v>
      </c>
      <c r="V137">
        <v>7566092.2943286858</v>
      </c>
      <c r="W137">
        <v>0</v>
      </c>
      <c r="X137">
        <v>1868229.3145502361</v>
      </c>
      <c r="Y137">
        <v>1868229.3145502361</v>
      </c>
    </row>
    <row r="138" spans="1:25" x14ac:dyDescent="0.2">
      <c r="A138" t="s">
        <v>681</v>
      </c>
      <c r="B138" t="s">
        <v>144</v>
      </c>
      <c r="C138" s="48">
        <v>52963</v>
      </c>
      <c r="D138">
        <v>0</v>
      </c>
      <c r="E138">
        <v>0</v>
      </c>
      <c r="F138">
        <v>0</v>
      </c>
      <c r="G138">
        <v>0</v>
      </c>
      <c r="N138">
        <v>0</v>
      </c>
      <c r="O138">
        <v>0</v>
      </c>
      <c r="P138">
        <v>0</v>
      </c>
      <c r="S138">
        <v>0</v>
      </c>
      <c r="U138">
        <v>0</v>
      </c>
      <c r="V138">
        <v>0</v>
      </c>
      <c r="W138">
        <v>0</v>
      </c>
    </row>
    <row r="139" spans="1:25" x14ac:dyDescent="0.2">
      <c r="A139" t="s">
        <v>682</v>
      </c>
      <c r="B139" t="s">
        <v>144</v>
      </c>
      <c r="C139" s="48">
        <v>52963</v>
      </c>
      <c r="D139">
        <v>65</v>
      </c>
      <c r="E139">
        <v>0</v>
      </c>
      <c r="F139">
        <v>0</v>
      </c>
      <c r="G139">
        <v>65</v>
      </c>
      <c r="N139">
        <v>200833.07201464841</v>
      </c>
      <c r="O139">
        <v>200833.07201464841</v>
      </c>
      <c r="P139">
        <v>0</v>
      </c>
      <c r="S139">
        <v>0</v>
      </c>
      <c r="U139">
        <v>0</v>
      </c>
      <c r="V139">
        <v>0</v>
      </c>
      <c r="W139">
        <v>0</v>
      </c>
    </row>
    <row r="140" spans="1:25" x14ac:dyDescent="0.2">
      <c r="A140" t="s">
        <v>683</v>
      </c>
      <c r="B140" t="s">
        <v>144</v>
      </c>
      <c r="C140" s="48">
        <v>52963</v>
      </c>
      <c r="D140">
        <v>1637.2599999999998</v>
      </c>
      <c r="E140">
        <v>0</v>
      </c>
      <c r="F140">
        <v>0</v>
      </c>
      <c r="G140">
        <v>1637.2599999999998</v>
      </c>
      <c r="N140">
        <v>4257372.3436190467</v>
      </c>
      <c r="O140">
        <v>4257372.3436190467</v>
      </c>
      <c r="P140">
        <v>0</v>
      </c>
      <c r="S140">
        <v>0</v>
      </c>
      <c r="U140">
        <v>0</v>
      </c>
      <c r="V140">
        <v>0</v>
      </c>
      <c r="W140">
        <v>0</v>
      </c>
    </row>
    <row r="141" spans="1:25" x14ac:dyDescent="0.2">
      <c r="A141" t="s">
        <v>109</v>
      </c>
      <c r="B141" t="s">
        <v>144</v>
      </c>
      <c r="C141" s="48">
        <v>52963</v>
      </c>
      <c r="D141">
        <v>824.5</v>
      </c>
      <c r="E141">
        <v>0</v>
      </c>
      <c r="F141">
        <v>0</v>
      </c>
      <c r="G141">
        <v>824.5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 x14ac:dyDescent="0.2">
      <c r="A142" t="s">
        <v>684</v>
      </c>
      <c r="B142" t="s">
        <v>144</v>
      </c>
      <c r="C142" s="48">
        <v>52963</v>
      </c>
      <c r="D142">
        <v>50.4</v>
      </c>
      <c r="E142">
        <v>0</v>
      </c>
      <c r="F142">
        <v>0</v>
      </c>
      <c r="G142">
        <v>50.4</v>
      </c>
      <c r="N142">
        <v>185668.6888204276</v>
      </c>
      <c r="O142">
        <v>185668.6888204276</v>
      </c>
      <c r="P142">
        <v>0</v>
      </c>
      <c r="S142">
        <v>0</v>
      </c>
      <c r="U142">
        <v>0</v>
      </c>
      <c r="V142">
        <v>0</v>
      </c>
      <c r="W142">
        <v>0</v>
      </c>
    </row>
    <row r="143" spans="1:25" x14ac:dyDescent="0.2">
      <c r="A143" t="s">
        <v>685</v>
      </c>
      <c r="B143" t="s">
        <v>144</v>
      </c>
      <c r="C143" s="48">
        <v>52963</v>
      </c>
      <c r="D143">
        <v>1876.6</v>
      </c>
      <c r="E143">
        <v>0</v>
      </c>
      <c r="F143">
        <v>0</v>
      </c>
      <c r="G143">
        <v>1876.6</v>
      </c>
      <c r="N143">
        <v>6164373.0690017398</v>
      </c>
      <c r="O143">
        <v>6164373.0690017398</v>
      </c>
      <c r="P143">
        <v>0</v>
      </c>
      <c r="S143">
        <v>0</v>
      </c>
      <c r="U143">
        <v>0</v>
      </c>
      <c r="V143">
        <v>0</v>
      </c>
      <c r="W143">
        <v>0</v>
      </c>
    </row>
    <row r="144" spans="1:25" x14ac:dyDescent="0.2">
      <c r="A144" t="s">
        <v>110</v>
      </c>
      <c r="B144" t="s">
        <v>128</v>
      </c>
      <c r="C144" s="48">
        <v>52963</v>
      </c>
      <c r="E144">
        <v>6511.5383956386295</v>
      </c>
      <c r="G144">
        <v>6511.5383956386295</v>
      </c>
      <c r="J144">
        <v>47403.495115959471</v>
      </c>
      <c r="L144">
        <v>47403.495115959471</v>
      </c>
      <c r="M144">
        <v>19815944.31715377</v>
      </c>
      <c r="N144">
        <v>16843552.669580705</v>
      </c>
      <c r="O144">
        <v>-2972391.647573065</v>
      </c>
      <c r="P144">
        <v>0</v>
      </c>
      <c r="S144">
        <v>669229860.68615699</v>
      </c>
      <c r="U144">
        <v>0</v>
      </c>
      <c r="V144">
        <v>0</v>
      </c>
      <c r="W144">
        <v>0</v>
      </c>
    </row>
    <row r="145" spans="1:23" x14ac:dyDescent="0.2">
      <c r="A145" t="s">
        <v>111</v>
      </c>
      <c r="B145" t="s">
        <v>128</v>
      </c>
      <c r="C145" s="48">
        <v>52963</v>
      </c>
      <c r="E145">
        <v>0</v>
      </c>
      <c r="G145">
        <v>0</v>
      </c>
      <c r="H145">
        <v>500</v>
      </c>
      <c r="J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S145">
        <v>0</v>
      </c>
      <c r="U145">
        <v>0</v>
      </c>
      <c r="V145">
        <v>0</v>
      </c>
      <c r="W145">
        <v>0</v>
      </c>
    </row>
    <row r="146" spans="1:23" x14ac:dyDescent="0.2">
      <c r="A146" t="s">
        <v>112</v>
      </c>
      <c r="B146" t="s">
        <v>128</v>
      </c>
      <c r="C146" s="48">
        <v>52963</v>
      </c>
      <c r="E146">
        <v>6289.0000000000082</v>
      </c>
      <c r="G146">
        <v>6289.0000000000082</v>
      </c>
      <c r="H146">
        <v>6289.0000000000082</v>
      </c>
      <c r="N146">
        <v>18485927.400120068</v>
      </c>
      <c r="O146">
        <v>18485927.400120068</v>
      </c>
      <c r="P146">
        <v>369958.00541633234</v>
      </c>
      <c r="S146">
        <v>360029671.9609037</v>
      </c>
      <c r="U146">
        <v>0</v>
      </c>
      <c r="V146">
        <v>0</v>
      </c>
      <c r="W146">
        <v>0</v>
      </c>
    </row>
    <row r="147" spans="1:23" x14ac:dyDescent="0.2">
      <c r="A147" t="s">
        <v>113</v>
      </c>
      <c r="B147" t="s">
        <v>128</v>
      </c>
      <c r="C147" s="48">
        <v>52963</v>
      </c>
      <c r="E147">
        <v>275</v>
      </c>
      <c r="G147">
        <v>275</v>
      </c>
      <c r="H147">
        <v>275</v>
      </c>
      <c r="N147">
        <v>708238.59913646255</v>
      </c>
      <c r="O147">
        <v>708238.59913646255</v>
      </c>
      <c r="P147">
        <v>43925.079291088397</v>
      </c>
      <c r="S147">
        <v>33775513.55164694</v>
      </c>
      <c r="U147">
        <v>0</v>
      </c>
      <c r="V147">
        <v>0</v>
      </c>
      <c r="W147">
        <v>0</v>
      </c>
    </row>
    <row r="148" spans="1:23" x14ac:dyDescent="0.2">
      <c r="A148" t="s">
        <v>114</v>
      </c>
      <c r="B148" t="s">
        <v>128</v>
      </c>
      <c r="C148" s="48">
        <v>52963</v>
      </c>
      <c r="E148">
        <v>0</v>
      </c>
      <c r="G148">
        <v>0</v>
      </c>
      <c r="N148">
        <v>0</v>
      </c>
      <c r="O148">
        <v>0</v>
      </c>
      <c r="P148">
        <v>0</v>
      </c>
      <c r="S148">
        <v>0</v>
      </c>
      <c r="U148">
        <v>0</v>
      </c>
      <c r="V148">
        <v>0</v>
      </c>
      <c r="W148">
        <v>0</v>
      </c>
    </row>
    <row r="149" spans="1:23" x14ac:dyDescent="0.2">
      <c r="A149" t="s">
        <v>115</v>
      </c>
      <c r="B149" t="s">
        <v>128</v>
      </c>
      <c r="C149" s="48">
        <v>52963</v>
      </c>
      <c r="E149">
        <v>1970.1708231434195</v>
      </c>
      <c r="G149">
        <v>1970.1708231434195</v>
      </c>
      <c r="H149">
        <v>33862</v>
      </c>
      <c r="N149">
        <v>6639751.5201684237</v>
      </c>
      <c r="O149">
        <v>6639751.5201684237</v>
      </c>
      <c r="P149">
        <v>4936.2337705390764</v>
      </c>
      <c r="S149">
        <v>441914938.71050125</v>
      </c>
      <c r="U149">
        <v>0</v>
      </c>
      <c r="V149">
        <v>0</v>
      </c>
      <c r="W149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3FCDE-A184-E943-875F-A5BA0C63459A}">
  <sheetPr codeName="Sheet11">
    <tabColor theme="0" tint="-0.14999847407452621"/>
  </sheetPr>
  <dimension ref="A1:E889"/>
  <sheetViews>
    <sheetView topLeftCell="A349" workbookViewId="0">
      <selection activeCell="A96" sqref="A96:XFD96"/>
    </sheetView>
  </sheetViews>
  <sheetFormatPr defaultColWidth="11" defaultRowHeight="11.4" x14ac:dyDescent="0.2"/>
  <cols>
    <col min="1" max="1" width="34.625" bestFit="1" customWidth="1"/>
  </cols>
  <sheetData>
    <row r="1" spans="1:5" x14ac:dyDescent="0.2">
      <c r="A1" t="s">
        <v>450</v>
      </c>
      <c r="B1" t="s">
        <v>250</v>
      </c>
      <c r="C1" t="s">
        <v>637</v>
      </c>
      <c r="D1" t="s">
        <v>626</v>
      </c>
      <c r="E1" t="s">
        <v>638</v>
      </c>
    </row>
    <row r="2" spans="1:5" x14ac:dyDescent="0.2">
      <c r="A2" t="s">
        <v>10</v>
      </c>
      <c r="B2" t="s">
        <v>128</v>
      </c>
      <c r="C2" t="s">
        <v>639</v>
      </c>
      <c r="D2" s="48">
        <v>52963</v>
      </c>
      <c r="E2">
        <v>0</v>
      </c>
    </row>
    <row r="3" spans="1:5" x14ac:dyDescent="0.2">
      <c r="A3" t="s">
        <v>10</v>
      </c>
      <c r="B3" t="s">
        <v>128</v>
      </c>
      <c r="C3" t="s">
        <v>640</v>
      </c>
      <c r="D3" s="48">
        <v>52963</v>
      </c>
      <c r="E3">
        <v>0</v>
      </c>
    </row>
    <row r="4" spans="1:5" x14ac:dyDescent="0.2">
      <c r="A4" t="s">
        <v>10</v>
      </c>
      <c r="B4" t="s">
        <v>128</v>
      </c>
      <c r="C4" t="s">
        <v>145</v>
      </c>
      <c r="D4" s="48">
        <v>52963</v>
      </c>
      <c r="E4">
        <v>0</v>
      </c>
    </row>
    <row r="5" spans="1:5" x14ac:dyDescent="0.2">
      <c r="A5" t="s">
        <v>10</v>
      </c>
      <c r="B5" t="s">
        <v>128</v>
      </c>
      <c r="C5" t="s">
        <v>641</v>
      </c>
      <c r="D5" s="48">
        <v>52963</v>
      </c>
      <c r="E5">
        <v>0</v>
      </c>
    </row>
    <row r="6" spans="1:5" x14ac:dyDescent="0.2">
      <c r="A6" t="s">
        <v>10</v>
      </c>
      <c r="B6" t="s">
        <v>128</v>
      </c>
      <c r="C6" t="s">
        <v>642</v>
      </c>
      <c r="D6" s="48">
        <v>52963</v>
      </c>
      <c r="E6">
        <v>0</v>
      </c>
    </row>
    <row r="7" spans="1:5" x14ac:dyDescent="0.2">
      <c r="A7" t="s">
        <v>10</v>
      </c>
      <c r="B7" t="s">
        <v>128</v>
      </c>
      <c r="C7" t="s">
        <v>643</v>
      </c>
      <c r="D7" s="48">
        <v>52963</v>
      </c>
      <c r="E7">
        <v>0</v>
      </c>
    </row>
    <row r="8" spans="1:5" x14ac:dyDescent="0.2">
      <c r="A8" t="s">
        <v>11</v>
      </c>
      <c r="B8" t="s">
        <v>128</v>
      </c>
      <c r="C8" t="s">
        <v>639</v>
      </c>
      <c r="D8" s="48">
        <v>52963</v>
      </c>
      <c r="E8">
        <v>0</v>
      </c>
    </row>
    <row r="9" spans="1:5" x14ac:dyDescent="0.2">
      <c r="A9" t="s">
        <v>11</v>
      </c>
      <c r="B9" t="s">
        <v>128</v>
      </c>
      <c r="C9" t="s">
        <v>640</v>
      </c>
      <c r="D9" s="48">
        <v>52963</v>
      </c>
      <c r="E9">
        <v>0</v>
      </c>
    </row>
    <row r="10" spans="1:5" x14ac:dyDescent="0.2">
      <c r="A10" t="s">
        <v>11</v>
      </c>
      <c r="B10" t="s">
        <v>128</v>
      </c>
      <c r="C10" t="s">
        <v>145</v>
      </c>
      <c r="D10" s="48">
        <v>52963</v>
      </c>
      <c r="E10">
        <v>0</v>
      </c>
    </row>
    <row r="11" spans="1:5" x14ac:dyDescent="0.2">
      <c r="A11" t="s">
        <v>11</v>
      </c>
      <c r="B11" t="s">
        <v>128</v>
      </c>
      <c r="C11" t="s">
        <v>641</v>
      </c>
      <c r="D11" s="48">
        <v>52963</v>
      </c>
      <c r="E11">
        <v>0</v>
      </c>
    </row>
    <row r="12" spans="1:5" x14ac:dyDescent="0.2">
      <c r="A12" t="s">
        <v>11</v>
      </c>
      <c r="B12" t="s">
        <v>128</v>
      </c>
      <c r="C12" t="s">
        <v>642</v>
      </c>
      <c r="D12" s="48">
        <v>52963</v>
      </c>
      <c r="E12">
        <v>0</v>
      </c>
    </row>
    <row r="13" spans="1:5" x14ac:dyDescent="0.2">
      <c r="A13" t="s">
        <v>11</v>
      </c>
      <c r="B13" t="s">
        <v>128</v>
      </c>
      <c r="C13" t="s">
        <v>643</v>
      </c>
      <c r="D13" s="48">
        <v>52963</v>
      </c>
      <c r="E13">
        <v>0</v>
      </c>
    </row>
    <row r="14" spans="1:5" x14ac:dyDescent="0.2">
      <c r="A14" t="s">
        <v>12</v>
      </c>
      <c r="B14" t="s">
        <v>128</v>
      </c>
      <c r="C14" t="s">
        <v>639</v>
      </c>
      <c r="D14" s="48">
        <v>52963</v>
      </c>
      <c r="E14">
        <v>0</v>
      </c>
    </row>
    <row r="15" spans="1:5" x14ac:dyDescent="0.2">
      <c r="A15" t="s">
        <v>12</v>
      </c>
      <c r="B15" t="s">
        <v>128</v>
      </c>
      <c r="C15" t="s">
        <v>640</v>
      </c>
      <c r="D15" s="48">
        <v>52963</v>
      </c>
      <c r="E15">
        <v>0</v>
      </c>
    </row>
    <row r="16" spans="1:5" x14ac:dyDescent="0.2">
      <c r="A16" t="s">
        <v>12</v>
      </c>
      <c r="B16" t="s">
        <v>128</v>
      </c>
      <c r="C16" t="s">
        <v>145</v>
      </c>
      <c r="D16" s="48">
        <v>52963</v>
      </c>
      <c r="E16">
        <v>0</v>
      </c>
    </row>
    <row r="17" spans="1:5" x14ac:dyDescent="0.2">
      <c r="A17" t="s">
        <v>12</v>
      </c>
      <c r="B17" t="s">
        <v>128</v>
      </c>
      <c r="C17" t="s">
        <v>641</v>
      </c>
      <c r="D17" s="48">
        <v>52963</v>
      </c>
      <c r="E17">
        <v>0</v>
      </c>
    </row>
    <row r="18" spans="1:5" x14ac:dyDescent="0.2">
      <c r="A18" t="s">
        <v>12</v>
      </c>
      <c r="B18" t="s">
        <v>128</v>
      </c>
      <c r="C18" t="s">
        <v>642</v>
      </c>
      <c r="D18" s="48">
        <v>52963</v>
      </c>
      <c r="E18">
        <v>0</v>
      </c>
    </row>
    <row r="19" spans="1:5" x14ac:dyDescent="0.2">
      <c r="A19" t="s">
        <v>12</v>
      </c>
      <c r="B19" t="s">
        <v>128</v>
      </c>
      <c r="C19" t="s">
        <v>643</v>
      </c>
      <c r="D19" s="48">
        <v>52963</v>
      </c>
      <c r="E19">
        <v>0</v>
      </c>
    </row>
    <row r="20" spans="1:5" x14ac:dyDescent="0.2">
      <c r="A20" t="s">
        <v>13</v>
      </c>
      <c r="B20" t="s">
        <v>128</v>
      </c>
      <c r="C20" t="s">
        <v>639</v>
      </c>
      <c r="D20" s="48">
        <v>52963</v>
      </c>
      <c r="E20">
        <v>0</v>
      </c>
    </row>
    <row r="21" spans="1:5" x14ac:dyDescent="0.2">
      <c r="A21" t="s">
        <v>13</v>
      </c>
      <c r="B21" t="s">
        <v>128</v>
      </c>
      <c r="C21" t="s">
        <v>640</v>
      </c>
      <c r="D21" s="48">
        <v>52963</v>
      </c>
      <c r="E21">
        <v>0</v>
      </c>
    </row>
    <row r="22" spans="1:5" x14ac:dyDescent="0.2">
      <c r="A22" t="s">
        <v>13</v>
      </c>
      <c r="B22" t="s">
        <v>128</v>
      </c>
      <c r="C22" t="s">
        <v>145</v>
      </c>
      <c r="D22" s="48">
        <v>52963</v>
      </c>
      <c r="E22">
        <v>0</v>
      </c>
    </row>
    <row r="23" spans="1:5" x14ac:dyDescent="0.2">
      <c r="A23" t="s">
        <v>13</v>
      </c>
      <c r="B23" t="s">
        <v>128</v>
      </c>
      <c r="C23" t="s">
        <v>641</v>
      </c>
      <c r="D23" s="48">
        <v>52963</v>
      </c>
      <c r="E23">
        <v>0</v>
      </c>
    </row>
    <row r="24" spans="1:5" x14ac:dyDescent="0.2">
      <c r="A24" t="s">
        <v>13</v>
      </c>
      <c r="B24" t="s">
        <v>128</v>
      </c>
      <c r="C24" t="s">
        <v>642</v>
      </c>
      <c r="D24" s="48">
        <v>52963</v>
      </c>
      <c r="E24">
        <v>0</v>
      </c>
    </row>
    <row r="25" spans="1:5" x14ac:dyDescent="0.2">
      <c r="A25" t="s">
        <v>13</v>
      </c>
      <c r="B25" t="s">
        <v>128</v>
      </c>
      <c r="C25" t="s">
        <v>643</v>
      </c>
      <c r="D25" s="48">
        <v>52963</v>
      </c>
      <c r="E25">
        <v>0</v>
      </c>
    </row>
    <row r="26" spans="1:5" x14ac:dyDescent="0.2">
      <c r="A26" t="s">
        <v>644</v>
      </c>
      <c r="B26" t="s">
        <v>140</v>
      </c>
      <c r="C26" t="s">
        <v>639</v>
      </c>
      <c r="D26" s="48">
        <v>52963</v>
      </c>
      <c r="E26">
        <v>0</v>
      </c>
    </row>
    <row r="27" spans="1:5" x14ac:dyDescent="0.2">
      <c r="A27" t="s">
        <v>644</v>
      </c>
      <c r="B27" t="s">
        <v>140</v>
      </c>
      <c r="C27" t="s">
        <v>640</v>
      </c>
      <c r="D27" s="48">
        <v>52963</v>
      </c>
      <c r="E27">
        <v>0</v>
      </c>
    </row>
    <row r="28" spans="1:5" x14ac:dyDescent="0.2">
      <c r="A28" t="s">
        <v>644</v>
      </c>
      <c r="B28" t="s">
        <v>140</v>
      </c>
      <c r="C28" t="s">
        <v>145</v>
      </c>
      <c r="D28" s="48">
        <v>52963</v>
      </c>
      <c r="E28">
        <v>0</v>
      </c>
    </row>
    <row r="29" spans="1:5" x14ac:dyDescent="0.2">
      <c r="A29" t="s">
        <v>644</v>
      </c>
      <c r="B29" t="s">
        <v>140</v>
      </c>
      <c r="C29" t="s">
        <v>641</v>
      </c>
      <c r="D29" s="48">
        <v>52963</v>
      </c>
      <c r="E29">
        <v>0</v>
      </c>
    </row>
    <row r="30" spans="1:5" x14ac:dyDescent="0.2">
      <c r="A30" t="s">
        <v>644</v>
      </c>
      <c r="B30" t="s">
        <v>140</v>
      </c>
      <c r="C30" t="s">
        <v>642</v>
      </c>
      <c r="D30" s="48">
        <v>52963</v>
      </c>
      <c r="E30">
        <v>0</v>
      </c>
    </row>
    <row r="31" spans="1:5" x14ac:dyDescent="0.2">
      <c r="A31" t="s">
        <v>644</v>
      </c>
      <c r="B31" t="s">
        <v>140</v>
      </c>
      <c r="C31" t="s">
        <v>643</v>
      </c>
      <c r="D31" s="48">
        <v>52963</v>
      </c>
      <c r="E31">
        <v>0</v>
      </c>
    </row>
    <row r="32" spans="1:5" x14ac:dyDescent="0.2">
      <c r="A32" t="s">
        <v>14</v>
      </c>
      <c r="B32" t="s">
        <v>140</v>
      </c>
      <c r="C32" t="s">
        <v>639</v>
      </c>
      <c r="D32" s="48">
        <v>52963</v>
      </c>
      <c r="E32">
        <v>0</v>
      </c>
    </row>
    <row r="33" spans="1:5" x14ac:dyDescent="0.2">
      <c r="A33" t="s">
        <v>14</v>
      </c>
      <c r="B33" t="s">
        <v>140</v>
      </c>
      <c r="C33" t="s">
        <v>640</v>
      </c>
      <c r="D33" s="48">
        <v>52963</v>
      </c>
      <c r="E33">
        <v>6191139.5776022077</v>
      </c>
    </row>
    <row r="34" spans="1:5" x14ac:dyDescent="0.2">
      <c r="A34" t="s">
        <v>14</v>
      </c>
      <c r="B34" t="s">
        <v>140</v>
      </c>
      <c r="C34" t="s">
        <v>145</v>
      </c>
      <c r="D34" s="48">
        <v>52963</v>
      </c>
      <c r="E34">
        <v>0</v>
      </c>
    </row>
    <row r="35" spans="1:5" x14ac:dyDescent="0.2">
      <c r="A35" t="s">
        <v>14</v>
      </c>
      <c r="B35" t="s">
        <v>140</v>
      </c>
      <c r="C35" t="s">
        <v>641</v>
      </c>
      <c r="D35" s="48">
        <v>52963</v>
      </c>
      <c r="E35">
        <v>0</v>
      </c>
    </row>
    <row r="36" spans="1:5" x14ac:dyDescent="0.2">
      <c r="A36" t="s">
        <v>14</v>
      </c>
      <c r="B36" t="s">
        <v>140</v>
      </c>
      <c r="C36" t="s">
        <v>642</v>
      </c>
      <c r="D36" s="48">
        <v>52963</v>
      </c>
      <c r="E36">
        <v>0</v>
      </c>
    </row>
    <row r="37" spans="1:5" x14ac:dyDescent="0.2">
      <c r="A37" t="s">
        <v>14</v>
      </c>
      <c r="B37" t="s">
        <v>140</v>
      </c>
      <c r="C37" t="s">
        <v>643</v>
      </c>
      <c r="D37" s="48">
        <v>52963</v>
      </c>
      <c r="E37">
        <v>0</v>
      </c>
    </row>
    <row r="38" spans="1:5" x14ac:dyDescent="0.2">
      <c r="A38" t="s">
        <v>645</v>
      </c>
      <c r="B38" t="s">
        <v>140</v>
      </c>
      <c r="C38" t="s">
        <v>639</v>
      </c>
      <c r="D38" s="48">
        <v>52963</v>
      </c>
      <c r="E38">
        <v>0</v>
      </c>
    </row>
    <row r="39" spans="1:5" x14ac:dyDescent="0.2">
      <c r="A39" t="s">
        <v>645</v>
      </c>
      <c r="B39" t="s">
        <v>140</v>
      </c>
      <c r="C39" t="s">
        <v>640</v>
      </c>
      <c r="D39" s="48">
        <v>52963</v>
      </c>
      <c r="E39">
        <v>0</v>
      </c>
    </row>
    <row r="40" spans="1:5" x14ac:dyDescent="0.2">
      <c r="A40" t="s">
        <v>645</v>
      </c>
      <c r="B40" t="s">
        <v>140</v>
      </c>
      <c r="C40" t="s">
        <v>145</v>
      </c>
      <c r="D40" s="48">
        <v>52963</v>
      </c>
      <c r="E40">
        <v>0</v>
      </c>
    </row>
    <row r="41" spans="1:5" x14ac:dyDescent="0.2">
      <c r="A41" t="s">
        <v>645</v>
      </c>
      <c r="B41" t="s">
        <v>140</v>
      </c>
      <c r="C41" t="s">
        <v>641</v>
      </c>
      <c r="D41" s="48">
        <v>52963</v>
      </c>
      <c r="E41">
        <v>0</v>
      </c>
    </row>
    <row r="42" spans="1:5" x14ac:dyDescent="0.2">
      <c r="A42" t="s">
        <v>645</v>
      </c>
      <c r="B42" t="s">
        <v>140</v>
      </c>
      <c r="C42" t="s">
        <v>642</v>
      </c>
      <c r="D42" s="48">
        <v>52963</v>
      </c>
      <c r="E42">
        <v>0</v>
      </c>
    </row>
    <row r="43" spans="1:5" x14ac:dyDescent="0.2">
      <c r="A43" t="s">
        <v>645</v>
      </c>
      <c r="B43" t="s">
        <v>140</v>
      </c>
      <c r="C43" t="s">
        <v>643</v>
      </c>
      <c r="D43" s="48">
        <v>52963</v>
      </c>
      <c r="E43">
        <v>0</v>
      </c>
    </row>
    <row r="44" spans="1:5" x14ac:dyDescent="0.2">
      <c r="A44" t="s">
        <v>646</v>
      </c>
      <c r="B44" t="s">
        <v>140</v>
      </c>
      <c r="C44" t="s">
        <v>639</v>
      </c>
      <c r="D44" s="48">
        <v>52963</v>
      </c>
      <c r="E44">
        <v>0</v>
      </c>
    </row>
    <row r="45" spans="1:5" x14ac:dyDescent="0.2">
      <c r="A45" t="s">
        <v>646</v>
      </c>
      <c r="B45" t="s">
        <v>140</v>
      </c>
      <c r="C45" t="s">
        <v>640</v>
      </c>
      <c r="D45" s="48">
        <v>52963</v>
      </c>
      <c r="E45">
        <v>0</v>
      </c>
    </row>
    <row r="46" spans="1:5" x14ac:dyDescent="0.2">
      <c r="A46" t="s">
        <v>646</v>
      </c>
      <c r="B46" t="s">
        <v>140</v>
      </c>
      <c r="C46" t="s">
        <v>145</v>
      </c>
      <c r="D46" s="48">
        <v>52963</v>
      </c>
      <c r="E46">
        <v>0</v>
      </c>
    </row>
    <row r="47" spans="1:5" x14ac:dyDescent="0.2">
      <c r="A47" t="s">
        <v>646</v>
      </c>
      <c r="B47" t="s">
        <v>140</v>
      </c>
      <c r="C47" t="s">
        <v>641</v>
      </c>
      <c r="D47" s="48">
        <v>52963</v>
      </c>
      <c r="E47">
        <v>0</v>
      </c>
    </row>
    <row r="48" spans="1:5" x14ac:dyDescent="0.2">
      <c r="A48" t="s">
        <v>646</v>
      </c>
      <c r="B48" t="s">
        <v>140</v>
      </c>
      <c r="C48" t="s">
        <v>642</v>
      </c>
      <c r="D48" s="48">
        <v>52963</v>
      </c>
      <c r="E48">
        <v>0</v>
      </c>
    </row>
    <row r="49" spans="1:5" x14ac:dyDescent="0.2">
      <c r="A49" t="s">
        <v>646</v>
      </c>
      <c r="B49" t="s">
        <v>140</v>
      </c>
      <c r="C49" t="s">
        <v>643</v>
      </c>
      <c r="D49" s="48">
        <v>52963</v>
      </c>
      <c r="E49">
        <v>0</v>
      </c>
    </row>
    <row r="50" spans="1:5" x14ac:dyDescent="0.2">
      <c r="A50" t="s">
        <v>15</v>
      </c>
      <c r="B50" t="s">
        <v>140</v>
      </c>
      <c r="C50" t="s">
        <v>639</v>
      </c>
      <c r="D50" s="48">
        <v>52963</v>
      </c>
      <c r="E50">
        <v>0</v>
      </c>
    </row>
    <row r="51" spans="1:5" x14ac:dyDescent="0.2">
      <c r="A51" t="s">
        <v>15</v>
      </c>
      <c r="B51" t="s">
        <v>140</v>
      </c>
      <c r="C51" t="s">
        <v>640</v>
      </c>
      <c r="D51" s="48">
        <v>52963</v>
      </c>
      <c r="E51">
        <v>0</v>
      </c>
    </row>
    <row r="52" spans="1:5" x14ac:dyDescent="0.2">
      <c r="A52" t="s">
        <v>15</v>
      </c>
      <c r="B52" t="s">
        <v>140</v>
      </c>
      <c r="C52" t="s">
        <v>145</v>
      </c>
      <c r="D52" s="48">
        <v>52963</v>
      </c>
      <c r="E52">
        <v>0</v>
      </c>
    </row>
    <row r="53" spans="1:5" x14ac:dyDescent="0.2">
      <c r="A53" t="s">
        <v>15</v>
      </c>
      <c r="B53" t="s">
        <v>140</v>
      </c>
      <c r="C53" t="s">
        <v>641</v>
      </c>
      <c r="D53" s="48">
        <v>52963</v>
      </c>
      <c r="E53">
        <v>0</v>
      </c>
    </row>
    <row r="54" spans="1:5" x14ac:dyDescent="0.2">
      <c r="A54" t="s">
        <v>15</v>
      </c>
      <c r="B54" t="s">
        <v>140</v>
      </c>
      <c r="C54" t="s">
        <v>642</v>
      </c>
      <c r="D54" s="48">
        <v>52963</v>
      </c>
      <c r="E54">
        <v>0</v>
      </c>
    </row>
    <row r="55" spans="1:5" x14ac:dyDescent="0.2">
      <c r="A55" t="s">
        <v>15</v>
      </c>
      <c r="B55" t="s">
        <v>140</v>
      </c>
      <c r="C55" t="s">
        <v>643</v>
      </c>
      <c r="D55" s="48">
        <v>52963</v>
      </c>
      <c r="E55">
        <v>0</v>
      </c>
    </row>
    <row r="56" spans="1:5" x14ac:dyDescent="0.2">
      <c r="A56" t="s">
        <v>647</v>
      </c>
      <c r="B56" t="s">
        <v>140</v>
      </c>
      <c r="C56" t="s">
        <v>639</v>
      </c>
      <c r="D56" s="48">
        <v>52963</v>
      </c>
      <c r="E56">
        <v>0</v>
      </c>
    </row>
    <row r="57" spans="1:5" x14ac:dyDescent="0.2">
      <c r="A57" t="s">
        <v>647</v>
      </c>
      <c r="B57" t="s">
        <v>140</v>
      </c>
      <c r="C57" t="s">
        <v>640</v>
      </c>
      <c r="D57" s="48">
        <v>52963</v>
      </c>
      <c r="E57">
        <v>0</v>
      </c>
    </row>
    <row r="58" spans="1:5" x14ac:dyDescent="0.2">
      <c r="A58" t="s">
        <v>647</v>
      </c>
      <c r="B58" t="s">
        <v>140</v>
      </c>
      <c r="C58" t="s">
        <v>145</v>
      </c>
      <c r="D58" s="48">
        <v>52963</v>
      </c>
      <c r="E58">
        <v>0</v>
      </c>
    </row>
    <row r="59" spans="1:5" x14ac:dyDescent="0.2">
      <c r="A59" t="s">
        <v>647</v>
      </c>
      <c r="B59" t="s">
        <v>140</v>
      </c>
      <c r="C59" t="s">
        <v>641</v>
      </c>
      <c r="D59" s="48">
        <v>52963</v>
      </c>
      <c r="E59">
        <v>0</v>
      </c>
    </row>
    <row r="60" spans="1:5" x14ac:dyDescent="0.2">
      <c r="A60" t="s">
        <v>647</v>
      </c>
      <c r="B60" t="s">
        <v>140</v>
      </c>
      <c r="C60" t="s">
        <v>642</v>
      </c>
      <c r="D60" s="48">
        <v>52963</v>
      </c>
      <c r="E60">
        <v>0</v>
      </c>
    </row>
    <row r="61" spans="1:5" x14ac:dyDescent="0.2">
      <c r="A61" t="s">
        <v>647</v>
      </c>
      <c r="B61" t="s">
        <v>140</v>
      </c>
      <c r="C61" t="s">
        <v>643</v>
      </c>
      <c r="D61" s="48">
        <v>52963</v>
      </c>
      <c r="E61">
        <v>0</v>
      </c>
    </row>
    <row r="62" spans="1:5" x14ac:dyDescent="0.2">
      <c r="A62" t="s">
        <v>648</v>
      </c>
      <c r="B62" t="s">
        <v>140</v>
      </c>
      <c r="C62" t="s">
        <v>639</v>
      </c>
      <c r="D62" s="48">
        <v>52963</v>
      </c>
      <c r="E62">
        <v>0</v>
      </c>
    </row>
    <row r="63" spans="1:5" x14ac:dyDescent="0.2">
      <c r="A63" t="s">
        <v>648</v>
      </c>
      <c r="B63" t="s">
        <v>140</v>
      </c>
      <c r="C63" t="s">
        <v>640</v>
      </c>
      <c r="D63" s="48">
        <v>52963</v>
      </c>
      <c r="E63">
        <v>0</v>
      </c>
    </row>
    <row r="64" spans="1:5" x14ac:dyDescent="0.2">
      <c r="A64" t="s">
        <v>648</v>
      </c>
      <c r="B64" t="s">
        <v>140</v>
      </c>
      <c r="C64" t="s">
        <v>145</v>
      </c>
      <c r="D64" s="48">
        <v>52963</v>
      </c>
      <c r="E64">
        <v>0</v>
      </c>
    </row>
    <row r="65" spans="1:5" x14ac:dyDescent="0.2">
      <c r="A65" t="s">
        <v>648</v>
      </c>
      <c r="B65" t="s">
        <v>140</v>
      </c>
      <c r="C65" t="s">
        <v>641</v>
      </c>
      <c r="D65" s="48">
        <v>52963</v>
      </c>
      <c r="E65">
        <v>0</v>
      </c>
    </row>
    <row r="66" spans="1:5" x14ac:dyDescent="0.2">
      <c r="A66" t="s">
        <v>648</v>
      </c>
      <c r="B66" t="s">
        <v>140</v>
      </c>
      <c r="C66" t="s">
        <v>642</v>
      </c>
      <c r="D66" s="48">
        <v>52963</v>
      </c>
      <c r="E66">
        <v>0</v>
      </c>
    </row>
    <row r="67" spans="1:5" x14ac:dyDescent="0.2">
      <c r="A67" t="s">
        <v>648</v>
      </c>
      <c r="B67" t="s">
        <v>140</v>
      </c>
      <c r="C67" t="s">
        <v>643</v>
      </c>
      <c r="D67" s="48">
        <v>52963</v>
      </c>
      <c r="E67">
        <v>0</v>
      </c>
    </row>
    <row r="68" spans="1:5" x14ac:dyDescent="0.2">
      <c r="A68" t="s">
        <v>649</v>
      </c>
      <c r="B68" t="s">
        <v>140</v>
      </c>
      <c r="C68" t="s">
        <v>639</v>
      </c>
      <c r="D68" s="48">
        <v>52963</v>
      </c>
      <c r="E68">
        <v>0</v>
      </c>
    </row>
    <row r="69" spans="1:5" x14ac:dyDescent="0.2">
      <c r="A69" t="s">
        <v>649</v>
      </c>
      <c r="B69" t="s">
        <v>140</v>
      </c>
      <c r="C69" t="s">
        <v>640</v>
      </c>
      <c r="D69" s="48">
        <v>52963</v>
      </c>
      <c r="E69">
        <v>0</v>
      </c>
    </row>
    <row r="70" spans="1:5" x14ac:dyDescent="0.2">
      <c r="A70" t="s">
        <v>649</v>
      </c>
      <c r="B70" t="s">
        <v>140</v>
      </c>
      <c r="C70" t="s">
        <v>145</v>
      </c>
      <c r="D70" s="48">
        <v>52963</v>
      </c>
      <c r="E70">
        <v>0</v>
      </c>
    </row>
    <row r="71" spans="1:5" x14ac:dyDescent="0.2">
      <c r="A71" t="s">
        <v>649</v>
      </c>
      <c r="B71" t="s">
        <v>140</v>
      </c>
      <c r="C71" t="s">
        <v>641</v>
      </c>
      <c r="D71" s="48">
        <v>52963</v>
      </c>
      <c r="E71">
        <v>0</v>
      </c>
    </row>
    <row r="72" spans="1:5" x14ac:dyDescent="0.2">
      <c r="A72" t="s">
        <v>649</v>
      </c>
      <c r="B72" t="s">
        <v>140</v>
      </c>
      <c r="C72" t="s">
        <v>642</v>
      </c>
      <c r="D72" s="48">
        <v>52963</v>
      </c>
      <c r="E72">
        <v>0</v>
      </c>
    </row>
    <row r="73" spans="1:5" x14ac:dyDescent="0.2">
      <c r="A73" t="s">
        <v>649</v>
      </c>
      <c r="B73" t="s">
        <v>140</v>
      </c>
      <c r="C73" t="s">
        <v>643</v>
      </c>
      <c r="D73" s="48">
        <v>52963</v>
      </c>
      <c r="E73">
        <v>0</v>
      </c>
    </row>
    <row r="74" spans="1:5" x14ac:dyDescent="0.2">
      <c r="A74" t="s">
        <v>650</v>
      </c>
      <c r="B74" t="s">
        <v>140</v>
      </c>
      <c r="C74" t="s">
        <v>639</v>
      </c>
      <c r="D74" s="48">
        <v>52963</v>
      </c>
      <c r="E74">
        <v>0</v>
      </c>
    </row>
    <row r="75" spans="1:5" x14ac:dyDescent="0.2">
      <c r="A75" t="s">
        <v>650</v>
      </c>
      <c r="B75" t="s">
        <v>140</v>
      </c>
      <c r="C75" t="s">
        <v>640</v>
      </c>
      <c r="D75" s="48">
        <v>52963</v>
      </c>
      <c r="E75">
        <v>0</v>
      </c>
    </row>
    <row r="76" spans="1:5" x14ac:dyDescent="0.2">
      <c r="A76" t="s">
        <v>650</v>
      </c>
      <c r="B76" t="s">
        <v>140</v>
      </c>
      <c r="C76" t="s">
        <v>145</v>
      </c>
      <c r="D76" s="48">
        <v>52963</v>
      </c>
      <c r="E76">
        <v>0</v>
      </c>
    </row>
    <row r="77" spans="1:5" x14ac:dyDescent="0.2">
      <c r="A77" t="s">
        <v>650</v>
      </c>
      <c r="B77" t="s">
        <v>140</v>
      </c>
      <c r="C77" t="s">
        <v>641</v>
      </c>
      <c r="D77" s="48">
        <v>52963</v>
      </c>
      <c r="E77">
        <v>0</v>
      </c>
    </row>
    <row r="78" spans="1:5" x14ac:dyDescent="0.2">
      <c r="A78" t="s">
        <v>650</v>
      </c>
      <c r="B78" t="s">
        <v>140</v>
      </c>
      <c r="C78" t="s">
        <v>642</v>
      </c>
      <c r="D78" s="48">
        <v>52963</v>
      </c>
      <c r="E78">
        <v>0</v>
      </c>
    </row>
    <row r="79" spans="1:5" x14ac:dyDescent="0.2">
      <c r="A79" t="s">
        <v>650</v>
      </c>
      <c r="B79" t="s">
        <v>140</v>
      </c>
      <c r="C79" t="s">
        <v>643</v>
      </c>
      <c r="D79" s="48">
        <v>52963</v>
      </c>
      <c r="E79">
        <v>0</v>
      </c>
    </row>
    <row r="80" spans="1:5" x14ac:dyDescent="0.2">
      <c r="A80" t="s">
        <v>16</v>
      </c>
      <c r="B80" t="s">
        <v>128</v>
      </c>
      <c r="C80" t="s">
        <v>639</v>
      </c>
      <c r="D80" s="48">
        <v>52963</v>
      </c>
      <c r="E80">
        <v>0</v>
      </c>
    </row>
    <row r="81" spans="1:5" x14ac:dyDescent="0.2">
      <c r="A81" t="s">
        <v>16</v>
      </c>
      <c r="B81" t="s">
        <v>128</v>
      </c>
      <c r="C81" t="s">
        <v>640</v>
      </c>
      <c r="D81" s="48">
        <v>52963</v>
      </c>
      <c r="E81">
        <v>41272242.588452064</v>
      </c>
    </row>
    <row r="82" spans="1:5" x14ac:dyDescent="0.2">
      <c r="A82" t="s">
        <v>16</v>
      </c>
      <c r="B82" t="s">
        <v>128</v>
      </c>
      <c r="C82" t="s">
        <v>145</v>
      </c>
      <c r="D82" s="48">
        <v>52963</v>
      </c>
      <c r="E82">
        <v>0</v>
      </c>
    </row>
    <row r="83" spans="1:5" x14ac:dyDescent="0.2">
      <c r="A83" t="s">
        <v>16</v>
      </c>
      <c r="B83" t="s">
        <v>128</v>
      </c>
      <c r="C83" t="s">
        <v>641</v>
      </c>
      <c r="D83" s="48">
        <v>52963</v>
      </c>
      <c r="E83">
        <v>0</v>
      </c>
    </row>
    <row r="84" spans="1:5" x14ac:dyDescent="0.2">
      <c r="A84" t="s">
        <v>16</v>
      </c>
      <c r="B84" t="s">
        <v>128</v>
      </c>
      <c r="C84" t="s">
        <v>642</v>
      </c>
      <c r="D84" s="48">
        <v>52963</v>
      </c>
      <c r="E84">
        <v>0</v>
      </c>
    </row>
    <row r="85" spans="1:5" x14ac:dyDescent="0.2">
      <c r="A85" t="s">
        <v>16</v>
      </c>
      <c r="B85" t="s">
        <v>128</v>
      </c>
      <c r="C85" t="s">
        <v>643</v>
      </c>
      <c r="D85" s="48">
        <v>52963</v>
      </c>
      <c r="E85">
        <v>0</v>
      </c>
    </row>
    <row r="86" spans="1:5" x14ac:dyDescent="0.2">
      <c r="A86" t="s">
        <v>17</v>
      </c>
      <c r="B86" t="s">
        <v>128</v>
      </c>
      <c r="C86" t="s">
        <v>639</v>
      </c>
      <c r="D86" s="48">
        <v>52963</v>
      </c>
      <c r="E86">
        <v>0</v>
      </c>
    </row>
    <row r="87" spans="1:5" x14ac:dyDescent="0.2">
      <c r="A87" t="s">
        <v>17</v>
      </c>
      <c r="B87" t="s">
        <v>128</v>
      </c>
      <c r="C87" t="s">
        <v>640</v>
      </c>
      <c r="D87" s="48">
        <v>52963</v>
      </c>
      <c r="E87">
        <v>0</v>
      </c>
    </row>
    <row r="88" spans="1:5" x14ac:dyDescent="0.2">
      <c r="A88" t="s">
        <v>17</v>
      </c>
      <c r="B88" t="s">
        <v>128</v>
      </c>
      <c r="C88" t="s">
        <v>145</v>
      </c>
      <c r="D88" s="48">
        <v>52963</v>
      </c>
      <c r="E88">
        <v>0</v>
      </c>
    </row>
    <row r="89" spans="1:5" x14ac:dyDescent="0.2">
      <c r="A89" t="s">
        <v>17</v>
      </c>
      <c r="B89" t="s">
        <v>128</v>
      </c>
      <c r="C89" t="s">
        <v>641</v>
      </c>
      <c r="D89" s="48">
        <v>52963</v>
      </c>
      <c r="E89">
        <v>0</v>
      </c>
    </row>
    <row r="90" spans="1:5" x14ac:dyDescent="0.2">
      <c r="A90" t="s">
        <v>17</v>
      </c>
      <c r="B90" t="s">
        <v>128</v>
      </c>
      <c r="C90" t="s">
        <v>642</v>
      </c>
      <c r="D90" s="48">
        <v>52963</v>
      </c>
      <c r="E90">
        <v>0</v>
      </c>
    </row>
    <row r="91" spans="1:5" x14ac:dyDescent="0.2">
      <c r="A91" t="s">
        <v>17</v>
      </c>
      <c r="B91" t="s">
        <v>128</v>
      </c>
      <c r="C91" t="s">
        <v>643</v>
      </c>
      <c r="D91" s="48">
        <v>52963</v>
      </c>
      <c r="E91">
        <v>0</v>
      </c>
    </row>
    <row r="92" spans="1:5" x14ac:dyDescent="0.2">
      <c r="A92" t="s">
        <v>18</v>
      </c>
      <c r="B92" t="s">
        <v>128</v>
      </c>
      <c r="C92" t="s">
        <v>639</v>
      </c>
      <c r="D92" s="48">
        <v>52963</v>
      </c>
      <c r="E92">
        <v>0</v>
      </c>
    </row>
    <row r="93" spans="1:5" x14ac:dyDescent="0.2">
      <c r="A93" t="s">
        <v>18</v>
      </c>
      <c r="B93" t="s">
        <v>128</v>
      </c>
      <c r="C93" t="s">
        <v>640</v>
      </c>
      <c r="D93" s="48">
        <v>52963</v>
      </c>
      <c r="E93">
        <v>0</v>
      </c>
    </row>
    <row r="94" spans="1:5" x14ac:dyDescent="0.2">
      <c r="A94" t="s">
        <v>18</v>
      </c>
      <c r="B94" t="s">
        <v>128</v>
      </c>
      <c r="C94" t="s">
        <v>145</v>
      </c>
      <c r="D94" s="48">
        <v>52963</v>
      </c>
      <c r="E94">
        <v>0</v>
      </c>
    </row>
    <row r="95" spans="1:5" x14ac:dyDescent="0.2">
      <c r="A95" t="s">
        <v>18</v>
      </c>
      <c r="B95" t="s">
        <v>128</v>
      </c>
      <c r="C95" t="s">
        <v>641</v>
      </c>
      <c r="D95" s="48">
        <v>52963</v>
      </c>
      <c r="E95">
        <v>0</v>
      </c>
    </row>
    <row r="96" spans="1:5" x14ac:dyDescent="0.2">
      <c r="A96" t="s">
        <v>18</v>
      </c>
      <c r="B96" t="s">
        <v>128</v>
      </c>
      <c r="C96" t="s">
        <v>642</v>
      </c>
      <c r="D96" s="48">
        <v>52963</v>
      </c>
      <c r="E96">
        <v>0</v>
      </c>
    </row>
    <row r="97" spans="1:5" x14ac:dyDescent="0.2">
      <c r="A97" t="s">
        <v>18</v>
      </c>
      <c r="B97" t="s">
        <v>128</v>
      </c>
      <c r="C97" t="s">
        <v>643</v>
      </c>
      <c r="D97" s="48">
        <v>52963</v>
      </c>
      <c r="E97">
        <v>0</v>
      </c>
    </row>
    <row r="98" spans="1:5" x14ac:dyDescent="0.2">
      <c r="A98" t="s">
        <v>19</v>
      </c>
      <c r="B98" t="s">
        <v>128</v>
      </c>
      <c r="C98" t="s">
        <v>639</v>
      </c>
      <c r="D98" s="48">
        <v>52963</v>
      </c>
      <c r="E98">
        <v>0</v>
      </c>
    </row>
    <row r="99" spans="1:5" x14ac:dyDescent="0.2">
      <c r="A99" t="s">
        <v>19</v>
      </c>
      <c r="B99" t="s">
        <v>128</v>
      </c>
      <c r="C99" t="s">
        <v>640</v>
      </c>
      <c r="D99" s="48">
        <v>52963</v>
      </c>
      <c r="E99">
        <v>0</v>
      </c>
    </row>
    <row r="100" spans="1:5" x14ac:dyDescent="0.2">
      <c r="A100" t="s">
        <v>19</v>
      </c>
      <c r="B100" t="s">
        <v>128</v>
      </c>
      <c r="C100" t="s">
        <v>145</v>
      </c>
      <c r="D100" s="48">
        <v>52963</v>
      </c>
      <c r="E100">
        <v>0</v>
      </c>
    </row>
    <row r="101" spans="1:5" x14ac:dyDescent="0.2">
      <c r="A101" t="s">
        <v>19</v>
      </c>
      <c r="B101" t="s">
        <v>128</v>
      </c>
      <c r="C101" t="s">
        <v>641</v>
      </c>
      <c r="D101" s="48">
        <v>52963</v>
      </c>
      <c r="E101">
        <v>0</v>
      </c>
    </row>
    <row r="102" spans="1:5" x14ac:dyDescent="0.2">
      <c r="A102" t="s">
        <v>19</v>
      </c>
      <c r="B102" t="s">
        <v>128</v>
      </c>
      <c r="C102" t="s">
        <v>642</v>
      </c>
      <c r="D102" s="48">
        <v>52963</v>
      </c>
      <c r="E102">
        <v>0</v>
      </c>
    </row>
    <row r="103" spans="1:5" x14ac:dyDescent="0.2">
      <c r="A103" t="s">
        <v>19</v>
      </c>
      <c r="B103" t="s">
        <v>128</v>
      </c>
      <c r="C103" t="s">
        <v>643</v>
      </c>
      <c r="D103" s="48">
        <v>52963</v>
      </c>
      <c r="E103">
        <v>0</v>
      </c>
    </row>
    <row r="104" spans="1:5" x14ac:dyDescent="0.2">
      <c r="A104" t="s">
        <v>20</v>
      </c>
      <c r="B104" t="s">
        <v>128</v>
      </c>
      <c r="C104" t="s">
        <v>639</v>
      </c>
      <c r="D104" s="48">
        <v>52963</v>
      </c>
      <c r="E104">
        <v>0</v>
      </c>
    </row>
    <row r="105" spans="1:5" x14ac:dyDescent="0.2">
      <c r="A105" t="s">
        <v>20</v>
      </c>
      <c r="B105" t="s">
        <v>128</v>
      </c>
      <c r="C105" t="s">
        <v>640</v>
      </c>
      <c r="D105" s="48">
        <v>52963</v>
      </c>
      <c r="E105">
        <v>0</v>
      </c>
    </row>
    <row r="106" spans="1:5" x14ac:dyDescent="0.2">
      <c r="A106" t="s">
        <v>20</v>
      </c>
      <c r="B106" t="s">
        <v>128</v>
      </c>
      <c r="C106" t="s">
        <v>145</v>
      </c>
      <c r="D106" s="48">
        <v>52963</v>
      </c>
      <c r="E106">
        <v>0</v>
      </c>
    </row>
    <row r="107" spans="1:5" x14ac:dyDescent="0.2">
      <c r="A107" t="s">
        <v>20</v>
      </c>
      <c r="B107" t="s">
        <v>128</v>
      </c>
      <c r="C107" t="s">
        <v>641</v>
      </c>
      <c r="D107" s="48">
        <v>52963</v>
      </c>
      <c r="E107">
        <v>0</v>
      </c>
    </row>
    <row r="108" spans="1:5" x14ac:dyDescent="0.2">
      <c r="A108" t="s">
        <v>20</v>
      </c>
      <c r="B108" t="s">
        <v>128</v>
      </c>
      <c r="C108" t="s">
        <v>642</v>
      </c>
      <c r="D108" s="48">
        <v>52963</v>
      </c>
      <c r="E108">
        <v>0</v>
      </c>
    </row>
    <row r="109" spans="1:5" x14ac:dyDescent="0.2">
      <c r="A109" t="s">
        <v>20</v>
      </c>
      <c r="B109" t="s">
        <v>128</v>
      </c>
      <c r="C109" t="s">
        <v>643</v>
      </c>
      <c r="D109" s="48">
        <v>52963</v>
      </c>
      <c r="E109">
        <v>0</v>
      </c>
    </row>
    <row r="110" spans="1:5" x14ac:dyDescent="0.2">
      <c r="A110" t="s">
        <v>21</v>
      </c>
      <c r="B110" t="s">
        <v>128</v>
      </c>
      <c r="C110" t="s">
        <v>639</v>
      </c>
      <c r="D110" s="48">
        <v>52963</v>
      </c>
      <c r="E110">
        <v>0</v>
      </c>
    </row>
    <row r="111" spans="1:5" x14ac:dyDescent="0.2">
      <c r="A111" t="s">
        <v>21</v>
      </c>
      <c r="B111" t="s">
        <v>128</v>
      </c>
      <c r="C111" t="s">
        <v>640</v>
      </c>
      <c r="D111" s="48">
        <v>52963</v>
      </c>
      <c r="E111">
        <v>0</v>
      </c>
    </row>
    <row r="112" spans="1:5" x14ac:dyDescent="0.2">
      <c r="A112" t="s">
        <v>21</v>
      </c>
      <c r="B112" t="s">
        <v>128</v>
      </c>
      <c r="C112" t="s">
        <v>145</v>
      </c>
      <c r="D112" s="48">
        <v>52963</v>
      </c>
      <c r="E112">
        <v>0</v>
      </c>
    </row>
    <row r="113" spans="1:5" x14ac:dyDescent="0.2">
      <c r="A113" t="s">
        <v>21</v>
      </c>
      <c r="B113" t="s">
        <v>128</v>
      </c>
      <c r="C113" t="s">
        <v>641</v>
      </c>
      <c r="D113" s="48">
        <v>52963</v>
      </c>
      <c r="E113">
        <v>0</v>
      </c>
    </row>
    <row r="114" spans="1:5" x14ac:dyDescent="0.2">
      <c r="A114" t="s">
        <v>21</v>
      </c>
      <c r="B114" t="s">
        <v>128</v>
      </c>
      <c r="C114" t="s">
        <v>642</v>
      </c>
      <c r="D114" s="48">
        <v>52963</v>
      </c>
      <c r="E114">
        <v>0</v>
      </c>
    </row>
    <row r="115" spans="1:5" x14ac:dyDescent="0.2">
      <c r="A115" t="s">
        <v>21</v>
      </c>
      <c r="B115" t="s">
        <v>128</v>
      </c>
      <c r="C115" t="s">
        <v>643</v>
      </c>
      <c r="D115" s="48">
        <v>52963</v>
      </c>
      <c r="E115">
        <v>0</v>
      </c>
    </row>
    <row r="116" spans="1:5" x14ac:dyDescent="0.2">
      <c r="A116" t="s">
        <v>22</v>
      </c>
      <c r="B116" t="s">
        <v>128</v>
      </c>
      <c r="C116" t="s">
        <v>639</v>
      </c>
      <c r="D116" s="48">
        <v>52963</v>
      </c>
      <c r="E116">
        <v>0</v>
      </c>
    </row>
    <row r="117" spans="1:5" x14ac:dyDescent="0.2">
      <c r="A117" t="s">
        <v>22</v>
      </c>
      <c r="B117" t="s">
        <v>128</v>
      </c>
      <c r="C117" t="s">
        <v>640</v>
      </c>
      <c r="D117" s="48">
        <v>52963</v>
      </c>
      <c r="E117">
        <v>67959897.506550699</v>
      </c>
    </row>
    <row r="118" spans="1:5" x14ac:dyDescent="0.2">
      <c r="A118" t="s">
        <v>22</v>
      </c>
      <c r="B118" t="s">
        <v>128</v>
      </c>
      <c r="C118" t="s">
        <v>145</v>
      </c>
      <c r="D118" s="48">
        <v>52963</v>
      </c>
      <c r="E118">
        <v>0</v>
      </c>
    </row>
    <row r="119" spans="1:5" x14ac:dyDescent="0.2">
      <c r="A119" t="s">
        <v>22</v>
      </c>
      <c r="B119" t="s">
        <v>128</v>
      </c>
      <c r="C119" t="s">
        <v>641</v>
      </c>
      <c r="D119" s="48">
        <v>52963</v>
      </c>
      <c r="E119">
        <v>0</v>
      </c>
    </row>
    <row r="120" spans="1:5" x14ac:dyDescent="0.2">
      <c r="A120" t="s">
        <v>22</v>
      </c>
      <c r="B120" t="s">
        <v>128</v>
      </c>
      <c r="C120" t="s">
        <v>642</v>
      </c>
      <c r="D120" s="48">
        <v>52963</v>
      </c>
      <c r="E120">
        <v>0</v>
      </c>
    </row>
    <row r="121" spans="1:5" x14ac:dyDescent="0.2">
      <c r="A121" t="s">
        <v>22</v>
      </c>
      <c r="B121" t="s">
        <v>128</v>
      </c>
      <c r="C121" t="s">
        <v>643</v>
      </c>
      <c r="D121" s="48">
        <v>52963</v>
      </c>
      <c r="E121">
        <v>0</v>
      </c>
    </row>
    <row r="122" spans="1:5" x14ac:dyDescent="0.2">
      <c r="A122" t="s">
        <v>23</v>
      </c>
      <c r="B122" t="s">
        <v>128</v>
      </c>
      <c r="C122" t="s">
        <v>639</v>
      </c>
      <c r="D122" s="48">
        <v>52963</v>
      </c>
      <c r="E122">
        <v>0</v>
      </c>
    </row>
    <row r="123" spans="1:5" x14ac:dyDescent="0.2">
      <c r="A123" t="s">
        <v>23</v>
      </c>
      <c r="B123" t="s">
        <v>128</v>
      </c>
      <c r="C123" t="s">
        <v>640</v>
      </c>
      <c r="D123" s="48">
        <v>52963</v>
      </c>
      <c r="E123">
        <v>0</v>
      </c>
    </row>
    <row r="124" spans="1:5" x14ac:dyDescent="0.2">
      <c r="A124" t="s">
        <v>23</v>
      </c>
      <c r="B124" t="s">
        <v>128</v>
      </c>
      <c r="C124" t="s">
        <v>145</v>
      </c>
      <c r="D124" s="48">
        <v>52963</v>
      </c>
      <c r="E124">
        <v>0</v>
      </c>
    </row>
    <row r="125" spans="1:5" x14ac:dyDescent="0.2">
      <c r="A125" t="s">
        <v>23</v>
      </c>
      <c r="B125" t="s">
        <v>128</v>
      </c>
      <c r="C125" t="s">
        <v>641</v>
      </c>
      <c r="D125" s="48">
        <v>52963</v>
      </c>
      <c r="E125">
        <v>0</v>
      </c>
    </row>
    <row r="126" spans="1:5" x14ac:dyDescent="0.2">
      <c r="A126" t="s">
        <v>23</v>
      </c>
      <c r="B126" t="s">
        <v>128</v>
      </c>
      <c r="C126" t="s">
        <v>642</v>
      </c>
      <c r="D126" s="48">
        <v>52963</v>
      </c>
      <c r="E126">
        <v>0</v>
      </c>
    </row>
    <row r="127" spans="1:5" x14ac:dyDescent="0.2">
      <c r="A127" t="s">
        <v>23</v>
      </c>
      <c r="B127" t="s">
        <v>128</v>
      </c>
      <c r="C127" t="s">
        <v>643</v>
      </c>
      <c r="D127" s="48">
        <v>52963</v>
      </c>
      <c r="E127">
        <v>0</v>
      </c>
    </row>
    <row r="128" spans="1:5" x14ac:dyDescent="0.2">
      <c r="A128" t="s">
        <v>24</v>
      </c>
      <c r="B128" t="s">
        <v>128</v>
      </c>
      <c r="C128" t="s">
        <v>639</v>
      </c>
      <c r="D128" s="48">
        <v>52963</v>
      </c>
      <c r="E128">
        <v>0</v>
      </c>
    </row>
    <row r="129" spans="1:5" x14ac:dyDescent="0.2">
      <c r="A129" t="s">
        <v>24</v>
      </c>
      <c r="B129" t="s">
        <v>128</v>
      </c>
      <c r="C129" t="s">
        <v>640</v>
      </c>
      <c r="D129" s="48">
        <v>52963</v>
      </c>
      <c r="E129">
        <v>0</v>
      </c>
    </row>
    <row r="130" spans="1:5" x14ac:dyDescent="0.2">
      <c r="A130" t="s">
        <v>24</v>
      </c>
      <c r="B130" t="s">
        <v>128</v>
      </c>
      <c r="C130" t="s">
        <v>145</v>
      </c>
      <c r="D130" s="48">
        <v>52963</v>
      </c>
      <c r="E130">
        <v>0</v>
      </c>
    </row>
    <row r="131" spans="1:5" x14ac:dyDescent="0.2">
      <c r="A131" t="s">
        <v>24</v>
      </c>
      <c r="B131" t="s">
        <v>128</v>
      </c>
      <c r="C131" t="s">
        <v>641</v>
      </c>
      <c r="D131" s="48">
        <v>52963</v>
      </c>
      <c r="E131">
        <v>0</v>
      </c>
    </row>
    <row r="132" spans="1:5" x14ac:dyDescent="0.2">
      <c r="A132" t="s">
        <v>24</v>
      </c>
      <c r="B132" t="s">
        <v>128</v>
      </c>
      <c r="C132" t="s">
        <v>642</v>
      </c>
      <c r="D132" s="48">
        <v>52963</v>
      </c>
      <c r="E132">
        <v>0</v>
      </c>
    </row>
    <row r="133" spans="1:5" x14ac:dyDescent="0.2">
      <c r="A133" t="s">
        <v>24</v>
      </c>
      <c r="B133" t="s">
        <v>128</v>
      </c>
      <c r="C133" t="s">
        <v>643</v>
      </c>
      <c r="D133" s="48">
        <v>52963</v>
      </c>
      <c r="E133">
        <v>0</v>
      </c>
    </row>
    <row r="134" spans="1:5" x14ac:dyDescent="0.2">
      <c r="A134" t="s">
        <v>25</v>
      </c>
      <c r="B134" t="s">
        <v>128</v>
      </c>
      <c r="C134" t="s">
        <v>639</v>
      </c>
      <c r="D134" s="48">
        <v>52963</v>
      </c>
      <c r="E134">
        <v>0</v>
      </c>
    </row>
    <row r="135" spans="1:5" x14ac:dyDescent="0.2">
      <c r="A135" t="s">
        <v>25</v>
      </c>
      <c r="B135" t="s">
        <v>128</v>
      </c>
      <c r="C135" t="s">
        <v>640</v>
      </c>
      <c r="D135" s="48">
        <v>52963</v>
      </c>
      <c r="E135">
        <v>0</v>
      </c>
    </row>
    <row r="136" spans="1:5" x14ac:dyDescent="0.2">
      <c r="A136" t="s">
        <v>25</v>
      </c>
      <c r="B136" t="s">
        <v>128</v>
      </c>
      <c r="C136" t="s">
        <v>145</v>
      </c>
      <c r="D136" s="48">
        <v>52963</v>
      </c>
      <c r="E136">
        <v>0</v>
      </c>
    </row>
    <row r="137" spans="1:5" x14ac:dyDescent="0.2">
      <c r="A137" t="s">
        <v>25</v>
      </c>
      <c r="B137" t="s">
        <v>128</v>
      </c>
      <c r="C137" t="s">
        <v>641</v>
      </c>
      <c r="D137" s="48">
        <v>52963</v>
      </c>
      <c r="E137">
        <v>0</v>
      </c>
    </row>
    <row r="138" spans="1:5" x14ac:dyDescent="0.2">
      <c r="A138" t="s">
        <v>25</v>
      </c>
      <c r="B138" t="s">
        <v>128</v>
      </c>
      <c r="C138" t="s">
        <v>642</v>
      </c>
      <c r="D138" s="48">
        <v>52963</v>
      </c>
      <c r="E138">
        <v>0</v>
      </c>
    </row>
    <row r="139" spans="1:5" x14ac:dyDescent="0.2">
      <c r="A139" t="s">
        <v>25</v>
      </c>
      <c r="B139" t="s">
        <v>128</v>
      </c>
      <c r="C139" t="s">
        <v>643</v>
      </c>
      <c r="D139" s="48">
        <v>52963</v>
      </c>
      <c r="E139">
        <v>0</v>
      </c>
    </row>
    <row r="140" spans="1:5" x14ac:dyDescent="0.2">
      <c r="A140" t="s">
        <v>26</v>
      </c>
      <c r="B140" t="s">
        <v>128</v>
      </c>
      <c r="C140" t="s">
        <v>639</v>
      </c>
      <c r="D140" s="48">
        <v>52963</v>
      </c>
      <c r="E140">
        <v>0</v>
      </c>
    </row>
    <row r="141" spans="1:5" x14ac:dyDescent="0.2">
      <c r="A141" t="s">
        <v>26</v>
      </c>
      <c r="B141" t="s">
        <v>128</v>
      </c>
      <c r="C141" t="s">
        <v>640</v>
      </c>
      <c r="D141" s="48">
        <v>52963</v>
      </c>
      <c r="E141">
        <v>0</v>
      </c>
    </row>
    <row r="142" spans="1:5" x14ac:dyDescent="0.2">
      <c r="A142" t="s">
        <v>26</v>
      </c>
      <c r="B142" t="s">
        <v>128</v>
      </c>
      <c r="C142" t="s">
        <v>145</v>
      </c>
      <c r="D142" s="48">
        <v>52963</v>
      </c>
      <c r="E142">
        <v>0</v>
      </c>
    </row>
    <row r="143" spans="1:5" x14ac:dyDescent="0.2">
      <c r="A143" t="s">
        <v>26</v>
      </c>
      <c r="B143" t="s">
        <v>128</v>
      </c>
      <c r="C143" t="s">
        <v>641</v>
      </c>
      <c r="D143" s="48">
        <v>52963</v>
      </c>
      <c r="E143">
        <v>0</v>
      </c>
    </row>
    <row r="144" spans="1:5" x14ac:dyDescent="0.2">
      <c r="A144" t="s">
        <v>26</v>
      </c>
      <c r="B144" t="s">
        <v>128</v>
      </c>
      <c r="C144" t="s">
        <v>642</v>
      </c>
      <c r="D144" s="48">
        <v>52963</v>
      </c>
      <c r="E144">
        <v>0</v>
      </c>
    </row>
    <row r="145" spans="1:5" x14ac:dyDescent="0.2">
      <c r="A145" t="s">
        <v>26</v>
      </c>
      <c r="B145" t="s">
        <v>128</v>
      </c>
      <c r="C145" t="s">
        <v>643</v>
      </c>
      <c r="D145" s="48">
        <v>52963</v>
      </c>
      <c r="E145">
        <v>0</v>
      </c>
    </row>
    <row r="146" spans="1:5" x14ac:dyDescent="0.2">
      <c r="A146" t="s">
        <v>27</v>
      </c>
      <c r="B146" t="s">
        <v>128</v>
      </c>
      <c r="C146" t="s">
        <v>639</v>
      </c>
      <c r="D146" s="48">
        <v>52963</v>
      </c>
      <c r="E146">
        <v>0</v>
      </c>
    </row>
    <row r="147" spans="1:5" x14ac:dyDescent="0.2">
      <c r="A147" t="s">
        <v>27</v>
      </c>
      <c r="B147" t="s">
        <v>128</v>
      </c>
      <c r="C147" t="s">
        <v>640</v>
      </c>
      <c r="D147" s="48">
        <v>52963</v>
      </c>
      <c r="E147">
        <v>0</v>
      </c>
    </row>
    <row r="148" spans="1:5" x14ac:dyDescent="0.2">
      <c r="A148" t="s">
        <v>27</v>
      </c>
      <c r="B148" t="s">
        <v>128</v>
      </c>
      <c r="C148" t="s">
        <v>145</v>
      </c>
      <c r="D148" s="48">
        <v>52963</v>
      </c>
      <c r="E148">
        <v>0</v>
      </c>
    </row>
    <row r="149" spans="1:5" x14ac:dyDescent="0.2">
      <c r="A149" t="s">
        <v>27</v>
      </c>
      <c r="B149" t="s">
        <v>128</v>
      </c>
      <c r="C149" t="s">
        <v>641</v>
      </c>
      <c r="D149" s="48">
        <v>52963</v>
      </c>
      <c r="E149">
        <v>0</v>
      </c>
    </row>
    <row r="150" spans="1:5" x14ac:dyDescent="0.2">
      <c r="A150" t="s">
        <v>27</v>
      </c>
      <c r="B150" t="s">
        <v>128</v>
      </c>
      <c r="C150" t="s">
        <v>642</v>
      </c>
      <c r="D150" s="48">
        <v>52963</v>
      </c>
      <c r="E150">
        <v>0</v>
      </c>
    </row>
    <row r="151" spans="1:5" x14ac:dyDescent="0.2">
      <c r="A151" t="s">
        <v>27</v>
      </c>
      <c r="B151" t="s">
        <v>128</v>
      </c>
      <c r="C151" t="s">
        <v>643</v>
      </c>
      <c r="D151" s="48">
        <v>52963</v>
      </c>
      <c r="E151">
        <v>0</v>
      </c>
    </row>
    <row r="152" spans="1:5" x14ac:dyDescent="0.2">
      <c r="A152" t="s">
        <v>28</v>
      </c>
      <c r="B152" t="s">
        <v>128</v>
      </c>
      <c r="C152" t="s">
        <v>639</v>
      </c>
      <c r="D152" s="48">
        <v>52963</v>
      </c>
      <c r="E152">
        <v>0</v>
      </c>
    </row>
    <row r="153" spans="1:5" x14ac:dyDescent="0.2">
      <c r="A153" t="s">
        <v>28</v>
      </c>
      <c r="B153" t="s">
        <v>128</v>
      </c>
      <c r="C153" t="s">
        <v>640</v>
      </c>
      <c r="D153" s="48">
        <v>52963</v>
      </c>
      <c r="E153">
        <v>0</v>
      </c>
    </row>
    <row r="154" spans="1:5" x14ac:dyDescent="0.2">
      <c r="A154" t="s">
        <v>28</v>
      </c>
      <c r="B154" t="s">
        <v>128</v>
      </c>
      <c r="C154" t="s">
        <v>145</v>
      </c>
      <c r="D154" s="48">
        <v>52963</v>
      </c>
      <c r="E154">
        <v>0</v>
      </c>
    </row>
    <row r="155" spans="1:5" x14ac:dyDescent="0.2">
      <c r="A155" t="s">
        <v>28</v>
      </c>
      <c r="B155" t="s">
        <v>128</v>
      </c>
      <c r="C155" t="s">
        <v>641</v>
      </c>
      <c r="D155" s="48">
        <v>52963</v>
      </c>
      <c r="E155">
        <v>0</v>
      </c>
    </row>
    <row r="156" spans="1:5" x14ac:dyDescent="0.2">
      <c r="A156" t="s">
        <v>28</v>
      </c>
      <c r="B156" t="s">
        <v>128</v>
      </c>
      <c r="C156" t="s">
        <v>642</v>
      </c>
      <c r="D156" s="48">
        <v>52963</v>
      </c>
      <c r="E156">
        <v>0</v>
      </c>
    </row>
    <row r="157" spans="1:5" x14ac:dyDescent="0.2">
      <c r="A157" t="s">
        <v>28</v>
      </c>
      <c r="B157" t="s">
        <v>128</v>
      </c>
      <c r="C157" t="s">
        <v>643</v>
      </c>
      <c r="D157" s="48">
        <v>52963</v>
      </c>
      <c r="E157">
        <v>0</v>
      </c>
    </row>
    <row r="158" spans="1:5" x14ac:dyDescent="0.2">
      <c r="A158" t="s">
        <v>29</v>
      </c>
      <c r="B158" t="s">
        <v>128</v>
      </c>
      <c r="C158" t="s">
        <v>639</v>
      </c>
      <c r="D158" s="48">
        <v>52963</v>
      </c>
      <c r="E158">
        <v>0</v>
      </c>
    </row>
    <row r="159" spans="1:5" x14ac:dyDescent="0.2">
      <c r="A159" t="s">
        <v>29</v>
      </c>
      <c r="B159" t="s">
        <v>128</v>
      </c>
      <c r="C159" t="s">
        <v>640</v>
      </c>
      <c r="D159" s="48">
        <v>52963</v>
      </c>
      <c r="E159">
        <v>0</v>
      </c>
    </row>
    <row r="160" spans="1:5" x14ac:dyDescent="0.2">
      <c r="A160" t="s">
        <v>29</v>
      </c>
      <c r="B160" t="s">
        <v>128</v>
      </c>
      <c r="C160" t="s">
        <v>145</v>
      </c>
      <c r="D160" s="48">
        <v>52963</v>
      </c>
      <c r="E160">
        <v>0</v>
      </c>
    </row>
    <row r="161" spans="1:5" x14ac:dyDescent="0.2">
      <c r="A161" t="s">
        <v>29</v>
      </c>
      <c r="B161" t="s">
        <v>128</v>
      </c>
      <c r="C161" t="s">
        <v>641</v>
      </c>
      <c r="D161" s="48">
        <v>52963</v>
      </c>
      <c r="E161">
        <v>0</v>
      </c>
    </row>
    <row r="162" spans="1:5" x14ac:dyDescent="0.2">
      <c r="A162" t="s">
        <v>29</v>
      </c>
      <c r="B162" t="s">
        <v>128</v>
      </c>
      <c r="C162" t="s">
        <v>642</v>
      </c>
      <c r="D162" s="48">
        <v>52963</v>
      </c>
      <c r="E162">
        <v>0</v>
      </c>
    </row>
    <row r="163" spans="1:5" x14ac:dyDescent="0.2">
      <c r="A163" t="s">
        <v>29</v>
      </c>
      <c r="B163" t="s">
        <v>128</v>
      </c>
      <c r="C163" t="s">
        <v>643</v>
      </c>
      <c r="D163" s="48">
        <v>52963</v>
      </c>
      <c r="E163">
        <v>0</v>
      </c>
    </row>
    <row r="164" spans="1:5" x14ac:dyDescent="0.2">
      <c r="A164" t="s">
        <v>30</v>
      </c>
      <c r="B164" t="s">
        <v>128</v>
      </c>
      <c r="C164" t="s">
        <v>639</v>
      </c>
      <c r="D164" s="48">
        <v>52963</v>
      </c>
      <c r="E164">
        <v>0</v>
      </c>
    </row>
    <row r="165" spans="1:5" x14ac:dyDescent="0.2">
      <c r="A165" t="s">
        <v>30</v>
      </c>
      <c r="B165" t="s">
        <v>128</v>
      </c>
      <c r="C165" t="s">
        <v>640</v>
      </c>
      <c r="D165" s="48">
        <v>52963</v>
      </c>
      <c r="E165">
        <v>0</v>
      </c>
    </row>
    <row r="166" spans="1:5" x14ac:dyDescent="0.2">
      <c r="A166" t="s">
        <v>30</v>
      </c>
      <c r="B166" t="s">
        <v>128</v>
      </c>
      <c r="C166" t="s">
        <v>145</v>
      </c>
      <c r="D166" s="48">
        <v>52963</v>
      </c>
      <c r="E166">
        <v>0</v>
      </c>
    </row>
    <row r="167" spans="1:5" x14ac:dyDescent="0.2">
      <c r="A167" t="s">
        <v>30</v>
      </c>
      <c r="B167" t="s">
        <v>128</v>
      </c>
      <c r="C167" t="s">
        <v>641</v>
      </c>
      <c r="D167" s="48">
        <v>52963</v>
      </c>
      <c r="E167">
        <v>0</v>
      </c>
    </row>
    <row r="168" spans="1:5" x14ac:dyDescent="0.2">
      <c r="A168" t="s">
        <v>30</v>
      </c>
      <c r="B168" t="s">
        <v>128</v>
      </c>
      <c r="C168" t="s">
        <v>642</v>
      </c>
      <c r="D168" s="48">
        <v>52963</v>
      </c>
      <c r="E168">
        <v>0</v>
      </c>
    </row>
    <row r="169" spans="1:5" x14ac:dyDescent="0.2">
      <c r="A169" t="s">
        <v>30</v>
      </c>
      <c r="B169" t="s">
        <v>128</v>
      </c>
      <c r="C169" t="s">
        <v>643</v>
      </c>
      <c r="D169" s="48">
        <v>52963</v>
      </c>
      <c r="E169">
        <v>0</v>
      </c>
    </row>
    <row r="170" spans="1:5" x14ac:dyDescent="0.2">
      <c r="A170" t="s">
        <v>31</v>
      </c>
      <c r="B170" t="s">
        <v>128</v>
      </c>
      <c r="C170" t="s">
        <v>639</v>
      </c>
      <c r="D170" s="48">
        <v>52963</v>
      </c>
      <c r="E170">
        <v>0</v>
      </c>
    </row>
    <row r="171" spans="1:5" x14ac:dyDescent="0.2">
      <c r="A171" t="s">
        <v>31</v>
      </c>
      <c r="B171" t="s">
        <v>128</v>
      </c>
      <c r="C171" t="s">
        <v>640</v>
      </c>
      <c r="D171" s="48">
        <v>52963</v>
      </c>
      <c r="E171">
        <v>0</v>
      </c>
    </row>
    <row r="172" spans="1:5" x14ac:dyDescent="0.2">
      <c r="A172" t="s">
        <v>31</v>
      </c>
      <c r="B172" t="s">
        <v>128</v>
      </c>
      <c r="C172" t="s">
        <v>145</v>
      </c>
      <c r="D172" s="48">
        <v>52963</v>
      </c>
      <c r="E172">
        <v>0</v>
      </c>
    </row>
    <row r="173" spans="1:5" x14ac:dyDescent="0.2">
      <c r="A173" t="s">
        <v>31</v>
      </c>
      <c r="B173" t="s">
        <v>128</v>
      </c>
      <c r="C173" t="s">
        <v>641</v>
      </c>
      <c r="D173" s="48">
        <v>52963</v>
      </c>
      <c r="E173">
        <v>0</v>
      </c>
    </row>
    <row r="174" spans="1:5" x14ac:dyDescent="0.2">
      <c r="A174" t="s">
        <v>31</v>
      </c>
      <c r="B174" t="s">
        <v>128</v>
      </c>
      <c r="C174" t="s">
        <v>642</v>
      </c>
      <c r="D174" s="48">
        <v>52963</v>
      </c>
      <c r="E174">
        <v>0</v>
      </c>
    </row>
    <row r="175" spans="1:5" x14ac:dyDescent="0.2">
      <c r="A175" t="s">
        <v>31</v>
      </c>
      <c r="B175" t="s">
        <v>128</v>
      </c>
      <c r="C175" t="s">
        <v>643</v>
      </c>
      <c r="D175" s="48">
        <v>52963</v>
      </c>
      <c r="E175">
        <v>0</v>
      </c>
    </row>
    <row r="176" spans="1:5" x14ac:dyDescent="0.2">
      <c r="A176" t="s">
        <v>32</v>
      </c>
      <c r="B176" t="s">
        <v>128</v>
      </c>
      <c r="C176" t="s">
        <v>639</v>
      </c>
      <c r="D176" s="48">
        <v>52963</v>
      </c>
      <c r="E176">
        <v>0</v>
      </c>
    </row>
    <row r="177" spans="1:5" x14ac:dyDescent="0.2">
      <c r="A177" t="s">
        <v>32</v>
      </c>
      <c r="B177" t="s">
        <v>128</v>
      </c>
      <c r="C177" t="s">
        <v>640</v>
      </c>
      <c r="D177" s="48">
        <v>52963</v>
      </c>
      <c r="E177">
        <v>0</v>
      </c>
    </row>
    <row r="178" spans="1:5" x14ac:dyDescent="0.2">
      <c r="A178" t="s">
        <v>32</v>
      </c>
      <c r="B178" t="s">
        <v>128</v>
      </c>
      <c r="C178" t="s">
        <v>145</v>
      </c>
      <c r="D178" s="48">
        <v>52963</v>
      </c>
      <c r="E178">
        <v>0</v>
      </c>
    </row>
    <row r="179" spans="1:5" x14ac:dyDescent="0.2">
      <c r="A179" t="s">
        <v>32</v>
      </c>
      <c r="B179" t="s">
        <v>128</v>
      </c>
      <c r="C179" t="s">
        <v>641</v>
      </c>
      <c r="D179" s="48">
        <v>52963</v>
      </c>
      <c r="E179">
        <v>0</v>
      </c>
    </row>
    <row r="180" spans="1:5" x14ac:dyDescent="0.2">
      <c r="A180" t="s">
        <v>32</v>
      </c>
      <c r="B180" t="s">
        <v>128</v>
      </c>
      <c r="C180" t="s">
        <v>642</v>
      </c>
      <c r="D180" s="48">
        <v>52963</v>
      </c>
      <c r="E180">
        <v>0</v>
      </c>
    </row>
    <row r="181" spans="1:5" x14ac:dyDescent="0.2">
      <c r="A181" t="s">
        <v>32</v>
      </c>
      <c r="B181" t="s">
        <v>128</v>
      </c>
      <c r="C181" t="s">
        <v>643</v>
      </c>
      <c r="D181" s="48">
        <v>52963</v>
      </c>
      <c r="E181">
        <v>59232580.122772977</v>
      </c>
    </row>
    <row r="182" spans="1:5" x14ac:dyDescent="0.2">
      <c r="A182" t="s">
        <v>33</v>
      </c>
      <c r="B182" t="s">
        <v>128</v>
      </c>
      <c r="C182" t="s">
        <v>639</v>
      </c>
      <c r="D182" s="48">
        <v>52963</v>
      </c>
      <c r="E182">
        <v>0</v>
      </c>
    </row>
    <row r="183" spans="1:5" x14ac:dyDescent="0.2">
      <c r="A183" t="s">
        <v>33</v>
      </c>
      <c r="B183" t="s">
        <v>128</v>
      </c>
      <c r="C183" t="s">
        <v>640</v>
      </c>
      <c r="D183" s="48">
        <v>52963</v>
      </c>
      <c r="E183">
        <v>0</v>
      </c>
    </row>
    <row r="184" spans="1:5" x14ac:dyDescent="0.2">
      <c r="A184" t="s">
        <v>33</v>
      </c>
      <c r="B184" t="s">
        <v>128</v>
      </c>
      <c r="C184" t="s">
        <v>145</v>
      </c>
      <c r="D184" s="48">
        <v>52963</v>
      </c>
      <c r="E184">
        <v>0</v>
      </c>
    </row>
    <row r="185" spans="1:5" x14ac:dyDescent="0.2">
      <c r="A185" t="s">
        <v>33</v>
      </c>
      <c r="B185" t="s">
        <v>128</v>
      </c>
      <c r="C185" t="s">
        <v>641</v>
      </c>
      <c r="D185" s="48">
        <v>52963</v>
      </c>
      <c r="E185">
        <v>0</v>
      </c>
    </row>
    <row r="186" spans="1:5" x14ac:dyDescent="0.2">
      <c r="A186" t="s">
        <v>33</v>
      </c>
      <c r="B186" t="s">
        <v>128</v>
      </c>
      <c r="C186" t="s">
        <v>642</v>
      </c>
      <c r="D186" s="48">
        <v>52963</v>
      </c>
      <c r="E186">
        <v>0</v>
      </c>
    </row>
    <row r="187" spans="1:5" x14ac:dyDescent="0.2">
      <c r="A187" t="s">
        <v>33</v>
      </c>
      <c r="B187" t="s">
        <v>128</v>
      </c>
      <c r="C187" t="s">
        <v>643</v>
      </c>
      <c r="D187" s="48">
        <v>52963</v>
      </c>
      <c r="E187">
        <v>0</v>
      </c>
    </row>
    <row r="188" spans="1:5" x14ac:dyDescent="0.2">
      <c r="A188" t="s">
        <v>34</v>
      </c>
      <c r="B188" t="s">
        <v>128</v>
      </c>
      <c r="C188" t="s">
        <v>639</v>
      </c>
      <c r="D188" s="48">
        <v>52963</v>
      </c>
      <c r="E188">
        <v>0</v>
      </c>
    </row>
    <row r="189" spans="1:5" x14ac:dyDescent="0.2">
      <c r="A189" t="s">
        <v>34</v>
      </c>
      <c r="B189" t="s">
        <v>128</v>
      </c>
      <c r="C189" t="s">
        <v>640</v>
      </c>
      <c r="D189" s="48">
        <v>52963</v>
      </c>
      <c r="E189">
        <v>0</v>
      </c>
    </row>
    <row r="190" spans="1:5" x14ac:dyDescent="0.2">
      <c r="A190" t="s">
        <v>34</v>
      </c>
      <c r="B190" t="s">
        <v>128</v>
      </c>
      <c r="C190" t="s">
        <v>145</v>
      </c>
      <c r="D190" s="48">
        <v>52963</v>
      </c>
      <c r="E190">
        <v>0</v>
      </c>
    </row>
    <row r="191" spans="1:5" x14ac:dyDescent="0.2">
      <c r="A191" t="s">
        <v>34</v>
      </c>
      <c r="B191" t="s">
        <v>128</v>
      </c>
      <c r="C191" t="s">
        <v>641</v>
      </c>
      <c r="D191" s="48">
        <v>52963</v>
      </c>
      <c r="E191">
        <v>0</v>
      </c>
    </row>
    <row r="192" spans="1:5" x14ac:dyDescent="0.2">
      <c r="A192" t="s">
        <v>34</v>
      </c>
      <c r="B192" t="s">
        <v>128</v>
      </c>
      <c r="C192" t="s">
        <v>642</v>
      </c>
      <c r="D192" s="48">
        <v>52963</v>
      </c>
      <c r="E192">
        <v>0</v>
      </c>
    </row>
    <row r="193" spans="1:5" x14ac:dyDescent="0.2">
      <c r="A193" t="s">
        <v>34</v>
      </c>
      <c r="B193" t="s">
        <v>128</v>
      </c>
      <c r="C193" t="s">
        <v>643</v>
      </c>
      <c r="D193" s="48">
        <v>52963</v>
      </c>
      <c r="E193">
        <v>0</v>
      </c>
    </row>
    <row r="194" spans="1:5" x14ac:dyDescent="0.2">
      <c r="A194" t="s">
        <v>35</v>
      </c>
      <c r="B194" t="s">
        <v>128</v>
      </c>
      <c r="C194" t="s">
        <v>639</v>
      </c>
      <c r="D194" s="48">
        <v>52963</v>
      </c>
      <c r="E194">
        <v>0</v>
      </c>
    </row>
    <row r="195" spans="1:5" x14ac:dyDescent="0.2">
      <c r="A195" t="s">
        <v>35</v>
      </c>
      <c r="B195" t="s">
        <v>128</v>
      </c>
      <c r="C195" t="s">
        <v>640</v>
      </c>
      <c r="D195" s="48">
        <v>52963</v>
      </c>
      <c r="E195">
        <v>0</v>
      </c>
    </row>
    <row r="196" spans="1:5" x14ac:dyDescent="0.2">
      <c r="A196" t="s">
        <v>35</v>
      </c>
      <c r="B196" t="s">
        <v>128</v>
      </c>
      <c r="C196" t="s">
        <v>145</v>
      </c>
      <c r="D196" s="48">
        <v>52963</v>
      </c>
      <c r="E196">
        <v>0</v>
      </c>
    </row>
    <row r="197" spans="1:5" x14ac:dyDescent="0.2">
      <c r="A197" t="s">
        <v>35</v>
      </c>
      <c r="B197" t="s">
        <v>128</v>
      </c>
      <c r="C197" t="s">
        <v>641</v>
      </c>
      <c r="D197" s="48">
        <v>52963</v>
      </c>
      <c r="E197">
        <v>0</v>
      </c>
    </row>
    <row r="198" spans="1:5" x14ac:dyDescent="0.2">
      <c r="A198" t="s">
        <v>35</v>
      </c>
      <c r="B198" t="s">
        <v>128</v>
      </c>
      <c r="C198" t="s">
        <v>642</v>
      </c>
      <c r="D198" s="48">
        <v>52963</v>
      </c>
      <c r="E198">
        <v>0</v>
      </c>
    </row>
    <row r="199" spans="1:5" x14ac:dyDescent="0.2">
      <c r="A199" t="s">
        <v>35</v>
      </c>
      <c r="B199" t="s">
        <v>128</v>
      </c>
      <c r="C199" t="s">
        <v>643</v>
      </c>
      <c r="D199" s="48">
        <v>52963</v>
      </c>
      <c r="E199">
        <v>0</v>
      </c>
    </row>
    <row r="200" spans="1:5" x14ac:dyDescent="0.2">
      <c r="A200" t="s">
        <v>36</v>
      </c>
      <c r="B200" t="s">
        <v>128</v>
      </c>
      <c r="C200" t="s">
        <v>639</v>
      </c>
      <c r="D200" s="48">
        <v>52963</v>
      </c>
      <c r="E200">
        <v>0</v>
      </c>
    </row>
    <row r="201" spans="1:5" x14ac:dyDescent="0.2">
      <c r="A201" t="s">
        <v>36</v>
      </c>
      <c r="B201" t="s">
        <v>128</v>
      </c>
      <c r="C201" t="s">
        <v>640</v>
      </c>
      <c r="D201" s="48">
        <v>52963</v>
      </c>
      <c r="E201">
        <v>0</v>
      </c>
    </row>
    <row r="202" spans="1:5" x14ac:dyDescent="0.2">
      <c r="A202" t="s">
        <v>36</v>
      </c>
      <c r="B202" t="s">
        <v>128</v>
      </c>
      <c r="C202" t="s">
        <v>145</v>
      </c>
      <c r="D202" s="48">
        <v>52963</v>
      </c>
      <c r="E202">
        <v>0</v>
      </c>
    </row>
    <row r="203" spans="1:5" x14ac:dyDescent="0.2">
      <c r="A203" t="s">
        <v>36</v>
      </c>
      <c r="B203" t="s">
        <v>128</v>
      </c>
      <c r="C203" t="s">
        <v>641</v>
      </c>
      <c r="D203" s="48">
        <v>52963</v>
      </c>
      <c r="E203">
        <v>0</v>
      </c>
    </row>
    <row r="204" spans="1:5" x14ac:dyDescent="0.2">
      <c r="A204" t="s">
        <v>36</v>
      </c>
      <c r="B204" t="s">
        <v>128</v>
      </c>
      <c r="C204" t="s">
        <v>642</v>
      </c>
      <c r="D204" s="48">
        <v>52963</v>
      </c>
      <c r="E204">
        <v>0</v>
      </c>
    </row>
    <row r="205" spans="1:5" x14ac:dyDescent="0.2">
      <c r="A205" t="s">
        <v>36</v>
      </c>
      <c r="B205" t="s">
        <v>128</v>
      </c>
      <c r="C205" t="s">
        <v>643</v>
      </c>
      <c r="D205" s="48">
        <v>52963</v>
      </c>
      <c r="E205">
        <v>0</v>
      </c>
    </row>
    <row r="206" spans="1:5" x14ac:dyDescent="0.2">
      <c r="A206" t="s">
        <v>37</v>
      </c>
      <c r="B206" t="s">
        <v>128</v>
      </c>
      <c r="C206" t="s">
        <v>639</v>
      </c>
      <c r="D206" s="48">
        <v>52963</v>
      </c>
      <c r="E206">
        <v>0</v>
      </c>
    </row>
    <row r="207" spans="1:5" x14ac:dyDescent="0.2">
      <c r="A207" t="s">
        <v>37</v>
      </c>
      <c r="B207" t="s">
        <v>128</v>
      </c>
      <c r="C207" t="s">
        <v>640</v>
      </c>
      <c r="D207" s="48">
        <v>52963</v>
      </c>
      <c r="E207">
        <v>0</v>
      </c>
    </row>
    <row r="208" spans="1:5" x14ac:dyDescent="0.2">
      <c r="A208" t="s">
        <v>37</v>
      </c>
      <c r="B208" t="s">
        <v>128</v>
      </c>
      <c r="C208" t="s">
        <v>145</v>
      </c>
      <c r="D208" s="48">
        <v>52963</v>
      </c>
      <c r="E208">
        <v>0</v>
      </c>
    </row>
    <row r="209" spans="1:5" x14ac:dyDescent="0.2">
      <c r="A209" t="s">
        <v>37</v>
      </c>
      <c r="B209" t="s">
        <v>128</v>
      </c>
      <c r="C209" t="s">
        <v>641</v>
      </c>
      <c r="D209" s="48">
        <v>52963</v>
      </c>
      <c r="E209">
        <v>0</v>
      </c>
    </row>
    <row r="210" spans="1:5" x14ac:dyDescent="0.2">
      <c r="A210" t="s">
        <v>37</v>
      </c>
      <c r="B210" t="s">
        <v>128</v>
      </c>
      <c r="C210" t="s">
        <v>642</v>
      </c>
      <c r="D210" s="48">
        <v>52963</v>
      </c>
      <c r="E210">
        <v>0</v>
      </c>
    </row>
    <row r="211" spans="1:5" x14ac:dyDescent="0.2">
      <c r="A211" t="s">
        <v>37</v>
      </c>
      <c r="B211" t="s">
        <v>128</v>
      </c>
      <c r="C211" t="s">
        <v>643</v>
      </c>
      <c r="D211" s="48">
        <v>52963</v>
      </c>
      <c r="E211">
        <v>0</v>
      </c>
    </row>
    <row r="212" spans="1:5" x14ac:dyDescent="0.2">
      <c r="A212" t="s">
        <v>38</v>
      </c>
      <c r="B212" t="s">
        <v>128</v>
      </c>
      <c r="C212" t="s">
        <v>639</v>
      </c>
      <c r="D212" s="48">
        <v>52963</v>
      </c>
      <c r="E212">
        <v>0</v>
      </c>
    </row>
    <row r="213" spans="1:5" x14ac:dyDescent="0.2">
      <c r="A213" t="s">
        <v>38</v>
      </c>
      <c r="B213" t="s">
        <v>128</v>
      </c>
      <c r="C213" t="s">
        <v>640</v>
      </c>
      <c r="D213" s="48">
        <v>52963</v>
      </c>
      <c r="E213">
        <v>0</v>
      </c>
    </row>
    <row r="214" spans="1:5" x14ac:dyDescent="0.2">
      <c r="A214" t="s">
        <v>38</v>
      </c>
      <c r="B214" t="s">
        <v>128</v>
      </c>
      <c r="C214" t="s">
        <v>145</v>
      </c>
      <c r="D214" s="48">
        <v>52963</v>
      </c>
      <c r="E214">
        <v>0</v>
      </c>
    </row>
    <row r="215" spans="1:5" x14ac:dyDescent="0.2">
      <c r="A215" t="s">
        <v>38</v>
      </c>
      <c r="B215" t="s">
        <v>128</v>
      </c>
      <c r="C215" t="s">
        <v>641</v>
      </c>
      <c r="D215" s="48">
        <v>52963</v>
      </c>
      <c r="E215">
        <v>0</v>
      </c>
    </row>
    <row r="216" spans="1:5" x14ac:dyDescent="0.2">
      <c r="A216" t="s">
        <v>38</v>
      </c>
      <c r="B216" t="s">
        <v>128</v>
      </c>
      <c r="C216" t="s">
        <v>642</v>
      </c>
      <c r="D216" s="48">
        <v>52963</v>
      </c>
      <c r="E216">
        <v>0</v>
      </c>
    </row>
    <row r="217" spans="1:5" x14ac:dyDescent="0.2">
      <c r="A217" t="s">
        <v>38</v>
      </c>
      <c r="B217" t="s">
        <v>128</v>
      </c>
      <c r="C217" t="s">
        <v>643</v>
      </c>
      <c r="D217" s="48">
        <v>52963</v>
      </c>
      <c r="E217">
        <v>0</v>
      </c>
    </row>
    <row r="218" spans="1:5" x14ac:dyDescent="0.2">
      <c r="A218" t="s">
        <v>39</v>
      </c>
      <c r="B218" t="s">
        <v>128</v>
      </c>
      <c r="C218" t="s">
        <v>639</v>
      </c>
      <c r="D218" s="48">
        <v>52963</v>
      </c>
      <c r="E218">
        <v>0</v>
      </c>
    </row>
    <row r="219" spans="1:5" x14ac:dyDescent="0.2">
      <c r="A219" t="s">
        <v>39</v>
      </c>
      <c r="B219" t="s">
        <v>128</v>
      </c>
      <c r="C219" t="s">
        <v>640</v>
      </c>
      <c r="D219" s="48">
        <v>52963</v>
      </c>
      <c r="E219">
        <v>0</v>
      </c>
    </row>
    <row r="220" spans="1:5" x14ac:dyDescent="0.2">
      <c r="A220" t="s">
        <v>39</v>
      </c>
      <c r="B220" t="s">
        <v>128</v>
      </c>
      <c r="C220" t="s">
        <v>145</v>
      </c>
      <c r="D220" s="48">
        <v>52963</v>
      </c>
      <c r="E220">
        <v>0</v>
      </c>
    </row>
    <row r="221" spans="1:5" x14ac:dyDescent="0.2">
      <c r="A221" t="s">
        <v>39</v>
      </c>
      <c r="B221" t="s">
        <v>128</v>
      </c>
      <c r="C221" t="s">
        <v>641</v>
      </c>
      <c r="D221" s="48">
        <v>52963</v>
      </c>
      <c r="E221">
        <v>0</v>
      </c>
    </row>
    <row r="222" spans="1:5" x14ac:dyDescent="0.2">
      <c r="A222" t="s">
        <v>39</v>
      </c>
      <c r="B222" t="s">
        <v>128</v>
      </c>
      <c r="C222" t="s">
        <v>642</v>
      </c>
      <c r="D222" s="48">
        <v>52963</v>
      </c>
      <c r="E222">
        <v>0</v>
      </c>
    </row>
    <row r="223" spans="1:5" x14ac:dyDescent="0.2">
      <c r="A223" t="s">
        <v>39</v>
      </c>
      <c r="B223" t="s">
        <v>128</v>
      </c>
      <c r="C223" t="s">
        <v>643</v>
      </c>
      <c r="D223" s="48">
        <v>52963</v>
      </c>
      <c r="E223">
        <v>0</v>
      </c>
    </row>
    <row r="224" spans="1:5" x14ac:dyDescent="0.2">
      <c r="A224" t="s">
        <v>40</v>
      </c>
      <c r="B224" t="s">
        <v>128</v>
      </c>
      <c r="C224" t="s">
        <v>639</v>
      </c>
      <c r="D224" s="48">
        <v>52963</v>
      </c>
      <c r="E224">
        <v>0</v>
      </c>
    </row>
    <row r="225" spans="1:5" x14ac:dyDescent="0.2">
      <c r="A225" t="s">
        <v>40</v>
      </c>
      <c r="B225" t="s">
        <v>128</v>
      </c>
      <c r="C225" t="s">
        <v>640</v>
      </c>
      <c r="D225" s="48">
        <v>52963</v>
      </c>
      <c r="E225">
        <v>0</v>
      </c>
    </row>
    <row r="226" spans="1:5" x14ac:dyDescent="0.2">
      <c r="A226" t="s">
        <v>40</v>
      </c>
      <c r="B226" t="s">
        <v>128</v>
      </c>
      <c r="C226" t="s">
        <v>145</v>
      </c>
      <c r="D226" s="48">
        <v>52963</v>
      </c>
      <c r="E226">
        <v>0</v>
      </c>
    </row>
    <row r="227" spans="1:5" x14ac:dyDescent="0.2">
      <c r="A227" t="s">
        <v>40</v>
      </c>
      <c r="B227" t="s">
        <v>128</v>
      </c>
      <c r="C227" t="s">
        <v>641</v>
      </c>
      <c r="D227" s="48">
        <v>52963</v>
      </c>
      <c r="E227">
        <v>0</v>
      </c>
    </row>
    <row r="228" spans="1:5" x14ac:dyDescent="0.2">
      <c r="A228" t="s">
        <v>40</v>
      </c>
      <c r="B228" t="s">
        <v>128</v>
      </c>
      <c r="C228" t="s">
        <v>642</v>
      </c>
      <c r="D228" s="48">
        <v>52963</v>
      </c>
      <c r="E228">
        <v>0</v>
      </c>
    </row>
    <row r="229" spans="1:5" x14ac:dyDescent="0.2">
      <c r="A229" t="s">
        <v>40</v>
      </c>
      <c r="B229" t="s">
        <v>128</v>
      </c>
      <c r="C229" t="s">
        <v>643</v>
      </c>
      <c r="D229" s="48">
        <v>52963</v>
      </c>
      <c r="E229">
        <v>0</v>
      </c>
    </row>
    <row r="230" spans="1:5" x14ac:dyDescent="0.2">
      <c r="A230" t="s">
        <v>41</v>
      </c>
      <c r="B230" t="s">
        <v>128</v>
      </c>
      <c r="C230" t="s">
        <v>639</v>
      </c>
      <c r="D230" s="48">
        <v>52963</v>
      </c>
      <c r="E230">
        <v>0</v>
      </c>
    </row>
    <row r="231" spans="1:5" x14ac:dyDescent="0.2">
      <c r="A231" t="s">
        <v>41</v>
      </c>
      <c r="B231" t="s">
        <v>128</v>
      </c>
      <c r="C231" t="s">
        <v>640</v>
      </c>
      <c r="D231" s="48">
        <v>52963</v>
      </c>
      <c r="E231">
        <v>0</v>
      </c>
    </row>
    <row r="232" spans="1:5" x14ac:dyDescent="0.2">
      <c r="A232" t="s">
        <v>41</v>
      </c>
      <c r="B232" t="s">
        <v>128</v>
      </c>
      <c r="C232" t="s">
        <v>145</v>
      </c>
      <c r="D232" s="48">
        <v>52963</v>
      </c>
      <c r="E232">
        <v>0</v>
      </c>
    </row>
    <row r="233" spans="1:5" x14ac:dyDescent="0.2">
      <c r="A233" t="s">
        <v>41</v>
      </c>
      <c r="B233" t="s">
        <v>128</v>
      </c>
      <c r="C233" t="s">
        <v>641</v>
      </c>
      <c r="D233" s="48">
        <v>52963</v>
      </c>
      <c r="E233">
        <v>0</v>
      </c>
    </row>
    <row r="234" spans="1:5" x14ac:dyDescent="0.2">
      <c r="A234" t="s">
        <v>41</v>
      </c>
      <c r="B234" t="s">
        <v>128</v>
      </c>
      <c r="C234" t="s">
        <v>642</v>
      </c>
      <c r="D234" s="48">
        <v>52963</v>
      </c>
      <c r="E234">
        <v>0</v>
      </c>
    </row>
    <row r="235" spans="1:5" x14ac:dyDescent="0.2">
      <c r="A235" t="s">
        <v>41</v>
      </c>
      <c r="B235" t="s">
        <v>128</v>
      </c>
      <c r="C235" t="s">
        <v>643</v>
      </c>
      <c r="D235" s="48">
        <v>52963</v>
      </c>
      <c r="E235">
        <v>0</v>
      </c>
    </row>
    <row r="236" spans="1:5" x14ac:dyDescent="0.2">
      <c r="A236" t="s">
        <v>42</v>
      </c>
      <c r="B236" t="s">
        <v>128</v>
      </c>
      <c r="C236" t="s">
        <v>639</v>
      </c>
      <c r="D236" s="48">
        <v>52963</v>
      </c>
      <c r="E236">
        <v>0</v>
      </c>
    </row>
    <row r="237" spans="1:5" x14ac:dyDescent="0.2">
      <c r="A237" t="s">
        <v>42</v>
      </c>
      <c r="B237" t="s">
        <v>128</v>
      </c>
      <c r="C237" t="s">
        <v>640</v>
      </c>
      <c r="D237" s="48">
        <v>52963</v>
      </c>
      <c r="E237">
        <v>0</v>
      </c>
    </row>
    <row r="238" spans="1:5" x14ac:dyDescent="0.2">
      <c r="A238" t="s">
        <v>42</v>
      </c>
      <c r="B238" t="s">
        <v>128</v>
      </c>
      <c r="C238" t="s">
        <v>145</v>
      </c>
      <c r="D238" s="48">
        <v>52963</v>
      </c>
      <c r="E238">
        <v>0</v>
      </c>
    </row>
    <row r="239" spans="1:5" x14ac:dyDescent="0.2">
      <c r="A239" t="s">
        <v>42</v>
      </c>
      <c r="B239" t="s">
        <v>128</v>
      </c>
      <c r="C239" t="s">
        <v>641</v>
      </c>
      <c r="D239" s="48">
        <v>52963</v>
      </c>
      <c r="E239">
        <v>0</v>
      </c>
    </row>
    <row r="240" spans="1:5" x14ac:dyDescent="0.2">
      <c r="A240" t="s">
        <v>42</v>
      </c>
      <c r="B240" t="s">
        <v>128</v>
      </c>
      <c r="C240" t="s">
        <v>642</v>
      </c>
      <c r="D240" s="48">
        <v>52963</v>
      </c>
      <c r="E240">
        <v>0</v>
      </c>
    </row>
    <row r="241" spans="1:5" x14ac:dyDescent="0.2">
      <c r="A241" t="s">
        <v>42</v>
      </c>
      <c r="B241" t="s">
        <v>128</v>
      </c>
      <c r="C241" t="s">
        <v>643</v>
      </c>
      <c r="D241" s="48">
        <v>52963</v>
      </c>
      <c r="E241">
        <v>0</v>
      </c>
    </row>
    <row r="242" spans="1:5" x14ac:dyDescent="0.2">
      <c r="A242" t="s">
        <v>43</v>
      </c>
      <c r="B242" t="s">
        <v>128</v>
      </c>
      <c r="C242" t="s">
        <v>639</v>
      </c>
      <c r="D242" s="48">
        <v>52963</v>
      </c>
      <c r="E242">
        <v>0</v>
      </c>
    </row>
    <row r="243" spans="1:5" x14ac:dyDescent="0.2">
      <c r="A243" t="s">
        <v>43</v>
      </c>
      <c r="B243" t="s">
        <v>128</v>
      </c>
      <c r="C243" t="s">
        <v>640</v>
      </c>
      <c r="D243" s="48">
        <v>52963</v>
      </c>
      <c r="E243">
        <v>0</v>
      </c>
    </row>
    <row r="244" spans="1:5" x14ac:dyDescent="0.2">
      <c r="A244" t="s">
        <v>43</v>
      </c>
      <c r="B244" t="s">
        <v>128</v>
      </c>
      <c r="C244" t="s">
        <v>145</v>
      </c>
      <c r="D244" s="48">
        <v>52963</v>
      </c>
      <c r="E244">
        <v>0</v>
      </c>
    </row>
    <row r="245" spans="1:5" x14ac:dyDescent="0.2">
      <c r="A245" t="s">
        <v>43</v>
      </c>
      <c r="B245" t="s">
        <v>128</v>
      </c>
      <c r="C245" t="s">
        <v>641</v>
      </c>
      <c r="D245" s="48">
        <v>52963</v>
      </c>
      <c r="E245">
        <v>0</v>
      </c>
    </row>
    <row r="246" spans="1:5" x14ac:dyDescent="0.2">
      <c r="A246" t="s">
        <v>43</v>
      </c>
      <c r="B246" t="s">
        <v>128</v>
      </c>
      <c r="C246" t="s">
        <v>642</v>
      </c>
      <c r="D246" s="48">
        <v>52963</v>
      </c>
      <c r="E246">
        <v>0</v>
      </c>
    </row>
    <row r="247" spans="1:5" x14ac:dyDescent="0.2">
      <c r="A247" t="s">
        <v>43</v>
      </c>
      <c r="B247" t="s">
        <v>128</v>
      </c>
      <c r="C247" t="s">
        <v>643</v>
      </c>
      <c r="D247" s="48">
        <v>52963</v>
      </c>
      <c r="E247">
        <v>0</v>
      </c>
    </row>
    <row r="248" spans="1:5" x14ac:dyDescent="0.2">
      <c r="A248" t="s">
        <v>44</v>
      </c>
      <c r="B248" t="s">
        <v>128</v>
      </c>
      <c r="C248" t="s">
        <v>639</v>
      </c>
      <c r="D248" s="48">
        <v>52963</v>
      </c>
      <c r="E248">
        <v>0</v>
      </c>
    </row>
    <row r="249" spans="1:5" x14ac:dyDescent="0.2">
      <c r="A249" t="s">
        <v>44</v>
      </c>
      <c r="B249" t="s">
        <v>128</v>
      </c>
      <c r="C249" t="s">
        <v>640</v>
      </c>
      <c r="D249" s="48">
        <v>52963</v>
      </c>
      <c r="E249">
        <v>0</v>
      </c>
    </row>
    <row r="250" spans="1:5" x14ac:dyDescent="0.2">
      <c r="A250" t="s">
        <v>44</v>
      </c>
      <c r="B250" t="s">
        <v>128</v>
      </c>
      <c r="C250" t="s">
        <v>145</v>
      </c>
      <c r="D250" s="48">
        <v>52963</v>
      </c>
      <c r="E250">
        <v>0</v>
      </c>
    </row>
    <row r="251" spans="1:5" x14ac:dyDescent="0.2">
      <c r="A251" t="s">
        <v>44</v>
      </c>
      <c r="B251" t="s">
        <v>128</v>
      </c>
      <c r="C251" t="s">
        <v>641</v>
      </c>
      <c r="D251" s="48">
        <v>52963</v>
      </c>
      <c r="E251">
        <v>0</v>
      </c>
    </row>
    <row r="252" spans="1:5" x14ac:dyDescent="0.2">
      <c r="A252" t="s">
        <v>44</v>
      </c>
      <c r="B252" t="s">
        <v>128</v>
      </c>
      <c r="C252" t="s">
        <v>642</v>
      </c>
      <c r="D252" s="48">
        <v>52963</v>
      </c>
      <c r="E252">
        <v>0</v>
      </c>
    </row>
    <row r="253" spans="1:5" x14ac:dyDescent="0.2">
      <c r="A253" t="s">
        <v>44</v>
      </c>
      <c r="B253" t="s">
        <v>128</v>
      </c>
      <c r="C253" t="s">
        <v>643</v>
      </c>
      <c r="D253" s="48">
        <v>52963</v>
      </c>
      <c r="E253">
        <v>0</v>
      </c>
    </row>
    <row r="254" spans="1:5" x14ac:dyDescent="0.2">
      <c r="A254" t="s">
        <v>45</v>
      </c>
      <c r="B254" t="s">
        <v>128</v>
      </c>
      <c r="C254" t="s">
        <v>639</v>
      </c>
      <c r="D254" s="48">
        <v>52963</v>
      </c>
      <c r="E254">
        <v>0</v>
      </c>
    </row>
    <row r="255" spans="1:5" x14ac:dyDescent="0.2">
      <c r="A255" t="s">
        <v>45</v>
      </c>
      <c r="B255" t="s">
        <v>128</v>
      </c>
      <c r="C255" t="s">
        <v>640</v>
      </c>
      <c r="D255" s="48">
        <v>52963</v>
      </c>
      <c r="E255">
        <v>0</v>
      </c>
    </row>
    <row r="256" spans="1:5" x14ac:dyDescent="0.2">
      <c r="A256" t="s">
        <v>45</v>
      </c>
      <c r="B256" t="s">
        <v>128</v>
      </c>
      <c r="C256" t="s">
        <v>145</v>
      </c>
      <c r="D256" s="48">
        <v>52963</v>
      </c>
      <c r="E256">
        <v>0</v>
      </c>
    </row>
    <row r="257" spans="1:5" x14ac:dyDescent="0.2">
      <c r="A257" t="s">
        <v>45</v>
      </c>
      <c r="B257" t="s">
        <v>128</v>
      </c>
      <c r="C257" t="s">
        <v>641</v>
      </c>
      <c r="D257" s="48">
        <v>52963</v>
      </c>
      <c r="E257">
        <v>0</v>
      </c>
    </row>
    <row r="258" spans="1:5" x14ac:dyDescent="0.2">
      <c r="A258" t="s">
        <v>45</v>
      </c>
      <c r="B258" t="s">
        <v>128</v>
      </c>
      <c r="C258" t="s">
        <v>642</v>
      </c>
      <c r="D258" s="48">
        <v>52963</v>
      </c>
      <c r="E258">
        <v>0</v>
      </c>
    </row>
    <row r="259" spans="1:5" x14ac:dyDescent="0.2">
      <c r="A259" t="s">
        <v>45</v>
      </c>
      <c r="B259" t="s">
        <v>128</v>
      </c>
      <c r="C259" t="s">
        <v>643</v>
      </c>
      <c r="D259" s="48">
        <v>52963</v>
      </c>
      <c r="E259">
        <v>0</v>
      </c>
    </row>
    <row r="260" spans="1:5" x14ac:dyDescent="0.2">
      <c r="A260" t="s">
        <v>46</v>
      </c>
      <c r="B260" t="s">
        <v>128</v>
      </c>
      <c r="C260" t="s">
        <v>639</v>
      </c>
      <c r="D260" s="48">
        <v>52963</v>
      </c>
      <c r="E260">
        <v>0</v>
      </c>
    </row>
    <row r="261" spans="1:5" x14ac:dyDescent="0.2">
      <c r="A261" t="s">
        <v>46</v>
      </c>
      <c r="B261" t="s">
        <v>128</v>
      </c>
      <c r="C261" t="s">
        <v>640</v>
      </c>
      <c r="D261" s="48">
        <v>52963</v>
      </c>
      <c r="E261">
        <v>0</v>
      </c>
    </row>
    <row r="262" spans="1:5" x14ac:dyDescent="0.2">
      <c r="A262" t="s">
        <v>46</v>
      </c>
      <c r="B262" t="s">
        <v>128</v>
      </c>
      <c r="C262" t="s">
        <v>145</v>
      </c>
      <c r="D262" s="48">
        <v>52963</v>
      </c>
      <c r="E262">
        <v>0</v>
      </c>
    </row>
    <row r="263" spans="1:5" x14ac:dyDescent="0.2">
      <c r="A263" t="s">
        <v>46</v>
      </c>
      <c r="B263" t="s">
        <v>128</v>
      </c>
      <c r="C263" t="s">
        <v>641</v>
      </c>
      <c r="D263" s="48">
        <v>52963</v>
      </c>
      <c r="E263">
        <v>0</v>
      </c>
    </row>
    <row r="264" spans="1:5" x14ac:dyDescent="0.2">
      <c r="A264" t="s">
        <v>46</v>
      </c>
      <c r="B264" t="s">
        <v>128</v>
      </c>
      <c r="C264" t="s">
        <v>642</v>
      </c>
      <c r="D264" s="48">
        <v>52963</v>
      </c>
      <c r="E264">
        <v>0</v>
      </c>
    </row>
    <row r="265" spans="1:5" x14ac:dyDescent="0.2">
      <c r="A265" t="s">
        <v>46</v>
      </c>
      <c r="B265" t="s">
        <v>128</v>
      </c>
      <c r="C265" t="s">
        <v>643</v>
      </c>
      <c r="D265" s="48">
        <v>52963</v>
      </c>
      <c r="E265">
        <v>0</v>
      </c>
    </row>
    <row r="266" spans="1:5" x14ac:dyDescent="0.2">
      <c r="A266" t="s">
        <v>47</v>
      </c>
      <c r="B266" t="s">
        <v>128</v>
      </c>
      <c r="C266" t="s">
        <v>639</v>
      </c>
      <c r="D266" s="48">
        <v>52963</v>
      </c>
      <c r="E266">
        <v>0</v>
      </c>
    </row>
    <row r="267" spans="1:5" x14ac:dyDescent="0.2">
      <c r="A267" t="s">
        <v>47</v>
      </c>
      <c r="B267" t="s">
        <v>128</v>
      </c>
      <c r="C267" t="s">
        <v>640</v>
      </c>
      <c r="D267" s="48">
        <v>52963</v>
      </c>
      <c r="E267">
        <v>0</v>
      </c>
    </row>
    <row r="268" spans="1:5" x14ac:dyDescent="0.2">
      <c r="A268" t="s">
        <v>47</v>
      </c>
      <c r="B268" t="s">
        <v>128</v>
      </c>
      <c r="C268" t="s">
        <v>145</v>
      </c>
      <c r="D268" s="48">
        <v>52963</v>
      </c>
      <c r="E268">
        <v>0</v>
      </c>
    </row>
    <row r="269" spans="1:5" x14ac:dyDescent="0.2">
      <c r="A269" t="s">
        <v>47</v>
      </c>
      <c r="B269" t="s">
        <v>128</v>
      </c>
      <c r="C269" t="s">
        <v>641</v>
      </c>
      <c r="D269" s="48">
        <v>52963</v>
      </c>
      <c r="E269">
        <v>0</v>
      </c>
    </row>
    <row r="270" spans="1:5" x14ac:dyDescent="0.2">
      <c r="A270" t="s">
        <v>47</v>
      </c>
      <c r="B270" t="s">
        <v>128</v>
      </c>
      <c r="C270" t="s">
        <v>642</v>
      </c>
      <c r="D270" s="48">
        <v>52963</v>
      </c>
      <c r="E270">
        <v>0</v>
      </c>
    </row>
    <row r="271" spans="1:5" x14ac:dyDescent="0.2">
      <c r="A271" t="s">
        <v>47</v>
      </c>
      <c r="B271" t="s">
        <v>128</v>
      </c>
      <c r="C271" t="s">
        <v>643</v>
      </c>
      <c r="D271" s="48">
        <v>52963</v>
      </c>
      <c r="E271">
        <v>0</v>
      </c>
    </row>
    <row r="272" spans="1:5" x14ac:dyDescent="0.2">
      <c r="A272" t="s">
        <v>48</v>
      </c>
      <c r="B272" t="s">
        <v>128</v>
      </c>
      <c r="C272" t="s">
        <v>639</v>
      </c>
      <c r="D272" s="48">
        <v>52963</v>
      </c>
      <c r="E272">
        <v>0</v>
      </c>
    </row>
    <row r="273" spans="1:5" x14ac:dyDescent="0.2">
      <c r="A273" t="s">
        <v>48</v>
      </c>
      <c r="B273" t="s">
        <v>128</v>
      </c>
      <c r="C273" t="s">
        <v>640</v>
      </c>
      <c r="D273" s="48">
        <v>52963</v>
      </c>
      <c r="E273">
        <v>0</v>
      </c>
    </row>
    <row r="274" spans="1:5" x14ac:dyDescent="0.2">
      <c r="A274" t="s">
        <v>48</v>
      </c>
      <c r="B274" t="s">
        <v>128</v>
      </c>
      <c r="C274" t="s">
        <v>145</v>
      </c>
      <c r="D274" s="48">
        <v>52963</v>
      </c>
      <c r="E274">
        <v>0</v>
      </c>
    </row>
    <row r="275" spans="1:5" x14ac:dyDescent="0.2">
      <c r="A275" t="s">
        <v>48</v>
      </c>
      <c r="B275" t="s">
        <v>128</v>
      </c>
      <c r="C275" t="s">
        <v>641</v>
      </c>
      <c r="D275" s="48">
        <v>52963</v>
      </c>
      <c r="E275">
        <v>0</v>
      </c>
    </row>
    <row r="276" spans="1:5" x14ac:dyDescent="0.2">
      <c r="A276" t="s">
        <v>48</v>
      </c>
      <c r="B276" t="s">
        <v>128</v>
      </c>
      <c r="C276" t="s">
        <v>642</v>
      </c>
      <c r="D276" s="48">
        <v>52963</v>
      </c>
      <c r="E276">
        <v>0</v>
      </c>
    </row>
    <row r="277" spans="1:5" x14ac:dyDescent="0.2">
      <c r="A277" t="s">
        <v>48</v>
      </c>
      <c r="B277" t="s">
        <v>128</v>
      </c>
      <c r="C277" t="s">
        <v>643</v>
      </c>
      <c r="D277" s="48">
        <v>52963</v>
      </c>
      <c r="E277">
        <v>0</v>
      </c>
    </row>
    <row r="278" spans="1:5" x14ac:dyDescent="0.2">
      <c r="A278" t="s">
        <v>49</v>
      </c>
      <c r="B278" t="s">
        <v>128</v>
      </c>
      <c r="C278" t="s">
        <v>639</v>
      </c>
      <c r="D278" s="48">
        <v>52963</v>
      </c>
      <c r="E278">
        <v>0</v>
      </c>
    </row>
    <row r="279" spans="1:5" x14ac:dyDescent="0.2">
      <c r="A279" t="s">
        <v>49</v>
      </c>
      <c r="B279" t="s">
        <v>128</v>
      </c>
      <c r="C279" t="s">
        <v>640</v>
      </c>
      <c r="D279" s="48">
        <v>52963</v>
      </c>
      <c r="E279">
        <v>0</v>
      </c>
    </row>
    <row r="280" spans="1:5" x14ac:dyDescent="0.2">
      <c r="A280" t="s">
        <v>49</v>
      </c>
      <c r="B280" t="s">
        <v>128</v>
      </c>
      <c r="C280" t="s">
        <v>145</v>
      </c>
      <c r="D280" s="48">
        <v>52963</v>
      </c>
      <c r="E280">
        <v>0</v>
      </c>
    </row>
    <row r="281" spans="1:5" x14ac:dyDescent="0.2">
      <c r="A281" t="s">
        <v>49</v>
      </c>
      <c r="B281" t="s">
        <v>128</v>
      </c>
      <c r="C281" t="s">
        <v>641</v>
      </c>
      <c r="D281" s="48">
        <v>52963</v>
      </c>
      <c r="E281">
        <v>0</v>
      </c>
    </row>
    <row r="282" spans="1:5" x14ac:dyDescent="0.2">
      <c r="A282" t="s">
        <v>49</v>
      </c>
      <c r="B282" t="s">
        <v>128</v>
      </c>
      <c r="C282" t="s">
        <v>642</v>
      </c>
      <c r="D282" s="48">
        <v>52963</v>
      </c>
      <c r="E282">
        <v>0</v>
      </c>
    </row>
    <row r="283" spans="1:5" x14ac:dyDescent="0.2">
      <c r="A283" t="s">
        <v>49</v>
      </c>
      <c r="B283" t="s">
        <v>128</v>
      </c>
      <c r="C283" t="s">
        <v>643</v>
      </c>
      <c r="D283" s="48">
        <v>52963</v>
      </c>
      <c r="E283">
        <v>0</v>
      </c>
    </row>
    <row r="284" spans="1:5" x14ac:dyDescent="0.2">
      <c r="A284" t="s">
        <v>50</v>
      </c>
      <c r="B284" t="s">
        <v>128</v>
      </c>
      <c r="C284" t="s">
        <v>639</v>
      </c>
      <c r="D284" s="48">
        <v>52963</v>
      </c>
      <c r="E284">
        <v>0</v>
      </c>
    </row>
    <row r="285" spans="1:5" x14ac:dyDescent="0.2">
      <c r="A285" t="s">
        <v>50</v>
      </c>
      <c r="B285" t="s">
        <v>128</v>
      </c>
      <c r="C285" t="s">
        <v>640</v>
      </c>
      <c r="D285" s="48">
        <v>52963</v>
      </c>
      <c r="E285">
        <v>0</v>
      </c>
    </row>
    <row r="286" spans="1:5" x14ac:dyDescent="0.2">
      <c r="A286" t="s">
        <v>50</v>
      </c>
      <c r="B286" t="s">
        <v>128</v>
      </c>
      <c r="C286" t="s">
        <v>145</v>
      </c>
      <c r="D286" s="48">
        <v>52963</v>
      </c>
      <c r="E286">
        <v>0</v>
      </c>
    </row>
    <row r="287" spans="1:5" x14ac:dyDescent="0.2">
      <c r="A287" t="s">
        <v>50</v>
      </c>
      <c r="B287" t="s">
        <v>128</v>
      </c>
      <c r="C287" t="s">
        <v>641</v>
      </c>
      <c r="D287" s="48">
        <v>52963</v>
      </c>
      <c r="E287">
        <v>0</v>
      </c>
    </row>
    <row r="288" spans="1:5" x14ac:dyDescent="0.2">
      <c r="A288" t="s">
        <v>50</v>
      </c>
      <c r="B288" t="s">
        <v>128</v>
      </c>
      <c r="C288" t="s">
        <v>642</v>
      </c>
      <c r="D288" s="48">
        <v>52963</v>
      </c>
      <c r="E288">
        <v>0</v>
      </c>
    </row>
    <row r="289" spans="1:5" x14ac:dyDescent="0.2">
      <c r="A289" t="s">
        <v>50</v>
      </c>
      <c r="B289" t="s">
        <v>128</v>
      </c>
      <c r="C289" t="s">
        <v>643</v>
      </c>
      <c r="D289" s="48">
        <v>52963</v>
      </c>
      <c r="E289">
        <v>0</v>
      </c>
    </row>
    <row r="290" spans="1:5" x14ac:dyDescent="0.2">
      <c r="A290" t="s">
        <v>51</v>
      </c>
      <c r="B290" t="s">
        <v>128</v>
      </c>
      <c r="C290" t="s">
        <v>639</v>
      </c>
      <c r="D290" s="48">
        <v>52963</v>
      </c>
      <c r="E290">
        <v>0</v>
      </c>
    </row>
    <row r="291" spans="1:5" x14ac:dyDescent="0.2">
      <c r="A291" t="s">
        <v>51</v>
      </c>
      <c r="B291" t="s">
        <v>128</v>
      </c>
      <c r="C291" t="s">
        <v>640</v>
      </c>
      <c r="D291" s="48">
        <v>52963</v>
      </c>
      <c r="E291">
        <v>0</v>
      </c>
    </row>
    <row r="292" spans="1:5" x14ac:dyDescent="0.2">
      <c r="A292" t="s">
        <v>51</v>
      </c>
      <c r="B292" t="s">
        <v>128</v>
      </c>
      <c r="C292" t="s">
        <v>145</v>
      </c>
      <c r="D292" s="48">
        <v>52963</v>
      </c>
      <c r="E292">
        <v>0</v>
      </c>
    </row>
    <row r="293" spans="1:5" x14ac:dyDescent="0.2">
      <c r="A293" t="s">
        <v>51</v>
      </c>
      <c r="B293" t="s">
        <v>128</v>
      </c>
      <c r="C293" t="s">
        <v>641</v>
      </c>
      <c r="D293" s="48">
        <v>52963</v>
      </c>
      <c r="E293">
        <v>0</v>
      </c>
    </row>
    <row r="294" spans="1:5" x14ac:dyDescent="0.2">
      <c r="A294" t="s">
        <v>51</v>
      </c>
      <c r="B294" t="s">
        <v>128</v>
      </c>
      <c r="C294" t="s">
        <v>642</v>
      </c>
      <c r="D294" s="48">
        <v>52963</v>
      </c>
      <c r="E294">
        <v>0</v>
      </c>
    </row>
    <row r="295" spans="1:5" x14ac:dyDescent="0.2">
      <c r="A295" t="s">
        <v>51</v>
      </c>
      <c r="B295" t="s">
        <v>128</v>
      </c>
      <c r="C295" t="s">
        <v>643</v>
      </c>
      <c r="D295" s="48">
        <v>52963</v>
      </c>
      <c r="E295">
        <v>0</v>
      </c>
    </row>
    <row r="296" spans="1:5" x14ac:dyDescent="0.2">
      <c r="A296" t="s">
        <v>52</v>
      </c>
      <c r="B296" t="s">
        <v>128</v>
      </c>
      <c r="C296" t="s">
        <v>639</v>
      </c>
      <c r="D296" s="48">
        <v>52963</v>
      </c>
      <c r="E296">
        <v>0</v>
      </c>
    </row>
    <row r="297" spans="1:5" x14ac:dyDescent="0.2">
      <c r="A297" t="s">
        <v>52</v>
      </c>
      <c r="B297" t="s">
        <v>128</v>
      </c>
      <c r="C297" t="s">
        <v>640</v>
      </c>
      <c r="D297" s="48">
        <v>52963</v>
      </c>
      <c r="E297">
        <v>0</v>
      </c>
    </row>
    <row r="298" spans="1:5" x14ac:dyDescent="0.2">
      <c r="A298" t="s">
        <v>52</v>
      </c>
      <c r="B298" t="s">
        <v>128</v>
      </c>
      <c r="C298" t="s">
        <v>145</v>
      </c>
      <c r="D298" s="48">
        <v>52963</v>
      </c>
      <c r="E298">
        <v>0</v>
      </c>
    </row>
    <row r="299" spans="1:5" x14ac:dyDescent="0.2">
      <c r="A299" t="s">
        <v>52</v>
      </c>
      <c r="B299" t="s">
        <v>128</v>
      </c>
      <c r="C299" t="s">
        <v>641</v>
      </c>
      <c r="D299" s="48">
        <v>52963</v>
      </c>
      <c r="E299">
        <v>0</v>
      </c>
    </row>
    <row r="300" spans="1:5" x14ac:dyDescent="0.2">
      <c r="A300" t="s">
        <v>52</v>
      </c>
      <c r="B300" t="s">
        <v>128</v>
      </c>
      <c r="C300" t="s">
        <v>642</v>
      </c>
      <c r="D300" s="48">
        <v>52963</v>
      </c>
      <c r="E300">
        <v>0</v>
      </c>
    </row>
    <row r="301" spans="1:5" x14ac:dyDescent="0.2">
      <c r="A301" t="s">
        <v>52</v>
      </c>
      <c r="B301" t="s">
        <v>128</v>
      </c>
      <c r="C301" t="s">
        <v>643</v>
      </c>
      <c r="D301" s="48">
        <v>52963</v>
      </c>
      <c r="E301">
        <v>0</v>
      </c>
    </row>
    <row r="302" spans="1:5" x14ac:dyDescent="0.2">
      <c r="A302" t="s">
        <v>53</v>
      </c>
      <c r="B302" t="s">
        <v>128</v>
      </c>
      <c r="C302" t="s">
        <v>639</v>
      </c>
      <c r="D302" s="48">
        <v>52963</v>
      </c>
      <c r="E302">
        <v>0</v>
      </c>
    </row>
    <row r="303" spans="1:5" x14ac:dyDescent="0.2">
      <c r="A303" t="s">
        <v>53</v>
      </c>
      <c r="B303" t="s">
        <v>128</v>
      </c>
      <c r="C303" t="s">
        <v>640</v>
      </c>
      <c r="D303" s="48">
        <v>52963</v>
      </c>
      <c r="E303">
        <v>0</v>
      </c>
    </row>
    <row r="304" spans="1:5" x14ac:dyDescent="0.2">
      <c r="A304" t="s">
        <v>53</v>
      </c>
      <c r="B304" t="s">
        <v>128</v>
      </c>
      <c r="C304" t="s">
        <v>145</v>
      </c>
      <c r="D304" s="48">
        <v>52963</v>
      </c>
      <c r="E304">
        <v>0</v>
      </c>
    </row>
    <row r="305" spans="1:5" x14ac:dyDescent="0.2">
      <c r="A305" t="s">
        <v>53</v>
      </c>
      <c r="B305" t="s">
        <v>128</v>
      </c>
      <c r="C305" t="s">
        <v>641</v>
      </c>
      <c r="D305" s="48">
        <v>52963</v>
      </c>
      <c r="E305">
        <v>0</v>
      </c>
    </row>
    <row r="306" spans="1:5" x14ac:dyDescent="0.2">
      <c r="A306" t="s">
        <v>53</v>
      </c>
      <c r="B306" t="s">
        <v>128</v>
      </c>
      <c r="C306" t="s">
        <v>642</v>
      </c>
      <c r="D306" s="48">
        <v>52963</v>
      </c>
      <c r="E306">
        <v>0</v>
      </c>
    </row>
    <row r="307" spans="1:5" x14ac:dyDescent="0.2">
      <c r="A307" t="s">
        <v>53</v>
      </c>
      <c r="B307" t="s">
        <v>128</v>
      </c>
      <c r="C307" t="s">
        <v>643</v>
      </c>
      <c r="D307" s="48">
        <v>52963</v>
      </c>
      <c r="E307">
        <v>0</v>
      </c>
    </row>
    <row r="308" spans="1:5" x14ac:dyDescent="0.2">
      <c r="A308" t="s">
        <v>54</v>
      </c>
      <c r="B308" t="s">
        <v>128</v>
      </c>
      <c r="C308" t="s">
        <v>639</v>
      </c>
      <c r="D308" s="48">
        <v>52963</v>
      </c>
      <c r="E308">
        <v>0</v>
      </c>
    </row>
    <row r="309" spans="1:5" x14ac:dyDescent="0.2">
      <c r="A309" t="s">
        <v>54</v>
      </c>
      <c r="B309" t="s">
        <v>128</v>
      </c>
      <c r="C309" t="s">
        <v>640</v>
      </c>
      <c r="D309" s="48">
        <v>52963</v>
      </c>
      <c r="E309">
        <v>0</v>
      </c>
    </row>
    <row r="310" spans="1:5" x14ac:dyDescent="0.2">
      <c r="A310" t="s">
        <v>54</v>
      </c>
      <c r="B310" t="s">
        <v>128</v>
      </c>
      <c r="C310" t="s">
        <v>145</v>
      </c>
      <c r="D310" s="48">
        <v>52963</v>
      </c>
      <c r="E310">
        <v>0</v>
      </c>
    </row>
    <row r="311" spans="1:5" x14ac:dyDescent="0.2">
      <c r="A311" t="s">
        <v>54</v>
      </c>
      <c r="B311" t="s">
        <v>128</v>
      </c>
      <c r="C311" t="s">
        <v>641</v>
      </c>
      <c r="D311" s="48">
        <v>52963</v>
      </c>
      <c r="E311">
        <v>0</v>
      </c>
    </row>
    <row r="312" spans="1:5" x14ac:dyDescent="0.2">
      <c r="A312" t="s">
        <v>54</v>
      </c>
      <c r="B312" t="s">
        <v>128</v>
      </c>
      <c r="C312" t="s">
        <v>642</v>
      </c>
      <c r="D312" s="48">
        <v>52963</v>
      </c>
      <c r="E312">
        <v>0</v>
      </c>
    </row>
    <row r="313" spans="1:5" x14ac:dyDescent="0.2">
      <c r="A313" t="s">
        <v>54</v>
      </c>
      <c r="B313" t="s">
        <v>128</v>
      </c>
      <c r="C313" t="s">
        <v>643</v>
      </c>
      <c r="D313" s="48">
        <v>52963</v>
      </c>
      <c r="E313">
        <v>0</v>
      </c>
    </row>
    <row r="314" spans="1:5" x14ac:dyDescent="0.2">
      <c r="A314" t="s">
        <v>55</v>
      </c>
      <c r="B314" t="s">
        <v>128</v>
      </c>
      <c r="C314" t="s">
        <v>639</v>
      </c>
      <c r="D314" s="48">
        <v>52963</v>
      </c>
      <c r="E314">
        <v>0</v>
      </c>
    </row>
    <row r="315" spans="1:5" x14ac:dyDescent="0.2">
      <c r="A315" t="s">
        <v>55</v>
      </c>
      <c r="B315" t="s">
        <v>128</v>
      </c>
      <c r="C315" t="s">
        <v>640</v>
      </c>
      <c r="D315" s="48">
        <v>52963</v>
      </c>
      <c r="E315">
        <v>0</v>
      </c>
    </row>
    <row r="316" spans="1:5" x14ac:dyDescent="0.2">
      <c r="A316" t="s">
        <v>55</v>
      </c>
      <c r="B316" t="s">
        <v>128</v>
      </c>
      <c r="C316" t="s">
        <v>145</v>
      </c>
      <c r="D316" s="48">
        <v>52963</v>
      </c>
      <c r="E316">
        <v>0</v>
      </c>
    </row>
    <row r="317" spans="1:5" x14ac:dyDescent="0.2">
      <c r="A317" t="s">
        <v>55</v>
      </c>
      <c r="B317" t="s">
        <v>128</v>
      </c>
      <c r="C317" t="s">
        <v>641</v>
      </c>
      <c r="D317" s="48">
        <v>52963</v>
      </c>
      <c r="E317">
        <v>0</v>
      </c>
    </row>
    <row r="318" spans="1:5" x14ac:dyDescent="0.2">
      <c r="A318" t="s">
        <v>55</v>
      </c>
      <c r="B318" t="s">
        <v>128</v>
      </c>
      <c r="C318" t="s">
        <v>642</v>
      </c>
      <c r="D318" s="48">
        <v>52963</v>
      </c>
      <c r="E318">
        <v>0</v>
      </c>
    </row>
    <row r="319" spans="1:5" x14ac:dyDescent="0.2">
      <c r="A319" t="s">
        <v>55</v>
      </c>
      <c r="B319" t="s">
        <v>128</v>
      </c>
      <c r="C319" t="s">
        <v>643</v>
      </c>
      <c r="D319" s="48">
        <v>52963</v>
      </c>
      <c r="E319">
        <v>0</v>
      </c>
    </row>
    <row r="320" spans="1:5" x14ac:dyDescent="0.2">
      <c r="A320" t="s">
        <v>56</v>
      </c>
      <c r="B320" t="s">
        <v>128</v>
      </c>
      <c r="C320" t="s">
        <v>639</v>
      </c>
      <c r="D320" s="48">
        <v>52963</v>
      </c>
      <c r="E320">
        <v>0</v>
      </c>
    </row>
    <row r="321" spans="1:5" x14ac:dyDescent="0.2">
      <c r="A321" t="s">
        <v>56</v>
      </c>
      <c r="B321" t="s">
        <v>128</v>
      </c>
      <c r="C321" t="s">
        <v>640</v>
      </c>
      <c r="D321" s="48">
        <v>52963</v>
      </c>
      <c r="E321">
        <v>0</v>
      </c>
    </row>
    <row r="322" spans="1:5" x14ac:dyDescent="0.2">
      <c r="A322" t="s">
        <v>56</v>
      </c>
      <c r="B322" t="s">
        <v>128</v>
      </c>
      <c r="C322" t="s">
        <v>145</v>
      </c>
      <c r="D322" s="48">
        <v>52963</v>
      </c>
      <c r="E322">
        <v>0</v>
      </c>
    </row>
    <row r="323" spans="1:5" x14ac:dyDescent="0.2">
      <c r="A323" t="s">
        <v>56</v>
      </c>
      <c r="B323" t="s">
        <v>128</v>
      </c>
      <c r="C323" t="s">
        <v>641</v>
      </c>
      <c r="D323" s="48">
        <v>52963</v>
      </c>
      <c r="E323">
        <v>0</v>
      </c>
    </row>
    <row r="324" spans="1:5" x14ac:dyDescent="0.2">
      <c r="A324" t="s">
        <v>56</v>
      </c>
      <c r="B324" t="s">
        <v>128</v>
      </c>
      <c r="C324" t="s">
        <v>642</v>
      </c>
      <c r="D324" s="48">
        <v>52963</v>
      </c>
      <c r="E324">
        <v>0</v>
      </c>
    </row>
    <row r="325" spans="1:5" x14ac:dyDescent="0.2">
      <c r="A325" t="s">
        <v>56</v>
      </c>
      <c r="B325" t="s">
        <v>128</v>
      </c>
      <c r="C325" t="s">
        <v>643</v>
      </c>
      <c r="D325" s="48">
        <v>52963</v>
      </c>
      <c r="E325">
        <v>0</v>
      </c>
    </row>
    <row r="326" spans="1:5" x14ac:dyDescent="0.2">
      <c r="A326" t="s">
        <v>57</v>
      </c>
      <c r="B326" t="s">
        <v>128</v>
      </c>
      <c r="C326" t="s">
        <v>639</v>
      </c>
      <c r="D326" s="48">
        <v>52963</v>
      </c>
      <c r="E326">
        <v>0</v>
      </c>
    </row>
    <row r="327" spans="1:5" x14ac:dyDescent="0.2">
      <c r="A327" t="s">
        <v>57</v>
      </c>
      <c r="B327" t="s">
        <v>128</v>
      </c>
      <c r="C327" t="s">
        <v>640</v>
      </c>
      <c r="D327" s="48">
        <v>52963</v>
      </c>
      <c r="E327">
        <v>0</v>
      </c>
    </row>
    <row r="328" spans="1:5" x14ac:dyDescent="0.2">
      <c r="A328" t="s">
        <v>57</v>
      </c>
      <c r="B328" t="s">
        <v>128</v>
      </c>
      <c r="C328" t="s">
        <v>145</v>
      </c>
      <c r="D328" s="48">
        <v>52963</v>
      </c>
      <c r="E328">
        <v>0</v>
      </c>
    </row>
    <row r="329" spans="1:5" x14ac:dyDescent="0.2">
      <c r="A329" t="s">
        <v>57</v>
      </c>
      <c r="B329" t="s">
        <v>128</v>
      </c>
      <c r="C329" t="s">
        <v>641</v>
      </c>
      <c r="D329" s="48">
        <v>52963</v>
      </c>
      <c r="E329">
        <v>0</v>
      </c>
    </row>
    <row r="330" spans="1:5" x14ac:dyDescent="0.2">
      <c r="A330" t="s">
        <v>57</v>
      </c>
      <c r="B330" t="s">
        <v>128</v>
      </c>
      <c r="C330" t="s">
        <v>642</v>
      </c>
      <c r="D330" s="48">
        <v>52963</v>
      </c>
      <c r="E330">
        <v>0</v>
      </c>
    </row>
    <row r="331" spans="1:5" x14ac:dyDescent="0.2">
      <c r="A331" t="s">
        <v>57</v>
      </c>
      <c r="B331" t="s">
        <v>128</v>
      </c>
      <c r="C331" t="s">
        <v>643</v>
      </c>
      <c r="D331" s="48">
        <v>52963</v>
      </c>
      <c r="E331">
        <v>0</v>
      </c>
    </row>
    <row r="332" spans="1:5" x14ac:dyDescent="0.2">
      <c r="A332" t="s">
        <v>58</v>
      </c>
      <c r="B332" t="s">
        <v>128</v>
      </c>
      <c r="C332" t="s">
        <v>639</v>
      </c>
      <c r="D332" s="48">
        <v>52963</v>
      </c>
      <c r="E332">
        <v>0</v>
      </c>
    </row>
    <row r="333" spans="1:5" x14ac:dyDescent="0.2">
      <c r="A333" t="s">
        <v>58</v>
      </c>
      <c r="B333" t="s">
        <v>128</v>
      </c>
      <c r="C333" t="s">
        <v>640</v>
      </c>
      <c r="D333" s="48">
        <v>52963</v>
      </c>
      <c r="E333">
        <v>0</v>
      </c>
    </row>
    <row r="334" spans="1:5" x14ac:dyDescent="0.2">
      <c r="A334" t="s">
        <v>58</v>
      </c>
      <c r="B334" t="s">
        <v>128</v>
      </c>
      <c r="C334" t="s">
        <v>145</v>
      </c>
      <c r="D334" s="48">
        <v>52963</v>
      </c>
      <c r="E334">
        <v>0</v>
      </c>
    </row>
    <row r="335" spans="1:5" x14ac:dyDescent="0.2">
      <c r="A335" t="s">
        <v>58</v>
      </c>
      <c r="B335" t="s">
        <v>128</v>
      </c>
      <c r="C335" t="s">
        <v>641</v>
      </c>
      <c r="D335" s="48">
        <v>52963</v>
      </c>
      <c r="E335">
        <v>0</v>
      </c>
    </row>
    <row r="336" spans="1:5" x14ac:dyDescent="0.2">
      <c r="A336" t="s">
        <v>58</v>
      </c>
      <c r="B336" t="s">
        <v>128</v>
      </c>
      <c r="C336" t="s">
        <v>642</v>
      </c>
      <c r="D336" s="48">
        <v>52963</v>
      </c>
      <c r="E336">
        <v>0</v>
      </c>
    </row>
    <row r="337" spans="1:5" x14ac:dyDescent="0.2">
      <c r="A337" t="s">
        <v>58</v>
      </c>
      <c r="B337" t="s">
        <v>128</v>
      </c>
      <c r="C337" t="s">
        <v>643</v>
      </c>
      <c r="D337" s="48">
        <v>52963</v>
      </c>
      <c r="E337">
        <v>0</v>
      </c>
    </row>
    <row r="338" spans="1:5" x14ac:dyDescent="0.2">
      <c r="A338" t="s">
        <v>59</v>
      </c>
      <c r="B338" t="s">
        <v>128</v>
      </c>
      <c r="C338" t="s">
        <v>639</v>
      </c>
      <c r="D338" s="48">
        <v>52963</v>
      </c>
      <c r="E338">
        <v>0</v>
      </c>
    </row>
    <row r="339" spans="1:5" x14ac:dyDescent="0.2">
      <c r="A339" t="s">
        <v>59</v>
      </c>
      <c r="B339" t="s">
        <v>128</v>
      </c>
      <c r="C339" t="s">
        <v>640</v>
      </c>
      <c r="D339" s="48">
        <v>52963</v>
      </c>
      <c r="E339">
        <v>0</v>
      </c>
    </row>
    <row r="340" spans="1:5" x14ac:dyDescent="0.2">
      <c r="A340" t="s">
        <v>59</v>
      </c>
      <c r="B340" t="s">
        <v>128</v>
      </c>
      <c r="C340" t="s">
        <v>145</v>
      </c>
      <c r="D340" s="48">
        <v>52963</v>
      </c>
      <c r="E340">
        <v>0</v>
      </c>
    </row>
    <row r="341" spans="1:5" x14ac:dyDescent="0.2">
      <c r="A341" t="s">
        <v>59</v>
      </c>
      <c r="B341" t="s">
        <v>128</v>
      </c>
      <c r="C341" t="s">
        <v>641</v>
      </c>
      <c r="D341" s="48">
        <v>52963</v>
      </c>
      <c r="E341">
        <v>0</v>
      </c>
    </row>
    <row r="342" spans="1:5" x14ac:dyDescent="0.2">
      <c r="A342" t="s">
        <v>59</v>
      </c>
      <c r="B342" t="s">
        <v>128</v>
      </c>
      <c r="C342" t="s">
        <v>642</v>
      </c>
      <c r="D342" s="48">
        <v>52963</v>
      </c>
      <c r="E342">
        <v>0</v>
      </c>
    </row>
    <row r="343" spans="1:5" x14ac:dyDescent="0.2">
      <c r="A343" t="s">
        <v>59</v>
      </c>
      <c r="B343" t="s">
        <v>128</v>
      </c>
      <c r="C343" t="s">
        <v>643</v>
      </c>
      <c r="D343" s="48">
        <v>52963</v>
      </c>
      <c r="E343">
        <v>0</v>
      </c>
    </row>
    <row r="344" spans="1:5" x14ac:dyDescent="0.2">
      <c r="A344" t="s">
        <v>60</v>
      </c>
      <c r="B344" t="s">
        <v>128</v>
      </c>
      <c r="C344" t="s">
        <v>639</v>
      </c>
      <c r="D344" s="48">
        <v>52963</v>
      </c>
      <c r="E344">
        <v>0</v>
      </c>
    </row>
    <row r="345" spans="1:5" x14ac:dyDescent="0.2">
      <c r="A345" t="s">
        <v>60</v>
      </c>
      <c r="B345" t="s">
        <v>128</v>
      </c>
      <c r="C345" t="s">
        <v>640</v>
      </c>
      <c r="D345" s="48">
        <v>52963</v>
      </c>
      <c r="E345">
        <v>0</v>
      </c>
    </row>
    <row r="346" spans="1:5" x14ac:dyDescent="0.2">
      <c r="A346" t="s">
        <v>60</v>
      </c>
      <c r="B346" t="s">
        <v>128</v>
      </c>
      <c r="C346" t="s">
        <v>145</v>
      </c>
      <c r="D346" s="48">
        <v>52963</v>
      </c>
      <c r="E346">
        <v>0</v>
      </c>
    </row>
    <row r="347" spans="1:5" x14ac:dyDescent="0.2">
      <c r="A347" t="s">
        <v>60</v>
      </c>
      <c r="B347" t="s">
        <v>128</v>
      </c>
      <c r="C347" t="s">
        <v>641</v>
      </c>
      <c r="D347" s="48">
        <v>52963</v>
      </c>
      <c r="E347">
        <v>0</v>
      </c>
    </row>
    <row r="348" spans="1:5" x14ac:dyDescent="0.2">
      <c r="A348" t="s">
        <v>60</v>
      </c>
      <c r="B348" t="s">
        <v>128</v>
      </c>
      <c r="C348" t="s">
        <v>642</v>
      </c>
      <c r="D348" s="48">
        <v>52963</v>
      </c>
      <c r="E348">
        <v>0</v>
      </c>
    </row>
    <row r="349" spans="1:5" x14ac:dyDescent="0.2">
      <c r="A349" t="s">
        <v>60</v>
      </c>
      <c r="B349" t="s">
        <v>128</v>
      </c>
      <c r="C349" t="s">
        <v>643</v>
      </c>
      <c r="D349" s="48">
        <v>52963</v>
      </c>
      <c r="E349">
        <v>0</v>
      </c>
    </row>
    <row r="350" spans="1:5" x14ac:dyDescent="0.2">
      <c r="A350" t="s">
        <v>61</v>
      </c>
      <c r="B350" t="s">
        <v>128</v>
      </c>
      <c r="C350" t="s">
        <v>639</v>
      </c>
      <c r="D350" s="48">
        <v>52963</v>
      </c>
      <c r="E350">
        <v>0</v>
      </c>
    </row>
    <row r="351" spans="1:5" x14ac:dyDescent="0.2">
      <c r="A351" t="s">
        <v>61</v>
      </c>
      <c r="B351" t="s">
        <v>128</v>
      </c>
      <c r="C351" t="s">
        <v>640</v>
      </c>
      <c r="D351" s="48">
        <v>52963</v>
      </c>
      <c r="E351">
        <v>0</v>
      </c>
    </row>
    <row r="352" spans="1:5" x14ac:dyDescent="0.2">
      <c r="A352" t="s">
        <v>61</v>
      </c>
      <c r="B352" t="s">
        <v>128</v>
      </c>
      <c r="C352" t="s">
        <v>145</v>
      </c>
      <c r="D352" s="48">
        <v>52963</v>
      </c>
      <c r="E352">
        <v>0</v>
      </c>
    </row>
    <row r="353" spans="1:5" x14ac:dyDescent="0.2">
      <c r="A353" t="s">
        <v>61</v>
      </c>
      <c r="B353" t="s">
        <v>128</v>
      </c>
      <c r="C353" t="s">
        <v>641</v>
      </c>
      <c r="D353" s="48">
        <v>52963</v>
      </c>
      <c r="E353">
        <v>0</v>
      </c>
    </row>
    <row r="354" spans="1:5" x14ac:dyDescent="0.2">
      <c r="A354" t="s">
        <v>61</v>
      </c>
      <c r="B354" t="s">
        <v>128</v>
      </c>
      <c r="C354" t="s">
        <v>642</v>
      </c>
      <c r="D354" s="48">
        <v>52963</v>
      </c>
      <c r="E354">
        <v>0</v>
      </c>
    </row>
    <row r="355" spans="1:5" x14ac:dyDescent="0.2">
      <c r="A355" t="s">
        <v>61</v>
      </c>
      <c r="B355" t="s">
        <v>128</v>
      </c>
      <c r="C355" t="s">
        <v>643</v>
      </c>
      <c r="D355" s="48">
        <v>52963</v>
      </c>
      <c r="E355">
        <v>0</v>
      </c>
    </row>
    <row r="356" spans="1:5" x14ac:dyDescent="0.2">
      <c r="A356" t="s">
        <v>62</v>
      </c>
      <c r="B356" t="s">
        <v>128</v>
      </c>
      <c r="C356" t="s">
        <v>639</v>
      </c>
      <c r="D356" s="48">
        <v>52963</v>
      </c>
      <c r="E356">
        <v>0</v>
      </c>
    </row>
    <row r="357" spans="1:5" x14ac:dyDescent="0.2">
      <c r="A357" t="s">
        <v>62</v>
      </c>
      <c r="B357" t="s">
        <v>128</v>
      </c>
      <c r="C357" t="s">
        <v>640</v>
      </c>
      <c r="D357" s="48">
        <v>52963</v>
      </c>
      <c r="E357">
        <v>0</v>
      </c>
    </row>
    <row r="358" spans="1:5" x14ac:dyDescent="0.2">
      <c r="A358" t="s">
        <v>62</v>
      </c>
      <c r="B358" t="s">
        <v>128</v>
      </c>
      <c r="C358" t="s">
        <v>145</v>
      </c>
      <c r="D358" s="48">
        <v>52963</v>
      </c>
      <c r="E358">
        <v>0</v>
      </c>
    </row>
    <row r="359" spans="1:5" x14ac:dyDescent="0.2">
      <c r="A359" t="s">
        <v>62</v>
      </c>
      <c r="B359" t="s">
        <v>128</v>
      </c>
      <c r="C359" t="s">
        <v>641</v>
      </c>
      <c r="D359" s="48">
        <v>52963</v>
      </c>
      <c r="E359">
        <v>0</v>
      </c>
    </row>
    <row r="360" spans="1:5" x14ac:dyDescent="0.2">
      <c r="A360" t="s">
        <v>62</v>
      </c>
      <c r="B360" t="s">
        <v>128</v>
      </c>
      <c r="C360" t="s">
        <v>642</v>
      </c>
      <c r="D360" s="48">
        <v>52963</v>
      </c>
      <c r="E360">
        <v>0</v>
      </c>
    </row>
    <row r="361" spans="1:5" x14ac:dyDescent="0.2">
      <c r="A361" t="s">
        <v>62</v>
      </c>
      <c r="B361" t="s">
        <v>128</v>
      </c>
      <c r="C361" t="s">
        <v>643</v>
      </c>
      <c r="D361" s="48">
        <v>52963</v>
      </c>
      <c r="E361">
        <v>0</v>
      </c>
    </row>
    <row r="362" spans="1:5" x14ac:dyDescent="0.2">
      <c r="A362" t="s">
        <v>63</v>
      </c>
      <c r="B362" t="s">
        <v>128</v>
      </c>
      <c r="C362" t="s">
        <v>639</v>
      </c>
      <c r="D362" s="48">
        <v>52963</v>
      </c>
      <c r="E362">
        <v>0</v>
      </c>
    </row>
    <row r="363" spans="1:5" x14ac:dyDescent="0.2">
      <c r="A363" t="s">
        <v>63</v>
      </c>
      <c r="B363" t="s">
        <v>128</v>
      </c>
      <c r="C363" t="s">
        <v>640</v>
      </c>
      <c r="D363" s="48">
        <v>52963</v>
      </c>
      <c r="E363">
        <v>0</v>
      </c>
    </row>
    <row r="364" spans="1:5" x14ac:dyDescent="0.2">
      <c r="A364" t="s">
        <v>63</v>
      </c>
      <c r="B364" t="s">
        <v>128</v>
      </c>
      <c r="C364" t="s">
        <v>145</v>
      </c>
      <c r="D364" s="48">
        <v>52963</v>
      </c>
      <c r="E364">
        <v>0</v>
      </c>
    </row>
    <row r="365" spans="1:5" x14ac:dyDescent="0.2">
      <c r="A365" t="s">
        <v>63</v>
      </c>
      <c r="B365" t="s">
        <v>128</v>
      </c>
      <c r="C365" t="s">
        <v>641</v>
      </c>
      <c r="D365" s="48">
        <v>52963</v>
      </c>
      <c r="E365">
        <v>0</v>
      </c>
    </row>
    <row r="366" spans="1:5" x14ac:dyDescent="0.2">
      <c r="A366" t="s">
        <v>63</v>
      </c>
      <c r="B366" t="s">
        <v>128</v>
      </c>
      <c r="C366" t="s">
        <v>642</v>
      </c>
      <c r="D366" s="48">
        <v>52963</v>
      </c>
      <c r="E366">
        <v>0</v>
      </c>
    </row>
    <row r="367" spans="1:5" x14ac:dyDescent="0.2">
      <c r="A367" t="s">
        <v>63</v>
      </c>
      <c r="B367" t="s">
        <v>128</v>
      </c>
      <c r="C367" t="s">
        <v>643</v>
      </c>
      <c r="D367" s="48">
        <v>52963</v>
      </c>
      <c r="E367">
        <v>0</v>
      </c>
    </row>
    <row r="368" spans="1:5" x14ac:dyDescent="0.2">
      <c r="A368" t="s">
        <v>651</v>
      </c>
      <c r="B368" t="s">
        <v>141</v>
      </c>
      <c r="C368" t="s">
        <v>639</v>
      </c>
      <c r="D368" s="48">
        <v>52963</v>
      </c>
      <c r="E368">
        <v>0</v>
      </c>
    </row>
    <row r="369" spans="1:5" x14ac:dyDescent="0.2">
      <c r="A369" t="s">
        <v>651</v>
      </c>
      <c r="B369" t="s">
        <v>141</v>
      </c>
      <c r="C369" t="s">
        <v>640</v>
      </c>
      <c r="D369" s="48">
        <v>52963</v>
      </c>
      <c r="E369">
        <v>0</v>
      </c>
    </row>
    <row r="370" spans="1:5" x14ac:dyDescent="0.2">
      <c r="A370" t="s">
        <v>651</v>
      </c>
      <c r="B370" t="s">
        <v>141</v>
      </c>
      <c r="C370" t="s">
        <v>145</v>
      </c>
      <c r="D370" s="48">
        <v>52963</v>
      </c>
      <c r="E370">
        <v>0</v>
      </c>
    </row>
    <row r="371" spans="1:5" x14ac:dyDescent="0.2">
      <c r="A371" t="s">
        <v>651</v>
      </c>
      <c r="B371" t="s">
        <v>141</v>
      </c>
      <c r="C371" t="s">
        <v>641</v>
      </c>
      <c r="D371" s="48">
        <v>52963</v>
      </c>
      <c r="E371">
        <v>0</v>
      </c>
    </row>
    <row r="372" spans="1:5" x14ac:dyDescent="0.2">
      <c r="A372" t="s">
        <v>651</v>
      </c>
      <c r="B372" t="s">
        <v>141</v>
      </c>
      <c r="C372" t="s">
        <v>642</v>
      </c>
      <c r="D372" s="48">
        <v>52963</v>
      </c>
      <c r="E372">
        <v>0</v>
      </c>
    </row>
    <row r="373" spans="1:5" x14ac:dyDescent="0.2">
      <c r="A373" t="s">
        <v>651</v>
      </c>
      <c r="B373" t="s">
        <v>141</v>
      </c>
      <c r="C373" t="s">
        <v>643</v>
      </c>
      <c r="D373" s="48">
        <v>52963</v>
      </c>
      <c r="E373">
        <v>0</v>
      </c>
    </row>
    <row r="374" spans="1:5" x14ac:dyDescent="0.2">
      <c r="A374" t="s">
        <v>64</v>
      </c>
      <c r="B374" t="s">
        <v>141</v>
      </c>
      <c r="C374" t="s">
        <v>639</v>
      </c>
      <c r="D374" s="48">
        <v>52963</v>
      </c>
      <c r="E374">
        <v>0</v>
      </c>
    </row>
    <row r="375" spans="1:5" x14ac:dyDescent="0.2">
      <c r="A375" t="s">
        <v>64</v>
      </c>
      <c r="B375" t="s">
        <v>141</v>
      </c>
      <c r="C375" t="s">
        <v>640</v>
      </c>
      <c r="D375" s="48">
        <v>52963</v>
      </c>
      <c r="E375">
        <v>0</v>
      </c>
    </row>
    <row r="376" spans="1:5" x14ac:dyDescent="0.2">
      <c r="A376" t="s">
        <v>64</v>
      </c>
      <c r="B376" t="s">
        <v>141</v>
      </c>
      <c r="C376" t="s">
        <v>145</v>
      </c>
      <c r="D376" s="48">
        <v>52963</v>
      </c>
      <c r="E376">
        <v>0</v>
      </c>
    </row>
    <row r="377" spans="1:5" x14ac:dyDescent="0.2">
      <c r="A377" t="s">
        <v>64</v>
      </c>
      <c r="B377" t="s">
        <v>141</v>
      </c>
      <c r="C377" t="s">
        <v>641</v>
      </c>
      <c r="D377" s="48">
        <v>52963</v>
      </c>
      <c r="E377">
        <v>0</v>
      </c>
    </row>
    <row r="378" spans="1:5" x14ac:dyDescent="0.2">
      <c r="A378" t="s">
        <v>64</v>
      </c>
      <c r="B378" t="s">
        <v>141</v>
      </c>
      <c r="C378" t="s">
        <v>642</v>
      </c>
      <c r="D378" s="48">
        <v>52963</v>
      </c>
      <c r="E378">
        <v>0</v>
      </c>
    </row>
    <row r="379" spans="1:5" x14ac:dyDescent="0.2">
      <c r="A379" t="s">
        <v>64</v>
      </c>
      <c r="B379" t="s">
        <v>141</v>
      </c>
      <c r="C379" t="s">
        <v>643</v>
      </c>
      <c r="D379" s="48">
        <v>52963</v>
      </c>
      <c r="E379">
        <v>0</v>
      </c>
    </row>
    <row r="380" spans="1:5" x14ac:dyDescent="0.2">
      <c r="A380" t="s">
        <v>652</v>
      </c>
      <c r="B380" t="s">
        <v>141</v>
      </c>
      <c r="C380" t="s">
        <v>639</v>
      </c>
      <c r="D380" s="48">
        <v>52963</v>
      </c>
      <c r="E380">
        <v>0</v>
      </c>
    </row>
    <row r="381" spans="1:5" x14ac:dyDescent="0.2">
      <c r="A381" t="s">
        <v>652</v>
      </c>
      <c r="B381" t="s">
        <v>141</v>
      </c>
      <c r="C381" t="s">
        <v>640</v>
      </c>
      <c r="D381" s="48">
        <v>52963</v>
      </c>
      <c r="E381">
        <v>0</v>
      </c>
    </row>
    <row r="382" spans="1:5" x14ac:dyDescent="0.2">
      <c r="A382" t="s">
        <v>652</v>
      </c>
      <c r="B382" t="s">
        <v>141</v>
      </c>
      <c r="C382" t="s">
        <v>145</v>
      </c>
      <c r="D382" s="48">
        <v>52963</v>
      </c>
      <c r="E382">
        <v>0</v>
      </c>
    </row>
    <row r="383" spans="1:5" x14ac:dyDescent="0.2">
      <c r="A383" t="s">
        <v>652</v>
      </c>
      <c r="B383" t="s">
        <v>141</v>
      </c>
      <c r="C383" t="s">
        <v>641</v>
      </c>
      <c r="D383" s="48">
        <v>52963</v>
      </c>
      <c r="E383">
        <v>0</v>
      </c>
    </row>
    <row r="384" spans="1:5" x14ac:dyDescent="0.2">
      <c r="A384" t="s">
        <v>652</v>
      </c>
      <c r="B384" t="s">
        <v>141</v>
      </c>
      <c r="C384" t="s">
        <v>642</v>
      </c>
      <c r="D384" s="48">
        <v>52963</v>
      </c>
      <c r="E384">
        <v>0</v>
      </c>
    </row>
    <row r="385" spans="1:5" x14ac:dyDescent="0.2">
      <c r="A385" t="s">
        <v>652</v>
      </c>
      <c r="B385" t="s">
        <v>141</v>
      </c>
      <c r="C385" t="s">
        <v>643</v>
      </c>
      <c r="D385" s="48">
        <v>52963</v>
      </c>
      <c r="E385">
        <v>0</v>
      </c>
    </row>
    <row r="386" spans="1:5" x14ac:dyDescent="0.2">
      <c r="A386" t="s">
        <v>653</v>
      </c>
      <c r="B386" t="s">
        <v>141</v>
      </c>
      <c r="C386" t="s">
        <v>639</v>
      </c>
      <c r="D386" s="48">
        <v>52963</v>
      </c>
      <c r="E386">
        <v>0</v>
      </c>
    </row>
    <row r="387" spans="1:5" x14ac:dyDescent="0.2">
      <c r="A387" t="s">
        <v>653</v>
      </c>
      <c r="B387" t="s">
        <v>141</v>
      </c>
      <c r="C387" t="s">
        <v>640</v>
      </c>
      <c r="D387" s="48">
        <v>52963</v>
      </c>
      <c r="E387">
        <v>0</v>
      </c>
    </row>
    <row r="388" spans="1:5" x14ac:dyDescent="0.2">
      <c r="A388" t="s">
        <v>653</v>
      </c>
      <c r="B388" t="s">
        <v>141</v>
      </c>
      <c r="C388" t="s">
        <v>145</v>
      </c>
      <c r="D388" s="48">
        <v>52963</v>
      </c>
      <c r="E388">
        <v>0</v>
      </c>
    </row>
    <row r="389" spans="1:5" x14ac:dyDescent="0.2">
      <c r="A389" t="s">
        <v>653</v>
      </c>
      <c r="B389" t="s">
        <v>141</v>
      </c>
      <c r="C389" t="s">
        <v>641</v>
      </c>
      <c r="D389" s="48">
        <v>52963</v>
      </c>
      <c r="E389">
        <v>0</v>
      </c>
    </row>
    <row r="390" spans="1:5" x14ac:dyDescent="0.2">
      <c r="A390" t="s">
        <v>653</v>
      </c>
      <c r="B390" t="s">
        <v>141</v>
      </c>
      <c r="C390" t="s">
        <v>642</v>
      </c>
      <c r="D390" s="48">
        <v>52963</v>
      </c>
      <c r="E390">
        <v>0</v>
      </c>
    </row>
    <row r="391" spans="1:5" x14ac:dyDescent="0.2">
      <c r="A391" t="s">
        <v>653</v>
      </c>
      <c r="B391" t="s">
        <v>141</v>
      </c>
      <c r="C391" t="s">
        <v>643</v>
      </c>
      <c r="D391" s="48">
        <v>52963</v>
      </c>
      <c r="E391">
        <v>0</v>
      </c>
    </row>
    <row r="392" spans="1:5" x14ac:dyDescent="0.2">
      <c r="A392" t="s">
        <v>654</v>
      </c>
      <c r="B392" t="s">
        <v>141</v>
      </c>
      <c r="C392" t="s">
        <v>639</v>
      </c>
      <c r="D392" s="48">
        <v>52963</v>
      </c>
      <c r="E392">
        <v>0</v>
      </c>
    </row>
    <row r="393" spans="1:5" x14ac:dyDescent="0.2">
      <c r="A393" t="s">
        <v>654</v>
      </c>
      <c r="B393" t="s">
        <v>141</v>
      </c>
      <c r="C393" t="s">
        <v>640</v>
      </c>
      <c r="D393" s="48">
        <v>52963</v>
      </c>
      <c r="E393">
        <v>0</v>
      </c>
    </row>
    <row r="394" spans="1:5" x14ac:dyDescent="0.2">
      <c r="A394" t="s">
        <v>654</v>
      </c>
      <c r="B394" t="s">
        <v>141</v>
      </c>
      <c r="C394" t="s">
        <v>145</v>
      </c>
      <c r="D394" s="48">
        <v>52963</v>
      </c>
      <c r="E394">
        <v>0</v>
      </c>
    </row>
    <row r="395" spans="1:5" x14ac:dyDescent="0.2">
      <c r="A395" t="s">
        <v>654</v>
      </c>
      <c r="B395" t="s">
        <v>141</v>
      </c>
      <c r="C395" t="s">
        <v>641</v>
      </c>
      <c r="D395" s="48">
        <v>52963</v>
      </c>
      <c r="E395">
        <v>0</v>
      </c>
    </row>
    <row r="396" spans="1:5" x14ac:dyDescent="0.2">
      <c r="A396" t="s">
        <v>654</v>
      </c>
      <c r="B396" t="s">
        <v>141</v>
      </c>
      <c r="C396" t="s">
        <v>642</v>
      </c>
      <c r="D396" s="48">
        <v>52963</v>
      </c>
      <c r="E396">
        <v>0</v>
      </c>
    </row>
    <row r="397" spans="1:5" x14ac:dyDescent="0.2">
      <c r="A397" t="s">
        <v>654</v>
      </c>
      <c r="B397" t="s">
        <v>141</v>
      </c>
      <c r="C397" t="s">
        <v>643</v>
      </c>
      <c r="D397" s="48">
        <v>52963</v>
      </c>
      <c r="E397">
        <v>0</v>
      </c>
    </row>
    <row r="398" spans="1:5" x14ac:dyDescent="0.2">
      <c r="A398" t="s">
        <v>65</v>
      </c>
      <c r="B398" t="s">
        <v>141</v>
      </c>
      <c r="C398" t="s">
        <v>639</v>
      </c>
      <c r="D398" s="48">
        <v>52963</v>
      </c>
      <c r="E398">
        <v>0</v>
      </c>
    </row>
    <row r="399" spans="1:5" x14ac:dyDescent="0.2">
      <c r="A399" t="s">
        <v>65</v>
      </c>
      <c r="B399" t="s">
        <v>141</v>
      </c>
      <c r="C399" t="s">
        <v>640</v>
      </c>
      <c r="D399" s="48">
        <v>52963</v>
      </c>
      <c r="E399">
        <v>0</v>
      </c>
    </row>
    <row r="400" spans="1:5" x14ac:dyDescent="0.2">
      <c r="A400" t="s">
        <v>65</v>
      </c>
      <c r="B400" t="s">
        <v>141</v>
      </c>
      <c r="C400" t="s">
        <v>145</v>
      </c>
      <c r="D400" s="48">
        <v>52963</v>
      </c>
      <c r="E400">
        <v>0</v>
      </c>
    </row>
    <row r="401" spans="1:5" x14ac:dyDescent="0.2">
      <c r="A401" t="s">
        <v>65</v>
      </c>
      <c r="B401" t="s">
        <v>141</v>
      </c>
      <c r="C401" t="s">
        <v>641</v>
      </c>
      <c r="D401" s="48">
        <v>52963</v>
      </c>
      <c r="E401">
        <v>0</v>
      </c>
    </row>
    <row r="402" spans="1:5" x14ac:dyDescent="0.2">
      <c r="A402" t="s">
        <v>65</v>
      </c>
      <c r="B402" t="s">
        <v>141</v>
      </c>
      <c r="C402" t="s">
        <v>642</v>
      </c>
      <c r="D402" s="48">
        <v>52963</v>
      </c>
      <c r="E402">
        <v>0</v>
      </c>
    </row>
    <row r="403" spans="1:5" x14ac:dyDescent="0.2">
      <c r="A403" t="s">
        <v>65</v>
      </c>
      <c r="B403" t="s">
        <v>141</v>
      </c>
      <c r="C403" t="s">
        <v>643</v>
      </c>
      <c r="D403" s="48">
        <v>52963</v>
      </c>
      <c r="E403">
        <v>0</v>
      </c>
    </row>
    <row r="404" spans="1:5" x14ac:dyDescent="0.2">
      <c r="A404" t="s">
        <v>655</v>
      </c>
      <c r="B404" t="s">
        <v>141</v>
      </c>
      <c r="C404" t="s">
        <v>639</v>
      </c>
      <c r="D404" s="48">
        <v>52963</v>
      </c>
      <c r="E404">
        <v>0</v>
      </c>
    </row>
    <row r="405" spans="1:5" x14ac:dyDescent="0.2">
      <c r="A405" t="s">
        <v>655</v>
      </c>
      <c r="B405" t="s">
        <v>141</v>
      </c>
      <c r="C405" t="s">
        <v>640</v>
      </c>
      <c r="D405" s="48">
        <v>52963</v>
      </c>
      <c r="E405">
        <v>0</v>
      </c>
    </row>
    <row r="406" spans="1:5" x14ac:dyDescent="0.2">
      <c r="A406" t="s">
        <v>655</v>
      </c>
      <c r="B406" t="s">
        <v>141</v>
      </c>
      <c r="C406" t="s">
        <v>145</v>
      </c>
      <c r="D406" s="48">
        <v>52963</v>
      </c>
      <c r="E406">
        <v>0</v>
      </c>
    </row>
    <row r="407" spans="1:5" x14ac:dyDescent="0.2">
      <c r="A407" t="s">
        <v>655</v>
      </c>
      <c r="B407" t="s">
        <v>141</v>
      </c>
      <c r="C407" t="s">
        <v>641</v>
      </c>
      <c r="D407" s="48">
        <v>52963</v>
      </c>
      <c r="E407">
        <v>0</v>
      </c>
    </row>
    <row r="408" spans="1:5" x14ac:dyDescent="0.2">
      <c r="A408" t="s">
        <v>655</v>
      </c>
      <c r="B408" t="s">
        <v>141</v>
      </c>
      <c r="C408" t="s">
        <v>642</v>
      </c>
      <c r="D408" s="48">
        <v>52963</v>
      </c>
      <c r="E408">
        <v>0</v>
      </c>
    </row>
    <row r="409" spans="1:5" x14ac:dyDescent="0.2">
      <c r="A409" t="s">
        <v>655</v>
      </c>
      <c r="B409" t="s">
        <v>141</v>
      </c>
      <c r="C409" t="s">
        <v>643</v>
      </c>
      <c r="D409" s="48">
        <v>52963</v>
      </c>
      <c r="E409">
        <v>0</v>
      </c>
    </row>
    <row r="410" spans="1:5" x14ac:dyDescent="0.2">
      <c r="A410" t="s">
        <v>656</v>
      </c>
      <c r="B410" t="s">
        <v>141</v>
      </c>
      <c r="C410" t="s">
        <v>639</v>
      </c>
      <c r="D410" s="48">
        <v>52963</v>
      </c>
      <c r="E410">
        <v>0</v>
      </c>
    </row>
    <row r="411" spans="1:5" x14ac:dyDescent="0.2">
      <c r="A411" t="s">
        <v>656</v>
      </c>
      <c r="B411" t="s">
        <v>141</v>
      </c>
      <c r="C411" t="s">
        <v>640</v>
      </c>
      <c r="D411" s="48">
        <v>52963</v>
      </c>
      <c r="E411">
        <v>0</v>
      </c>
    </row>
    <row r="412" spans="1:5" x14ac:dyDescent="0.2">
      <c r="A412" t="s">
        <v>656</v>
      </c>
      <c r="B412" t="s">
        <v>141</v>
      </c>
      <c r="C412" t="s">
        <v>145</v>
      </c>
      <c r="D412" s="48">
        <v>52963</v>
      </c>
      <c r="E412">
        <v>0</v>
      </c>
    </row>
    <row r="413" spans="1:5" x14ac:dyDescent="0.2">
      <c r="A413" t="s">
        <v>656</v>
      </c>
      <c r="B413" t="s">
        <v>141</v>
      </c>
      <c r="C413" t="s">
        <v>641</v>
      </c>
      <c r="D413" s="48">
        <v>52963</v>
      </c>
      <c r="E413">
        <v>0</v>
      </c>
    </row>
    <row r="414" spans="1:5" x14ac:dyDescent="0.2">
      <c r="A414" t="s">
        <v>656</v>
      </c>
      <c r="B414" t="s">
        <v>141</v>
      </c>
      <c r="C414" t="s">
        <v>642</v>
      </c>
      <c r="D414" s="48">
        <v>52963</v>
      </c>
      <c r="E414">
        <v>0</v>
      </c>
    </row>
    <row r="415" spans="1:5" x14ac:dyDescent="0.2">
      <c r="A415" t="s">
        <v>656</v>
      </c>
      <c r="B415" t="s">
        <v>141</v>
      </c>
      <c r="C415" t="s">
        <v>643</v>
      </c>
      <c r="D415" s="48">
        <v>52963</v>
      </c>
      <c r="E415">
        <v>0</v>
      </c>
    </row>
    <row r="416" spans="1:5" x14ac:dyDescent="0.2">
      <c r="A416" t="s">
        <v>657</v>
      </c>
      <c r="B416" t="s">
        <v>141</v>
      </c>
      <c r="C416" t="s">
        <v>639</v>
      </c>
      <c r="D416" s="48">
        <v>52963</v>
      </c>
      <c r="E416">
        <v>0</v>
      </c>
    </row>
    <row r="417" spans="1:5" x14ac:dyDescent="0.2">
      <c r="A417" t="s">
        <v>657</v>
      </c>
      <c r="B417" t="s">
        <v>141</v>
      </c>
      <c r="C417" t="s">
        <v>640</v>
      </c>
      <c r="D417" s="48">
        <v>52963</v>
      </c>
      <c r="E417">
        <v>0</v>
      </c>
    </row>
    <row r="418" spans="1:5" x14ac:dyDescent="0.2">
      <c r="A418" t="s">
        <v>657</v>
      </c>
      <c r="B418" t="s">
        <v>141</v>
      </c>
      <c r="C418" t="s">
        <v>145</v>
      </c>
      <c r="D418" s="48">
        <v>52963</v>
      </c>
      <c r="E418">
        <v>0</v>
      </c>
    </row>
    <row r="419" spans="1:5" x14ac:dyDescent="0.2">
      <c r="A419" t="s">
        <v>657</v>
      </c>
      <c r="B419" t="s">
        <v>141</v>
      </c>
      <c r="C419" t="s">
        <v>641</v>
      </c>
      <c r="D419" s="48">
        <v>52963</v>
      </c>
      <c r="E419">
        <v>0</v>
      </c>
    </row>
    <row r="420" spans="1:5" x14ac:dyDescent="0.2">
      <c r="A420" t="s">
        <v>657</v>
      </c>
      <c r="B420" t="s">
        <v>141</v>
      </c>
      <c r="C420" t="s">
        <v>642</v>
      </c>
      <c r="D420" s="48">
        <v>52963</v>
      </c>
      <c r="E420">
        <v>0</v>
      </c>
    </row>
    <row r="421" spans="1:5" x14ac:dyDescent="0.2">
      <c r="A421" t="s">
        <v>657</v>
      </c>
      <c r="B421" t="s">
        <v>141</v>
      </c>
      <c r="C421" t="s">
        <v>643</v>
      </c>
      <c r="D421" s="48">
        <v>52963</v>
      </c>
      <c r="E421">
        <v>0</v>
      </c>
    </row>
    <row r="422" spans="1:5" x14ac:dyDescent="0.2">
      <c r="A422" t="s">
        <v>658</v>
      </c>
      <c r="B422" t="s">
        <v>141</v>
      </c>
      <c r="C422" t="s">
        <v>639</v>
      </c>
      <c r="D422" s="48">
        <v>52963</v>
      </c>
      <c r="E422">
        <v>0</v>
      </c>
    </row>
    <row r="423" spans="1:5" x14ac:dyDescent="0.2">
      <c r="A423" t="s">
        <v>658</v>
      </c>
      <c r="B423" t="s">
        <v>141</v>
      </c>
      <c r="C423" t="s">
        <v>640</v>
      </c>
      <c r="D423" s="48">
        <v>52963</v>
      </c>
      <c r="E423">
        <v>0</v>
      </c>
    </row>
    <row r="424" spans="1:5" x14ac:dyDescent="0.2">
      <c r="A424" t="s">
        <v>658</v>
      </c>
      <c r="B424" t="s">
        <v>141</v>
      </c>
      <c r="C424" t="s">
        <v>145</v>
      </c>
      <c r="D424" s="48">
        <v>52963</v>
      </c>
      <c r="E424">
        <v>0</v>
      </c>
    </row>
    <row r="425" spans="1:5" x14ac:dyDescent="0.2">
      <c r="A425" t="s">
        <v>658</v>
      </c>
      <c r="B425" t="s">
        <v>141</v>
      </c>
      <c r="C425" t="s">
        <v>641</v>
      </c>
      <c r="D425" s="48">
        <v>52963</v>
      </c>
      <c r="E425">
        <v>0</v>
      </c>
    </row>
    <row r="426" spans="1:5" x14ac:dyDescent="0.2">
      <c r="A426" t="s">
        <v>658</v>
      </c>
      <c r="B426" t="s">
        <v>141</v>
      </c>
      <c r="C426" t="s">
        <v>642</v>
      </c>
      <c r="D426" s="48">
        <v>52963</v>
      </c>
      <c r="E426">
        <v>0</v>
      </c>
    </row>
    <row r="427" spans="1:5" x14ac:dyDescent="0.2">
      <c r="A427" t="s">
        <v>658</v>
      </c>
      <c r="B427" t="s">
        <v>141</v>
      </c>
      <c r="C427" t="s">
        <v>643</v>
      </c>
      <c r="D427" s="48">
        <v>52963</v>
      </c>
      <c r="E427">
        <v>0</v>
      </c>
    </row>
    <row r="428" spans="1:5" x14ac:dyDescent="0.2">
      <c r="A428" t="s">
        <v>66</v>
      </c>
      <c r="B428" t="s">
        <v>128</v>
      </c>
      <c r="C428" t="s">
        <v>639</v>
      </c>
      <c r="D428" s="48">
        <v>52963</v>
      </c>
      <c r="E428">
        <v>0</v>
      </c>
    </row>
    <row r="429" spans="1:5" x14ac:dyDescent="0.2">
      <c r="A429" t="s">
        <v>66</v>
      </c>
      <c r="B429" t="s">
        <v>128</v>
      </c>
      <c r="C429" t="s">
        <v>640</v>
      </c>
      <c r="D429" s="48">
        <v>52963</v>
      </c>
      <c r="E429">
        <v>0</v>
      </c>
    </row>
    <row r="430" spans="1:5" x14ac:dyDescent="0.2">
      <c r="A430" t="s">
        <v>66</v>
      </c>
      <c r="B430" t="s">
        <v>128</v>
      </c>
      <c r="C430" t="s">
        <v>145</v>
      </c>
      <c r="D430" s="48">
        <v>52963</v>
      </c>
      <c r="E430">
        <v>0</v>
      </c>
    </row>
    <row r="431" spans="1:5" x14ac:dyDescent="0.2">
      <c r="A431" t="s">
        <v>66</v>
      </c>
      <c r="B431" t="s">
        <v>128</v>
      </c>
      <c r="C431" t="s">
        <v>641</v>
      </c>
      <c r="D431" s="48">
        <v>52963</v>
      </c>
      <c r="E431">
        <v>0</v>
      </c>
    </row>
    <row r="432" spans="1:5" x14ac:dyDescent="0.2">
      <c r="A432" t="s">
        <v>66</v>
      </c>
      <c r="B432" t="s">
        <v>128</v>
      </c>
      <c r="C432" t="s">
        <v>642</v>
      </c>
      <c r="D432" s="48">
        <v>52963</v>
      </c>
      <c r="E432">
        <v>0</v>
      </c>
    </row>
    <row r="433" spans="1:5" x14ac:dyDescent="0.2">
      <c r="A433" t="s">
        <v>66</v>
      </c>
      <c r="B433" t="s">
        <v>128</v>
      </c>
      <c r="C433" t="s">
        <v>643</v>
      </c>
      <c r="D433" s="48">
        <v>52963</v>
      </c>
      <c r="E433">
        <v>0</v>
      </c>
    </row>
    <row r="434" spans="1:5" x14ac:dyDescent="0.2">
      <c r="A434" t="s">
        <v>67</v>
      </c>
      <c r="B434" t="s">
        <v>128</v>
      </c>
      <c r="C434" t="s">
        <v>639</v>
      </c>
      <c r="D434" s="48">
        <v>52963</v>
      </c>
      <c r="E434">
        <v>0</v>
      </c>
    </row>
    <row r="435" spans="1:5" x14ac:dyDescent="0.2">
      <c r="A435" t="s">
        <v>67</v>
      </c>
      <c r="B435" t="s">
        <v>128</v>
      </c>
      <c r="C435" t="s">
        <v>640</v>
      </c>
      <c r="D435" s="48">
        <v>52963</v>
      </c>
      <c r="E435">
        <v>0</v>
      </c>
    </row>
    <row r="436" spans="1:5" x14ac:dyDescent="0.2">
      <c r="A436" t="s">
        <v>67</v>
      </c>
      <c r="B436" t="s">
        <v>128</v>
      </c>
      <c r="C436" t="s">
        <v>145</v>
      </c>
      <c r="D436" s="48">
        <v>52963</v>
      </c>
      <c r="E436">
        <v>0</v>
      </c>
    </row>
    <row r="437" spans="1:5" x14ac:dyDescent="0.2">
      <c r="A437" t="s">
        <v>67</v>
      </c>
      <c r="B437" t="s">
        <v>128</v>
      </c>
      <c r="C437" t="s">
        <v>641</v>
      </c>
      <c r="D437" s="48">
        <v>52963</v>
      </c>
      <c r="E437">
        <v>0</v>
      </c>
    </row>
    <row r="438" spans="1:5" x14ac:dyDescent="0.2">
      <c r="A438" t="s">
        <v>67</v>
      </c>
      <c r="B438" t="s">
        <v>128</v>
      </c>
      <c r="C438" t="s">
        <v>642</v>
      </c>
      <c r="D438" s="48">
        <v>52963</v>
      </c>
      <c r="E438">
        <v>0</v>
      </c>
    </row>
    <row r="439" spans="1:5" x14ac:dyDescent="0.2">
      <c r="A439" t="s">
        <v>67</v>
      </c>
      <c r="B439" t="s">
        <v>128</v>
      </c>
      <c r="C439" t="s">
        <v>643</v>
      </c>
      <c r="D439" s="48">
        <v>52963</v>
      </c>
      <c r="E439">
        <v>0</v>
      </c>
    </row>
    <row r="440" spans="1:5" x14ac:dyDescent="0.2">
      <c r="A440" t="s">
        <v>68</v>
      </c>
      <c r="B440" t="s">
        <v>128</v>
      </c>
      <c r="C440" t="s">
        <v>639</v>
      </c>
      <c r="D440" s="48">
        <v>52963</v>
      </c>
      <c r="E440">
        <v>0</v>
      </c>
    </row>
    <row r="441" spans="1:5" x14ac:dyDescent="0.2">
      <c r="A441" t="s">
        <v>68</v>
      </c>
      <c r="B441" t="s">
        <v>128</v>
      </c>
      <c r="C441" t="s">
        <v>640</v>
      </c>
      <c r="D441" s="48">
        <v>52963</v>
      </c>
      <c r="E441">
        <v>0</v>
      </c>
    </row>
    <row r="442" spans="1:5" x14ac:dyDescent="0.2">
      <c r="A442" t="s">
        <v>68</v>
      </c>
      <c r="B442" t="s">
        <v>128</v>
      </c>
      <c r="C442" t="s">
        <v>145</v>
      </c>
      <c r="D442" s="48">
        <v>52963</v>
      </c>
      <c r="E442">
        <v>0</v>
      </c>
    </row>
    <row r="443" spans="1:5" x14ac:dyDescent="0.2">
      <c r="A443" t="s">
        <v>68</v>
      </c>
      <c r="B443" t="s">
        <v>128</v>
      </c>
      <c r="C443" t="s">
        <v>641</v>
      </c>
      <c r="D443" s="48">
        <v>52963</v>
      </c>
      <c r="E443">
        <v>0</v>
      </c>
    </row>
    <row r="444" spans="1:5" x14ac:dyDescent="0.2">
      <c r="A444" t="s">
        <v>68</v>
      </c>
      <c r="B444" t="s">
        <v>128</v>
      </c>
      <c r="C444" t="s">
        <v>642</v>
      </c>
      <c r="D444" s="48">
        <v>52963</v>
      </c>
      <c r="E444">
        <v>0</v>
      </c>
    </row>
    <row r="445" spans="1:5" x14ac:dyDescent="0.2">
      <c r="A445" t="s">
        <v>68</v>
      </c>
      <c r="B445" t="s">
        <v>128</v>
      </c>
      <c r="C445" t="s">
        <v>643</v>
      </c>
      <c r="D445" s="48">
        <v>52963</v>
      </c>
      <c r="E445">
        <v>0</v>
      </c>
    </row>
    <row r="446" spans="1:5" x14ac:dyDescent="0.2">
      <c r="A446" t="s">
        <v>69</v>
      </c>
      <c r="B446" t="s">
        <v>128</v>
      </c>
      <c r="C446" t="s">
        <v>639</v>
      </c>
      <c r="D446" s="48">
        <v>52963</v>
      </c>
      <c r="E446">
        <v>0</v>
      </c>
    </row>
    <row r="447" spans="1:5" x14ac:dyDescent="0.2">
      <c r="A447" t="s">
        <v>69</v>
      </c>
      <c r="B447" t="s">
        <v>128</v>
      </c>
      <c r="C447" t="s">
        <v>640</v>
      </c>
      <c r="D447" s="48">
        <v>52963</v>
      </c>
      <c r="E447">
        <v>0</v>
      </c>
    </row>
    <row r="448" spans="1:5" x14ac:dyDescent="0.2">
      <c r="A448" t="s">
        <v>69</v>
      </c>
      <c r="B448" t="s">
        <v>128</v>
      </c>
      <c r="C448" t="s">
        <v>145</v>
      </c>
      <c r="D448" s="48">
        <v>52963</v>
      </c>
      <c r="E448">
        <v>0</v>
      </c>
    </row>
    <row r="449" spans="1:5" x14ac:dyDescent="0.2">
      <c r="A449" t="s">
        <v>69</v>
      </c>
      <c r="B449" t="s">
        <v>128</v>
      </c>
      <c r="C449" t="s">
        <v>641</v>
      </c>
      <c r="D449" s="48">
        <v>52963</v>
      </c>
      <c r="E449">
        <v>0</v>
      </c>
    </row>
    <row r="450" spans="1:5" x14ac:dyDescent="0.2">
      <c r="A450" t="s">
        <v>69</v>
      </c>
      <c r="B450" t="s">
        <v>128</v>
      </c>
      <c r="C450" t="s">
        <v>642</v>
      </c>
      <c r="D450" s="48">
        <v>52963</v>
      </c>
      <c r="E450">
        <v>0</v>
      </c>
    </row>
    <row r="451" spans="1:5" x14ac:dyDescent="0.2">
      <c r="A451" t="s">
        <v>69</v>
      </c>
      <c r="B451" t="s">
        <v>128</v>
      </c>
      <c r="C451" t="s">
        <v>643</v>
      </c>
      <c r="D451" s="48">
        <v>52963</v>
      </c>
      <c r="E451">
        <v>0</v>
      </c>
    </row>
    <row r="452" spans="1:5" x14ac:dyDescent="0.2">
      <c r="A452" t="s">
        <v>70</v>
      </c>
      <c r="B452" t="s">
        <v>128</v>
      </c>
      <c r="C452" t="s">
        <v>639</v>
      </c>
      <c r="D452" s="48">
        <v>52963</v>
      </c>
      <c r="E452">
        <v>0</v>
      </c>
    </row>
    <row r="453" spans="1:5" x14ac:dyDescent="0.2">
      <c r="A453" t="s">
        <v>70</v>
      </c>
      <c r="B453" t="s">
        <v>128</v>
      </c>
      <c r="C453" t="s">
        <v>640</v>
      </c>
      <c r="D453" s="48">
        <v>52963</v>
      </c>
      <c r="E453">
        <v>0</v>
      </c>
    </row>
    <row r="454" spans="1:5" x14ac:dyDescent="0.2">
      <c r="A454" t="s">
        <v>70</v>
      </c>
      <c r="B454" t="s">
        <v>128</v>
      </c>
      <c r="C454" t="s">
        <v>145</v>
      </c>
      <c r="D454" s="48">
        <v>52963</v>
      </c>
      <c r="E454">
        <v>0</v>
      </c>
    </row>
    <row r="455" spans="1:5" x14ac:dyDescent="0.2">
      <c r="A455" t="s">
        <v>70</v>
      </c>
      <c r="B455" t="s">
        <v>128</v>
      </c>
      <c r="C455" t="s">
        <v>641</v>
      </c>
      <c r="D455" s="48">
        <v>52963</v>
      </c>
      <c r="E455">
        <v>0</v>
      </c>
    </row>
    <row r="456" spans="1:5" x14ac:dyDescent="0.2">
      <c r="A456" t="s">
        <v>70</v>
      </c>
      <c r="B456" t="s">
        <v>128</v>
      </c>
      <c r="C456" t="s">
        <v>642</v>
      </c>
      <c r="D456" s="48">
        <v>52963</v>
      </c>
      <c r="E456">
        <v>0</v>
      </c>
    </row>
    <row r="457" spans="1:5" x14ac:dyDescent="0.2">
      <c r="A457" t="s">
        <v>70</v>
      </c>
      <c r="B457" t="s">
        <v>128</v>
      </c>
      <c r="C457" t="s">
        <v>643</v>
      </c>
      <c r="D457" s="48">
        <v>52963</v>
      </c>
      <c r="E457">
        <v>0</v>
      </c>
    </row>
    <row r="458" spans="1:5" x14ac:dyDescent="0.2">
      <c r="A458" t="s">
        <v>659</v>
      </c>
      <c r="B458" t="s">
        <v>142</v>
      </c>
      <c r="C458" t="s">
        <v>639</v>
      </c>
      <c r="D458" s="48">
        <v>52963</v>
      </c>
      <c r="E458">
        <v>0</v>
      </c>
    </row>
    <row r="459" spans="1:5" x14ac:dyDescent="0.2">
      <c r="A459" t="s">
        <v>659</v>
      </c>
      <c r="B459" t="s">
        <v>142</v>
      </c>
      <c r="C459" t="s">
        <v>640</v>
      </c>
      <c r="D459" s="48">
        <v>52963</v>
      </c>
      <c r="E459">
        <v>0</v>
      </c>
    </row>
    <row r="460" spans="1:5" x14ac:dyDescent="0.2">
      <c r="A460" t="s">
        <v>659</v>
      </c>
      <c r="B460" t="s">
        <v>142</v>
      </c>
      <c r="C460" t="s">
        <v>145</v>
      </c>
      <c r="D460" s="48">
        <v>52963</v>
      </c>
      <c r="E460">
        <v>0</v>
      </c>
    </row>
    <row r="461" spans="1:5" x14ac:dyDescent="0.2">
      <c r="A461" t="s">
        <v>659</v>
      </c>
      <c r="B461" t="s">
        <v>142</v>
      </c>
      <c r="C461" t="s">
        <v>641</v>
      </c>
      <c r="D461" s="48">
        <v>52963</v>
      </c>
      <c r="E461">
        <v>0</v>
      </c>
    </row>
    <row r="462" spans="1:5" x14ac:dyDescent="0.2">
      <c r="A462" t="s">
        <v>659</v>
      </c>
      <c r="B462" t="s">
        <v>142</v>
      </c>
      <c r="C462" t="s">
        <v>642</v>
      </c>
      <c r="D462" s="48">
        <v>52963</v>
      </c>
      <c r="E462">
        <v>0</v>
      </c>
    </row>
    <row r="463" spans="1:5" x14ac:dyDescent="0.2">
      <c r="A463" t="s">
        <v>659</v>
      </c>
      <c r="B463" t="s">
        <v>142</v>
      </c>
      <c r="C463" t="s">
        <v>643</v>
      </c>
      <c r="D463" s="48">
        <v>52963</v>
      </c>
      <c r="E463">
        <v>0</v>
      </c>
    </row>
    <row r="464" spans="1:5" x14ac:dyDescent="0.2">
      <c r="A464" t="s">
        <v>71</v>
      </c>
      <c r="B464" t="s">
        <v>142</v>
      </c>
      <c r="C464" t="s">
        <v>639</v>
      </c>
      <c r="D464" s="48">
        <v>52963</v>
      </c>
      <c r="E464">
        <v>0</v>
      </c>
    </row>
    <row r="465" spans="1:5" x14ac:dyDescent="0.2">
      <c r="A465" t="s">
        <v>71</v>
      </c>
      <c r="B465" t="s">
        <v>142</v>
      </c>
      <c r="C465" t="s">
        <v>640</v>
      </c>
      <c r="D465" s="48">
        <v>52963</v>
      </c>
      <c r="E465">
        <v>6782208.1868498325</v>
      </c>
    </row>
    <row r="466" spans="1:5" x14ac:dyDescent="0.2">
      <c r="A466" t="s">
        <v>71</v>
      </c>
      <c r="B466" t="s">
        <v>142</v>
      </c>
      <c r="C466" t="s">
        <v>145</v>
      </c>
      <c r="D466" s="48">
        <v>52963</v>
      </c>
      <c r="E466">
        <v>0</v>
      </c>
    </row>
    <row r="467" spans="1:5" x14ac:dyDescent="0.2">
      <c r="A467" t="s">
        <v>71</v>
      </c>
      <c r="B467" t="s">
        <v>142</v>
      </c>
      <c r="C467" t="s">
        <v>641</v>
      </c>
      <c r="D467" s="48">
        <v>52963</v>
      </c>
      <c r="E467">
        <v>0</v>
      </c>
    </row>
    <row r="468" spans="1:5" x14ac:dyDescent="0.2">
      <c r="A468" t="s">
        <v>71</v>
      </c>
      <c r="B468" t="s">
        <v>142</v>
      </c>
      <c r="C468" t="s">
        <v>642</v>
      </c>
      <c r="D468" s="48">
        <v>52963</v>
      </c>
      <c r="E468">
        <v>0</v>
      </c>
    </row>
    <row r="469" spans="1:5" x14ac:dyDescent="0.2">
      <c r="A469" t="s">
        <v>71</v>
      </c>
      <c r="B469" t="s">
        <v>142</v>
      </c>
      <c r="C469" t="s">
        <v>643</v>
      </c>
      <c r="D469" s="48">
        <v>52963</v>
      </c>
      <c r="E469">
        <v>0</v>
      </c>
    </row>
    <row r="470" spans="1:5" x14ac:dyDescent="0.2">
      <c r="A470" t="s">
        <v>72</v>
      </c>
      <c r="B470" t="s">
        <v>142</v>
      </c>
      <c r="C470" t="s">
        <v>639</v>
      </c>
      <c r="D470" s="48">
        <v>52963</v>
      </c>
      <c r="E470">
        <v>0</v>
      </c>
    </row>
    <row r="471" spans="1:5" x14ac:dyDescent="0.2">
      <c r="A471" t="s">
        <v>72</v>
      </c>
      <c r="B471" t="s">
        <v>142</v>
      </c>
      <c r="C471" t="s">
        <v>640</v>
      </c>
      <c r="D471" s="48">
        <v>52963</v>
      </c>
      <c r="E471">
        <v>0</v>
      </c>
    </row>
    <row r="472" spans="1:5" x14ac:dyDescent="0.2">
      <c r="A472" t="s">
        <v>72</v>
      </c>
      <c r="B472" t="s">
        <v>142</v>
      </c>
      <c r="C472" t="s">
        <v>145</v>
      </c>
      <c r="D472" s="48">
        <v>52963</v>
      </c>
      <c r="E472">
        <v>0</v>
      </c>
    </row>
    <row r="473" spans="1:5" x14ac:dyDescent="0.2">
      <c r="A473" t="s">
        <v>72</v>
      </c>
      <c r="B473" t="s">
        <v>142</v>
      </c>
      <c r="C473" t="s">
        <v>641</v>
      </c>
      <c r="D473" s="48">
        <v>52963</v>
      </c>
      <c r="E473">
        <v>0</v>
      </c>
    </row>
    <row r="474" spans="1:5" x14ac:dyDescent="0.2">
      <c r="A474" t="s">
        <v>72</v>
      </c>
      <c r="B474" t="s">
        <v>142</v>
      </c>
      <c r="C474" t="s">
        <v>642</v>
      </c>
      <c r="D474" s="48">
        <v>52963</v>
      </c>
      <c r="E474">
        <v>0</v>
      </c>
    </row>
    <row r="475" spans="1:5" x14ac:dyDescent="0.2">
      <c r="A475" t="s">
        <v>72</v>
      </c>
      <c r="B475" t="s">
        <v>142</v>
      </c>
      <c r="C475" t="s">
        <v>643</v>
      </c>
      <c r="D475" s="48">
        <v>52963</v>
      </c>
      <c r="E475">
        <v>0</v>
      </c>
    </row>
    <row r="476" spans="1:5" x14ac:dyDescent="0.2">
      <c r="A476" t="s">
        <v>660</v>
      </c>
      <c r="B476" t="s">
        <v>142</v>
      </c>
      <c r="C476" t="s">
        <v>639</v>
      </c>
      <c r="D476" s="48">
        <v>52963</v>
      </c>
      <c r="E476">
        <v>0</v>
      </c>
    </row>
    <row r="477" spans="1:5" x14ac:dyDescent="0.2">
      <c r="A477" t="s">
        <v>660</v>
      </c>
      <c r="B477" t="s">
        <v>142</v>
      </c>
      <c r="C477" t="s">
        <v>640</v>
      </c>
      <c r="D477" s="48">
        <v>52963</v>
      </c>
      <c r="E477">
        <v>0</v>
      </c>
    </row>
    <row r="478" spans="1:5" x14ac:dyDescent="0.2">
      <c r="A478" t="s">
        <v>660</v>
      </c>
      <c r="B478" t="s">
        <v>142</v>
      </c>
      <c r="C478" t="s">
        <v>145</v>
      </c>
      <c r="D478" s="48">
        <v>52963</v>
      </c>
      <c r="E478">
        <v>0</v>
      </c>
    </row>
    <row r="479" spans="1:5" x14ac:dyDescent="0.2">
      <c r="A479" t="s">
        <v>660</v>
      </c>
      <c r="B479" t="s">
        <v>142</v>
      </c>
      <c r="C479" t="s">
        <v>641</v>
      </c>
      <c r="D479" s="48">
        <v>52963</v>
      </c>
      <c r="E479">
        <v>0</v>
      </c>
    </row>
    <row r="480" spans="1:5" x14ac:dyDescent="0.2">
      <c r="A480" t="s">
        <v>660</v>
      </c>
      <c r="B480" t="s">
        <v>142</v>
      </c>
      <c r="C480" t="s">
        <v>642</v>
      </c>
      <c r="D480" s="48">
        <v>52963</v>
      </c>
      <c r="E480">
        <v>0</v>
      </c>
    </row>
    <row r="481" spans="1:5" x14ac:dyDescent="0.2">
      <c r="A481" t="s">
        <v>660</v>
      </c>
      <c r="B481" t="s">
        <v>142</v>
      </c>
      <c r="C481" t="s">
        <v>643</v>
      </c>
      <c r="D481" s="48">
        <v>52963</v>
      </c>
      <c r="E481">
        <v>0</v>
      </c>
    </row>
    <row r="482" spans="1:5" x14ac:dyDescent="0.2">
      <c r="A482" t="s">
        <v>661</v>
      </c>
      <c r="B482" t="s">
        <v>142</v>
      </c>
      <c r="C482" t="s">
        <v>639</v>
      </c>
      <c r="D482" s="48">
        <v>52963</v>
      </c>
      <c r="E482">
        <v>0</v>
      </c>
    </row>
    <row r="483" spans="1:5" x14ac:dyDescent="0.2">
      <c r="A483" t="s">
        <v>661</v>
      </c>
      <c r="B483" t="s">
        <v>142</v>
      </c>
      <c r="C483" t="s">
        <v>640</v>
      </c>
      <c r="D483" s="48">
        <v>52963</v>
      </c>
      <c r="E483">
        <v>0</v>
      </c>
    </row>
    <row r="484" spans="1:5" x14ac:dyDescent="0.2">
      <c r="A484" t="s">
        <v>661</v>
      </c>
      <c r="B484" t="s">
        <v>142</v>
      </c>
      <c r="C484" t="s">
        <v>145</v>
      </c>
      <c r="D484" s="48">
        <v>52963</v>
      </c>
      <c r="E484">
        <v>0</v>
      </c>
    </row>
    <row r="485" spans="1:5" x14ac:dyDescent="0.2">
      <c r="A485" t="s">
        <v>661</v>
      </c>
      <c r="B485" t="s">
        <v>142</v>
      </c>
      <c r="C485" t="s">
        <v>641</v>
      </c>
      <c r="D485" s="48">
        <v>52963</v>
      </c>
      <c r="E485">
        <v>0</v>
      </c>
    </row>
    <row r="486" spans="1:5" x14ac:dyDescent="0.2">
      <c r="A486" t="s">
        <v>661</v>
      </c>
      <c r="B486" t="s">
        <v>142</v>
      </c>
      <c r="C486" t="s">
        <v>642</v>
      </c>
      <c r="D486" s="48">
        <v>52963</v>
      </c>
      <c r="E486">
        <v>0</v>
      </c>
    </row>
    <row r="487" spans="1:5" x14ac:dyDescent="0.2">
      <c r="A487" t="s">
        <v>661</v>
      </c>
      <c r="B487" t="s">
        <v>142</v>
      </c>
      <c r="C487" t="s">
        <v>643</v>
      </c>
      <c r="D487" s="48">
        <v>52963</v>
      </c>
      <c r="E487">
        <v>0</v>
      </c>
    </row>
    <row r="488" spans="1:5" x14ac:dyDescent="0.2">
      <c r="A488" t="s">
        <v>662</v>
      </c>
      <c r="B488" t="s">
        <v>142</v>
      </c>
      <c r="C488" t="s">
        <v>639</v>
      </c>
      <c r="D488" s="48">
        <v>52963</v>
      </c>
      <c r="E488">
        <v>0</v>
      </c>
    </row>
    <row r="489" spans="1:5" x14ac:dyDescent="0.2">
      <c r="A489" t="s">
        <v>662</v>
      </c>
      <c r="B489" t="s">
        <v>142</v>
      </c>
      <c r="C489" t="s">
        <v>640</v>
      </c>
      <c r="D489" s="48">
        <v>52963</v>
      </c>
      <c r="E489">
        <v>0</v>
      </c>
    </row>
    <row r="490" spans="1:5" x14ac:dyDescent="0.2">
      <c r="A490" t="s">
        <v>662</v>
      </c>
      <c r="B490" t="s">
        <v>142</v>
      </c>
      <c r="C490" t="s">
        <v>145</v>
      </c>
      <c r="D490" s="48">
        <v>52963</v>
      </c>
      <c r="E490">
        <v>0</v>
      </c>
    </row>
    <row r="491" spans="1:5" x14ac:dyDescent="0.2">
      <c r="A491" t="s">
        <v>662</v>
      </c>
      <c r="B491" t="s">
        <v>142</v>
      </c>
      <c r="C491" t="s">
        <v>641</v>
      </c>
      <c r="D491" s="48">
        <v>52963</v>
      </c>
      <c r="E491">
        <v>0</v>
      </c>
    </row>
    <row r="492" spans="1:5" x14ac:dyDescent="0.2">
      <c r="A492" t="s">
        <v>662</v>
      </c>
      <c r="B492" t="s">
        <v>142</v>
      </c>
      <c r="C492" t="s">
        <v>642</v>
      </c>
      <c r="D492" s="48">
        <v>52963</v>
      </c>
      <c r="E492">
        <v>0</v>
      </c>
    </row>
    <row r="493" spans="1:5" x14ac:dyDescent="0.2">
      <c r="A493" t="s">
        <v>662</v>
      </c>
      <c r="B493" t="s">
        <v>142</v>
      </c>
      <c r="C493" t="s">
        <v>643</v>
      </c>
      <c r="D493" s="48">
        <v>52963</v>
      </c>
      <c r="E493">
        <v>35225477.867459908</v>
      </c>
    </row>
    <row r="494" spans="1:5" x14ac:dyDescent="0.2">
      <c r="A494" t="s">
        <v>73</v>
      </c>
      <c r="B494" t="s">
        <v>142</v>
      </c>
      <c r="C494" t="s">
        <v>639</v>
      </c>
      <c r="D494" s="48">
        <v>52963</v>
      </c>
      <c r="E494">
        <v>0</v>
      </c>
    </row>
    <row r="495" spans="1:5" x14ac:dyDescent="0.2">
      <c r="A495" t="s">
        <v>73</v>
      </c>
      <c r="B495" t="s">
        <v>142</v>
      </c>
      <c r="C495" t="s">
        <v>640</v>
      </c>
      <c r="D495" s="48">
        <v>52963</v>
      </c>
      <c r="E495">
        <v>0</v>
      </c>
    </row>
    <row r="496" spans="1:5" x14ac:dyDescent="0.2">
      <c r="A496" t="s">
        <v>73</v>
      </c>
      <c r="B496" t="s">
        <v>142</v>
      </c>
      <c r="C496" t="s">
        <v>145</v>
      </c>
      <c r="D496" s="48">
        <v>52963</v>
      </c>
      <c r="E496">
        <v>0</v>
      </c>
    </row>
    <row r="497" spans="1:5" x14ac:dyDescent="0.2">
      <c r="A497" t="s">
        <v>73</v>
      </c>
      <c r="B497" t="s">
        <v>142</v>
      </c>
      <c r="C497" t="s">
        <v>641</v>
      </c>
      <c r="D497" s="48">
        <v>52963</v>
      </c>
      <c r="E497">
        <v>0</v>
      </c>
    </row>
    <row r="498" spans="1:5" x14ac:dyDescent="0.2">
      <c r="A498" t="s">
        <v>73</v>
      </c>
      <c r="B498" t="s">
        <v>142</v>
      </c>
      <c r="C498" t="s">
        <v>642</v>
      </c>
      <c r="D498" s="48">
        <v>52963</v>
      </c>
      <c r="E498">
        <v>0</v>
      </c>
    </row>
    <row r="499" spans="1:5" x14ac:dyDescent="0.2">
      <c r="A499" t="s">
        <v>73</v>
      </c>
      <c r="B499" t="s">
        <v>142</v>
      </c>
      <c r="C499" t="s">
        <v>643</v>
      </c>
      <c r="D499" s="48">
        <v>52963</v>
      </c>
      <c r="E499">
        <v>0</v>
      </c>
    </row>
    <row r="500" spans="1:5" x14ac:dyDescent="0.2">
      <c r="A500" t="s">
        <v>663</v>
      </c>
      <c r="B500" t="s">
        <v>142</v>
      </c>
      <c r="C500" t="s">
        <v>639</v>
      </c>
      <c r="D500" s="48">
        <v>52963</v>
      </c>
      <c r="E500">
        <v>0</v>
      </c>
    </row>
    <row r="501" spans="1:5" x14ac:dyDescent="0.2">
      <c r="A501" t="s">
        <v>663</v>
      </c>
      <c r="B501" t="s">
        <v>142</v>
      </c>
      <c r="C501" t="s">
        <v>640</v>
      </c>
      <c r="D501" s="48">
        <v>52963</v>
      </c>
      <c r="E501">
        <v>0</v>
      </c>
    </row>
    <row r="502" spans="1:5" x14ac:dyDescent="0.2">
      <c r="A502" t="s">
        <v>663</v>
      </c>
      <c r="B502" t="s">
        <v>142</v>
      </c>
      <c r="C502" t="s">
        <v>145</v>
      </c>
      <c r="D502" s="48">
        <v>52963</v>
      </c>
      <c r="E502">
        <v>0</v>
      </c>
    </row>
    <row r="503" spans="1:5" x14ac:dyDescent="0.2">
      <c r="A503" t="s">
        <v>663</v>
      </c>
      <c r="B503" t="s">
        <v>142</v>
      </c>
      <c r="C503" t="s">
        <v>641</v>
      </c>
      <c r="D503" s="48">
        <v>52963</v>
      </c>
      <c r="E503">
        <v>0</v>
      </c>
    </row>
    <row r="504" spans="1:5" x14ac:dyDescent="0.2">
      <c r="A504" t="s">
        <v>663</v>
      </c>
      <c r="B504" t="s">
        <v>142</v>
      </c>
      <c r="C504" t="s">
        <v>642</v>
      </c>
      <c r="D504" s="48">
        <v>52963</v>
      </c>
      <c r="E504">
        <v>0</v>
      </c>
    </row>
    <row r="505" spans="1:5" x14ac:dyDescent="0.2">
      <c r="A505" t="s">
        <v>663</v>
      </c>
      <c r="B505" t="s">
        <v>142</v>
      </c>
      <c r="C505" t="s">
        <v>643</v>
      </c>
      <c r="D505" s="48">
        <v>52963</v>
      </c>
      <c r="E505">
        <v>0</v>
      </c>
    </row>
    <row r="506" spans="1:5" x14ac:dyDescent="0.2">
      <c r="A506" t="s">
        <v>664</v>
      </c>
      <c r="B506" t="s">
        <v>142</v>
      </c>
      <c r="C506" t="s">
        <v>639</v>
      </c>
      <c r="D506" s="48">
        <v>52963</v>
      </c>
      <c r="E506">
        <v>0</v>
      </c>
    </row>
    <row r="507" spans="1:5" x14ac:dyDescent="0.2">
      <c r="A507" t="s">
        <v>664</v>
      </c>
      <c r="B507" t="s">
        <v>142</v>
      </c>
      <c r="C507" t="s">
        <v>640</v>
      </c>
      <c r="D507" s="48">
        <v>52963</v>
      </c>
      <c r="E507">
        <v>0</v>
      </c>
    </row>
    <row r="508" spans="1:5" x14ac:dyDescent="0.2">
      <c r="A508" t="s">
        <v>664</v>
      </c>
      <c r="B508" t="s">
        <v>142</v>
      </c>
      <c r="C508" t="s">
        <v>145</v>
      </c>
      <c r="D508" s="48">
        <v>52963</v>
      </c>
      <c r="E508">
        <v>0</v>
      </c>
    </row>
    <row r="509" spans="1:5" x14ac:dyDescent="0.2">
      <c r="A509" t="s">
        <v>664</v>
      </c>
      <c r="B509" t="s">
        <v>142</v>
      </c>
      <c r="C509" t="s">
        <v>641</v>
      </c>
      <c r="D509" s="48">
        <v>52963</v>
      </c>
      <c r="E509">
        <v>0</v>
      </c>
    </row>
    <row r="510" spans="1:5" x14ac:dyDescent="0.2">
      <c r="A510" t="s">
        <v>664</v>
      </c>
      <c r="B510" t="s">
        <v>142</v>
      </c>
      <c r="C510" t="s">
        <v>642</v>
      </c>
      <c r="D510" s="48">
        <v>52963</v>
      </c>
      <c r="E510">
        <v>0</v>
      </c>
    </row>
    <row r="511" spans="1:5" x14ac:dyDescent="0.2">
      <c r="A511" t="s">
        <v>664</v>
      </c>
      <c r="B511" t="s">
        <v>142</v>
      </c>
      <c r="C511" t="s">
        <v>643</v>
      </c>
      <c r="D511" s="48">
        <v>52963</v>
      </c>
      <c r="E511">
        <v>0</v>
      </c>
    </row>
    <row r="512" spans="1:5" x14ac:dyDescent="0.2">
      <c r="A512" t="s">
        <v>74</v>
      </c>
      <c r="B512" t="s">
        <v>142</v>
      </c>
      <c r="C512" t="s">
        <v>639</v>
      </c>
      <c r="D512" s="48">
        <v>52963</v>
      </c>
      <c r="E512">
        <v>0</v>
      </c>
    </row>
    <row r="513" spans="1:5" x14ac:dyDescent="0.2">
      <c r="A513" t="s">
        <v>74</v>
      </c>
      <c r="B513" t="s">
        <v>142</v>
      </c>
      <c r="C513" t="s">
        <v>640</v>
      </c>
      <c r="D513" s="48">
        <v>52963</v>
      </c>
      <c r="E513">
        <v>0</v>
      </c>
    </row>
    <row r="514" spans="1:5" x14ac:dyDescent="0.2">
      <c r="A514" t="s">
        <v>74</v>
      </c>
      <c r="B514" t="s">
        <v>142</v>
      </c>
      <c r="C514" t="s">
        <v>145</v>
      </c>
      <c r="D514" s="48">
        <v>52963</v>
      </c>
      <c r="E514">
        <v>0</v>
      </c>
    </row>
    <row r="515" spans="1:5" x14ac:dyDescent="0.2">
      <c r="A515" t="s">
        <v>74</v>
      </c>
      <c r="B515" t="s">
        <v>142</v>
      </c>
      <c r="C515" t="s">
        <v>641</v>
      </c>
      <c r="D515" s="48">
        <v>52963</v>
      </c>
      <c r="E515">
        <v>0</v>
      </c>
    </row>
    <row r="516" spans="1:5" x14ac:dyDescent="0.2">
      <c r="A516" t="s">
        <v>74</v>
      </c>
      <c r="B516" t="s">
        <v>142</v>
      </c>
      <c r="C516" t="s">
        <v>642</v>
      </c>
      <c r="D516" s="48">
        <v>52963</v>
      </c>
      <c r="E516">
        <v>0</v>
      </c>
    </row>
    <row r="517" spans="1:5" x14ac:dyDescent="0.2">
      <c r="A517" t="s">
        <v>74</v>
      </c>
      <c r="B517" t="s">
        <v>142</v>
      </c>
      <c r="C517" t="s">
        <v>643</v>
      </c>
      <c r="D517" s="48">
        <v>52963</v>
      </c>
      <c r="E517">
        <v>0</v>
      </c>
    </row>
    <row r="518" spans="1:5" x14ac:dyDescent="0.2">
      <c r="A518" t="s">
        <v>665</v>
      </c>
      <c r="B518" t="s">
        <v>142</v>
      </c>
      <c r="C518" t="s">
        <v>639</v>
      </c>
      <c r="D518" s="48">
        <v>52963</v>
      </c>
      <c r="E518">
        <v>0</v>
      </c>
    </row>
    <row r="519" spans="1:5" x14ac:dyDescent="0.2">
      <c r="A519" t="s">
        <v>665</v>
      </c>
      <c r="B519" t="s">
        <v>142</v>
      </c>
      <c r="C519" t="s">
        <v>640</v>
      </c>
      <c r="D519" s="48">
        <v>52963</v>
      </c>
      <c r="E519">
        <v>0</v>
      </c>
    </row>
    <row r="520" spans="1:5" x14ac:dyDescent="0.2">
      <c r="A520" t="s">
        <v>665</v>
      </c>
      <c r="B520" t="s">
        <v>142</v>
      </c>
      <c r="C520" t="s">
        <v>145</v>
      </c>
      <c r="D520" s="48">
        <v>52963</v>
      </c>
      <c r="E520">
        <v>0</v>
      </c>
    </row>
    <row r="521" spans="1:5" x14ac:dyDescent="0.2">
      <c r="A521" t="s">
        <v>665</v>
      </c>
      <c r="B521" t="s">
        <v>142</v>
      </c>
      <c r="C521" t="s">
        <v>641</v>
      </c>
      <c r="D521" s="48">
        <v>52963</v>
      </c>
      <c r="E521">
        <v>0</v>
      </c>
    </row>
    <row r="522" spans="1:5" x14ac:dyDescent="0.2">
      <c r="A522" t="s">
        <v>665</v>
      </c>
      <c r="B522" t="s">
        <v>142</v>
      </c>
      <c r="C522" t="s">
        <v>642</v>
      </c>
      <c r="D522" s="48">
        <v>52963</v>
      </c>
      <c r="E522">
        <v>0</v>
      </c>
    </row>
    <row r="523" spans="1:5" x14ac:dyDescent="0.2">
      <c r="A523" t="s">
        <v>665</v>
      </c>
      <c r="B523" t="s">
        <v>142</v>
      </c>
      <c r="C523" t="s">
        <v>643</v>
      </c>
      <c r="D523" s="48">
        <v>52963</v>
      </c>
      <c r="E523">
        <v>0</v>
      </c>
    </row>
    <row r="524" spans="1:5" x14ac:dyDescent="0.2">
      <c r="A524" t="s">
        <v>666</v>
      </c>
      <c r="B524" t="s">
        <v>142</v>
      </c>
      <c r="C524" t="s">
        <v>639</v>
      </c>
      <c r="D524" s="48">
        <v>52963</v>
      </c>
      <c r="E524">
        <v>0</v>
      </c>
    </row>
    <row r="525" spans="1:5" x14ac:dyDescent="0.2">
      <c r="A525" t="s">
        <v>666</v>
      </c>
      <c r="B525" t="s">
        <v>142</v>
      </c>
      <c r="C525" t="s">
        <v>640</v>
      </c>
      <c r="D525" s="48">
        <v>52963</v>
      </c>
      <c r="E525">
        <v>0</v>
      </c>
    </row>
    <row r="526" spans="1:5" x14ac:dyDescent="0.2">
      <c r="A526" t="s">
        <v>666</v>
      </c>
      <c r="B526" t="s">
        <v>142</v>
      </c>
      <c r="C526" t="s">
        <v>145</v>
      </c>
      <c r="D526" s="48">
        <v>52963</v>
      </c>
      <c r="E526">
        <v>0</v>
      </c>
    </row>
    <row r="527" spans="1:5" x14ac:dyDescent="0.2">
      <c r="A527" t="s">
        <v>666</v>
      </c>
      <c r="B527" t="s">
        <v>142</v>
      </c>
      <c r="C527" t="s">
        <v>641</v>
      </c>
      <c r="D527" s="48">
        <v>52963</v>
      </c>
      <c r="E527">
        <v>0</v>
      </c>
    </row>
    <row r="528" spans="1:5" x14ac:dyDescent="0.2">
      <c r="A528" t="s">
        <v>666</v>
      </c>
      <c r="B528" t="s">
        <v>142</v>
      </c>
      <c r="C528" t="s">
        <v>642</v>
      </c>
      <c r="D528" s="48">
        <v>52963</v>
      </c>
      <c r="E528">
        <v>0</v>
      </c>
    </row>
    <row r="529" spans="1:5" x14ac:dyDescent="0.2">
      <c r="A529" t="s">
        <v>666</v>
      </c>
      <c r="B529" t="s">
        <v>142</v>
      </c>
      <c r="C529" t="s">
        <v>643</v>
      </c>
      <c r="D529" s="48">
        <v>52963</v>
      </c>
      <c r="E529">
        <v>0</v>
      </c>
    </row>
    <row r="530" spans="1:5" x14ac:dyDescent="0.2">
      <c r="A530" t="s">
        <v>75</v>
      </c>
      <c r="B530" t="s">
        <v>128</v>
      </c>
      <c r="C530" t="s">
        <v>639</v>
      </c>
      <c r="D530" s="48">
        <v>52963</v>
      </c>
      <c r="E530">
        <v>0</v>
      </c>
    </row>
    <row r="531" spans="1:5" x14ac:dyDescent="0.2">
      <c r="A531" t="s">
        <v>75</v>
      </c>
      <c r="B531" t="s">
        <v>128</v>
      </c>
      <c r="C531" t="s">
        <v>640</v>
      </c>
      <c r="D531" s="48">
        <v>52963</v>
      </c>
      <c r="E531">
        <v>0</v>
      </c>
    </row>
    <row r="532" spans="1:5" x14ac:dyDescent="0.2">
      <c r="A532" t="s">
        <v>75</v>
      </c>
      <c r="B532" t="s">
        <v>128</v>
      </c>
      <c r="C532" t="s">
        <v>145</v>
      </c>
      <c r="D532" s="48">
        <v>52963</v>
      </c>
      <c r="E532">
        <v>0</v>
      </c>
    </row>
    <row r="533" spans="1:5" x14ac:dyDescent="0.2">
      <c r="A533" t="s">
        <v>75</v>
      </c>
      <c r="B533" t="s">
        <v>128</v>
      </c>
      <c r="C533" t="s">
        <v>641</v>
      </c>
      <c r="D533" s="48">
        <v>52963</v>
      </c>
      <c r="E533">
        <v>0</v>
      </c>
    </row>
    <row r="534" spans="1:5" x14ac:dyDescent="0.2">
      <c r="A534" t="s">
        <v>75</v>
      </c>
      <c r="B534" t="s">
        <v>128</v>
      </c>
      <c r="C534" t="s">
        <v>642</v>
      </c>
      <c r="D534" s="48">
        <v>52963</v>
      </c>
      <c r="E534">
        <v>0</v>
      </c>
    </row>
    <row r="535" spans="1:5" x14ac:dyDescent="0.2">
      <c r="A535" t="s">
        <v>75</v>
      </c>
      <c r="B535" t="s">
        <v>128</v>
      </c>
      <c r="C535" t="s">
        <v>643</v>
      </c>
      <c r="D535" s="48">
        <v>52963</v>
      </c>
      <c r="E535">
        <v>0</v>
      </c>
    </row>
    <row r="536" spans="1:5" x14ac:dyDescent="0.2">
      <c r="A536" t="s">
        <v>76</v>
      </c>
      <c r="B536" t="s">
        <v>128</v>
      </c>
      <c r="C536" t="s">
        <v>639</v>
      </c>
      <c r="D536" s="48">
        <v>52963</v>
      </c>
      <c r="E536">
        <v>0</v>
      </c>
    </row>
    <row r="537" spans="1:5" x14ac:dyDescent="0.2">
      <c r="A537" t="s">
        <v>76</v>
      </c>
      <c r="B537" t="s">
        <v>128</v>
      </c>
      <c r="C537" t="s">
        <v>640</v>
      </c>
      <c r="D537" s="48">
        <v>52963</v>
      </c>
      <c r="E537">
        <v>0</v>
      </c>
    </row>
    <row r="538" spans="1:5" x14ac:dyDescent="0.2">
      <c r="A538" t="s">
        <v>76</v>
      </c>
      <c r="B538" t="s">
        <v>128</v>
      </c>
      <c r="C538" t="s">
        <v>145</v>
      </c>
      <c r="D538" s="48">
        <v>52963</v>
      </c>
      <c r="E538">
        <v>0</v>
      </c>
    </row>
    <row r="539" spans="1:5" x14ac:dyDescent="0.2">
      <c r="A539" t="s">
        <v>76</v>
      </c>
      <c r="B539" t="s">
        <v>128</v>
      </c>
      <c r="C539" t="s">
        <v>641</v>
      </c>
      <c r="D539" s="48">
        <v>52963</v>
      </c>
      <c r="E539">
        <v>0</v>
      </c>
    </row>
    <row r="540" spans="1:5" x14ac:dyDescent="0.2">
      <c r="A540" t="s">
        <v>76</v>
      </c>
      <c r="B540" t="s">
        <v>128</v>
      </c>
      <c r="C540" t="s">
        <v>642</v>
      </c>
      <c r="D540" s="48">
        <v>52963</v>
      </c>
      <c r="E540">
        <v>0</v>
      </c>
    </row>
    <row r="541" spans="1:5" x14ac:dyDescent="0.2">
      <c r="A541" t="s">
        <v>76</v>
      </c>
      <c r="B541" t="s">
        <v>128</v>
      </c>
      <c r="C541" t="s">
        <v>643</v>
      </c>
      <c r="D541" s="48">
        <v>52963</v>
      </c>
      <c r="E541">
        <v>0</v>
      </c>
    </row>
    <row r="542" spans="1:5" x14ac:dyDescent="0.2">
      <c r="A542" t="s">
        <v>77</v>
      </c>
      <c r="B542" t="s">
        <v>128</v>
      </c>
      <c r="C542" t="s">
        <v>639</v>
      </c>
      <c r="D542" s="48">
        <v>52963</v>
      </c>
      <c r="E542">
        <v>0</v>
      </c>
    </row>
    <row r="543" spans="1:5" x14ac:dyDescent="0.2">
      <c r="A543" t="s">
        <v>77</v>
      </c>
      <c r="B543" t="s">
        <v>128</v>
      </c>
      <c r="C543" t="s">
        <v>640</v>
      </c>
      <c r="D543" s="48">
        <v>52963</v>
      </c>
      <c r="E543">
        <v>0</v>
      </c>
    </row>
    <row r="544" spans="1:5" x14ac:dyDescent="0.2">
      <c r="A544" t="s">
        <v>77</v>
      </c>
      <c r="B544" t="s">
        <v>128</v>
      </c>
      <c r="C544" t="s">
        <v>145</v>
      </c>
      <c r="D544" s="48">
        <v>52963</v>
      </c>
      <c r="E544">
        <v>0</v>
      </c>
    </row>
    <row r="545" spans="1:5" x14ac:dyDescent="0.2">
      <c r="A545" t="s">
        <v>77</v>
      </c>
      <c r="B545" t="s">
        <v>128</v>
      </c>
      <c r="C545" t="s">
        <v>641</v>
      </c>
      <c r="D545" s="48">
        <v>52963</v>
      </c>
      <c r="E545">
        <v>0</v>
      </c>
    </row>
    <row r="546" spans="1:5" x14ac:dyDescent="0.2">
      <c r="A546" t="s">
        <v>77</v>
      </c>
      <c r="B546" t="s">
        <v>128</v>
      </c>
      <c r="C546" t="s">
        <v>642</v>
      </c>
      <c r="D546" s="48">
        <v>52963</v>
      </c>
      <c r="E546">
        <v>0</v>
      </c>
    </row>
    <row r="547" spans="1:5" x14ac:dyDescent="0.2">
      <c r="A547" t="s">
        <v>77</v>
      </c>
      <c r="B547" t="s">
        <v>128</v>
      </c>
      <c r="C547" t="s">
        <v>643</v>
      </c>
      <c r="D547" s="48">
        <v>52963</v>
      </c>
      <c r="E547">
        <v>0</v>
      </c>
    </row>
    <row r="548" spans="1:5" x14ac:dyDescent="0.2">
      <c r="A548" t="s">
        <v>78</v>
      </c>
      <c r="B548" t="s">
        <v>128</v>
      </c>
      <c r="C548" t="s">
        <v>639</v>
      </c>
      <c r="D548" s="48">
        <v>52963</v>
      </c>
      <c r="E548">
        <v>0</v>
      </c>
    </row>
    <row r="549" spans="1:5" x14ac:dyDescent="0.2">
      <c r="A549" t="s">
        <v>78</v>
      </c>
      <c r="B549" t="s">
        <v>128</v>
      </c>
      <c r="C549" t="s">
        <v>640</v>
      </c>
      <c r="D549" s="48">
        <v>52963</v>
      </c>
      <c r="E549">
        <v>0</v>
      </c>
    </row>
    <row r="550" spans="1:5" x14ac:dyDescent="0.2">
      <c r="A550" t="s">
        <v>78</v>
      </c>
      <c r="B550" t="s">
        <v>128</v>
      </c>
      <c r="C550" t="s">
        <v>145</v>
      </c>
      <c r="D550" s="48">
        <v>52963</v>
      </c>
      <c r="E550">
        <v>0</v>
      </c>
    </row>
    <row r="551" spans="1:5" x14ac:dyDescent="0.2">
      <c r="A551" t="s">
        <v>78</v>
      </c>
      <c r="B551" t="s">
        <v>128</v>
      </c>
      <c r="C551" t="s">
        <v>641</v>
      </c>
      <c r="D551" s="48">
        <v>52963</v>
      </c>
      <c r="E551">
        <v>0</v>
      </c>
    </row>
    <row r="552" spans="1:5" x14ac:dyDescent="0.2">
      <c r="A552" t="s">
        <v>78</v>
      </c>
      <c r="B552" t="s">
        <v>128</v>
      </c>
      <c r="C552" t="s">
        <v>642</v>
      </c>
      <c r="D552" s="48">
        <v>52963</v>
      </c>
      <c r="E552">
        <v>0</v>
      </c>
    </row>
    <row r="553" spans="1:5" x14ac:dyDescent="0.2">
      <c r="A553" t="s">
        <v>78</v>
      </c>
      <c r="B553" t="s">
        <v>128</v>
      </c>
      <c r="C553" t="s">
        <v>643</v>
      </c>
      <c r="D553" s="48">
        <v>52963</v>
      </c>
      <c r="E553">
        <v>0</v>
      </c>
    </row>
    <row r="554" spans="1:5" x14ac:dyDescent="0.2">
      <c r="A554" t="s">
        <v>79</v>
      </c>
      <c r="B554" t="s">
        <v>128</v>
      </c>
      <c r="C554" t="s">
        <v>639</v>
      </c>
      <c r="D554" s="48">
        <v>52963</v>
      </c>
      <c r="E554">
        <v>0</v>
      </c>
    </row>
    <row r="555" spans="1:5" x14ac:dyDescent="0.2">
      <c r="A555" t="s">
        <v>79</v>
      </c>
      <c r="B555" t="s">
        <v>128</v>
      </c>
      <c r="C555" t="s">
        <v>640</v>
      </c>
      <c r="D555" s="48">
        <v>52963</v>
      </c>
      <c r="E555">
        <v>0</v>
      </c>
    </row>
    <row r="556" spans="1:5" x14ac:dyDescent="0.2">
      <c r="A556" t="s">
        <v>79</v>
      </c>
      <c r="B556" t="s">
        <v>128</v>
      </c>
      <c r="C556" t="s">
        <v>145</v>
      </c>
      <c r="D556" s="48">
        <v>52963</v>
      </c>
      <c r="E556">
        <v>0</v>
      </c>
    </row>
    <row r="557" spans="1:5" x14ac:dyDescent="0.2">
      <c r="A557" t="s">
        <v>79</v>
      </c>
      <c r="B557" t="s">
        <v>128</v>
      </c>
      <c r="C557" t="s">
        <v>641</v>
      </c>
      <c r="D557" s="48">
        <v>52963</v>
      </c>
      <c r="E557">
        <v>0</v>
      </c>
    </row>
    <row r="558" spans="1:5" x14ac:dyDescent="0.2">
      <c r="A558" t="s">
        <v>79</v>
      </c>
      <c r="B558" t="s">
        <v>128</v>
      </c>
      <c r="C558" t="s">
        <v>642</v>
      </c>
      <c r="D558" s="48">
        <v>52963</v>
      </c>
      <c r="E558">
        <v>0</v>
      </c>
    </row>
    <row r="559" spans="1:5" x14ac:dyDescent="0.2">
      <c r="A559" t="s">
        <v>79</v>
      </c>
      <c r="B559" t="s">
        <v>128</v>
      </c>
      <c r="C559" t="s">
        <v>643</v>
      </c>
      <c r="D559" s="48">
        <v>52963</v>
      </c>
      <c r="E559">
        <v>0</v>
      </c>
    </row>
    <row r="560" spans="1:5" x14ac:dyDescent="0.2">
      <c r="A560" t="s">
        <v>80</v>
      </c>
      <c r="B560" t="s">
        <v>128</v>
      </c>
      <c r="C560" t="s">
        <v>639</v>
      </c>
      <c r="D560" s="48">
        <v>52963</v>
      </c>
      <c r="E560">
        <v>0</v>
      </c>
    </row>
    <row r="561" spans="1:5" x14ac:dyDescent="0.2">
      <c r="A561" t="s">
        <v>80</v>
      </c>
      <c r="B561" t="s">
        <v>128</v>
      </c>
      <c r="C561" t="s">
        <v>640</v>
      </c>
      <c r="D561" s="48">
        <v>52963</v>
      </c>
      <c r="E561">
        <v>0</v>
      </c>
    </row>
    <row r="562" spans="1:5" x14ac:dyDescent="0.2">
      <c r="A562" t="s">
        <v>80</v>
      </c>
      <c r="B562" t="s">
        <v>128</v>
      </c>
      <c r="C562" t="s">
        <v>145</v>
      </c>
      <c r="D562" s="48">
        <v>52963</v>
      </c>
      <c r="E562">
        <v>0</v>
      </c>
    </row>
    <row r="563" spans="1:5" x14ac:dyDescent="0.2">
      <c r="A563" t="s">
        <v>80</v>
      </c>
      <c r="B563" t="s">
        <v>128</v>
      </c>
      <c r="C563" t="s">
        <v>641</v>
      </c>
      <c r="D563" s="48">
        <v>52963</v>
      </c>
      <c r="E563">
        <v>0</v>
      </c>
    </row>
    <row r="564" spans="1:5" x14ac:dyDescent="0.2">
      <c r="A564" t="s">
        <v>80</v>
      </c>
      <c r="B564" t="s">
        <v>128</v>
      </c>
      <c r="C564" t="s">
        <v>642</v>
      </c>
      <c r="D564" s="48">
        <v>52963</v>
      </c>
      <c r="E564">
        <v>0</v>
      </c>
    </row>
    <row r="565" spans="1:5" x14ac:dyDescent="0.2">
      <c r="A565" t="s">
        <v>80</v>
      </c>
      <c r="B565" t="s">
        <v>128</v>
      </c>
      <c r="C565" t="s">
        <v>643</v>
      </c>
      <c r="D565" s="48">
        <v>52963</v>
      </c>
      <c r="E565">
        <v>0</v>
      </c>
    </row>
    <row r="566" spans="1:5" x14ac:dyDescent="0.2">
      <c r="A566" t="s">
        <v>667</v>
      </c>
      <c r="B566" t="s">
        <v>143</v>
      </c>
      <c r="C566" t="s">
        <v>639</v>
      </c>
      <c r="D566" s="48">
        <v>52963</v>
      </c>
      <c r="E566">
        <v>0</v>
      </c>
    </row>
    <row r="567" spans="1:5" x14ac:dyDescent="0.2">
      <c r="A567" t="s">
        <v>667</v>
      </c>
      <c r="B567" t="s">
        <v>143</v>
      </c>
      <c r="C567" t="s">
        <v>640</v>
      </c>
      <c r="D567" s="48">
        <v>52963</v>
      </c>
      <c r="E567">
        <v>0</v>
      </c>
    </row>
    <row r="568" spans="1:5" x14ac:dyDescent="0.2">
      <c r="A568" t="s">
        <v>667</v>
      </c>
      <c r="B568" t="s">
        <v>143</v>
      </c>
      <c r="C568" t="s">
        <v>145</v>
      </c>
      <c r="D568" s="48">
        <v>52963</v>
      </c>
      <c r="E568">
        <v>0</v>
      </c>
    </row>
    <row r="569" spans="1:5" x14ac:dyDescent="0.2">
      <c r="A569" t="s">
        <v>667</v>
      </c>
      <c r="B569" t="s">
        <v>143</v>
      </c>
      <c r="C569" t="s">
        <v>641</v>
      </c>
      <c r="D569" s="48">
        <v>52963</v>
      </c>
      <c r="E569">
        <v>0</v>
      </c>
    </row>
    <row r="570" spans="1:5" x14ac:dyDescent="0.2">
      <c r="A570" t="s">
        <v>667</v>
      </c>
      <c r="B570" t="s">
        <v>143</v>
      </c>
      <c r="C570" t="s">
        <v>642</v>
      </c>
      <c r="D570" s="48">
        <v>52963</v>
      </c>
      <c r="E570">
        <v>0</v>
      </c>
    </row>
    <row r="571" spans="1:5" x14ac:dyDescent="0.2">
      <c r="A571" t="s">
        <v>667</v>
      </c>
      <c r="B571" t="s">
        <v>143</v>
      </c>
      <c r="C571" t="s">
        <v>643</v>
      </c>
      <c r="D571" s="48">
        <v>52963</v>
      </c>
      <c r="E571">
        <v>0</v>
      </c>
    </row>
    <row r="572" spans="1:5" x14ac:dyDescent="0.2">
      <c r="A572" t="s">
        <v>668</v>
      </c>
      <c r="B572" t="s">
        <v>143</v>
      </c>
      <c r="C572" t="s">
        <v>639</v>
      </c>
      <c r="D572" s="48">
        <v>52963</v>
      </c>
      <c r="E572">
        <v>0</v>
      </c>
    </row>
    <row r="573" spans="1:5" x14ac:dyDescent="0.2">
      <c r="A573" t="s">
        <v>668</v>
      </c>
      <c r="B573" t="s">
        <v>143</v>
      </c>
      <c r="C573" t="s">
        <v>640</v>
      </c>
      <c r="D573" s="48">
        <v>52963</v>
      </c>
      <c r="E573">
        <v>0</v>
      </c>
    </row>
    <row r="574" spans="1:5" x14ac:dyDescent="0.2">
      <c r="A574" t="s">
        <v>668</v>
      </c>
      <c r="B574" t="s">
        <v>143</v>
      </c>
      <c r="C574" t="s">
        <v>145</v>
      </c>
      <c r="D574" s="48">
        <v>52963</v>
      </c>
      <c r="E574">
        <v>0</v>
      </c>
    </row>
    <row r="575" spans="1:5" x14ac:dyDescent="0.2">
      <c r="A575" t="s">
        <v>668</v>
      </c>
      <c r="B575" t="s">
        <v>143</v>
      </c>
      <c r="C575" t="s">
        <v>641</v>
      </c>
      <c r="D575" s="48">
        <v>52963</v>
      </c>
      <c r="E575">
        <v>0</v>
      </c>
    </row>
    <row r="576" spans="1:5" x14ac:dyDescent="0.2">
      <c r="A576" t="s">
        <v>668</v>
      </c>
      <c r="B576" t="s">
        <v>143</v>
      </c>
      <c r="C576" t="s">
        <v>642</v>
      </c>
      <c r="D576" s="48">
        <v>52963</v>
      </c>
      <c r="E576">
        <v>0</v>
      </c>
    </row>
    <row r="577" spans="1:5" x14ac:dyDescent="0.2">
      <c r="A577" t="s">
        <v>668</v>
      </c>
      <c r="B577" t="s">
        <v>143</v>
      </c>
      <c r="C577" t="s">
        <v>643</v>
      </c>
      <c r="D577" s="48">
        <v>52963</v>
      </c>
      <c r="E577">
        <v>0</v>
      </c>
    </row>
    <row r="578" spans="1:5" x14ac:dyDescent="0.2">
      <c r="A578" t="s">
        <v>81</v>
      </c>
      <c r="B578" t="s">
        <v>143</v>
      </c>
      <c r="C578" t="s">
        <v>639</v>
      </c>
      <c r="D578" s="48">
        <v>52963</v>
      </c>
      <c r="E578">
        <v>0</v>
      </c>
    </row>
    <row r="579" spans="1:5" x14ac:dyDescent="0.2">
      <c r="A579" t="s">
        <v>81</v>
      </c>
      <c r="B579" t="s">
        <v>143</v>
      </c>
      <c r="C579" t="s">
        <v>640</v>
      </c>
      <c r="D579" s="48">
        <v>52963</v>
      </c>
      <c r="E579">
        <v>0</v>
      </c>
    </row>
    <row r="580" spans="1:5" x14ac:dyDescent="0.2">
      <c r="A580" t="s">
        <v>81</v>
      </c>
      <c r="B580" t="s">
        <v>143</v>
      </c>
      <c r="C580" t="s">
        <v>145</v>
      </c>
      <c r="D580" s="48">
        <v>52963</v>
      </c>
      <c r="E580">
        <v>0</v>
      </c>
    </row>
    <row r="581" spans="1:5" x14ac:dyDescent="0.2">
      <c r="A581" t="s">
        <v>81</v>
      </c>
      <c r="B581" t="s">
        <v>143</v>
      </c>
      <c r="C581" t="s">
        <v>641</v>
      </c>
      <c r="D581" s="48">
        <v>52963</v>
      </c>
      <c r="E581">
        <v>502787603.39857543</v>
      </c>
    </row>
    <row r="582" spans="1:5" x14ac:dyDescent="0.2">
      <c r="A582" t="s">
        <v>81</v>
      </c>
      <c r="B582" t="s">
        <v>143</v>
      </c>
      <c r="C582" t="s">
        <v>642</v>
      </c>
      <c r="D582" s="48">
        <v>52963</v>
      </c>
      <c r="E582">
        <v>0</v>
      </c>
    </row>
    <row r="583" spans="1:5" x14ac:dyDescent="0.2">
      <c r="A583" t="s">
        <v>81</v>
      </c>
      <c r="B583" t="s">
        <v>143</v>
      </c>
      <c r="C583" t="s">
        <v>643</v>
      </c>
      <c r="D583" s="48">
        <v>52963</v>
      </c>
      <c r="E583">
        <v>0</v>
      </c>
    </row>
    <row r="584" spans="1:5" x14ac:dyDescent="0.2">
      <c r="A584" t="s">
        <v>82</v>
      </c>
      <c r="B584" t="s">
        <v>143</v>
      </c>
      <c r="C584" t="s">
        <v>639</v>
      </c>
      <c r="D584" s="48">
        <v>52963</v>
      </c>
      <c r="E584">
        <v>0</v>
      </c>
    </row>
    <row r="585" spans="1:5" x14ac:dyDescent="0.2">
      <c r="A585" t="s">
        <v>82</v>
      </c>
      <c r="B585" t="s">
        <v>143</v>
      </c>
      <c r="C585" t="s">
        <v>640</v>
      </c>
      <c r="D585" s="48">
        <v>52963</v>
      </c>
      <c r="E585">
        <v>0</v>
      </c>
    </row>
    <row r="586" spans="1:5" x14ac:dyDescent="0.2">
      <c r="A586" t="s">
        <v>82</v>
      </c>
      <c r="B586" t="s">
        <v>143</v>
      </c>
      <c r="C586" t="s">
        <v>145</v>
      </c>
      <c r="D586" s="48">
        <v>52963</v>
      </c>
      <c r="E586">
        <v>288808509.04014337</v>
      </c>
    </row>
    <row r="587" spans="1:5" x14ac:dyDescent="0.2">
      <c r="A587" t="s">
        <v>82</v>
      </c>
      <c r="B587" t="s">
        <v>143</v>
      </c>
      <c r="C587" t="s">
        <v>641</v>
      </c>
      <c r="D587" s="48">
        <v>52963</v>
      </c>
      <c r="E587">
        <v>0</v>
      </c>
    </row>
    <row r="588" spans="1:5" x14ac:dyDescent="0.2">
      <c r="A588" t="s">
        <v>82</v>
      </c>
      <c r="B588" t="s">
        <v>143</v>
      </c>
      <c r="C588" t="s">
        <v>642</v>
      </c>
      <c r="D588" s="48">
        <v>52963</v>
      </c>
      <c r="E588">
        <v>0</v>
      </c>
    </row>
    <row r="589" spans="1:5" x14ac:dyDescent="0.2">
      <c r="A589" t="s">
        <v>82</v>
      </c>
      <c r="B589" t="s">
        <v>143</v>
      </c>
      <c r="C589" t="s">
        <v>643</v>
      </c>
      <c r="D589" s="48">
        <v>52963</v>
      </c>
      <c r="E589">
        <v>0</v>
      </c>
    </row>
    <row r="590" spans="1:5" x14ac:dyDescent="0.2">
      <c r="A590" t="s">
        <v>83</v>
      </c>
      <c r="B590" t="s">
        <v>128</v>
      </c>
      <c r="C590" t="s">
        <v>639</v>
      </c>
      <c r="D590" s="48">
        <v>52963</v>
      </c>
      <c r="E590">
        <v>0</v>
      </c>
    </row>
    <row r="591" spans="1:5" x14ac:dyDescent="0.2">
      <c r="A591" t="s">
        <v>83</v>
      </c>
      <c r="B591" t="s">
        <v>128</v>
      </c>
      <c r="C591" t="s">
        <v>640</v>
      </c>
      <c r="D591" s="48">
        <v>52963</v>
      </c>
      <c r="E591">
        <v>0</v>
      </c>
    </row>
    <row r="592" spans="1:5" x14ac:dyDescent="0.2">
      <c r="A592" t="s">
        <v>83</v>
      </c>
      <c r="B592" t="s">
        <v>128</v>
      </c>
      <c r="C592" t="s">
        <v>145</v>
      </c>
      <c r="D592" s="48">
        <v>52963</v>
      </c>
      <c r="E592">
        <v>0</v>
      </c>
    </row>
    <row r="593" spans="1:5" x14ac:dyDescent="0.2">
      <c r="A593" t="s">
        <v>83</v>
      </c>
      <c r="B593" t="s">
        <v>128</v>
      </c>
      <c r="C593" t="s">
        <v>641</v>
      </c>
      <c r="D593" s="48">
        <v>52963</v>
      </c>
      <c r="E593">
        <v>0</v>
      </c>
    </row>
    <row r="594" spans="1:5" x14ac:dyDescent="0.2">
      <c r="A594" t="s">
        <v>83</v>
      </c>
      <c r="B594" t="s">
        <v>128</v>
      </c>
      <c r="C594" t="s">
        <v>642</v>
      </c>
      <c r="D594" s="48">
        <v>52963</v>
      </c>
      <c r="E594">
        <v>0</v>
      </c>
    </row>
    <row r="595" spans="1:5" x14ac:dyDescent="0.2">
      <c r="A595" t="s">
        <v>83</v>
      </c>
      <c r="B595" t="s">
        <v>128</v>
      </c>
      <c r="C595" t="s">
        <v>643</v>
      </c>
      <c r="D595" s="48">
        <v>52963</v>
      </c>
      <c r="E595">
        <v>0</v>
      </c>
    </row>
    <row r="596" spans="1:5" x14ac:dyDescent="0.2">
      <c r="A596" t="s">
        <v>669</v>
      </c>
      <c r="B596" t="s">
        <v>143</v>
      </c>
      <c r="C596" t="s">
        <v>639</v>
      </c>
      <c r="D596" s="48">
        <v>52963</v>
      </c>
      <c r="E596">
        <v>0</v>
      </c>
    </row>
    <row r="597" spans="1:5" x14ac:dyDescent="0.2">
      <c r="A597" t="s">
        <v>669</v>
      </c>
      <c r="B597" t="s">
        <v>143</v>
      </c>
      <c r="C597" t="s">
        <v>640</v>
      </c>
      <c r="D597" s="48">
        <v>52963</v>
      </c>
      <c r="E597">
        <v>0</v>
      </c>
    </row>
    <row r="598" spans="1:5" x14ac:dyDescent="0.2">
      <c r="A598" t="s">
        <v>669</v>
      </c>
      <c r="B598" t="s">
        <v>143</v>
      </c>
      <c r="C598" t="s">
        <v>145</v>
      </c>
      <c r="D598" s="48">
        <v>52963</v>
      </c>
      <c r="E598">
        <v>0</v>
      </c>
    </row>
    <row r="599" spans="1:5" x14ac:dyDescent="0.2">
      <c r="A599" t="s">
        <v>669</v>
      </c>
      <c r="B599" t="s">
        <v>143</v>
      </c>
      <c r="C599" t="s">
        <v>641</v>
      </c>
      <c r="D599" s="48">
        <v>52963</v>
      </c>
      <c r="E599">
        <v>0</v>
      </c>
    </row>
    <row r="600" spans="1:5" x14ac:dyDescent="0.2">
      <c r="A600" t="s">
        <v>669</v>
      </c>
      <c r="B600" t="s">
        <v>143</v>
      </c>
      <c r="C600" t="s">
        <v>642</v>
      </c>
      <c r="D600" s="48">
        <v>52963</v>
      </c>
      <c r="E600">
        <v>0</v>
      </c>
    </row>
    <row r="601" spans="1:5" x14ac:dyDescent="0.2">
      <c r="A601" t="s">
        <v>669</v>
      </c>
      <c r="B601" t="s">
        <v>143</v>
      </c>
      <c r="C601" t="s">
        <v>643</v>
      </c>
      <c r="D601" s="48">
        <v>52963</v>
      </c>
      <c r="E601">
        <v>0</v>
      </c>
    </row>
    <row r="602" spans="1:5" x14ac:dyDescent="0.2">
      <c r="A602" t="s">
        <v>670</v>
      </c>
      <c r="B602" t="s">
        <v>143</v>
      </c>
      <c r="C602" t="s">
        <v>639</v>
      </c>
      <c r="D602" s="48">
        <v>52963</v>
      </c>
      <c r="E602">
        <v>0</v>
      </c>
    </row>
    <row r="603" spans="1:5" x14ac:dyDescent="0.2">
      <c r="A603" t="s">
        <v>670</v>
      </c>
      <c r="B603" t="s">
        <v>143</v>
      </c>
      <c r="C603" t="s">
        <v>640</v>
      </c>
      <c r="D603" s="48">
        <v>52963</v>
      </c>
      <c r="E603">
        <v>0</v>
      </c>
    </row>
    <row r="604" spans="1:5" x14ac:dyDescent="0.2">
      <c r="A604" t="s">
        <v>670</v>
      </c>
      <c r="B604" t="s">
        <v>143</v>
      </c>
      <c r="C604" t="s">
        <v>145</v>
      </c>
      <c r="D604" s="48">
        <v>52963</v>
      </c>
      <c r="E604">
        <v>0</v>
      </c>
    </row>
    <row r="605" spans="1:5" x14ac:dyDescent="0.2">
      <c r="A605" t="s">
        <v>670</v>
      </c>
      <c r="B605" t="s">
        <v>143</v>
      </c>
      <c r="C605" t="s">
        <v>641</v>
      </c>
      <c r="D605" s="48">
        <v>52963</v>
      </c>
      <c r="E605">
        <v>0</v>
      </c>
    </row>
    <row r="606" spans="1:5" x14ac:dyDescent="0.2">
      <c r="A606" t="s">
        <v>670</v>
      </c>
      <c r="B606" t="s">
        <v>143</v>
      </c>
      <c r="C606" t="s">
        <v>642</v>
      </c>
      <c r="D606" s="48">
        <v>52963</v>
      </c>
      <c r="E606">
        <v>0</v>
      </c>
    </row>
    <row r="607" spans="1:5" x14ac:dyDescent="0.2">
      <c r="A607" t="s">
        <v>670</v>
      </c>
      <c r="B607" t="s">
        <v>143</v>
      </c>
      <c r="C607" t="s">
        <v>643</v>
      </c>
      <c r="D607" s="48">
        <v>52963</v>
      </c>
      <c r="E607">
        <v>0</v>
      </c>
    </row>
    <row r="608" spans="1:5" x14ac:dyDescent="0.2">
      <c r="A608" t="s">
        <v>84</v>
      </c>
      <c r="B608" t="s">
        <v>143</v>
      </c>
      <c r="C608" t="s">
        <v>639</v>
      </c>
      <c r="D608" s="48">
        <v>52963</v>
      </c>
      <c r="E608">
        <v>0</v>
      </c>
    </row>
    <row r="609" spans="1:5" x14ac:dyDescent="0.2">
      <c r="A609" t="s">
        <v>84</v>
      </c>
      <c r="B609" t="s">
        <v>143</v>
      </c>
      <c r="C609" t="s">
        <v>640</v>
      </c>
      <c r="D609" s="48">
        <v>52963</v>
      </c>
      <c r="E609">
        <v>0</v>
      </c>
    </row>
    <row r="610" spans="1:5" x14ac:dyDescent="0.2">
      <c r="A610" t="s">
        <v>84</v>
      </c>
      <c r="B610" t="s">
        <v>143</v>
      </c>
      <c r="C610" t="s">
        <v>145</v>
      </c>
      <c r="D610" s="48">
        <v>52963</v>
      </c>
      <c r="E610">
        <v>0</v>
      </c>
    </row>
    <row r="611" spans="1:5" x14ac:dyDescent="0.2">
      <c r="A611" t="s">
        <v>84</v>
      </c>
      <c r="B611" t="s">
        <v>143</v>
      </c>
      <c r="C611" t="s">
        <v>641</v>
      </c>
      <c r="D611" s="48">
        <v>52963</v>
      </c>
      <c r="E611">
        <v>0</v>
      </c>
    </row>
    <row r="612" spans="1:5" x14ac:dyDescent="0.2">
      <c r="A612" t="s">
        <v>84</v>
      </c>
      <c r="B612" t="s">
        <v>143</v>
      </c>
      <c r="C612" t="s">
        <v>642</v>
      </c>
      <c r="D612" s="48">
        <v>52963</v>
      </c>
      <c r="E612">
        <v>0</v>
      </c>
    </row>
    <row r="613" spans="1:5" x14ac:dyDescent="0.2">
      <c r="A613" t="s">
        <v>84</v>
      </c>
      <c r="B613" t="s">
        <v>143</v>
      </c>
      <c r="C613" t="s">
        <v>643</v>
      </c>
      <c r="D613" s="48">
        <v>52963</v>
      </c>
      <c r="E613">
        <v>0</v>
      </c>
    </row>
    <row r="614" spans="1:5" x14ac:dyDescent="0.2">
      <c r="A614" t="s">
        <v>85</v>
      </c>
      <c r="B614" t="s">
        <v>129</v>
      </c>
      <c r="C614" t="s">
        <v>639</v>
      </c>
      <c r="D614" s="48">
        <v>52963</v>
      </c>
      <c r="E614">
        <v>0</v>
      </c>
    </row>
    <row r="615" spans="1:5" x14ac:dyDescent="0.2">
      <c r="A615" t="s">
        <v>85</v>
      </c>
      <c r="B615" t="s">
        <v>129</v>
      </c>
      <c r="C615" t="s">
        <v>640</v>
      </c>
      <c r="D615" s="48">
        <v>52963</v>
      </c>
      <c r="E615">
        <v>0</v>
      </c>
    </row>
    <row r="616" spans="1:5" x14ac:dyDescent="0.2">
      <c r="A616" t="s">
        <v>85</v>
      </c>
      <c r="B616" t="s">
        <v>129</v>
      </c>
      <c r="C616" t="s">
        <v>145</v>
      </c>
      <c r="D616" s="48">
        <v>52963</v>
      </c>
      <c r="E616">
        <v>0</v>
      </c>
    </row>
    <row r="617" spans="1:5" x14ac:dyDescent="0.2">
      <c r="A617" t="s">
        <v>85</v>
      </c>
      <c r="B617" t="s">
        <v>129</v>
      </c>
      <c r="C617" t="s">
        <v>641</v>
      </c>
      <c r="D617" s="48">
        <v>52963</v>
      </c>
      <c r="E617">
        <v>0</v>
      </c>
    </row>
    <row r="618" spans="1:5" x14ac:dyDescent="0.2">
      <c r="A618" t="s">
        <v>85</v>
      </c>
      <c r="B618" t="s">
        <v>129</v>
      </c>
      <c r="C618" t="s">
        <v>642</v>
      </c>
      <c r="D618" s="48">
        <v>52963</v>
      </c>
      <c r="E618">
        <v>0</v>
      </c>
    </row>
    <row r="619" spans="1:5" x14ac:dyDescent="0.2">
      <c r="A619" t="s">
        <v>85</v>
      </c>
      <c r="B619" t="s">
        <v>129</v>
      </c>
      <c r="C619" t="s">
        <v>643</v>
      </c>
      <c r="D619" s="48">
        <v>52963</v>
      </c>
      <c r="E619">
        <v>0</v>
      </c>
    </row>
    <row r="620" spans="1:5" x14ac:dyDescent="0.2">
      <c r="A620" t="s">
        <v>671</v>
      </c>
      <c r="B620" t="s">
        <v>143</v>
      </c>
      <c r="C620" t="s">
        <v>639</v>
      </c>
      <c r="D620" s="48">
        <v>52963</v>
      </c>
      <c r="E620">
        <v>0</v>
      </c>
    </row>
    <row r="621" spans="1:5" x14ac:dyDescent="0.2">
      <c r="A621" t="s">
        <v>671</v>
      </c>
      <c r="B621" t="s">
        <v>143</v>
      </c>
      <c r="C621" t="s">
        <v>640</v>
      </c>
      <c r="D621" s="48">
        <v>52963</v>
      </c>
      <c r="E621">
        <v>0</v>
      </c>
    </row>
    <row r="622" spans="1:5" x14ac:dyDescent="0.2">
      <c r="A622" t="s">
        <v>671</v>
      </c>
      <c r="B622" t="s">
        <v>143</v>
      </c>
      <c r="C622" t="s">
        <v>145</v>
      </c>
      <c r="D622" s="48">
        <v>52963</v>
      </c>
      <c r="E622">
        <v>0</v>
      </c>
    </row>
    <row r="623" spans="1:5" x14ac:dyDescent="0.2">
      <c r="A623" t="s">
        <v>671</v>
      </c>
      <c r="B623" t="s">
        <v>143</v>
      </c>
      <c r="C623" t="s">
        <v>641</v>
      </c>
      <c r="D623" s="48">
        <v>52963</v>
      </c>
      <c r="E623">
        <v>0</v>
      </c>
    </row>
    <row r="624" spans="1:5" x14ac:dyDescent="0.2">
      <c r="A624" t="s">
        <v>671</v>
      </c>
      <c r="B624" t="s">
        <v>143</v>
      </c>
      <c r="C624" t="s">
        <v>642</v>
      </c>
      <c r="D624" s="48">
        <v>52963</v>
      </c>
      <c r="E624">
        <v>0</v>
      </c>
    </row>
    <row r="625" spans="1:5" x14ac:dyDescent="0.2">
      <c r="A625" t="s">
        <v>671</v>
      </c>
      <c r="B625" t="s">
        <v>143</v>
      </c>
      <c r="C625" t="s">
        <v>643</v>
      </c>
      <c r="D625" s="48">
        <v>52963</v>
      </c>
      <c r="E625">
        <v>146699070.83269489</v>
      </c>
    </row>
    <row r="626" spans="1:5" x14ac:dyDescent="0.2">
      <c r="A626" t="s">
        <v>86</v>
      </c>
      <c r="B626" t="s">
        <v>143</v>
      </c>
      <c r="C626" t="s">
        <v>639</v>
      </c>
      <c r="D626" s="48">
        <v>52963</v>
      </c>
      <c r="E626">
        <v>0</v>
      </c>
    </row>
    <row r="627" spans="1:5" x14ac:dyDescent="0.2">
      <c r="A627" t="s">
        <v>86</v>
      </c>
      <c r="B627" t="s">
        <v>143</v>
      </c>
      <c r="C627" t="s">
        <v>640</v>
      </c>
      <c r="D627" s="48">
        <v>52963</v>
      </c>
      <c r="E627">
        <v>0</v>
      </c>
    </row>
    <row r="628" spans="1:5" x14ac:dyDescent="0.2">
      <c r="A628" t="s">
        <v>86</v>
      </c>
      <c r="B628" t="s">
        <v>143</v>
      </c>
      <c r="C628" t="s">
        <v>145</v>
      </c>
      <c r="D628" s="48">
        <v>52963</v>
      </c>
      <c r="E628">
        <v>0</v>
      </c>
    </row>
    <row r="629" spans="1:5" x14ac:dyDescent="0.2">
      <c r="A629" t="s">
        <v>86</v>
      </c>
      <c r="B629" t="s">
        <v>143</v>
      </c>
      <c r="C629" t="s">
        <v>641</v>
      </c>
      <c r="D629" s="48">
        <v>52963</v>
      </c>
      <c r="E629">
        <v>10548486.444004364</v>
      </c>
    </row>
    <row r="630" spans="1:5" x14ac:dyDescent="0.2">
      <c r="A630" t="s">
        <v>86</v>
      </c>
      <c r="B630" t="s">
        <v>143</v>
      </c>
      <c r="C630" t="s">
        <v>642</v>
      </c>
      <c r="D630" s="48">
        <v>52963</v>
      </c>
      <c r="E630">
        <v>0</v>
      </c>
    </row>
    <row r="631" spans="1:5" x14ac:dyDescent="0.2">
      <c r="A631" t="s">
        <v>86</v>
      </c>
      <c r="B631" t="s">
        <v>143</v>
      </c>
      <c r="C631" t="s">
        <v>643</v>
      </c>
      <c r="D631" s="48">
        <v>52963</v>
      </c>
      <c r="E631">
        <v>0</v>
      </c>
    </row>
    <row r="632" spans="1:5" x14ac:dyDescent="0.2">
      <c r="A632" t="s">
        <v>672</v>
      </c>
      <c r="B632" t="s">
        <v>143</v>
      </c>
      <c r="C632" t="s">
        <v>639</v>
      </c>
      <c r="D632" s="48">
        <v>52963</v>
      </c>
      <c r="E632">
        <v>0</v>
      </c>
    </row>
    <row r="633" spans="1:5" x14ac:dyDescent="0.2">
      <c r="A633" t="s">
        <v>672</v>
      </c>
      <c r="B633" t="s">
        <v>143</v>
      </c>
      <c r="C633" t="s">
        <v>640</v>
      </c>
      <c r="D633" s="48">
        <v>52963</v>
      </c>
      <c r="E633">
        <v>0</v>
      </c>
    </row>
    <row r="634" spans="1:5" x14ac:dyDescent="0.2">
      <c r="A634" t="s">
        <v>672</v>
      </c>
      <c r="B634" t="s">
        <v>143</v>
      </c>
      <c r="C634" t="s">
        <v>145</v>
      </c>
      <c r="D634" s="48">
        <v>52963</v>
      </c>
      <c r="E634">
        <v>0</v>
      </c>
    </row>
    <row r="635" spans="1:5" x14ac:dyDescent="0.2">
      <c r="A635" t="s">
        <v>672</v>
      </c>
      <c r="B635" t="s">
        <v>143</v>
      </c>
      <c r="C635" t="s">
        <v>641</v>
      </c>
      <c r="D635" s="48">
        <v>52963</v>
      </c>
      <c r="E635">
        <v>0</v>
      </c>
    </row>
    <row r="636" spans="1:5" x14ac:dyDescent="0.2">
      <c r="A636" t="s">
        <v>672</v>
      </c>
      <c r="B636" t="s">
        <v>143</v>
      </c>
      <c r="C636" t="s">
        <v>642</v>
      </c>
      <c r="D636" s="48">
        <v>52963</v>
      </c>
      <c r="E636">
        <v>0</v>
      </c>
    </row>
    <row r="637" spans="1:5" x14ac:dyDescent="0.2">
      <c r="A637" t="s">
        <v>672</v>
      </c>
      <c r="B637" t="s">
        <v>143</v>
      </c>
      <c r="C637" t="s">
        <v>643</v>
      </c>
      <c r="D637" s="48">
        <v>52963</v>
      </c>
      <c r="E637">
        <v>0</v>
      </c>
    </row>
    <row r="638" spans="1:5" x14ac:dyDescent="0.2">
      <c r="A638" t="s">
        <v>673</v>
      </c>
      <c r="B638" t="s">
        <v>143</v>
      </c>
      <c r="C638" t="s">
        <v>639</v>
      </c>
      <c r="D638" s="48">
        <v>52963</v>
      </c>
      <c r="E638">
        <v>0</v>
      </c>
    </row>
    <row r="639" spans="1:5" x14ac:dyDescent="0.2">
      <c r="A639" t="s">
        <v>673</v>
      </c>
      <c r="B639" t="s">
        <v>143</v>
      </c>
      <c r="C639" t="s">
        <v>640</v>
      </c>
      <c r="D639" s="48">
        <v>52963</v>
      </c>
      <c r="E639">
        <v>0</v>
      </c>
    </row>
    <row r="640" spans="1:5" x14ac:dyDescent="0.2">
      <c r="A640" t="s">
        <v>673</v>
      </c>
      <c r="B640" t="s">
        <v>143</v>
      </c>
      <c r="C640" t="s">
        <v>145</v>
      </c>
      <c r="D640" s="48">
        <v>52963</v>
      </c>
      <c r="E640">
        <v>0</v>
      </c>
    </row>
    <row r="641" spans="1:5" x14ac:dyDescent="0.2">
      <c r="A641" t="s">
        <v>673</v>
      </c>
      <c r="B641" t="s">
        <v>143</v>
      </c>
      <c r="C641" t="s">
        <v>641</v>
      </c>
      <c r="D641" s="48">
        <v>52963</v>
      </c>
      <c r="E641">
        <v>0</v>
      </c>
    </row>
    <row r="642" spans="1:5" x14ac:dyDescent="0.2">
      <c r="A642" t="s">
        <v>673</v>
      </c>
      <c r="B642" t="s">
        <v>143</v>
      </c>
      <c r="C642" t="s">
        <v>642</v>
      </c>
      <c r="D642" s="48">
        <v>52963</v>
      </c>
      <c r="E642">
        <v>0</v>
      </c>
    </row>
    <row r="643" spans="1:5" x14ac:dyDescent="0.2">
      <c r="A643" t="s">
        <v>673</v>
      </c>
      <c r="B643" t="s">
        <v>143</v>
      </c>
      <c r="C643" t="s">
        <v>643</v>
      </c>
      <c r="D643" s="48">
        <v>52963</v>
      </c>
      <c r="E643">
        <v>0</v>
      </c>
    </row>
    <row r="644" spans="1:5" x14ac:dyDescent="0.2">
      <c r="A644" t="s">
        <v>674</v>
      </c>
      <c r="B644" t="s">
        <v>143</v>
      </c>
      <c r="C644" t="s">
        <v>639</v>
      </c>
      <c r="D644" s="48">
        <v>52963</v>
      </c>
      <c r="E644">
        <v>0</v>
      </c>
    </row>
    <row r="645" spans="1:5" x14ac:dyDescent="0.2">
      <c r="A645" t="s">
        <v>674</v>
      </c>
      <c r="B645" t="s">
        <v>143</v>
      </c>
      <c r="C645" t="s">
        <v>640</v>
      </c>
      <c r="D645" s="48">
        <v>52963</v>
      </c>
      <c r="E645">
        <v>0</v>
      </c>
    </row>
    <row r="646" spans="1:5" x14ac:dyDescent="0.2">
      <c r="A646" t="s">
        <v>674</v>
      </c>
      <c r="B646" t="s">
        <v>143</v>
      </c>
      <c r="C646" t="s">
        <v>145</v>
      </c>
      <c r="D646" s="48">
        <v>52963</v>
      </c>
      <c r="E646">
        <v>0</v>
      </c>
    </row>
    <row r="647" spans="1:5" x14ac:dyDescent="0.2">
      <c r="A647" t="s">
        <v>674</v>
      </c>
      <c r="B647" t="s">
        <v>143</v>
      </c>
      <c r="C647" t="s">
        <v>641</v>
      </c>
      <c r="D647" s="48">
        <v>52963</v>
      </c>
      <c r="E647">
        <v>0</v>
      </c>
    </row>
    <row r="648" spans="1:5" x14ac:dyDescent="0.2">
      <c r="A648" t="s">
        <v>674</v>
      </c>
      <c r="B648" t="s">
        <v>143</v>
      </c>
      <c r="C648" t="s">
        <v>642</v>
      </c>
      <c r="D648" s="48">
        <v>52963</v>
      </c>
      <c r="E648">
        <v>0</v>
      </c>
    </row>
    <row r="649" spans="1:5" x14ac:dyDescent="0.2">
      <c r="A649" t="s">
        <v>674</v>
      </c>
      <c r="B649" t="s">
        <v>143</v>
      </c>
      <c r="C649" t="s">
        <v>643</v>
      </c>
      <c r="D649" s="48">
        <v>52963</v>
      </c>
      <c r="E649">
        <v>0</v>
      </c>
    </row>
    <row r="650" spans="1:5" x14ac:dyDescent="0.2">
      <c r="A650" t="s">
        <v>675</v>
      </c>
      <c r="B650" t="s">
        <v>143</v>
      </c>
      <c r="C650" t="s">
        <v>639</v>
      </c>
      <c r="D650" s="48">
        <v>52963</v>
      </c>
      <c r="E650">
        <v>0</v>
      </c>
    </row>
    <row r="651" spans="1:5" x14ac:dyDescent="0.2">
      <c r="A651" t="s">
        <v>675</v>
      </c>
      <c r="B651" t="s">
        <v>143</v>
      </c>
      <c r="C651" t="s">
        <v>640</v>
      </c>
      <c r="D651" s="48">
        <v>52963</v>
      </c>
      <c r="E651">
        <v>0</v>
      </c>
    </row>
    <row r="652" spans="1:5" x14ac:dyDescent="0.2">
      <c r="A652" t="s">
        <v>675</v>
      </c>
      <c r="B652" t="s">
        <v>143</v>
      </c>
      <c r="C652" t="s">
        <v>145</v>
      </c>
      <c r="D652" s="48">
        <v>52963</v>
      </c>
      <c r="E652">
        <v>0</v>
      </c>
    </row>
    <row r="653" spans="1:5" x14ac:dyDescent="0.2">
      <c r="A653" t="s">
        <v>675</v>
      </c>
      <c r="B653" t="s">
        <v>143</v>
      </c>
      <c r="C653" t="s">
        <v>641</v>
      </c>
      <c r="D653" s="48">
        <v>52963</v>
      </c>
      <c r="E653">
        <v>0</v>
      </c>
    </row>
    <row r="654" spans="1:5" x14ac:dyDescent="0.2">
      <c r="A654" t="s">
        <v>675</v>
      </c>
      <c r="B654" t="s">
        <v>143</v>
      </c>
      <c r="C654" t="s">
        <v>642</v>
      </c>
      <c r="D654" s="48">
        <v>52963</v>
      </c>
      <c r="E654">
        <v>0</v>
      </c>
    </row>
    <row r="655" spans="1:5" x14ac:dyDescent="0.2">
      <c r="A655" t="s">
        <v>675</v>
      </c>
      <c r="B655" t="s">
        <v>143</v>
      </c>
      <c r="C655" t="s">
        <v>643</v>
      </c>
      <c r="D655" s="48">
        <v>52963</v>
      </c>
      <c r="E655">
        <v>0</v>
      </c>
    </row>
    <row r="656" spans="1:5" x14ac:dyDescent="0.2">
      <c r="A656" t="s">
        <v>676</v>
      </c>
      <c r="B656" t="s">
        <v>143</v>
      </c>
      <c r="C656" t="s">
        <v>639</v>
      </c>
      <c r="D656" s="48">
        <v>52963</v>
      </c>
      <c r="E656">
        <v>0</v>
      </c>
    </row>
    <row r="657" spans="1:5" x14ac:dyDescent="0.2">
      <c r="A657" t="s">
        <v>676</v>
      </c>
      <c r="B657" t="s">
        <v>143</v>
      </c>
      <c r="C657" t="s">
        <v>640</v>
      </c>
      <c r="D657" s="48">
        <v>52963</v>
      </c>
      <c r="E657">
        <v>0</v>
      </c>
    </row>
    <row r="658" spans="1:5" x14ac:dyDescent="0.2">
      <c r="A658" t="s">
        <v>676</v>
      </c>
      <c r="B658" t="s">
        <v>143</v>
      </c>
      <c r="C658" t="s">
        <v>145</v>
      </c>
      <c r="D658" s="48">
        <v>52963</v>
      </c>
      <c r="E658">
        <v>0</v>
      </c>
    </row>
    <row r="659" spans="1:5" x14ac:dyDescent="0.2">
      <c r="A659" t="s">
        <v>676</v>
      </c>
      <c r="B659" t="s">
        <v>143</v>
      </c>
      <c r="C659" t="s">
        <v>641</v>
      </c>
      <c r="D659" s="48">
        <v>52963</v>
      </c>
      <c r="E659">
        <v>0</v>
      </c>
    </row>
    <row r="660" spans="1:5" x14ac:dyDescent="0.2">
      <c r="A660" t="s">
        <v>676</v>
      </c>
      <c r="B660" t="s">
        <v>143</v>
      </c>
      <c r="C660" t="s">
        <v>642</v>
      </c>
      <c r="D660" s="48">
        <v>52963</v>
      </c>
      <c r="E660">
        <v>0</v>
      </c>
    </row>
    <row r="661" spans="1:5" x14ac:dyDescent="0.2">
      <c r="A661" t="s">
        <v>676</v>
      </c>
      <c r="B661" t="s">
        <v>143</v>
      </c>
      <c r="C661" t="s">
        <v>643</v>
      </c>
      <c r="D661" s="48">
        <v>52963</v>
      </c>
      <c r="E661">
        <v>0</v>
      </c>
    </row>
    <row r="662" spans="1:5" x14ac:dyDescent="0.2">
      <c r="A662" t="s">
        <v>87</v>
      </c>
      <c r="B662" t="s">
        <v>128</v>
      </c>
      <c r="C662" t="s">
        <v>639</v>
      </c>
      <c r="D662" s="48">
        <v>52963</v>
      </c>
      <c r="E662">
        <v>0</v>
      </c>
    </row>
    <row r="663" spans="1:5" x14ac:dyDescent="0.2">
      <c r="A663" t="s">
        <v>87</v>
      </c>
      <c r="B663" t="s">
        <v>128</v>
      </c>
      <c r="C663" t="s">
        <v>640</v>
      </c>
      <c r="D663" s="48">
        <v>52963</v>
      </c>
      <c r="E663">
        <v>0</v>
      </c>
    </row>
    <row r="664" spans="1:5" x14ac:dyDescent="0.2">
      <c r="A664" t="s">
        <v>87</v>
      </c>
      <c r="B664" t="s">
        <v>128</v>
      </c>
      <c r="C664" t="s">
        <v>145</v>
      </c>
      <c r="D664" s="48">
        <v>52963</v>
      </c>
      <c r="E664">
        <v>0</v>
      </c>
    </row>
    <row r="665" spans="1:5" x14ac:dyDescent="0.2">
      <c r="A665" t="s">
        <v>87</v>
      </c>
      <c r="B665" t="s">
        <v>128</v>
      </c>
      <c r="C665" t="s">
        <v>641</v>
      </c>
      <c r="D665" s="48">
        <v>52963</v>
      </c>
      <c r="E665">
        <v>0</v>
      </c>
    </row>
    <row r="666" spans="1:5" x14ac:dyDescent="0.2">
      <c r="A666" t="s">
        <v>87</v>
      </c>
      <c r="B666" t="s">
        <v>128</v>
      </c>
      <c r="C666" t="s">
        <v>642</v>
      </c>
      <c r="D666" s="48">
        <v>52963</v>
      </c>
      <c r="E666">
        <v>0</v>
      </c>
    </row>
    <row r="667" spans="1:5" x14ac:dyDescent="0.2">
      <c r="A667" t="s">
        <v>87</v>
      </c>
      <c r="B667" t="s">
        <v>128</v>
      </c>
      <c r="C667" t="s">
        <v>643</v>
      </c>
      <c r="D667" s="48">
        <v>52963</v>
      </c>
      <c r="E667">
        <v>0</v>
      </c>
    </row>
    <row r="668" spans="1:5" x14ac:dyDescent="0.2">
      <c r="A668" t="s">
        <v>88</v>
      </c>
      <c r="B668" t="s">
        <v>128</v>
      </c>
      <c r="C668" t="s">
        <v>639</v>
      </c>
      <c r="D668" s="48">
        <v>52963</v>
      </c>
      <c r="E668">
        <v>0</v>
      </c>
    </row>
    <row r="669" spans="1:5" x14ac:dyDescent="0.2">
      <c r="A669" t="s">
        <v>88</v>
      </c>
      <c r="B669" t="s">
        <v>128</v>
      </c>
      <c r="C669" t="s">
        <v>640</v>
      </c>
      <c r="D669" s="48">
        <v>52963</v>
      </c>
      <c r="E669">
        <v>0</v>
      </c>
    </row>
    <row r="670" spans="1:5" x14ac:dyDescent="0.2">
      <c r="A670" t="s">
        <v>88</v>
      </c>
      <c r="B670" t="s">
        <v>128</v>
      </c>
      <c r="C670" t="s">
        <v>145</v>
      </c>
      <c r="D670" s="48">
        <v>52963</v>
      </c>
      <c r="E670">
        <v>0</v>
      </c>
    </row>
    <row r="671" spans="1:5" x14ac:dyDescent="0.2">
      <c r="A671" t="s">
        <v>88</v>
      </c>
      <c r="B671" t="s">
        <v>128</v>
      </c>
      <c r="C671" t="s">
        <v>641</v>
      </c>
      <c r="D671" s="48">
        <v>52963</v>
      </c>
      <c r="E671">
        <v>0</v>
      </c>
    </row>
    <row r="672" spans="1:5" x14ac:dyDescent="0.2">
      <c r="A672" t="s">
        <v>88</v>
      </c>
      <c r="B672" t="s">
        <v>128</v>
      </c>
      <c r="C672" t="s">
        <v>642</v>
      </c>
      <c r="D672" s="48">
        <v>52963</v>
      </c>
      <c r="E672">
        <v>0</v>
      </c>
    </row>
    <row r="673" spans="1:5" x14ac:dyDescent="0.2">
      <c r="A673" t="s">
        <v>88</v>
      </c>
      <c r="B673" t="s">
        <v>128</v>
      </c>
      <c r="C673" t="s">
        <v>643</v>
      </c>
      <c r="D673" s="48">
        <v>52963</v>
      </c>
      <c r="E673">
        <v>0</v>
      </c>
    </row>
    <row r="674" spans="1:5" x14ac:dyDescent="0.2">
      <c r="A674" t="s">
        <v>89</v>
      </c>
      <c r="B674" t="s">
        <v>128</v>
      </c>
      <c r="C674" t="s">
        <v>639</v>
      </c>
      <c r="D674" s="48">
        <v>52963</v>
      </c>
      <c r="E674">
        <v>0</v>
      </c>
    </row>
    <row r="675" spans="1:5" x14ac:dyDescent="0.2">
      <c r="A675" t="s">
        <v>89</v>
      </c>
      <c r="B675" t="s">
        <v>128</v>
      </c>
      <c r="C675" t="s">
        <v>640</v>
      </c>
      <c r="D675" s="48">
        <v>52963</v>
      </c>
      <c r="E675">
        <v>0</v>
      </c>
    </row>
    <row r="676" spans="1:5" x14ac:dyDescent="0.2">
      <c r="A676" t="s">
        <v>89</v>
      </c>
      <c r="B676" t="s">
        <v>128</v>
      </c>
      <c r="C676" t="s">
        <v>145</v>
      </c>
      <c r="D676" s="48">
        <v>52963</v>
      </c>
      <c r="E676">
        <v>0</v>
      </c>
    </row>
    <row r="677" spans="1:5" x14ac:dyDescent="0.2">
      <c r="A677" t="s">
        <v>89</v>
      </c>
      <c r="B677" t="s">
        <v>128</v>
      </c>
      <c r="C677" t="s">
        <v>641</v>
      </c>
      <c r="D677" s="48">
        <v>52963</v>
      </c>
      <c r="E677">
        <v>0</v>
      </c>
    </row>
    <row r="678" spans="1:5" x14ac:dyDescent="0.2">
      <c r="A678" t="s">
        <v>89</v>
      </c>
      <c r="B678" t="s">
        <v>128</v>
      </c>
      <c r="C678" t="s">
        <v>642</v>
      </c>
      <c r="D678" s="48">
        <v>52963</v>
      </c>
      <c r="E678">
        <v>0</v>
      </c>
    </row>
    <row r="679" spans="1:5" x14ac:dyDescent="0.2">
      <c r="A679" t="s">
        <v>89</v>
      </c>
      <c r="B679" t="s">
        <v>128</v>
      </c>
      <c r="C679" t="s">
        <v>643</v>
      </c>
      <c r="D679" s="48">
        <v>52963</v>
      </c>
      <c r="E679">
        <v>0</v>
      </c>
    </row>
    <row r="680" spans="1:5" x14ac:dyDescent="0.2">
      <c r="A680" t="s">
        <v>90</v>
      </c>
      <c r="B680" t="s">
        <v>128</v>
      </c>
      <c r="C680" t="s">
        <v>639</v>
      </c>
      <c r="D680" s="48">
        <v>52963</v>
      </c>
      <c r="E680">
        <v>0</v>
      </c>
    </row>
    <row r="681" spans="1:5" x14ac:dyDescent="0.2">
      <c r="A681" t="s">
        <v>90</v>
      </c>
      <c r="B681" t="s">
        <v>128</v>
      </c>
      <c r="C681" t="s">
        <v>640</v>
      </c>
      <c r="D681" s="48">
        <v>52963</v>
      </c>
      <c r="E681">
        <v>0</v>
      </c>
    </row>
    <row r="682" spans="1:5" x14ac:dyDescent="0.2">
      <c r="A682" t="s">
        <v>90</v>
      </c>
      <c r="B682" t="s">
        <v>128</v>
      </c>
      <c r="C682" t="s">
        <v>145</v>
      </c>
      <c r="D682" s="48">
        <v>52963</v>
      </c>
      <c r="E682">
        <v>0</v>
      </c>
    </row>
    <row r="683" spans="1:5" x14ac:dyDescent="0.2">
      <c r="A683" t="s">
        <v>90</v>
      </c>
      <c r="B683" t="s">
        <v>128</v>
      </c>
      <c r="C683" t="s">
        <v>641</v>
      </c>
      <c r="D683" s="48">
        <v>52963</v>
      </c>
      <c r="E683">
        <v>0</v>
      </c>
    </row>
    <row r="684" spans="1:5" x14ac:dyDescent="0.2">
      <c r="A684" t="s">
        <v>90</v>
      </c>
      <c r="B684" t="s">
        <v>128</v>
      </c>
      <c r="C684" t="s">
        <v>642</v>
      </c>
      <c r="D684" s="48">
        <v>52963</v>
      </c>
      <c r="E684">
        <v>0</v>
      </c>
    </row>
    <row r="685" spans="1:5" x14ac:dyDescent="0.2">
      <c r="A685" t="s">
        <v>90</v>
      </c>
      <c r="B685" t="s">
        <v>128</v>
      </c>
      <c r="C685" t="s">
        <v>643</v>
      </c>
      <c r="D685" s="48">
        <v>52963</v>
      </c>
      <c r="E685">
        <v>0</v>
      </c>
    </row>
    <row r="686" spans="1:5" x14ac:dyDescent="0.2">
      <c r="A686" t="s">
        <v>91</v>
      </c>
      <c r="B686" t="s">
        <v>128</v>
      </c>
      <c r="C686" t="s">
        <v>639</v>
      </c>
      <c r="D686" s="48">
        <v>52963</v>
      </c>
      <c r="E686">
        <v>0</v>
      </c>
    </row>
    <row r="687" spans="1:5" x14ac:dyDescent="0.2">
      <c r="A687" t="s">
        <v>91</v>
      </c>
      <c r="B687" t="s">
        <v>128</v>
      </c>
      <c r="C687" t="s">
        <v>640</v>
      </c>
      <c r="D687" s="48">
        <v>52963</v>
      </c>
      <c r="E687">
        <v>0</v>
      </c>
    </row>
    <row r="688" spans="1:5" x14ac:dyDescent="0.2">
      <c r="A688" t="s">
        <v>91</v>
      </c>
      <c r="B688" t="s">
        <v>128</v>
      </c>
      <c r="C688" t="s">
        <v>145</v>
      </c>
      <c r="D688" s="48">
        <v>52963</v>
      </c>
      <c r="E688">
        <v>0</v>
      </c>
    </row>
    <row r="689" spans="1:5" x14ac:dyDescent="0.2">
      <c r="A689" t="s">
        <v>91</v>
      </c>
      <c r="B689" t="s">
        <v>128</v>
      </c>
      <c r="C689" t="s">
        <v>641</v>
      </c>
      <c r="D689" s="48">
        <v>52963</v>
      </c>
      <c r="E689">
        <v>0</v>
      </c>
    </row>
    <row r="690" spans="1:5" x14ac:dyDescent="0.2">
      <c r="A690" t="s">
        <v>91</v>
      </c>
      <c r="B690" t="s">
        <v>128</v>
      </c>
      <c r="C690" t="s">
        <v>642</v>
      </c>
      <c r="D690" s="48">
        <v>52963</v>
      </c>
      <c r="E690">
        <v>0</v>
      </c>
    </row>
    <row r="691" spans="1:5" x14ac:dyDescent="0.2">
      <c r="A691" t="s">
        <v>91</v>
      </c>
      <c r="B691" t="s">
        <v>128</v>
      </c>
      <c r="C691" t="s">
        <v>643</v>
      </c>
      <c r="D691" s="48">
        <v>52963</v>
      </c>
      <c r="E691">
        <v>0</v>
      </c>
    </row>
    <row r="692" spans="1:5" x14ac:dyDescent="0.2">
      <c r="A692" t="s">
        <v>92</v>
      </c>
      <c r="B692" t="s">
        <v>128</v>
      </c>
      <c r="C692" t="s">
        <v>639</v>
      </c>
      <c r="D692" s="48">
        <v>52963</v>
      </c>
      <c r="E692">
        <v>0</v>
      </c>
    </row>
    <row r="693" spans="1:5" x14ac:dyDescent="0.2">
      <c r="A693" t="s">
        <v>92</v>
      </c>
      <c r="B693" t="s">
        <v>128</v>
      </c>
      <c r="C693" t="s">
        <v>640</v>
      </c>
      <c r="D693" s="48">
        <v>52963</v>
      </c>
      <c r="E693">
        <v>0</v>
      </c>
    </row>
    <row r="694" spans="1:5" x14ac:dyDescent="0.2">
      <c r="A694" t="s">
        <v>92</v>
      </c>
      <c r="B694" t="s">
        <v>128</v>
      </c>
      <c r="C694" t="s">
        <v>145</v>
      </c>
      <c r="D694" s="48">
        <v>52963</v>
      </c>
      <c r="E694">
        <v>0</v>
      </c>
    </row>
    <row r="695" spans="1:5" x14ac:dyDescent="0.2">
      <c r="A695" t="s">
        <v>92</v>
      </c>
      <c r="B695" t="s">
        <v>128</v>
      </c>
      <c r="C695" t="s">
        <v>641</v>
      </c>
      <c r="D695" s="48">
        <v>52963</v>
      </c>
      <c r="E695">
        <v>0</v>
      </c>
    </row>
    <row r="696" spans="1:5" x14ac:dyDescent="0.2">
      <c r="A696" t="s">
        <v>92</v>
      </c>
      <c r="B696" t="s">
        <v>128</v>
      </c>
      <c r="C696" t="s">
        <v>642</v>
      </c>
      <c r="D696" s="48">
        <v>52963</v>
      </c>
      <c r="E696">
        <v>0</v>
      </c>
    </row>
    <row r="697" spans="1:5" x14ac:dyDescent="0.2">
      <c r="A697" t="s">
        <v>92</v>
      </c>
      <c r="B697" t="s">
        <v>128</v>
      </c>
      <c r="C697" t="s">
        <v>643</v>
      </c>
      <c r="D697" s="48">
        <v>52963</v>
      </c>
      <c r="E697">
        <v>0</v>
      </c>
    </row>
    <row r="698" spans="1:5" x14ac:dyDescent="0.2">
      <c r="A698" t="s">
        <v>93</v>
      </c>
      <c r="B698" t="s">
        <v>128</v>
      </c>
      <c r="C698" t="s">
        <v>639</v>
      </c>
      <c r="D698" s="48">
        <v>52963</v>
      </c>
      <c r="E698">
        <v>0</v>
      </c>
    </row>
    <row r="699" spans="1:5" x14ac:dyDescent="0.2">
      <c r="A699" t="s">
        <v>93</v>
      </c>
      <c r="B699" t="s">
        <v>128</v>
      </c>
      <c r="C699" t="s">
        <v>640</v>
      </c>
      <c r="D699" s="48">
        <v>52963</v>
      </c>
      <c r="E699">
        <v>0</v>
      </c>
    </row>
    <row r="700" spans="1:5" x14ac:dyDescent="0.2">
      <c r="A700" t="s">
        <v>93</v>
      </c>
      <c r="B700" t="s">
        <v>128</v>
      </c>
      <c r="C700" t="s">
        <v>145</v>
      </c>
      <c r="D700" s="48">
        <v>52963</v>
      </c>
      <c r="E700">
        <v>0</v>
      </c>
    </row>
    <row r="701" spans="1:5" x14ac:dyDescent="0.2">
      <c r="A701" t="s">
        <v>93</v>
      </c>
      <c r="B701" t="s">
        <v>128</v>
      </c>
      <c r="C701" t="s">
        <v>641</v>
      </c>
      <c r="D701" s="48">
        <v>52963</v>
      </c>
      <c r="E701">
        <v>0</v>
      </c>
    </row>
    <row r="702" spans="1:5" x14ac:dyDescent="0.2">
      <c r="A702" t="s">
        <v>93</v>
      </c>
      <c r="B702" t="s">
        <v>128</v>
      </c>
      <c r="C702" t="s">
        <v>642</v>
      </c>
      <c r="D702" s="48">
        <v>52963</v>
      </c>
      <c r="E702">
        <v>0</v>
      </c>
    </row>
    <row r="703" spans="1:5" x14ac:dyDescent="0.2">
      <c r="A703" t="s">
        <v>93</v>
      </c>
      <c r="B703" t="s">
        <v>128</v>
      </c>
      <c r="C703" t="s">
        <v>643</v>
      </c>
      <c r="D703" s="48">
        <v>52963</v>
      </c>
      <c r="E703">
        <v>0</v>
      </c>
    </row>
    <row r="704" spans="1:5" x14ac:dyDescent="0.2">
      <c r="A704" t="s">
        <v>94</v>
      </c>
      <c r="B704" t="s">
        <v>128</v>
      </c>
      <c r="C704" t="s">
        <v>639</v>
      </c>
      <c r="D704" s="48">
        <v>52963</v>
      </c>
      <c r="E704">
        <v>0</v>
      </c>
    </row>
    <row r="705" spans="1:5" x14ac:dyDescent="0.2">
      <c r="A705" t="s">
        <v>94</v>
      </c>
      <c r="B705" t="s">
        <v>128</v>
      </c>
      <c r="C705" t="s">
        <v>640</v>
      </c>
      <c r="D705" s="48">
        <v>52963</v>
      </c>
      <c r="E705">
        <v>0</v>
      </c>
    </row>
    <row r="706" spans="1:5" x14ac:dyDescent="0.2">
      <c r="A706" t="s">
        <v>94</v>
      </c>
      <c r="B706" t="s">
        <v>128</v>
      </c>
      <c r="C706" t="s">
        <v>145</v>
      </c>
      <c r="D706" s="48">
        <v>52963</v>
      </c>
      <c r="E706">
        <v>0</v>
      </c>
    </row>
    <row r="707" spans="1:5" x14ac:dyDescent="0.2">
      <c r="A707" t="s">
        <v>94</v>
      </c>
      <c r="B707" t="s">
        <v>128</v>
      </c>
      <c r="C707" t="s">
        <v>641</v>
      </c>
      <c r="D707" s="48">
        <v>52963</v>
      </c>
      <c r="E707">
        <v>0</v>
      </c>
    </row>
    <row r="708" spans="1:5" x14ac:dyDescent="0.2">
      <c r="A708" t="s">
        <v>94</v>
      </c>
      <c r="B708" t="s">
        <v>128</v>
      </c>
      <c r="C708" t="s">
        <v>642</v>
      </c>
      <c r="D708" s="48">
        <v>52963</v>
      </c>
      <c r="E708">
        <v>0</v>
      </c>
    </row>
    <row r="709" spans="1:5" x14ac:dyDescent="0.2">
      <c r="A709" t="s">
        <v>94</v>
      </c>
      <c r="B709" t="s">
        <v>128</v>
      </c>
      <c r="C709" t="s">
        <v>643</v>
      </c>
      <c r="D709" s="48">
        <v>52963</v>
      </c>
      <c r="E709">
        <v>0</v>
      </c>
    </row>
    <row r="710" spans="1:5" x14ac:dyDescent="0.2">
      <c r="A710" t="s">
        <v>95</v>
      </c>
      <c r="B710" t="s">
        <v>128</v>
      </c>
      <c r="C710" t="s">
        <v>639</v>
      </c>
      <c r="D710" s="48">
        <v>52963</v>
      </c>
      <c r="E710">
        <v>0</v>
      </c>
    </row>
    <row r="711" spans="1:5" x14ac:dyDescent="0.2">
      <c r="A711" t="s">
        <v>95</v>
      </c>
      <c r="B711" t="s">
        <v>128</v>
      </c>
      <c r="C711" t="s">
        <v>640</v>
      </c>
      <c r="D711" s="48">
        <v>52963</v>
      </c>
      <c r="E711">
        <v>0</v>
      </c>
    </row>
    <row r="712" spans="1:5" x14ac:dyDescent="0.2">
      <c r="A712" t="s">
        <v>95</v>
      </c>
      <c r="B712" t="s">
        <v>128</v>
      </c>
      <c r="C712" t="s">
        <v>145</v>
      </c>
      <c r="D712" s="48">
        <v>52963</v>
      </c>
      <c r="E712">
        <v>0</v>
      </c>
    </row>
    <row r="713" spans="1:5" x14ac:dyDescent="0.2">
      <c r="A713" t="s">
        <v>95</v>
      </c>
      <c r="B713" t="s">
        <v>128</v>
      </c>
      <c r="C713" t="s">
        <v>641</v>
      </c>
      <c r="D713" s="48">
        <v>52963</v>
      </c>
      <c r="E713">
        <v>0</v>
      </c>
    </row>
    <row r="714" spans="1:5" x14ac:dyDescent="0.2">
      <c r="A714" t="s">
        <v>95</v>
      </c>
      <c r="B714" t="s">
        <v>128</v>
      </c>
      <c r="C714" t="s">
        <v>642</v>
      </c>
      <c r="D714" s="48">
        <v>52963</v>
      </c>
      <c r="E714">
        <v>0</v>
      </c>
    </row>
    <row r="715" spans="1:5" x14ac:dyDescent="0.2">
      <c r="A715" t="s">
        <v>95</v>
      </c>
      <c r="B715" t="s">
        <v>128</v>
      </c>
      <c r="C715" t="s">
        <v>643</v>
      </c>
      <c r="D715" s="48">
        <v>52963</v>
      </c>
      <c r="E715">
        <v>0</v>
      </c>
    </row>
    <row r="716" spans="1:5" x14ac:dyDescent="0.2">
      <c r="A716" t="s">
        <v>96</v>
      </c>
      <c r="B716" t="s">
        <v>128</v>
      </c>
      <c r="C716" t="s">
        <v>639</v>
      </c>
      <c r="D716" s="48">
        <v>52963</v>
      </c>
      <c r="E716">
        <v>0</v>
      </c>
    </row>
    <row r="717" spans="1:5" x14ac:dyDescent="0.2">
      <c r="A717" t="s">
        <v>96</v>
      </c>
      <c r="B717" t="s">
        <v>128</v>
      </c>
      <c r="C717" t="s">
        <v>640</v>
      </c>
      <c r="D717" s="48">
        <v>52963</v>
      </c>
      <c r="E717">
        <v>0</v>
      </c>
    </row>
    <row r="718" spans="1:5" x14ac:dyDescent="0.2">
      <c r="A718" t="s">
        <v>96</v>
      </c>
      <c r="B718" t="s">
        <v>128</v>
      </c>
      <c r="C718" t="s">
        <v>145</v>
      </c>
      <c r="D718" s="48">
        <v>52963</v>
      </c>
      <c r="E718">
        <v>0</v>
      </c>
    </row>
    <row r="719" spans="1:5" x14ac:dyDescent="0.2">
      <c r="A719" t="s">
        <v>96</v>
      </c>
      <c r="B719" t="s">
        <v>128</v>
      </c>
      <c r="C719" t="s">
        <v>641</v>
      </c>
      <c r="D719" s="48">
        <v>52963</v>
      </c>
      <c r="E719">
        <v>0</v>
      </c>
    </row>
    <row r="720" spans="1:5" x14ac:dyDescent="0.2">
      <c r="A720" t="s">
        <v>96</v>
      </c>
      <c r="B720" t="s">
        <v>128</v>
      </c>
      <c r="C720" t="s">
        <v>642</v>
      </c>
      <c r="D720" s="48">
        <v>52963</v>
      </c>
      <c r="E720">
        <v>0</v>
      </c>
    </row>
    <row r="721" spans="1:5" x14ac:dyDescent="0.2">
      <c r="A721" t="s">
        <v>96</v>
      </c>
      <c r="B721" t="s">
        <v>128</v>
      </c>
      <c r="C721" t="s">
        <v>643</v>
      </c>
      <c r="D721" s="48">
        <v>52963</v>
      </c>
      <c r="E721">
        <v>0</v>
      </c>
    </row>
    <row r="722" spans="1:5" x14ac:dyDescent="0.2">
      <c r="A722" t="s">
        <v>97</v>
      </c>
      <c r="B722" t="s">
        <v>128</v>
      </c>
      <c r="C722" t="s">
        <v>639</v>
      </c>
      <c r="D722" s="48">
        <v>52963</v>
      </c>
      <c r="E722">
        <v>0</v>
      </c>
    </row>
    <row r="723" spans="1:5" x14ac:dyDescent="0.2">
      <c r="A723" t="s">
        <v>97</v>
      </c>
      <c r="B723" t="s">
        <v>128</v>
      </c>
      <c r="C723" t="s">
        <v>640</v>
      </c>
      <c r="D723" s="48">
        <v>52963</v>
      </c>
      <c r="E723">
        <v>0</v>
      </c>
    </row>
    <row r="724" spans="1:5" x14ac:dyDescent="0.2">
      <c r="A724" t="s">
        <v>97</v>
      </c>
      <c r="B724" t="s">
        <v>128</v>
      </c>
      <c r="C724" t="s">
        <v>145</v>
      </c>
      <c r="D724" s="48">
        <v>52963</v>
      </c>
      <c r="E724">
        <v>0</v>
      </c>
    </row>
    <row r="725" spans="1:5" x14ac:dyDescent="0.2">
      <c r="A725" t="s">
        <v>97</v>
      </c>
      <c r="B725" t="s">
        <v>128</v>
      </c>
      <c r="C725" t="s">
        <v>641</v>
      </c>
      <c r="D725" s="48">
        <v>52963</v>
      </c>
      <c r="E725">
        <v>0</v>
      </c>
    </row>
    <row r="726" spans="1:5" x14ac:dyDescent="0.2">
      <c r="A726" t="s">
        <v>97</v>
      </c>
      <c r="B726" t="s">
        <v>128</v>
      </c>
      <c r="C726" t="s">
        <v>642</v>
      </c>
      <c r="D726" s="48">
        <v>52963</v>
      </c>
      <c r="E726">
        <v>0</v>
      </c>
    </row>
    <row r="727" spans="1:5" x14ac:dyDescent="0.2">
      <c r="A727" t="s">
        <v>97</v>
      </c>
      <c r="B727" t="s">
        <v>128</v>
      </c>
      <c r="C727" t="s">
        <v>643</v>
      </c>
      <c r="D727" s="48">
        <v>52963</v>
      </c>
      <c r="E727">
        <v>0</v>
      </c>
    </row>
    <row r="728" spans="1:5" x14ac:dyDescent="0.2">
      <c r="A728" t="s">
        <v>98</v>
      </c>
      <c r="B728" t="s">
        <v>128</v>
      </c>
      <c r="C728" t="s">
        <v>639</v>
      </c>
      <c r="D728" s="48">
        <v>52963</v>
      </c>
      <c r="E728">
        <v>0</v>
      </c>
    </row>
    <row r="729" spans="1:5" x14ac:dyDescent="0.2">
      <c r="A729" t="s">
        <v>98</v>
      </c>
      <c r="B729" t="s">
        <v>128</v>
      </c>
      <c r="C729" t="s">
        <v>640</v>
      </c>
      <c r="D729" s="48">
        <v>52963</v>
      </c>
      <c r="E729">
        <v>0</v>
      </c>
    </row>
    <row r="730" spans="1:5" x14ac:dyDescent="0.2">
      <c r="A730" t="s">
        <v>98</v>
      </c>
      <c r="B730" t="s">
        <v>128</v>
      </c>
      <c r="C730" t="s">
        <v>145</v>
      </c>
      <c r="D730" s="48">
        <v>52963</v>
      </c>
      <c r="E730">
        <v>0</v>
      </c>
    </row>
    <row r="731" spans="1:5" x14ac:dyDescent="0.2">
      <c r="A731" t="s">
        <v>98</v>
      </c>
      <c r="B731" t="s">
        <v>128</v>
      </c>
      <c r="C731" t="s">
        <v>641</v>
      </c>
      <c r="D731" s="48">
        <v>52963</v>
      </c>
      <c r="E731">
        <v>0</v>
      </c>
    </row>
    <row r="732" spans="1:5" x14ac:dyDescent="0.2">
      <c r="A732" t="s">
        <v>98</v>
      </c>
      <c r="B732" t="s">
        <v>128</v>
      </c>
      <c r="C732" t="s">
        <v>642</v>
      </c>
      <c r="D732" s="48">
        <v>52963</v>
      </c>
      <c r="E732">
        <v>0</v>
      </c>
    </row>
    <row r="733" spans="1:5" x14ac:dyDescent="0.2">
      <c r="A733" t="s">
        <v>98</v>
      </c>
      <c r="B733" t="s">
        <v>128</v>
      </c>
      <c r="C733" t="s">
        <v>643</v>
      </c>
      <c r="D733" s="48">
        <v>52963</v>
      </c>
      <c r="E733">
        <v>0</v>
      </c>
    </row>
    <row r="734" spans="1:5" x14ac:dyDescent="0.2">
      <c r="A734" t="s">
        <v>99</v>
      </c>
      <c r="B734" t="s">
        <v>128</v>
      </c>
      <c r="C734" t="s">
        <v>639</v>
      </c>
      <c r="D734" s="48">
        <v>52963</v>
      </c>
      <c r="E734">
        <v>0</v>
      </c>
    </row>
    <row r="735" spans="1:5" x14ac:dyDescent="0.2">
      <c r="A735" t="s">
        <v>99</v>
      </c>
      <c r="B735" t="s">
        <v>128</v>
      </c>
      <c r="C735" t="s">
        <v>640</v>
      </c>
      <c r="D735" s="48">
        <v>52963</v>
      </c>
      <c r="E735">
        <v>0</v>
      </c>
    </row>
    <row r="736" spans="1:5" x14ac:dyDescent="0.2">
      <c r="A736" t="s">
        <v>99</v>
      </c>
      <c r="B736" t="s">
        <v>128</v>
      </c>
      <c r="C736" t="s">
        <v>145</v>
      </c>
      <c r="D736" s="48">
        <v>52963</v>
      </c>
      <c r="E736">
        <v>0</v>
      </c>
    </row>
    <row r="737" spans="1:5" x14ac:dyDescent="0.2">
      <c r="A737" t="s">
        <v>99</v>
      </c>
      <c r="B737" t="s">
        <v>128</v>
      </c>
      <c r="C737" t="s">
        <v>641</v>
      </c>
      <c r="D737" s="48">
        <v>52963</v>
      </c>
      <c r="E737">
        <v>0</v>
      </c>
    </row>
    <row r="738" spans="1:5" x14ac:dyDescent="0.2">
      <c r="A738" t="s">
        <v>99</v>
      </c>
      <c r="B738" t="s">
        <v>128</v>
      </c>
      <c r="C738" t="s">
        <v>642</v>
      </c>
      <c r="D738" s="48">
        <v>52963</v>
      </c>
      <c r="E738">
        <v>0</v>
      </c>
    </row>
    <row r="739" spans="1:5" x14ac:dyDescent="0.2">
      <c r="A739" t="s">
        <v>99</v>
      </c>
      <c r="B739" t="s">
        <v>128</v>
      </c>
      <c r="C739" t="s">
        <v>643</v>
      </c>
      <c r="D739" s="48">
        <v>52963</v>
      </c>
      <c r="E739">
        <v>0</v>
      </c>
    </row>
    <row r="740" spans="1:5" x14ac:dyDescent="0.2">
      <c r="A740" t="s">
        <v>100</v>
      </c>
      <c r="B740" t="s">
        <v>128</v>
      </c>
      <c r="C740" t="s">
        <v>639</v>
      </c>
      <c r="D740" s="48">
        <v>52963</v>
      </c>
      <c r="E740">
        <v>0</v>
      </c>
    </row>
    <row r="741" spans="1:5" x14ac:dyDescent="0.2">
      <c r="A741" t="s">
        <v>100</v>
      </c>
      <c r="B741" t="s">
        <v>128</v>
      </c>
      <c r="C741" t="s">
        <v>640</v>
      </c>
      <c r="D741" s="48">
        <v>52963</v>
      </c>
      <c r="E741">
        <v>0</v>
      </c>
    </row>
    <row r="742" spans="1:5" x14ac:dyDescent="0.2">
      <c r="A742" t="s">
        <v>100</v>
      </c>
      <c r="B742" t="s">
        <v>128</v>
      </c>
      <c r="C742" t="s">
        <v>145</v>
      </c>
      <c r="D742" s="48">
        <v>52963</v>
      </c>
      <c r="E742">
        <v>0</v>
      </c>
    </row>
    <row r="743" spans="1:5" x14ac:dyDescent="0.2">
      <c r="A743" t="s">
        <v>100</v>
      </c>
      <c r="B743" t="s">
        <v>128</v>
      </c>
      <c r="C743" t="s">
        <v>641</v>
      </c>
      <c r="D743" s="48">
        <v>52963</v>
      </c>
      <c r="E743">
        <v>0</v>
      </c>
    </row>
    <row r="744" spans="1:5" x14ac:dyDescent="0.2">
      <c r="A744" t="s">
        <v>100</v>
      </c>
      <c r="B744" t="s">
        <v>128</v>
      </c>
      <c r="C744" t="s">
        <v>642</v>
      </c>
      <c r="D744" s="48">
        <v>52963</v>
      </c>
      <c r="E744">
        <v>0</v>
      </c>
    </row>
    <row r="745" spans="1:5" x14ac:dyDescent="0.2">
      <c r="A745" t="s">
        <v>100</v>
      </c>
      <c r="B745" t="s">
        <v>128</v>
      </c>
      <c r="C745" t="s">
        <v>643</v>
      </c>
      <c r="D745" s="48">
        <v>52963</v>
      </c>
      <c r="E745">
        <v>0</v>
      </c>
    </row>
    <row r="746" spans="1:5" x14ac:dyDescent="0.2">
      <c r="A746" t="s">
        <v>101</v>
      </c>
      <c r="B746" t="s">
        <v>128</v>
      </c>
      <c r="C746" t="s">
        <v>639</v>
      </c>
      <c r="D746" s="48">
        <v>52963</v>
      </c>
      <c r="E746">
        <v>0</v>
      </c>
    </row>
    <row r="747" spans="1:5" x14ac:dyDescent="0.2">
      <c r="A747" t="s">
        <v>101</v>
      </c>
      <c r="B747" t="s">
        <v>128</v>
      </c>
      <c r="C747" t="s">
        <v>640</v>
      </c>
      <c r="D747" s="48">
        <v>52963</v>
      </c>
      <c r="E747">
        <v>0</v>
      </c>
    </row>
    <row r="748" spans="1:5" x14ac:dyDescent="0.2">
      <c r="A748" t="s">
        <v>101</v>
      </c>
      <c r="B748" t="s">
        <v>128</v>
      </c>
      <c r="C748" t="s">
        <v>145</v>
      </c>
      <c r="D748" s="48">
        <v>52963</v>
      </c>
      <c r="E748">
        <v>0</v>
      </c>
    </row>
    <row r="749" spans="1:5" x14ac:dyDescent="0.2">
      <c r="A749" t="s">
        <v>101</v>
      </c>
      <c r="B749" t="s">
        <v>128</v>
      </c>
      <c r="C749" t="s">
        <v>641</v>
      </c>
      <c r="D749" s="48">
        <v>52963</v>
      </c>
      <c r="E749">
        <v>0</v>
      </c>
    </row>
    <row r="750" spans="1:5" x14ac:dyDescent="0.2">
      <c r="A750" t="s">
        <v>101</v>
      </c>
      <c r="B750" t="s">
        <v>128</v>
      </c>
      <c r="C750" t="s">
        <v>642</v>
      </c>
      <c r="D750" s="48">
        <v>52963</v>
      </c>
      <c r="E750">
        <v>0</v>
      </c>
    </row>
    <row r="751" spans="1:5" x14ac:dyDescent="0.2">
      <c r="A751" t="s">
        <v>101</v>
      </c>
      <c r="B751" t="s">
        <v>128</v>
      </c>
      <c r="C751" t="s">
        <v>643</v>
      </c>
      <c r="D751" s="48">
        <v>52963</v>
      </c>
      <c r="E751">
        <v>0</v>
      </c>
    </row>
    <row r="752" spans="1:5" x14ac:dyDescent="0.2">
      <c r="A752" t="s">
        <v>102</v>
      </c>
      <c r="B752" t="s">
        <v>128</v>
      </c>
      <c r="C752" t="s">
        <v>639</v>
      </c>
      <c r="D752" s="48">
        <v>52963</v>
      </c>
      <c r="E752">
        <v>0</v>
      </c>
    </row>
    <row r="753" spans="1:5" x14ac:dyDescent="0.2">
      <c r="A753" t="s">
        <v>102</v>
      </c>
      <c r="B753" t="s">
        <v>128</v>
      </c>
      <c r="C753" t="s">
        <v>640</v>
      </c>
      <c r="D753" s="48">
        <v>52963</v>
      </c>
      <c r="E753">
        <v>0</v>
      </c>
    </row>
    <row r="754" spans="1:5" x14ac:dyDescent="0.2">
      <c r="A754" t="s">
        <v>102</v>
      </c>
      <c r="B754" t="s">
        <v>128</v>
      </c>
      <c r="C754" t="s">
        <v>145</v>
      </c>
      <c r="D754" s="48">
        <v>52963</v>
      </c>
      <c r="E754">
        <v>0</v>
      </c>
    </row>
    <row r="755" spans="1:5" x14ac:dyDescent="0.2">
      <c r="A755" t="s">
        <v>102</v>
      </c>
      <c r="B755" t="s">
        <v>128</v>
      </c>
      <c r="C755" t="s">
        <v>641</v>
      </c>
      <c r="D755" s="48">
        <v>52963</v>
      </c>
      <c r="E755">
        <v>0</v>
      </c>
    </row>
    <row r="756" spans="1:5" x14ac:dyDescent="0.2">
      <c r="A756" t="s">
        <v>102</v>
      </c>
      <c r="B756" t="s">
        <v>128</v>
      </c>
      <c r="C756" t="s">
        <v>642</v>
      </c>
      <c r="D756" s="48">
        <v>52963</v>
      </c>
      <c r="E756">
        <v>0</v>
      </c>
    </row>
    <row r="757" spans="1:5" x14ac:dyDescent="0.2">
      <c r="A757" t="s">
        <v>102</v>
      </c>
      <c r="B757" t="s">
        <v>128</v>
      </c>
      <c r="C757" t="s">
        <v>643</v>
      </c>
      <c r="D757" s="48">
        <v>52963</v>
      </c>
      <c r="E757">
        <v>0</v>
      </c>
    </row>
    <row r="758" spans="1:5" x14ac:dyDescent="0.2">
      <c r="A758" t="s">
        <v>103</v>
      </c>
      <c r="B758" t="s">
        <v>128</v>
      </c>
      <c r="C758" t="s">
        <v>639</v>
      </c>
      <c r="D758" s="48">
        <v>52963</v>
      </c>
      <c r="E758">
        <v>0</v>
      </c>
    </row>
    <row r="759" spans="1:5" x14ac:dyDescent="0.2">
      <c r="A759" t="s">
        <v>103</v>
      </c>
      <c r="B759" t="s">
        <v>128</v>
      </c>
      <c r="C759" t="s">
        <v>640</v>
      </c>
      <c r="D759" s="48">
        <v>52963</v>
      </c>
      <c r="E759">
        <v>0</v>
      </c>
    </row>
    <row r="760" spans="1:5" x14ac:dyDescent="0.2">
      <c r="A760" t="s">
        <v>103</v>
      </c>
      <c r="B760" t="s">
        <v>128</v>
      </c>
      <c r="C760" t="s">
        <v>145</v>
      </c>
      <c r="D760" s="48">
        <v>52963</v>
      </c>
      <c r="E760">
        <v>0</v>
      </c>
    </row>
    <row r="761" spans="1:5" x14ac:dyDescent="0.2">
      <c r="A761" t="s">
        <v>103</v>
      </c>
      <c r="B761" t="s">
        <v>128</v>
      </c>
      <c r="C761" t="s">
        <v>641</v>
      </c>
      <c r="D761" s="48">
        <v>52963</v>
      </c>
      <c r="E761">
        <v>0</v>
      </c>
    </row>
    <row r="762" spans="1:5" x14ac:dyDescent="0.2">
      <c r="A762" t="s">
        <v>103</v>
      </c>
      <c r="B762" t="s">
        <v>128</v>
      </c>
      <c r="C762" t="s">
        <v>642</v>
      </c>
      <c r="D762" s="48">
        <v>52963</v>
      </c>
      <c r="E762">
        <v>0</v>
      </c>
    </row>
    <row r="763" spans="1:5" x14ac:dyDescent="0.2">
      <c r="A763" t="s">
        <v>103</v>
      </c>
      <c r="B763" t="s">
        <v>128</v>
      </c>
      <c r="C763" t="s">
        <v>643</v>
      </c>
      <c r="D763" s="48">
        <v>52963</v>
      </c>
      <c r="E763">
        <v>0</v>
      </c>
    </row>
    <row r="764" spans="1:5" x14ac:dyDescent="0.2">
      <c r="A764" t="s">
        <v>104</v>
      </c>
      <c r="B764" t="s">
        <v>128</v>
      </c>
      <c r="C764" t="s">
        <v>639</v>
      </c>
      <c r="D764" s="48">
        <v>52963</v>
      </c>
      <c r="E764">
        <v>0</v>
      </c>
    </row>
    <row r="765" spans="1:5" x14ac:dyDescent="0.2">
      <c r="A765" t="s">
        <v>104</v>
      </c>
      <c r="B765" t="s">
        <v>128</v>
      </c>
      <c r="C765" t="s">
        <v>640</v>
      </c>
      <c r="D765" s="48">
        <v>52963</v>
      </c>
      <c r="E765">
        <v>0</v>
      </c>
    </row>
    <row r="766" spans="1:5" x14ac:dyDescent="0.2">
      <c r="A766" t="s">
        <v>104</v>
      </c>
      <c r="B766" t="s">
        <v>128</v>
      </c>
      <c r="C766" t="s">
        <v>145</v>
      </c>
      <c r="D766" s="48">
        <v>52963</v>
      </c>
      <c r="E766">
        <v>0</v>
      </c>
    </row>
    <row r="767" spans="1:5" x14ac:dyDescent="0.2">
      <c r="A767" t="s">
        <v>104</v>
      </c>
      <c r="B767" t="s">
        <v>128</v>
      </c>
      <c r="C767" t="s">
        <v>641</v>
      </c>
      <c r="D767" s="48">
        <v>52963</v>
      </c>
      <c r="E767">
        <v>0</v>
      </c>
    </row>
    <row r="768" spans="1:5" x14ac:dyDescent="0.2">
      <c r="A768" t="s">
        <v>104</v>
      </c>
      <c r="B768" t="s">
        <v>128</v>
      </c>
      <c r="C768" t="s">
        <v>642</v>
      </c>
      <c r="D768" s="48">
        <v>52963</v>
      </c>
      <c r="E768">
        <v>0</v>
      </c>
    </row>
    <row r="769" spans="1:5" x14ac:dyDescent="0.2">
      <c r="A769" t="s">
        <v>104</v>
      </c>
      <c r="B769" t="s">
        <v>128</v>
      </c>
      <c r="C769" t="s">
        <v>643</v>
      </c>
      <c r="D769" s="48">
        <v>52963</v>
      </c>
      <c r="E769">
        <v>0</v>
      </c>
    </row>
    <row r="770" spans="1:5" x14ac:dyDescent="0.2">
      <c r="A770" t="s">
        <v>677</v>
      </c>
      <c r="B770" t="s">
        <v>144</v>
      </c>
      <c r="C770" t="s">
        <v>639</v>
      </c>
      <c r="D770" s="48">
        <v>52963</v>
      </c>
      <c r="E770">
        <v>0</v>
      </c>
    </row>
    <row r="771" spans="1:5" x14ac:dyDescent="0.2">
      <c r="A771" t="s">
        <v>677</v>
      </c>
      <c r="B771" t="s">
        <v>144</v>
      </c>
      <c r="C771" t="s">
        <v>640</v>
      </c>
      <c r="D771" s="48">
        <v>52963</v>
      </c>
      <c r="E771">
        <v>0</v>
      </c>
    </row>
    <row r="772" spans="1:5" x14ac:dyDescent="0.2">
      <c r="A772" t="s">
        <v>677</v>
      </c>
      <c r="B772" t="s">
        <v>144</v>
      </c>
      <c r="C772" t="s">
        <v>145</v>
      </c>
      <c r="D772" s="48">
        <v>52963</v>
      </c>
      <c r="E772">
        <v>0</v>
      </c>
    </row>
    <row r="773" spans="1:5" x14ac:dyDescent="0.2">
      <c r="A773" t="s">
        <v>677</v>
      </c>
      <c r="B773" t="s">
        <v>144</v>
      </c>
      <c r="C773" t="s">
        <v>641</v>
      </c>
      <c r="D773" s="48">
        <v>52963</v>
      </c>
      <c r="E773">
        <v>0</v>
      </c>
    </row>
    <row r="774" spans="1:5" x14ac:dyDescent="0.2">
      <c r="A774" t="s">
        <v>677</v>
      </c>
      <c r="B774" t="s">
        <v>144</v>
      </c>
      <c r="C774" t="s">
        <v>642</v>
      </c>
      <c r="D774" s="48">
        <v>52963</v>
      </c>
      <c r="E774">
        <v>0</v>
      </c>
    </row>
    <row r="775" spans="1:5" x14ac:dyDescent="0.2">
      <c r="A775" t="s">
        <v>677</v>
      </c>
      <c r="B775" t="s">
        <v>144</v>
      </c>
      <c r="C775" t="s">
        <v>643</v>
      </c>
      <c r="D775" s="48">
        <v>52963</v>
      </c>
      <c r="E775">
        <v>0</v>
      </c>
    </row>
    <row r="776" spans="1:5" x14ac:dyDescent="0.2">
      <c r="A776" t="s">
        <v>105</v>
      </c>
      <c r="B776" t="s">
        <v>144</v>
      </c>
      <c r="C776" t="s">
        <v>639</v>
      </c>
      <c r="D776" s="48">
        <v>52963</v>
      </c>
      <c r="E776">
        <v>0</v>
      </c>
    </row>
    <row r="777" spans="1:5" x14ac:dyDescent="0.2">
      <c r="A777" t="s">
        <v>105</v>
      </c>
      <c r="B777" t="s">
        <v>144</v>
      </c>
      <c r="C777" t="s">
        <v>640</v>
      </c>
      <c r="D777" s="48">
        <v>52963</v>
      </c>
      <c r="E777">
        <v>0</v>
      </c>
    </row>
    <row r="778" spans="1:5" x14ac:dyDescent="0.2">
      <c r="A778" t="s">
        <v>105</v>
      </c>
      <c r="B778" t="s">
        <v>144</v>
      </c>
      <c r="C778" t="s">
        <v>145</v>
      </c>
      <c r="D778" s="48">
        <v>52963</v>
      </c>
      <c r="E778">
        <v>0</v>
      </c>
    </row>
    <row r="779" spans="1:5" x14ac:dyDescent="0.2">
      <c r="A779" t="s">
        <v>105</v>
      </c>
      <c r="B779" t="s">
        <v>144</v>
      </c>
      <c r="C779" t="s">
        <v>641</v>
      </c>
      <c r="D779" s="48">
        <v>52963</v>
      </c>
      <c r="E779">
        <v>0</v>
      </c>
    </row>
    <row r="780" spans="1:5" x14ac:dyDescent="0.2">
      <c r="A780" t="s">
        <v>105</v>
      </c>
      <c r="B780" t="s">
        <v>144</v>
      </c>
      <c r="C780" t="s">
        <v>642</v>
      </c>
      <c r="D780" s="48">
        <v>52963</v>
      </c>
      <c r="E780">
        <v>816566346.89814711</v>
      </c>
    </row>
    <row r="781" spans="1:5" x14ac:dyDescent="0.2">
      <c r="A781" t="s">
        <v>105</v>
      </c>
      <c r="B781" t="s">
        <v>144</v>
      </c>
      <c r="C781" t="s">
        <v>643</v>
      </c>
      <c r="D781" s="48">
        <v>52963</v>
      </c>
      <c r="E781">
        <v>0</v>
      </c>
    </row>
    <row r="782" spans="1:5" x14ac:dyDescent="0.2">
      <c r="A782" t="s">
        <v>106</v>
      </c>
      <c r="B782" t="s">
        <v>144</v>
      </c>
      <c r="C782" t="s">
        <v>639</v>
      </c>
      <c r="D782" s="48">
        <v>52963</v>
      </c>
      <c r="E782">
        <v>0</v>
      </c>
    </row>
    <row r="783" spans="1:5" x14ac:dyDescent="0.2">
      <c r="A783" t="s">
        <v>106</v>
      </c>
      <c r="B783" t="s">
        <v>144</v>
      </c>
      <c r="C783" t="s">
        <v>640</v>
      </c>
      <c r="D783" s="48">
        <v>52963</v>
      </c>
      <c r="E783">
        <v>0</v>
      </c>
    </row>
    <row r="784" spans="1:5" x14ac:dyDescent="0.2">
      <c r="A784" t="s">
        <v>106</v>
      </c>
      <c r="B784" t="s">
        <v>144</v>
      </c>
      <c r="C784" t="s">
        <v>145</v>
      </c>
      <c r="D784" s="48">
        <v>52963</v>
      </c>
      <c r="E784">
        <v>314720039.24176455</v>
      </c>
    </row>
    <row r="785" spans="1:5" x14ac:dyDescent="0.2">
      <c r="A785" t="s">
        <v>106</v>
      </c>
      <c r="B785" t="s">
        <v>144</v>
      </c>
      <c r="C785" t="s">
        <v>641</v>
      </c>
      <c r="D785" s="48">
        <v>52963</v>
      </c>
      <c r="E785">
        <v>0</v>
      </c>
    </row>
    <row r="786" spans="1:5" x14ac:dyDescent="0.2">
      <c r="A786" t="s">
        <v>106</v>
      </c>
      <c r="B786" t="s">
        <v>144</v>
      </c>
      <c r="C786" t="s">
        <v>642</v>
      </c>
      <c r="D786" s="48">
        <v>52963</v>
      </c>
      <c r="E786">
        <v>0</v>
      </c>
    </row>
    <row r="787" spans="1:5" x14ac:dyDescent="0.2">
      <c r="A787" t="s">
        <v>106</v>
      </c>
      <c r="B787" t="s">
        <v>144</v>
      </c>
      <c r="C787" t="s">
        <v>643</v>
      </c>
      <c r="D787" s="48">
        <v>52963</v>
      </c>
      <c r="E787">
        <v>0</v>
      </c>
    </row>
    <row r="788" spans="1:5" x14ac:dyDescent="0.2">
      <c r="A788" t="s">
        <v>107</v>
      </c>
      <c r="B788" t="s">
        <v>128</v>
      </c>
      <c r="C788" t="s">
        <v>639</v>
      </c>
      <c r="D788" s="48">
        <v>52963</v>
      </c>
      <c r="E788">
        <v>0</v>
      </c>
    </row>
    <row r="789" spans="1:5" x14ac:dyDescent="0.2">
      <c r="A789" t="s">
        <v>107</v>
      </c>
      <c r="B789" t="s">
        <v>128</v>
      </c>
      <c r="C789" t="s">
        <v>640</v>
      </c>
      <c r="D789" s="48">
        <v>52963</v>
      </c>
      <c r="E789">
        <v>0</v>
      </c>
    </row>
    <row r="790" spans="1:5" x14ac:dyDescent="0.2">
      <c r="A790" t="s">
        <v>107</v>
      </c>
      <c r="B790" t="s">
        <v>128</v>
      </c>
      <c r="C790" t="s">
        <v>145</v>
      </c>
      <c r="D790" s="48">
        <v>52963</v>
      </c>
      <c r="E790">
        <v>0</v>
      </c>
    </row>
    <row r="791" spans="1:5" x14ac:dyDescent="0.2">
      <c r="A791" t="s">
        <v>107</v>
      </c>
      <c r="B791" t="s">
        <v>128</v>
      </c>
      <c r="C791" t="s">
        <v>641</v>
      </c>
      <c r="D791" s="48">
        <v>52963</v>
      </c>
      <c r="E791">
        <v>0</v>
      </c>
    </row>
    <row r="792" spans="1:5" x14ac:dyDescent="0.2">
      <c r="A792" t="s">
        <v>107</v>
      </c>
      <c r="B792" t="s">
        <v>128</v>
      </c>
      <c r="C792" t="s">
        <v>642</v>
      </c>
      <c r="D792" s="48">
        <v>52963</v>
      </c>
      <c r="E792">
        <v>0</v>
      </c>
    </row>
    <row r="793" spans="1:5" x14ac:dyDescent="0.2">
      <c r="A793" t="s">
        <v>107</v>
      </c>
      <c r="B793" t="s">
        <v>128</v>
      </c>
      <c r="C793" t="s">
        <v>643</v>
      </c>
      <c r="D793" s="48">
        <v>52963</v>
      </c>
      <c r="E793">
        <v>0</v>
      </c>
    </row>
    <row r="794" spans="1:5" x14ac:dyDescent="0.2">
      <c r="A794" t="s">
        <v>678</v>
      </c>
      <c r="B794" t="s">
        <v>144</v>
      </c>
      <c r="C794" t="s">
        <v>639</v>
      </c>
      <c r="D794" s="48">
        <v>52963</v>
      </c>
      <c r="E794">
        <v>0</v>
      </c>
    </row>
    <row r="795" spans="1:5" x14ac:dyDescent="0.2">
      <c r="A795" t="s">
        <v>678</v>
      </c>
      <c r="B795" t="s">
        <v>144</v>
      </c>
      <c r="C795" t="s">
        <v>640</v>
      </c>
      <c r="D795" s="48">
        <v>52963</v>
      </c>
      <c r="E795">
        <v>0</v>
      </c>
    </row>
    <row r="796" spans="1:5" x14ac:dyDescent="0.2">
      <c r="A796" t="s">
        <v>678</v>
      </c>
      <c r="B796" t="s">
        <v>144</v>
      </c>
      <c r="C796" t="s">
        <v>145</v>
      </c>
      <c r="D796" s="48">
        <v>52963</v>
      </c>
      <c r="E796">
        <v>0</v>
      </c>
    </row>
    <row r="797" spans="1:5" x14ac:dyDescent="0.2">
      <c r="A797" t="s">
        <v>678</v>
      </c>
      <c r="B797" t="s">
        <v>144</v>
      </c>
      <c r="C797" t="s">
        <v>641</v>
      </c>
      <c r="D797" s="48">
        <v>52963</v>
      </c>
      <c r="E797">
        <v>0</v>
      </c>
    </row>
    <row r="798" spans="1:5" x14ac:dyDescent="0.2">
      <c r="A798" t="s">
        <v>678</v>
      </c>
      <c r="B798" t="s">
        <v>144</v>
      </c>
      <c r="C798" t="s">
        <v>642</v>
      </c>
      <c r="D798" s="48">
        <v>52963</v>
      </c>
      <c r="E798">
        <v>0</v>
      </c>
    </row>
    <row r="799" spans="1:5" x14ac:dyDescent="0.2">
      <c r="A799" t="s">
        <v>678</v>
      </c>
      <c r="B799" t="s">
        <v>144</v>
      </c>
      <c r="C799" t="s">
        <v>643</v>
      </c>
      <c r="D799" s="48">
        <v>52963</v>
      </c>
      <c r="E799">
        <v>0</v>
      </c>
    </row>
    <row r="800" spans="1:5" x14ac:dyDescent="0.2">
      <c r="A800" t="s">
        <v>679</v>
      </c>
      <c r="B800" t="s">
        <v>144</v>
      </c>
      <c r="C800" t="s">
        <v>639</v>
      </c>
      <c r="D800" s="48">
        <v>52963</v>
      </c>
      <c r="E800">
        <v>0</v>
      </c>
    </row>
    <row r="801" spans="1:5" x14ac:dyDescent="0.2">
      <c r="A801" t="s">
        <v>679</v>
      </c>
      <c r="B801" t="s">
        <v>144</v>
      </c>
      <c r="C801" t="s">
        <v>640</v>
      </c>
      <c r="D801" s="48">
        <v>52963</v>
      </c>
      <c r="E801">
        <v>0</v>
      </c>
    </row>
    <row r="802" spans="1:5" x14ac:dyDescent="0.2">
      <c r="A802" t="s">
        <v>679</v>
      </c>
      <c r="B802" t="s">
        <v>144</v>
      </c>
      <c r="C802" t="s">
        <v>145</v>
      </c>
      <c r="D802" s="48">
        <v>52963</v>
      </c>
      <c r="E802">
        <v>0</v>
      </c>
    </row>
    <row r="803" spans="1:5" x14ac:dyDescent="0.2">
      <c r="A803" t="s">
        <v>679</v>
      </c>
      <c r="B803" t="s">
        <v>144</v>
      </c>
      <c r="C803" t="s">
        <v>641</v>
      </c>
      <c r="D803" s="48">
        <v>52963</v>
      </c>
      <c r="E803">
        <v>0</v>
      </c>
    </row>
    <row r="804" spans="1:5" x14ac:dyDescent="0.2">
      <c r="A804" t="s">
        <v>679</v>
      </c>
      <c r="B804" t="s">
        <v>144</v>
      </c>
      <c r="C804" t="s">
        <v>642</v>
      </c>
      <c r="D804" s="48">
        <v>52963</v>
      </c>
      <c r="E804">
        <v>0</v>
      </c>
    </row>
    <row r="805" spans="1:5" x14ac:dyDescent="0.2">
      <c r="A805" t="s">
        <v>679</v>
      </c>
      <c r="B805" t="s">
        <v>144</v>
      </c>
      <c r="C805" t="s">
        <v>643</v>
      </c>
      <c r="D805" s="48">
        <v>52963</v>
      </c>
      <c r="E805">
        <v>0</v>
      </c>
    </row>
    <row r="806" spans="1:5" x14ac:dyDescent="0.2">
      <c r="A806" t="s">
        <v>680</v>
      </c>
      <c r="B806" t="s">
        <v>144</v>
      </c>
      <c r="C806" t="s">
        <v>639</v>
      </c>
      <c r="D806" s="48">
        <v>52963</v>
      </c>
      <c r="E806">
        <v>0</v>
      </c>
    </row>
    <row r="807" spans="1:5" x14ac:dyDescent="0.2">
      <c r="A807" t="s">
        <v>680</v>
      </c>
      <c r="B807" t="s">
        <v>144</v>
      </c>
      <c r="C807" t="s">
        <v>640</v>
      </c>
      <c r="D807" s="48">
        <v>52963</v>
      </c>
      <c r="E807">
        <v>0</v>
      </c>
    </row>
    <row r="808" spans="1:5" x14ac:dyDescent="0.2">
      <c r="A808" t="s">
        <v>680</v>
      </c>
      <c r="B808" t="s">
        <v>144</v>
      </c>
      <c r="C808" t="s">
        <v>145</v>
      </c>
      <c r="D808" s="48">
        <v>52963</v>
      </c>
      <c r="E808">
        <v>0</v>
      </c>
    </row>
    <row r="809" spans="1:5" x14ac:dyDescent="0.2">
      <c r="A809" t="s">
        <v>680</v>
      </c>
      <c r="B809" t="s">
        <v>144</v>
      </c>
      <c r="C809" t="s">
        <v>641</v>
      </c>
      <c r="D809" s="48">
        <v>52963</v>
      </c>
      <c r="E809">
        <v>0</v>
      </c>
    </row>
    <row r="810" spans="1:5" x14ac:dyDescent="0.2">
      <c r="A810" t="s">
        <v>680</v>
      </c>
      <c r="B810" t="s">
        <v>144</v>
      </c>
      <c r="C810" t="s">
        <v>642</v>
      </c>
      <c r="D810" s="48">
        <v>52963</v>
      </c>
      <c r="E810">
        <v>0</v>
      </c>
    </row>
    <row r="811" spans="1:5" x14ac:dyDescent="0.2">
      <c r="A811" t="s">
        <v>680</v>
      </c>
      <c r="B811" t="s">
        <v>144</v>
      </c>
      <c r="C811" t="s">
        <v>643</v>
      </c>
      <c r="D811" s="48">
        <v>52963</v>
      </c>
      <c r="E811">
        <v>259478286.52029201</v>
      </c>
    </row>
    <row r="812" spans="1:5" x14ac:dyDescent="0.2">
      <c r="A812" t="s">
        <v>108</v>
      </c>
      <c r="B812" t="s">
        <v>144</v>
      </c>
      <c r="C812" t="s">
        <v>639</v>
      </c>
      <c r="D812" s="48">
        <v>52963</v>
      </c>
      <c r="E812">
        <v>0</v>
      </c>
    </row>
    <row r="813" spans="1:5" x14ac:dyDescent="0.2">
      <c r="A813" t="s">
        <v>108</v>
      </c>
      <c r="B813" t="s">
        <v>144</v>
      </c>
      <c r="C813" t="s">
        <v>640</v>
      </c>
      <c r="D813" s="48">
        <v>52963</v>
      </c>
      <c r="E813">
        <v>0</v>
      </c>
    </row>
    <row r="814" spans="1:5" x14ac:dyDescent="0.2">
      <c r="A814" t="s">
        <v>108</v>
      </c>
      <c r="B814" t="s">
        <v>144</v>
      </c>
      <c r="C814" t="s">
        <v>145</v>
      </c>
      <c r="D814" s="48">
        <v>52963</v>
      </c>
      <c r="E814">
        <v>0</v>
      </c>
    </row>
    <row r="815" spans="1:5" x14ac:dyDescent="0.2">
      <c r="A815" t="s">
        <v>108</v>
      </c>
      <c r="B815" t="s">
        <v>144</v>
      </c>
      <c r="C815" t="s">
        <v>641</v>
      </c>
      <c r="D815" s="48">
        <v>52963</v>
      </c>
      <c r="E815">
        <v>0</v>
      </c>
    </row>
    <row r="816" spans="1:5" x14ac:dyDescent="0.2">
      <c r="A816" t="s">
        <v>108</v>
      </c>
      <c r="B816" t="s">
        <v>144</v>
      </c>
      <c r="C816" t="s">
        <v>642</v>
      </c>
      <c r="D816" s="48">
        <v>52963</v>
      </c>
      <c r="E816">
        <v>2080725.0144689891</v>
      </c>
    </row>
    <row r="817" spans="1:5" x14ac:dyDescent="0.2">
      <c r="A817" t="s">
        <v>108</v>
      </c>
      <c r="B817" t="s">
        <v>144</v>
      </c>
      <c r="C817" t="s">
        <v>643</v>
      </c>
      <c r="D817" s="48">
        <v>52963</v>
      </c>
      <c r="E817">
        <v>0</v>
      </c>
    </row>
    <row r="818" spans="1:5" x14ac:dyDescent="0.2">
      <c r="A818" t="s">
        <v>681</v>
      </c>
      <c r="B818" t="s">
        <v>144</v>
      </c>
      <c r="C818" t="s">
        <v>639</v>
      </c>
      <c r="D818" s="48">
        <v>52963</v>
      </c>
      <c r="E818">
        <v>0</v>
      </c>
    </row>
    <row r="819" spans="1:5" x14ac:dyDescent="0.2">
      <c r="A819" t="s">
        <v>681</v>
      </c>
      <c r="B819" t="s">
        <v>144</v>
      </c>
      <c r="C819" t="s">
        <v>640</v>
      </c>
      <c r="D819" s="48">
        <v>52963</v>
      </c>
      <c r="E819">
        <v>0</v>
      </c>
    </row>
    <row r="820" spans="1:5" x14ac:dyDescent="0.2">
      <c r="A820" t="s">
        <v>681</v>
      </c>
      <c r="B820" t="s">
        <v>144</v>
      </c>
      <c r="C820" t="s">
        <v>145</v>
      </c>
      <c r="D820" s="48">
        <v>52963</v>
      </c>
      <c r="E820">
        <v>0</v>
      </c>
    </row>
    <row r="821" spans="1:5" x14ac:dyDescent="0.2">
      <c r="A821" t="s">
        <v>681</v>
      </c>
      <c r="B821" t="s">
        <v>144</v>
      </c>
      <c r="C821" t="s">
        <v>641</v>
      </c>
      <c r="D821" s="48">
        <v>52963</v>
      </c>
      <c r="E821">
        <v>0</v>
      </c>
    </row>
    <row r="822" spans="1:5" x14ac:dyDescent="0.2">
      <c r="A822" t="s">
        <v>681</v>
      </c>
      <c r="B822" t="s">
        <v>144</v>
      </c>
      <c r="C822" t="s">
        <v>642</v>
      </c>
      <c r="D822" s="48">
        <v>52963</v>
      </c>
      <c r="E822">
        <v>0</v>
      </c>
    </row>
    <row r="823" spans="1:5" x14ac:dyDescent="0.2">
      <c r="A823" t="s">
        <v>681</v>
      </c>
      <c r="B823" t="s">
        <v>144</v>
      </c>
      <c r="C823" t="s">
        <v>643</v>
      </c>
      <c r="D823" s="48">
        <v>52963</v>
      </c>
      <c r="E823">
        <v>0</v>
      </c>
    </row>
    <row r="824" spans="1:5" x14ac:dyDescent="0.2">
      <c r="A824" t="s">
        <v>682</v>
      </c>
      <c r="B824" t="s">
        <v>144</v>
      </c>
      <c r="C824" t="s">
        <v>639</v>
      </c>
      <c r="D824" s="48">
        <v>52963</v>
      </c>
      <c r="E824">
        <v>0</v>
      </c>
    </row>
    <row r="825" spans="1:5" x14ac:dyDescent="0.2">
      <c r="A825" t="s">
        <v>682</v>
      </c>
      <c r="B825" t="s">
        <v>144</v>
      </c>
      <c r="C825" t="s">
        <v>640</v>
      </c>
      <c r="D825" s="48">
        <v>52963</v>
      </c>
      <c r="E825">
        <v>0</v>
      </c>
    </row>
    <row r="826" spans="1:5" x14ac:dyDescent="0.2">
      <c r="A826" t="s">
        <v>682</v>
      </c>
      <c r="B826" t="s">
        <v>144</v>
      </c>
      <c r="C826" t="s">
        <v>145</v>
      </c>
      <c r="D826" s="48">
        <v>52963</v>
      </c>
      <c r="E826">
        <v>0</v>
      </c>
    </row>
    <row r="827" spans="1:5" x14ac:dyDescent="0.2">
      <c r="A827" t="s">
        <v>682</v>
      </c>
      <c r="B827" t="s">
        <v>144</v>
      </c>
      <c r="C827" t="s">
        <v>641</v>
      </c>
      <c r="D827" s="48">
        <v>52963</v>
      </c>
      <c r="E827">
        <v>0</v>
      </c>
    </row>
    <row r="828" spans="1:5" x14ac:dyDescent="0.2">
      <c r="A828" t="s">
        <v>682</v>
      </c>
      <c r="B828" t="s">
        <v>144</v>
      </c>
      <c r="C828" t="s">
        <v>642</v>
      </c>
      <c r="D828" s="48">
        <v>52963</v>
      </c>
      <c r="E828">
        <v>0</v>
      </c>
    </row>
    <row r="829" spans="1:5" x14ac:dyDescent="0.2">
      <c r="A829" t="s">
        <v>682</v>
      </c>
      <c r="B829" t="s">
        <v>144</v>
      </c>
      <c r="C829" t="s">
        <v>643</v>
      </c>
      <c r="D829" s="48">
        <v>52963</v>
      </c>
      <c r="E829">
        <v>0</v>
      </c>
    </row>
    <row r="830" spans="1:5" x14ac:dyDescent="0.2">
      <c r="A830" t="s">
        <v>683</v>
      </c>
      <c r="B830" t="s">
        <v>144</v>
      </c>
      <c r="C830" t="s">
        <v>639</v>
      </c>
      <c r="D830" s="48">
        <v>52963</v>
      </c>
      <c r="E830">
        <v>0</v>
      </c>
    </row>
    <row r="831" spans="1:5" x14ac:dyDescent="0.2">
      <c r="A831" t="s">
        <v>683</v>
      </c>
      <c r="B831" t="s">
        <v>144</v>
      </c>
      <c r="C831" t="s">
        <v>640</v>
      </c>
      <c r="D831" s="48">
        <v>52963</v>
      </c>
      <c r="E831">
        <v>0</v>
      </c>
    </row>
    <row r="832" spans="1:5" x14ac:dyDescent="0.2">
      <c r="A832" t="s">
        <v>683</v>
      </c>
      <c r="B832" t="s">
        <v>144</v>
      </c>
      <c r="C832" t="s">
        <v>145</v>
      </c>
      <c r="D832" s="48">
        <v>52963</v>
      </c>
      <c r="E832">
        <v>0</v>
      </c>
    </row>
    <row r="833" spans="1:5" x14ac:dyDescent="0.2">
      <c r="A833" t="s">
        <v>683</v>
      </c>
      <c r="B833" t="s">
        <v>144</v>
      </c>
      <c r="C833" t="s">
        <v>641</v>
      </c>
      <c r="D833" s="48">
        <v>52963</v>
      </c>
      <c r="E833">
        <v>0</v>
      </c>
    </row>
    <row r="834" spans="1:5" x14ac:dyDescent="0.2">
      <c r="A834" t="s">
        <v>683</v>
      </c>
      <c r="B834" t="s">
        <v>144</v>
      </c>
      <c r="C834" t="s">
        <v>642</v>
      </c>
      <c r="D834" s="48">
        <v>52963</v>
      </c>
      <c r="E834">
        <v>0</v>
      </c>
    </row>
    <row r="835" spans="1:5" x14ac:dyDescent="0.2">
      <c r="A835" t="s">
        <v>683</v>
      </c>
      <c r="B835" t="s">
        <v>144</v>
      </c>
      <c r="C835" t="s">
        <v>643</v>
      </c>
      <c r="D835" s="48">
        <v>52963</v>
      </c>
      <c r="E835">
        <v>0</v>
      </c>
    </row>
    <row r="836" spans="1:5" x14ac:dyDescent="0.2">
      <c r="A836" t="s">
        <v>109</v>
      </c>
      <c r="B836" t="s">
        <v>144</v>
      </c>
      <c r="C836" t="s">
        <v>639</v>
      </c>
      <c r="D836" s="48">
        <v>52963</v>
      </c>
      <c r="E836">
        <v>0</v>
      </c>
    </row>
    <row r="837" spans="1:5" x14ac:dyDescent="0.2">
      <c r="A837" t="s">
        <v>109</v>
      </c>
      <c r="B837" t="s">
        <v>144</v>
      </c>
      <c r="C837" t="s">
        <v>640</v>
      </c>
      <c r="D837" s="48">
        <v>52963</v>
      </c>
      <c r="E837">
        <v>0</v>
      </c>
    </row>
    <row r="838" spans="1:5" x14ac:dyDescent="0.2">
      <c r="A838" t="s">
        <v>109</v>
      </c>
      <c r="B838" t="s">
        <v>144</v>
      </c>
      <c r="C838" t="s">
        <v>145</v>
      </c>
      <c r="D838" s="48">
        <v>52963</v>
      </c>
      <c r="E838">
        <v>0</v>
      </c>
    </row>
    <row r="839" spans="1:5" x14ac:dyDescent="0.2">
      <c r="A839" t="s">
        <v>109</v>
      </c>
      <c r="B839" t="s">
        <v>144</v>
      </c>
      <c r="C839" t="s">
        <v>641</v>
      </c>
      <c r="D839" s="48">
        <v>52963</v>
      </c>
      <c r="E839">
        <v>0</v>
      </c>
    </row>
    <row r="840" spans="1:5" x14ac:dyDescent="0.2">
      <c r="A840" t="s">
        <v>109</v>
      </c>
      <c r="B840" t="s">
        <v>144</v>
      </c>
      <c r="C840" t="s">
        <v>642</v>
      </c>
      <c r="D840" s="48">
        <v>52963</v>
      </c>
      <c r="E840">
        <v>0</v>
      </c>
    </row>
    <row r="841" spans="1:5" x14ac:dyDescent="0.2">
      <c r="A841" t="s">
        <v>109</v>
      </c>
      <c r="B841" t="s">
        <v>144</v>
      </c>
      <c r="C841" t="s">
        <v>643</v>
      </c>
      <c r="D841" s="48">
        <v>52963</v>
      </c>
      <c r="E841">
        <v>0</v>
      </c>
    </row>
    <row r="842" spans="1:5" x14ac:dyDescent="0.2">
      <c r="A842" t="s">
        <v>684</v>
      </c>
      <c r="B842" t="s">
        <v>144</v>
      </c>
      <c r="C842" t="s">
        <v>639</v>
      </c>
      <c r="D842" s="48">
        <v>52963</v>
      </c>
      <c r="E842">
        <v>0</v>
      </c>
    </row>
    <row r="843" spans="1:5" x14ac:dyDescent="0.2">
      <c r="A843" t="s">
        <v>684</v>
      </c>
      <c r="B843" t="s">
        <v>144</v>
      </c>
      <c r="C843" t="s">
        <v>640</v>
      </c>
      <c r="D843" s="48">
        <v>52963</v>
      </c>
      <c r="E843">
        <v>0</v>
      </c>
    </row>
    <row r="844" spans="1:5" x14ac:dyDescent="0.2">
      <c r="A844" t="s">
        <v>684</v>
      </c>
      <c r="B844" t="s">
        <v>144</v>
      </c>
      <c r="C844" t="s">
        <v>145</v>
      </c>
      <c r="D844" s="48">
        <v>52963</v>
      </c>
      <c r="E844">
        <v>0</v>
      </c>
    </row>
    <row r="845" spans="1:5" x14ac:dyDescent="0.2">
      <c r="A845" t="s">
        <v>684</v>
      </c>
      <c r="B845" t="s">
        <v>144</v>
      </c>
      <c r="C845" t="s">
        <v>641</v>
      </c>
      <c r="D845" s="48">
        <v>52963</v>
      </c>
      <c r="E845">
        <v>0</v>
      </c>
    </row>
    <row r="846" spans="1:5" x14ac:dyDescent="0.2">
      <c r="A846" t="s">
        <v>684</v>
      </c>
      <c r="B846" t="s">
        <v>144</v>
      </c>
      <c r="C846" t="s">
        <v>642</v>
      </c>
      <c r="D846" s="48">
        <v>52963</v>
      </c>
      <c r="E846">
        <v>0</v>
      </c>
    </row>
    <row r="847" spans="1:5" x14ac:dyDescent="0.2">
      <c r="A847" t="s">
        <v>684</v>
      </c>
      <c r="B847" t="s">
        <v>144</v>
      </c>
      <c r="C847" t="s">
        <v>643</v>
      </c>
      <c r="D847" s="48">
        <v>52963</v>
      </c>
      <c r="E847">
        <v>0</v>
      </c>
    </row>
    <row r="848" spans="1:5" x14ac:dyDescent="0.2">
      <c r="A848" t="s">
        <v>685</v>
      </c>
      <c r="B848" t="s">
        <v>144</v>
      </c>
      <c r="C848" t="s">
        <v>639</v>
      </c>
      <c r="D848" s="48">
        <v>52963</v>
      </c>
      <c r="E848">
        <v>0</v>
      </c>
    </row>
    <row r="849" spans="1:5" x14ac:dyDescent="0.2">
      <c r="A849" t="s">
        <v>685</v>
      </c>
      <c r="B849" t="s">
        <v>144</v>
      </c>
      <c r="C849" t="s">
        <v>640</v>
      </c>
      <c r="D849" s="48">
        <v>52963</v>
      </c>
      <c r="E849">
        <v>0</v>
      </c>
    </row>
    <row r="850" spans="1:5" x14ac:dyDescent="0.2">
      <c r="A850" t="s">
        <v>685</v>
      </c>
      <c r="B850" t="s">
        <v>144</v>
      </c>
      <c r="C850" t="s">
        <v>145</v>
      </c>
      <c r="D850" s="48">
        <v>52963</v>
      </c>
      <c r="E850">
        <v>0</v>
      </c>
    </row>
    <row r="851" spans="1:5" x14ac:dyDescent="0.2">
      <c r="A851" t="s">
        <v>685</v>
      </c>
      <c r="B851" t="s">
        <v>144</v>
      </c>
      <c r="C851" t="s">
        <v>641</v>
      </c>
      <c r="D851" s="48">
        <v>52963</v>
      </c>
      <c r="E851">
        <v>0</v>
      </c>
    </row>
    <row r="852" spans="1:5" x14ac:dyDescent="0.2">
      <c r="A852" t="s">
        <v>685</v>
      </c>
      <c r="B852" t="s">
        <v>144</v>
      </c>
      <c r="C852" t="s">
        <v>642</v>
      </c>
      <c r="D852" s="48">
        <v>52963</v>
      </c>
      <c r="E852">
        <v>0</v>
      </c>
    </row>
    <row r="853" spans="1:5" x14ac:dyDescent="0.2">
      <c r="A853" t="s">
        <v>685</v>
      </c>
      <c r="B853" t="s">
        <v>144</v>
      </c>
      <c r="C853" t="s">
        <v>643</v>
      </c>
      <c r="D853" s="48">
        <v>52963</v>
      </c>
      <c r="E853">
        <v>0</v>
      </c>
    </row>
    <row r="854" spans="1:5" x14ac:dyDescent="0.2">
      <c r="A854" t="s">
        <v>110</v>
      </c>
      <c r="B854" t="s">
        <v>128</v>
      </c>
      <c r="C854" t="s">
        <v>639</v>
      </c>
      <c r="D854" s="48">
        <v>52963</v>
      </c>
      <c r="E854">
        <v>0</v>
      </c>
    </row>
    <row r="855" spans="1:5" x14ac:dyDescent="0.2">
      <c r="A855" t="s">
        <v>110</v>
      </c>
      <c r="B855" t="s">
        <v>128</v>
      </c>
      <c r="C855" t="s">
        <v>640</v>
      </c>
      <c r="D855" s="48">
        <v>52963</v>
      </c>
      <c r="E855">
        <v>0</v>
      </c>
    </row>
    <row r="856" spans="1:5" x14ac:dyDescent="0.2">
      <c r="A856" t="s">
        <v>110</v>
      </c>
      <c r="B856" t="s">
        <v>128</v>
      </c>
      <c r="C856" t="s">
        <v>145</v>
      </c>
      <c r="D856" s="48">
        <v>52963</v>
      </c>
      <c r="E856">
        <v>0</v>
      </c>
    </row>
    <row r="857" spans="1:5" x14ac:dyDescent="0.2">
      <c r="A857" t="s">
        <v>110</v>
      </c>
      <c r="B857" t="s">
        <v>128</v>
      </c>
      <c r="C857" t="s">
        <v>641</v>
      </c>
      <c r="D857" s="48">
        <v>52963</v>
      </c>
      <c r="E857">
        <v>0</v>
      </c>
    </row>
    <row r="858" spans="1:5" x14ac:dyDescent="0.2">
      <c r="A858" t="s">
        <v>110</v>
      </c>
      <c r="B858" t="s">
        <v>128</v>
      </c>
      <c r="C858" t="s">
        <v>642</v>
      </c>
      <c r="D858" s="48">
        <v>52963</v>
      </c>
      <c r="E858">
        <v>0</v>
      </c>
    </row>
    <row r="859" spans="1:5" x14ac:dyDescent="0.2">
      <c r="A859" t="s">
        <v>110</v>
      </c>
      <c r="B859" t="s">
        <v>128</v>
      </c>
      <c r="C859" t="s">
        <v>643</v>
      </c>
      <c r="D859" s="48">
        <v>52963</v>
      </c>
      <c r="E859">
        <v>0</v>
      </c>
    </row>
    <row r="860" spans="1:5" x14ac:dyDescent="0.2">
      <c r="A860" t="s">
        <v>111</v>
      </c>
      <c r="B860" t="s">
        <v>128</v>
      </c>
      <c r="C860" t="s">
        <v>639</v>
      </c>
      <c r="D860" s="48">
        <v>52963</v>
      </c>
      <c r="E860">
        <v>0</v>
      </c>
    </row>
    <row r="861" spans="1:5" x14ac:dyDescent="0.2">
      <c r="A861" t="s">
        <v>111</v>
      </c>
      <c r="B861" t="s">
        <v>128</v>
      </c>
      <c r="C861" t="s">
        <v>640</v>
      </c>
      <c r="D861" s="48">
        <v>52963</v>
      </c>
      <c r="E861">
        <v>0</v>
      </c>
    </row>
    <row r="862" spans="1:5" x14ac:dyDescent="0.2">
      <c r="A862" t="s">
        <v>111</v>
      </c>
      <c r="B862" t="s">
        <v>128</v>
      </c>
      <c r="C862" t="s">
        <v>145</v>
      </c>
      <c r="D862" s="48">
        <v>52963</v>
      </c>
      <c r="E862">
        <v>0</v>
      </c>
    </row>
    <row r="863" spans="1:5" x14ac:dyDescent="0.2">
      <c r="A863" t="s">
        <v>111</v>
      </c>
      <c r="B863" t="s">
        <v>128</v>
      </c>
      <c r="C863" t="s">
        <v>641</v>
      </c>
      <c r="D863" s="48">
        <v>52963</v>
      </c>
      <c r="E863">
        <v>0</v>
      </c>
    </row>
    <row r="864" spans="1:5" x14ac:dyDescent="0.2">
      <c r="A864" t="s">
        <v>111</v>
      </c>
      <c r="B864" t="s">
        <v>128</v>
      </c>
      <c r="C864" t="s">
        <v>642</v>
      </c>
      <c r="D864" s="48">
        <v>52963</v>
      </c>
      <c r="E864">
        <v>0</v>
      </c>
    </row>
    <row r="865" spans="1:5" x14ac:dyDescent="0.2">
      <c r="A865" t="s">
        <v>111</v>
      </c>
      <c r="B865" t="s">
        <v>128</v>
      </c>
      <c r="C865" t="s">
        <v>643</v>
      </c>
      <c r="D865" s="48">
        <v>52963</v>
      </c>
      <c r="E865">
        <v>0</v>
      </c>
    </row>
    <row r="866" spans="1:5" x14ac:dyDescent="0.2">
      <c r="A866" t="s">
        <v>112</v>
      </c>
      <c r="B866" t="s">
        <v>128</v>
      </c>
      <c r="C866" t="s">
        <v>639</v>
      </c>
      <c r="D866" s="48">
        <v>52963</v>
      </c>
      <c r="E866">
        <v>0</v>
      </c>
    </row>
    <row r="867" spans="1:5" x14ac:dyDescent="0.2">
      <c r="A867" t="s">
        <v>112</v>
      </c>
      <c r="B867" t="s">
        <v>128</v>
      </c>
      <c r="C867" t="s">
        <v>640</v>
      </c>
      <c r="D867" s="48">
        <v>52963</v>
      </c>
      <c r="E867">
        <v>0</v>
      </c>
    </row>
    <row r="868" spans="1:5" x14ac:dyDescent="0.2">
      <c r="A868" t="s">
        <v>112</v>
      </c>
      <c r="B868" t="s">
        <v>128</v>
      </c>
      <c r="C868" t="s">
        <v>145</v>
      </c>
      <c r="D868" s="48">
        <v>52963</v>
      </c>
      <c r="E868">
        <v>0</v>
      </c>
    </row>
    <row r="869" spans="1:5" x14ac:dyDescent="0.2">
      <c r="A869" t="s">
        <v>112</v>
      </c>
      <c r="B869" t="s">
        <v>128</v>
      </c>
      <c r="C869" t="s">
        <v>641</v>
      </c>
      <c r="D869" s="48">
        <v>52963</v>
      </c>
      <c r="E869">
        <v>0</v>
      </c>
    </row>
    <row r="870" spans="1:5" x14ac:dyDescent="0.2">
      <c r="A870" t="s">
        <v>112</v>
      </c>
      <c r="B870" t="s">
        <v>128</v>
      </c>
      <c r="C870" t="s">
        <v>642</v>
      </c>
      <c r="D870" s="48">
        <v>52963</v>
      </c>
      <c r="E870">
        <v>0</v>
      </c>
    </row>
    <row r="871" spans="1:5" x14ac:dyDescent="0.2">
      <c r="A871" t="s">
        <v>112</v>
      </c>
      <c r="B871" t="s">
        <v>128</v>
      </c>
      <c r="C871" t="s">
        <v>643</v>
      </c>
      <c r="D871" s="48">
        <v>52963</v>
      </c>
      <c r="E871">
        <v>0</v>
      </c>
    </row>
    <row r="872" spans="1:5" x14ac:dyDescent="0.2">
      <c r="A872" t="s">
        <v>113</v>
      </c>
      <c r="B872" t="s">
        <v>128</v>
      </c>
      <c r="C872" t="s">
        <v>639</v>
      </c>
      <c r="D872" s="48">
        <v>52963</v>
      </c>
      <c r="E872">
        <v>0</v>
      </c>
    </row>
    <row r="873" spans="1:5" x14ac:dyDescent="0.2">
      <c r="A873" t="s">
        <v>113</v>
      </c>
      <c r="B873" t="s">
        <v>128</v>
      </c>
      <c r="C873" t="s">
        <v>640</v>
      </c>
      <c r="D873" s="48">
        <v>52963</v>
      </c>
      <c r="E873">
        <v>0</v>
      </c>
    </row>
    <row r="874" spans="1:5" x14ac:dyDescent="0.2">
      <c r="A874" t="s">
        <v>113</v>
      </c>
      <c r="B874" t="s">
        <v>128</v>
      </c>
      <c r="C874" t="s">
        <v>145</v>
      </c>
      <c r="D874" s="48">
        <v>52963</v>
      </c>
      <c r="E874">
        <v>0</v>
      </c>
    </row>
    <row r="875" spans="1:5" x14ac:dyDescent="0.2">
      <c r="A875" t="s">
        <v>113</v>
      </c>
      <c r="B875" t="s">
        <v>128</v>
      </c>
      <c r="C875" t="s">
        <v>641</v>
      </c>
      <c r="D875" s="48">
        <v>52963</v>
      </c>
      <c r="E875">
        <v>0</v>
      </c>
    </row>
    <row r="876" spans="1:5" x14ac:dyDescent="0.2">
      <c r="A876" t="s">
        <v>113</v>
      </c>
      <c r="B876" t="s">
        <v>128</v>
      </c>
      <c r="C876" t="s">
        <v>642</v>
      </c>
      <c r="D876" s="48">
        <v>52963</v>
      </c>
      <c r="E876">
        <v>0</v>
      </c>
    </row>
    <row r="877" spans="1:5" x14ac:dyDescent="0.2">
      <c r="A877" t="s">
        <v>113</v>
      </c>
      <c r="B877" t="s">
        <v>128</v>
      </c>
      <c r="C877" t="s">
        <v>643</v>
      </c>
      <c r="D877" s="48">
        <v>52963</v>
      </c>
      <c r="E877">
        <v>0</v>
      </c>
    </row>
    <row r="878" spans="1:5" x14ac:dyDescent="0.2">
      <c r="A878" t="s">
        <v>114</v>
      </c>
      <c r="B878" t="s">
        <v>128</v>
      </c>
      <c r="C878" t="s">
        <v>639</v>
      </c>
      <c r="D878" s="48">
        <v>52963</v>
      </c>
      <c r="E878">
        <v>0</v>
      </c>
    </row>
    <row r="879" spans="1:5" x14ac:dyDescent="0.2">
      <c r="A879" t="s">
        <v>114</v>
      </c>
      <c r="B879" t="s">
        <v>128</v>
      </c>
      <c r="C879" t="s">
        <v>640</v>
      </c>
      <c r="D879" s="48">
        <v>52963</v>
      </c>
      <c r="E879">
        <v>0</v>
      </c>
    </row>
    <row r="880" spans="1:5" x14ac:dyDescent="0.2">
      <c r="A880" t="s">
        <v>114</v>
      </c>
      <c r="B880" t="s">
        <v>128</v>
      </c>
      <c r="C880" t="s">
        <v>145</v>
      </c>
      <c r="D880" s="48">
        <v>52963</v>
      </c>
      <c r="E880">
        <v>0</v>
      </c>
    </row>
    <row r="881" spans="1:5" x14ac:dyDescent="0.2">
      <c r="A881" t="s">
        <v>114</v>
      </c>
      <c r="B881" t="s">
        <v>128</v>
      </c>
      <c r="C881" t="s">
        <v>641</v>
      </c>
      <c r="D881" s="48">
        <v>52963</v>
      </c>
      <c r="E881">
        <v>0</v>
      </c>
    </row>
    <row r="882" spans="1:5" x14ac:dyDescent="0.2">
      <c r="A882" t="s">
        <v>114</v>
      </c>
      <c r="B882" t="s">
        <v>128</v>
      </c>
      <c r="C882" t="s">
        <v>642</v>
      </c>
      <c r="D882" s="48">
        <v>52963</v>
      </c>
      <c r="E882">
        <v>0</v>
      </c>
    </row>
    <row r="883" spans="1:5" x14ac:dyDescent="0.2">
      <c r="A883" t="s">
        <v>114</v>
      </c>
      <c r="B883" t="s">
        <v>128</v>
      </c>
      <c r="C883" t="s">
        <v>643</v>
      </c>
      <c r="D883" s="48">
        <v>52963</v>
      </c>
      <c r="E883">
        <v>0</v>
      </c>
    </row>
    <row r="884" spans="1:5" x14ac:dyDescent="0.2">
      <c r="A884" t="s">
        <v>115</v>
      </c>
      <c r="B884" t="s">
        <v>128</v>
      </c>
      <c r="C884" t="s">
        <v>639</v>
      </c>
      <c r="D884" s="48">
        <v>52963</v>
      </c>
      <c r="E884">
        <v>0</v>
      </c>
    </row>
    <row r="885" spans="1:5" x14ac:dyDescent="0.2">
      <c r="A885" t="s">
        <v>115</v>
      </c>
      <c r="B885" t="s">
        <v>128</v>
      </c>
      <c r="C885" t="s">
        <v>640</v>
      </c>
      <c r="D885" s="48">
        <v>52963</v>
      </c>
      <c r="E885">
        <v>0</v>
      </c>
    </row>
    <row r="886" spans="1:5" x14ac:dyDescent="0.2">
      <c r="A886" t="s">
        <v>115</v>
      </c>
      <c r="B886" t="s">
        <v>128</v>
      </c>
      <c r="C886" t="s">
        <v>145</v>
      </c>
      <c r="D886" s="48">
        <v>52963</v>
      </c>
      <c r="E886">
        <v>0</v>
      </c>
    </row>
    <row r="887" spans="1:5" x14ac:dyDescent="0.2">
      <c r="A887" t="s">
        <v>115</v>
      </c>
      <c r="B887" t="s">
        <v>128</v>
      </c>
      <c r="C887" t="s">
        <v>641</v>
      </c>
      <c r="D887" s="48">
        <v>52963</v>
      </c>
      <c r="E887">
        <v>0</v>
      </c>
    </row>
    <row r="888" spans="1:5" x14ac:dyDescent="0.2">
      <c r="A888" t="s">
        <v>115</v>
      </c>
      <c r="B888" t="s">
        <v>128</v>
      </c>
      <c r="C888" t="s">
        <v>642</v>
      </c>
      <c r="D888" s="48">
        <v>52963</v>
      </c>
      <c r="E888">
        <v>0</v>
      </c>
    </row>
    <row r="889" spans="1:5" x14ac:dyDescent="0.2">
      <c r="A889" t="s">
        <v>115</v>
      </c>
      <c r="B889" t="s">
        <v>128</v>
      </c>
      <c r="C889" t="s">
        <v>643</v>
      </c>
      <c r="D889" s="48">
        <v>52963</v>
      </c>
      <c r="E889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DB4EC-84D5-7942-9B3C-91EFE2BE94AB}">
  <sheetPr codeName="Sheet10">
    <tabColor theme="0" tint="-0.14999847407452621"/>
  </sheetPr>
  <dimension ref="A1:M15"/>
  <sheetViews>
    <sheetView zoomScale="150" workbookViewId="0">
      <selection activeCell="F9" sqref="F9"/>
    </sheetView>
  </sheetViews>
  <sheetFormatPr defaultColWidth="9" defaultRowHeight="11.4" x14ac:dyDescent="0.2"/>
  <cols>
    <col min="1" max="1" width="24.375" bestFit="1" customWidth="1"/>
    <col min="6" max="6" width="21" bestFit="1" customWidth="1"/>
    <col min="7" max="7" width="21.375" bestFit="1" customWidth="1"/>
    <col min="8" max="11" width="21.375" customWidth="1"/>
    <col min="12" max="12" width="24.25" bestFit="1" customWidth="1"/>
    <col min="13" max="13" width="23.75" bestFit="1" customWidth="1"/>
  </cols>
  <sheetData>
    <row r="1" spans="1:13" x14ac:dyDescent="0.2">
      <c r="A1" t="s">
        <v>702</v>
      </c>
      <c r="B1" t="s">
        <v>703</v>
      </c>
      <c r="C1" t="s">
        <v>704</v>
      </c>
      <c r="D1" t="s">
        <v>626</v>
      </c>
      <c r="E1" t="s">
        <v>631</v>
      </c>
      <c r="F1" t="s">
        <v>705</v>
      </c>
      <c r="G1" t="s">
        <v>706</v>
      </c>
      <c r="H1" t="s">
        <v>707</v>
      </c>
      <c r="I1" t="s">
        <v>708</v>
      </c>
      <c r="J1" t="s">
        <v>709</v>
      </c>
      <c r="K1" t="s">
        <v>710</v>
      </c>
      <c r="L1" t="s">
        <v>711</v>
      </c>
      <c r="M1" t="s">
        <v>712</v>
      </c>
    </row>
    <row r="2" spans="1:13" x14ac:dyDescent="0.2">
      <c r="A2" t="s">
        <v>251</v>
      </c>
      <c r="B2" t="s">
        <v>140</v>
      </c>
      <c r="C2" t="s">
        <v>128</v>
      </c>
      <c r="D2" s="48">
        <v>52963</v>
      </c>
      <c r="E2">
        <v>0</v>
      </c>
      <c r="F2">
        <v>1980548.8190089948</v>
      </c>
      <c r="G2">
        <v>8414386.6237622667</v>
      </c>
      <c r="H2">
        <v>48442532.505684972</v>
      </c>
      <c r="I2">
        <v>19004750.47978263</v>
      </c>
      <c r="J2">
        <v>19322036.110964444</v>
      </c>
      <c r="K2">
        <v>28115536.617380064</v>
      </c>
      <c r="L2">
        <v>748222.5036487641</v>
      </c>
      <c r="M2">
        <v>755050.66219119704</v>
      </c>
    </row>
    <row r="3" spans="1:13" x14ac:dyDescent="0.2">
      <c r="A3" t="s">
        <v>713</v>
      </c>
      <c r="B3" t="s">
        <v>141</v>
      </c>
      <c r="C3" t="s">
        <v>140</v>
      </c>
      <c r="D3" s="48">
        <v>52963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x14ac:dyDescent="0.2">
      <c r="A4" t="s">
        <v>252</v>
      </c>
      <c r="B4" t="s">
        <v>141</v>
      </c>
      <c r="C4" t="s">
        <v>128</v>
      </c>
      <c r="D4" s="48">
        <v>52963</v>
      </c>
      <c r="E4">
        <v>0</v>
      </c>
      <c r="F4">
        <v>1692553.630048275</v>
      </c>
      <c r="G4">
        <v>1317206.112334975</v>
      </c>
      <c r="H4">
        <v>48930376.031694844</v>
      </c>
      <c r="I4">
        <v>27256538.00293747</v>
      </c>
      <c r="J4">
        <v>2492783.7854107581</v>
      </c>
      <c r="K4">
        <v>3948978.4800871192</v>
      </c>
      <c r="L4">
        <v>117128.35400378382</v>
      </c>
      <c r="M4">
        <v>491761.82946156769</v>
      </c>
    </row>
    <row r="5" spans="1:13" x14ac:dyDescent="0.2">
      <c r="A5" t="s">
        <v>714</v>
      </c>
      <c r="B5" t="s">
        <v>141</v>
      </c>
      <c r="C5" t="s">
        <v>142</v>
      </c>
      <c r="D5" s="48">
        <v>52963</v>
      </c>
      <c r="E5">
        <v>0</v>
      </c>
      <c r="F5">
        <v>3083808.8584943088</v>
      </c>
      <c r="G5">
        <v>2093038.1298987323</v>
      </c>
      <c r="H5">
        <v>43979899.081840254</v>
      </c>
      <c r="I5">
        <v>40609344.526201203</v>
      </c>
      <c r="J5">
        <v>7966131.0204677247</v>
      </c>
      <c r="K5">
        <v>10753302.102368563</v>
      </c>
      <c r="L5">
        <v>345755.58633551805</v>
      </c>
      <c r="M5">
        <v>895983.12221261591</v>
      </c>
    </row>
    <row r="6" spans="1:13" x14ac:dyDescent="0.2">
      <c r="A6" t="s">
        <v>253</v>
      </c>
      <c r="B6" t="s">
        <v>142</v>
      </c>
      <c r="C6" t="s">
        <v>128</v>
      </c>
      <c r="D6" s="48">
        <v>52963</v>
      </c>
      <c r="E6">
        <v>0</v>
      </c>
      <c r="F6">
        <v>2683345.7298273011</v>
      </c>
      <c r="G6">
        <v>24776618.355797801</v>
      </c>
      <c r="H6">
        <v>40359625.198884122</v>
      </c>
      <c r="I6">
        <v>19912679.408938602</v>
      </c>
      <c r="J6">
        <v>43272739.457481071</v>
      </c>
      <c r="K6">
        <v>68960276.371051863</v>
      </c>
      <c r="L6">
        <v>2203181.7941158488</v>
      </c>
      <c r="M6">
        <v>443270.36517114769</v>
      </c>
    </row>
    <row r="7" spans="1:13" x14ac:dyDescent="0.2">
      <c r="A7" t="s">
        <v>715</v>
      </c>
      <c r="B7" t="s">
        <v>143</v>
      </c>
      <c r="C7" t="s">
        <v>140</v>
      </c>
      <c r="D7" s="48">
        <v>52963</v>
      </c>
      <c r="E7">
        <v>0</v>
      </c>
      <c r="F7">
        <v>103583404.80977727</v>
      </c>
      <c r="G7">
        <v>5767979.5051896768</v>
      </c>
      <c r="H7">
        <v>223190592.79060969</v>
      </c>
      <c r="I7">
        <v>111656892.99847676</v>
      </c>
      <c r="J7">
        <v>-14738781.352594225</v>
      </c>
      <c r="K7">
        <v>54520787.567343347</v>
      </c>
      <c r="L7">
        <v>2198944.4052572665</v>
      </c>
      <c r="M7">
        <v>3314160.2395283435</v>
      </c>
    </row>
    <row r="8" spans="1:13" x14ac:dyDescent="0.2">
      <c r="A8" t="s">
        <v>254</v>
      </c>
      <c r="B8" t="s">
        <v>129</v>
      </c>
      <c r="C8" t="s">
        <v>128</v>
      </c>
      <c r="D8" s="48">
        <v>52963</v>
      </c>
      <c r="E8">
        <v>0</v>
      </c>
      <c r="F8">
        <v>45731006.842093177</v>
      </c>
      <c r="G8">
        <v>11296642.624609446</v>
      </c>
      <c r="H8">
        <v>779686820.6785593</v>
      </c>
      <c r="I8">
        <v>730232973.03622234</v>
      </c>
      <c r="J8">
        <v>2643053.1411097506</v>
      </c>
      <c r="K8">
        <v>30584380.464034308</v>
      </c>
      <c r="L8">
        <v>1004517.9292737752</v>
      </c>
      <c r="M8">
        <v>8599800.5998251233</v>
      </c>
    </row>
    <row r="9" spans="1:13" x14ac:dyDescent="0.2">
      <c r="A9" t="s">
        <v>255</v>
      </c>
      <c r="B9" t="s">
        <v>143</v>
      </c>
      <c r="C9" t="s">
        <v>129</v>
      </c>
      <c r="D9" s="48">
        <v>52963</v>
      </c>
      <c r="E9">
        <v>0</v>
      </c>
      <c r="F9">
        <v>32415236.265639737</v>
      </c>
      <c r="G9">
        <v>5189.4323528925406</v>
      </c>
      <c r="H9">
        <v>120873579.75673442</v>
      </c>
      <c r="I9">
        <v>38377333.758206546</v>
      </c>
      <c r="J9">
        <v>115716412.85904875</v>
      </c>
      <c r="K9">
        <v>115721602.29140164</v>
      </c>
      <c r="L9">
        <v>5189432.3528925423</v>
      </c>
      <c r="M9">
        <v>1249714.438363086</v>
      </c>
    </row>
    <row r="10" spans="1:13" x14ac:dyDescent="0.2">
      <c r="A10" t="s">
        <v>716</v>
      </c>
      <c r="B10" t="s">
        <v>143</v>
      </c>
      <c r="C10" t="s">
        <v>142</v>
      </c>
      <c r="D10" s="48">
        <v>52963</v>
      </c>
      <c r="E10">
        <v>0</v>
      </c>
      <c r="F10">
        <v>144508997.25066987</v>
      </c>
      <c r="G10">
        <v>3859234.9936558008</v>
      </c>
      <c r="H10">
        <v>279528081.00948066</v>
      </c>
      <c r="I10">
        <v>135019083.75881079</v>
      </c>
      <c r="J10">
        <v>11835330.329792731</v>
      </c>
      <c r="K10">
        <v>18544510.634275161</v>
      </c>
      <c r="L10">
        <v>637519.23052762134</v>
      </c>
      <c r="M10">
        <v>4623578.2056188434</v>
      </c>
    </row>
    <row r="11" spans="1:13" x14ac:dyDescent="0.2">
      <c r="A11" t="s">
        <v>717</v>
      </c>
      <c r="B11" t="s">
        <v>143</v>
      </c>
      <c r="C11" t="s">
        <v>144</v>
      </c>
      <c r="D11" s="48">
        <v>52963</v>
      </c>
      <c r="E11">
        <v>0</v>
      </c>
      <c r="F11">
        <v>19365278.125248991</v>
      </c>
      <c r="G11">
        <v>17606829.409666598</v>
      </c>
      <c r="H11">
        <v>129951816.97987592</v>
      </c>
      <c r="I11">
        <v>80646849.934440136</v>
      </c>
      <c r="J11">
        <v>60057556.461162008</v>
      </c>
      <c r="K11">
        <v>90799730.130066797</v>
      </c>
      <c r="L11">
        <v>2213509.6526596397</v>
      </c>
      <c r="M11">
        <v>3641676.4453129661</v>
      </c>
    </row>
    <row r="12" spans="1:13" x14ac:dyDescent="0.2">
      <c r="A12" t="s">
        <v>718</v>
      </c>
      <c r="B12" t="s">
        <v>144</v>
      </c>
      <c r="C12" t="s">
        <v>140</v>
      </c>
      <c r="D12" s="48">
        <v>52963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3" x14ac:dyDescent="0.2">
      <c r="A13" t="s">
        <v>256</v>
      </c>
      <c r="B13" t="s">
        <v>144</v>
      </c>
      <c r="C13" t="s">
        <v>128</v>
      </c>
      <c r="D13" s="48">
        <v>52963</v>
      </c>
      <c r="E13">
        <v>0</v>
      </c>
      <c r="F13">
        <v>412075261.41367662</v>
      </c>
      <c r="G13">
        <v>122126616.11465897</v>
      </c>
      <c r="H13">
        <v>1325261240.4466877</v>
      </c>
      <c r="I13">
        <v>409054827.87728375</v>
      </c>
      <c r="J13">
        <v>59093726.940470383</v>
      </c>
      <c r="K13">
        <v>288439947.27460223</v>
      </c>
      <c r="L13">
        <v>10859719.972149847</v>
      </c>
      <c r="M13">
        <v>12158706.370833892</v>
      </c>
    </row>
    <row r="14" spans="1:13" x14ac:dyDescent="0.2">
      <c r="A14" t="s">
        <v>719</v>
      </c>
      <c r="B14" t="s">
        <v>144</v>
      </c>
      <c r="C14" t="s">
        <v>141</v>
      </c>
      <c r="D14" s="48">
        <v>52963</v>
      </c>
      <c r="E14">
        <v>0</v>
      </c>
      <c r="F14">
        <v>3084270.7573982859</v>
      </c>
      <c r="G14">
        <v>2631208.3083467423</v>
      </c>
      <c r="H14">
        <v>6418536.0375784542</v>
      </c>
      <c r="I14">
        <v>3334265.2801801679</v>
      </c>
      <c r="J14">
        <v>17935616.034790557</v>
      </c>
      <c r="K14">
        <v>21279514.220147531</v>
      </c>
      <c r="L14">
        <v>764482.60689391894</v>
      </c>
      <c r="M14">
        <v>91004.595565150245</v>
      </c>
    </row>
    <row r="15" spans="1:13" x14ac:dyDescent="0.2">
      <c r="A15" t="s">
        <v>720</v>
      </c>
      <c r="B15" t="s">
        <v>144</v>
      </c>
      <c r="C15" t="s">
        <v>142</v>
      </c>
      <c r="D15" s="48">
        <v>52963</v>
      </c>
      <c r="E15">
        <v>0</v>
      </c>
      <c r="F15">
        <v>8183874.4450184256</v>
      </c>
      <c r="G15">
        <v>0</v>
      </c>
      <c r="H15">
        <v>16753374.410891339</v>
      </c>
      <c r="I15">
        <v>7862547.491327106</v>
      </c>
      <c r="J15">
        <v>0</v>
      </c>
      <c r="K15">
        <v>0</v>
      </c>
      <c r="L15">
        <v>0</v>
      </c>
      <c r="M15">
        <v>241473.67160888168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6334A-B929-6F46-8E68-AD4362503F98}">
  <sheetPr codeName="Sheet12">
    <tabColor theme="0" tint="-0.14999847407452621"/>
  </sheetPr>
  <dimension ref="A1:I8"/>
  <sheetViews>
    <sheetView zoomScale="139" workbookViewId="0">
      <selection activeCell="A96" sqref="A96:XFD96"/>
    </sheetView>
  </sheetViews>
  <sheetFormatPr defaultColWidth="11" defaultRowHeight="11.4" x14ac:dyDescent="0.2"/>
  <cols>
    <col min="3" max="3" width="24.75" bestFit="1" customWidth="1"/>
    <col min="4" max="4" width="20.75" bestFit="1" customWidth="1"/>
    <col min="5" max="5" width="21" bestFit="1" customWidth="1"/>
    <col min="6" max="6" width="23" bestFit="1" customWidth="1"/>
    <col min="7" max="7" width="21.25" bestFit="1" customWidth="1"/>
    <col min="8" max="8" width="21" bestFit="1" customWidth="1"/>
    <col min="9" max="9" width="20.375" bestFit="1" customWidth="1"/>
    <col min="10" max="10" width="20.625" bestFit="1" customWidth="1"/>
    <col min="11" max="11" width="18.25" bestFit="1" customWidth="1"/>
    <col min="12" max="12" width="17.375" bestFit="1" customWidth="1"/>
  </cols>
  <sheetData>
    <row r="1" spans="1:9" x14ac:dyDescent="0.2">
      <c r="A1" t="s">
        <v>250</v>
      </c>
      <c r="B1" t="s">
        <v>626</v>
      </c>
      <c r="C1" t="s">
        <v>721</v>
      </c>
      <c r="D1" t="s">
        <v>722</v>
      </c>
      <c r="E1" t="s">
        <v>693</v>
      </c>
      <c r="F1" t="s">
        <v>723</v>
      </c>
      <c r="G1" t="s">
        <v>724</v>
      </c>
      <c r="H1" t="s">
        <v>725</v>
      </c>
      <c r="I1" t="s">
        <v>726</v>
      </c>
    </row>
    <row r="2" spans="1:9" x14ac:dyDescent="0.2">
      <c r="A2" t="s">
        <v>140</v>
      </c>
      <c r="B2" s="48">
        <v>52963</v>
      </c>
      <c r="C2">
        <v>0</v>
      </c>
      <c r="D2">
        <v>0</v>
      </c>
      <c r="E2">
        <v>17678659.047494844</v>
      </c>
      <c r="F2">
        <v>4062382.743177108</v>
      </c>
      <c r="G2">
        <v>2953995.0674484638</v>
      </c>
      <c r="H2">
        <v>1108387.6757286442</v>
      </c>
      <c r="I2">
        <v>18787046.723223489</v>
      </c>
    </row>
    <row r="3" spans="1:9" x14ac:dyDescent="0.2">
      <c r="A3" t="s">
        <v>128</v>
      </c>
      <c r="B3" s="48">
        <v>52963</v>
      </c>
      <c r="C3">
        <v>0</v>
      </c>
      <c r="D3">
        <v>0</v>
      </c>
      <c r="E3">
        <v>355793984.96442819</v>
      </c>
      <c r="F3">
        <v>22448589.827482928</v>
      </c>
      <c r="G3">
        <v>14932770.553192019</v>
      </c>
      <c r="H3">
        <v>7515819.2742909081</v>
      </c>
      <c r="I3">
        <v>363309804.23871911</v>
      </c>
    </row>
    <row r="4" spans="1:9" x14ac:dyDescent="0.2">
      <c r="A4" t="s">
        <v>129</v>
      </c>
      <c r="B4" s="48">
        <v>52963</v>
      </c>
      <c r="C4">
        <v>0</v>
      </c>
      <c r="D4">
        <v>0</v>
      </c>
      <c r="E4">
        <v>11535000.58508081</v>
      </c>
      <c r="F4">
        <v>2254232.3676368613</v>
      </c>
      <c r="G4">
        <v>13789232.952717666</v>
      </c>
      <c r="H4">
        <v>-11535000.585080804</v>
      </c>
      <c r="I4">
        <v>0</v>
      </c>
    </row>
    <row r="5" spans="1:9" x14ac:dyDescent="0.2">
      <c r="A5" t="s">
        <v>141</v>
      </c>
      <c r="B5" s="48">
        <v>52963</v>
      </c>
      <c r="C5">
        <v>0</v>
      </c>
      <c r="D5">
        <v>0</v>
      </c>
      <c r="E5">
        <v>5384627.9183974359</v>
      </c>
      <c r="F5">
        <v>553888.53590445209</v>
      </c>
      <c r="G5">
        <v>2152227.5585681023</v>
      </c>
      <c r="H5">
        <v>-1598339.0226636501</v>
      </c>
      <c r="I5">
        <v>3786288.8957337849</v>
      </c>
    </row>
    <row r="6" spans="1:9" x14ac:dyDescent="0.2">
      <c r="A6" t="s">
        <v>142</v>
      </c>
      <c r="B6" s="48">
        <v>52963</v>
      </c>
      <c r="C6">
        <v>0</v>
      </c>
      <c r="D6">
        <v>0</v>
      </c>
      <c r="E6">
        <v>15829735.232657664</v>
      </c>
      <c r="F6">
        <v>7964216.7935561901</v>
      </c>
      <c r="G6">
        <v>1426545.1820342871</v>
      </c>
      <c r="H6">
        <v>6537671.6115219034</v>
      </c>
      <c r="I6">
        <v>22367406.844179571</v>
      </c>
    </row>
    <row r="7" spans="1:9" x14ac:dyDescent="0.2">
      <c r="A7" t="s">
        <v>143</v>
      </c>
      <c r="B7" s="48">
        <v>52963</v>
      </c>
      <c r="C7">
        <v>0</v>
      </c>
      <c r="D7">
        <v>0</v>
      </c>
      <c r="E7">
        <v>276291660.72562081</v>
      </c>
      <c r="F7">
        <v>10239405.641337069</v>
      </c>
      <c r="G7">
        <v>12829129.32882324</v>
      </c>
      <c r="H7">
        <v>-2589723.6874861699</v>
      </c>
      <c r="I7">
        <v>273701937.03813463</v>
      </c>
    </row>
    <row r="8" spans="1:9" x14ac:dyDescent="0.2">
      <c r="A8" t="s">
        <v>144</v>
      </c>
      <c r="B8" s="48">
        <v>52963</v>
      </c>
      <c r="C8">
        <v>0</v>
      </c>
      <c r="D8">
        <v>0</v>
      </c>
      <c r="E8">
        <v>184913239.173224</v>
      </c>
      <c r="F8">
        <v>15265879.024356732</v>
      </c>
      <c r="G8">
        <v>14704694.290667564</v>
      </c>
      <c r="H8">
        <v>561184.73368916847</v>
      </c>
      <c r="I8">
        <v>185474423.90691316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10AE0-F2D1-7240-8FB3-8604A9EF4653}">
  <sheetPr codeName="Sheet7">
    <tabColor theme="7" tint="0.79998168889431442"/>
  </sheetPr>
  <dimension ref="A1:E5"/>
  <sheetViews>
    <sheetView workbookViewId="0">
      <selection activeCell="D51" sqref="D51"/>
    </sheetView>
  </sheetViews>
  <sheetFormatPr defaultColWidth="11" defaultRowHeight="11.4" x14ac:dyDescent="0.2"/>
  <cols>
    <col min="1" max="1" width="22.625" bestFit="1" customWidth="1"/>
    <col min="5" max="5" width="17" bestFit="1" customWidth="1"/>
  </cols>
  <sheetData>
    <row r="1" spans="1:5" x14ac:dyDescent="0.2">
      <c r="A1" t="s">
        <v>633</v>
      </c>
      <c r="B1" t="s">
        <v>626</v>
      </c>
      <c r="C1" t="s">
        <v>634</v>
      </c>
      <c r="D1" t="s">
        <v>635</v>
      </c>
      <c r="E1" t="s">
        <v>636</v>
      </c>
    </row>
    <row r="2" spans="1:5" x14ac:dyDescent="0.2">
      <c r="A2" t="s">
        <v>285</v>
      </c>
      <c r="B2" s="48">
        <v>52963</v>
      </c>
      <c r="C2">
        <v>12251462.994092092</v>
      </c>
      <c r="D2">
        <v>0</v>
      </c>
      <c r="E2">
        <v>-93.630753867778736</v>
      </c>
    </row>
    <row r="3" spans="1:5" x14ac:dyDescent="0.2">
      <c r="A3" t="s">
        <v>286</v>
      </c>
      <c r="B3" s="48">
        <v>52963</v>
      </c>
      <c r="C3">
        <v>65535</v>
      </c>
    </row>
    <row r="4" spans="1:5" x14ac:dyDescent="0.2">
      <c r="A4" t="s">
        <v>287</v>
      </c>
      <c r="B4" s="48">
        <v>52963</v>
      </c>
      <c r="C4">
        <v>229164238.82711625</v>
      </c>
      <c r="E4">
        <v>0</v>
      </c>
    </row>
    <row r="5" spans="1:5" x14ac:dyDescent="0.2">
      <c r="A5" t="s">
        <v>288</v>
      </c>
      <c r="B5" s="48">
        <v>52963</v>
      </c>
      <c r="C5">
        <v>69164.600267856935</v>
      </c>
      <c r="D5">
        <v>2577.5203120161041</v>
      </c>
      <c r="E5">
        <v>96780.912983800357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1EC26-6ADE-9648-A4BE-BAB4CC732F81}">
  <sheetPr codeName="Sheet13">
    <tabColor theme="7" tint="0.79998168889431442"/>
  </sheetPr>
  <dimension ref="A1:D149"/>
  <sheetViews>
    <sheetView workbookViewId="0">
      <selection activeCell="D51" sqref="D51"/>
    </sheetView>
  </sheetViews>
  <sheetFormatPr defaultColWidth="11" defaultRowHeight="11.4" x14ac:dyDescent="0.2"/>
  <sheetData>
    <row r="1" spans="1:4" x14ac:dyDescent="0.2">
      <c r="A1" t="s">
        <v>633</v>
      </c>
      <c r="B1" t="s">
        <v>450</v>
      </c>
      <c r="C1" t="s">
        <v>626</v>
      </c>
      <c r="D1" t="s">
        <v>727</v>
      </c>
    </row>
    <row r="2" spans="1:4" x14ac:dyDescent="0.2">
      <c r="A2" t="s">
        <v>287</v>
      </c>
      <c r="B2" t="s">
        <v>10</v>
      </c>
      <c r="C2" s="48">
        <v>52963</v>
      </c>
      <c r="D2">
        <v>0</v>
      </c>
    </row>
    <row r="3" spans="1:4" x14ac:dyDescent="0.2">
      <c r="A3" t="s">
        <v>287</v>
      </c>
      <c r="B3" t="s">
        <v>11</v>
      </c>
      <c r="C3" s="48">
        <v>52963</v>
      </c>
      <c r="D3">
        <v>2674057.076212442</v>
      </c>
    </row>
    <row r="4" spans="1:4" x14ac:dyDescent="0.2">
      <c r="A4" t="s">
        <v>287</v>
      </c>
      <c r="B4" t="s">
        <v>12</v>
      </c>
      <c r="C4" s="48">
        <v>52963</v>
      </c>
      <c r="D4">
        <v>0</v>
      </c>
    </row>
    <row r="5" spans="1:4" x14ac:dyDescent="0.2">
      <c r="A5" t="s">
        <v>287</v>
      </c>
      <c r="B5" t="s">
        <v>13</v>
      </c>
      <c r="C5" s="48">
        <v>52963</v>
      </c>
      <c r="D5">
        <v>1358769.9764182076</v>
      </c>
    </row>
    <row r="6" spans="1:4" x14ac:dyDescent="0.2">
      <c r="A6" t="s">
        <v>287</v>
      </c>
      <c r="B6" t="s">
        <v>644</v>
      </c>
      <c r="C6" s="48">
        <v>52963</v>
      </c>
      <c r="D6">
        <v>0</v>
      </c>
    </row>
    <row r="7" spans="1:4" x14ac:dyDescent="0.2">
      <c r="A7" t="s">
        <v>287</v>
      </c>
      <c r="B7" t="s">
        <v>14</v>
      </c>
      <c r="C7" s="48">
        <v>52963</v>
      </c>
      <c r="D7">
        <v>0</v>
      </c>
    </row>
    <row r="8" spans="1:4" x14ac:dyDescent="0.2">
      <c r="A8" t="s">
        <v>287</v>
      </c>
      <c r="B8" t="s">
        <v>645</v>
      </c>
      <c r="C8" s="48">
        <v>52963</v>
      </c>
      <c r="D8">
        <v>0</v>
      </c>
    </row>
    <row r="9" spans="1:4" x14ac:dyDescent="0.2">
      <c r="A9" t="s">
        <v>287</v>
      </c>
      <c r="B9" t="s">
        <v>646</v>
      </c>
      <c r="C9" s="48">
        <v>52963</v>
      </c>
      <c r="D9">
        <v>0</v>
      </c>
    </row>
    <row r="10" spans="1:4" x14ac:dyDescent="0.2">
      <c r="A10" t="s">
        <v>287</v>
      </c>
      <c r="B10" t="s">
        <v>15</v>
      </c>
      <c r="C10" s="48">
        <v>52963</v>
      </c>
      <c r="D10">
        <v>0</v>
      </c>
    </row>
    <row r="11" spans="1:4" x14ac:dyDescent="0.2">
      <c r="A11" t="s">
        <v>287</v>
      </c>
      <c r="B11" t="s">
        <v>647</v>
      </c>
      <c r="C11" s="48">
        <v>52963</v>
      </c>
      <c r="D11">
        <v>0</v>
      </c>
    </row>
    <row r="12" spans="1:4" x14ac:dyDescent="0.2">
      <c r="A12" t="s">
        <v>287</v>
      </c>
      <c r="B12" t="s">
        <v>648</v>
      </c>
      <c r="C12" s="48">
        <v>52963</v>
      </c>
      <c r="D12">
        <v>0</v>
      </c>
    </row>
    <row r="13" spans="1:4" x14ac:dyDescent="0.2">
      <c r="A13" t="s">
        <v>287</v>
      </c>
      <c r="B13" t="s">
        <v>649</v>
      </c>
      <c r="C13" s="48">
        <v>52963</v>
      </c>
      <c r="D13">
        <v>0</v>
      </c>
    </row>
    <row r="14" spans="1:4" x14ac:dyDescent="0.2">
      <c r="A14" t="s">
        <v>287</v>
      </c>
      <c r="B14" t="s">
        <v>650</v>
      </c>
      <c r="C14" s="48">
        <v>52963</v>
      </c>
      <c r="D14">
        <v>0</v>
      </c>
    </row>
    <row r="15" spans="1:4" x14ac:dyDescent="0.2">
      <c r="A15" t="s">
        <v>287</v>
      </c>
      <c r="B15" t="s">
        <v>16</v>
      </c>
      <c r="C15" s="48">
        <v>52963</v>
      </c>
      <c r="D15">
        <v>0</v>
      </c>
    </row>
    <row r="16" spans="1:4" x14ac:dyDescent="0.2">
      <c r="A16" t="s">
        <v>287</v>
      </c>
      <c r="B16" t="s">
        <v>17</v>
      </c>
      <c r="C16" s="48">
        <v>52963</v>
      </c>
      <c r="D16">
        <v>0</v>
      </c>
    </row>
    <row r="17" spans="1:4" x14ac:dyDescent="0.2">
      <c r="A17" t="s">
        <v>287</v>
      </c>
      <c r="B17" t="s">
        <v>18</v>
      </c>
      <c r="C17" s="48">
        <v>52963</v>
      </c>
      <c r="D17">
        <v>0</v>
      </c>
    </row>
    <row r="18" spans="1:4" x14ac:dyDescent="0.2">
      <c r="A18" t="s">
        <v>287</v>
      </c>
      <c r="B18" t="s">
        <v>19</v>
      </c>
      <c r="C18" s="48">
        <v>52963</v>
      </c>
      <c r="D18">
        <v>4044423.496799991</v>
      </c>
    </row>
    <row r="19" spans="1:4" x14ac:dyDescent="0.2">
      <c r="A19" t="s">
        <v>287</v>
      </c>
      <c r="B19" t="s">
        <v>20</v>
      </c>
      <c r="C19" s="48">
        <v>52963</v>
      </c>
      <c r="D19">
        <v>0</v>
      </c>
    </row>
    <row r="20" spans="1:4" x14ac:dyDescent="0.2">
      <c r="A20" t="s">
        <v>287</v>
      </c>
      <c r="B20" t="s">
        <v>21</v>
      </c>
      <c r="C20" s="48">
        <v>52963</v>
      </c>
      <c r="D20">
        <v>0</v>
      </c>
    </row>
    <row r="21" spans="1:4" x14ac:dyDescent="0.2">
      <c r="A21" t="s">
        <v>287</v>
      </c>
      <c r="B21" t="s">
        <v>22</v>
      </c>
      <c r="C21" s="48">
        <v>52963</v>
      </c>
      <c r="D21">
        <v>0</v>
      </c>
    </row>
    <row r="22" spans="1:4" x14ac:dyDescent="0.2">
      <c r="A22" t="s">
        <v>287</v>
      </c>
      <c r="B22" t="s">
        <v>23</v>
      </c>
      <c r="C22" s="48">
        <v>52963</v>
      </c>
      <c r="D22">
        <v>0</v>
      </c>
    </row>
    <row r="23" spans="1:4" x14ac:dyDescent="0.2">
      <c r="A23" t="s">
        <v>287</v>
      </c>
      <c r="B23" t="s">
        <v>24</v>
      </c>
      <c r="C23" s="48">
        <v>52963</v>
      </c>
      <c r="D23">
        <v>0</v>
      </c>
    </row>
    <row r="24" spans="1:4" x14ac:dyDescent="0.2">
      <c r="A24" t="s">
        <v>287</v>
      </c>
      <c r="B24" t="s">
        <v>25</v>
      </c>
      <c r="C24" s="48">
        <v>52963</v>
      </c>
      <c r="D24">
        <v>0</v>
      </c>
    </row>
    <row r="25" spans="1:4" x14ac:dyDescent="0.2">
      <c r="A25" t="s">
        <v>287</v>
      </c>
      <c r="B25" t="s">
        <v>26</v>
      </c>
      <c r="C25" s="48">
        <v>52963</v>
      </c>
      <c r="D25">
        <v>0</v>
      </c>
    </row>
    <row r="26" spans="1:4" x14ac:dyDescent="0.2">
      <c r="A26" t="s">
        <v>287</v>
      </c>
      <c r="B26" t="s">
        <v>27</v>
      </c>
      <c r="C26" s="48">
        <v>52963</v>
      </c>
      <c r="D26">
        <v>8574626.4864000119</v>
      </c>
    </row>
    <row r="27" spans="1:4" x14ac:dyDescent="0.2">
      <c r="A27" t="s">
        <v>287</v>
      </c>
      <c r="B27" t="s">
        <v>28</v>
      </c>
      <c r="C27" s="48">
        <v>52963</v>
      </c>
      <c r="D27">
        <v>0</v>
      </c>
    </row>
    <row r="28" spans="1:4" x14ac:dyDescent="0.2">
      <c r="A28" t="s">
        <v>287</v>
      </c>
      <c r="B28" t="s">
        <v>29</v>
      </c>
      <c r="C28" s="48">
        <v>52963</v>
      </c>
      <c r="D28">
        <v>0</v>
      </c>
    </row>
    <row r="29" spans="1:4" x14ac:dyDescent="0.2">
      <c r="A29" t="s">
        <v>287</v>
      </c>
      <c r="B29" t="s">
        <v>30</v>
      </c>
      <c r="C29" s="48">
        <v>52963</v>
      </c>
      <c r="D29">
        <v>0</v>
      </c>
    </row>
    <row r="30" spans="1:4" x14ac:dyDescent="0.2">
      <c r="A30" t="s">
        <v>287</v>
      </c>
      <c r="B30" t="s">
        <v>31</v>
      </c>
      <c r="C30" s="48">
        <v>52963</v>
      </c>
      <c r="D30">
        <v>0</v>
      </c>
    </row>
    <row r="31" spans="1:4" x14ac:dyDescent="0.2">
      <c r="A31" t="s">
        <v>287</v>
      </c>
      <c r="B31" t="s">
        <v>32</v>
      </c>
      <c r="C31" s="48">
        <v>52963</v>
      </c>
      <c r="D31">
        <v>0</v>
      </c>
    </row>
    <row r="32" spans="1:4" x14ac:dyDescent="0.2">
      <c r="A32" t="s">
        <v>287</v>
      </c>
      <c r="B32" t="s">
        <v>33</v>
      </c>
      <c r="C32" s="48">
        <v>52963</v>
      </c>
      <c r="D32">
        <v>0</v>
      </c>
    </row>
    <row r="33" spans="1:4" x14ac:dyDescent="0.2">
      <c r="A33" t="s">
        <v>287</v>
      </c>
      <c r="B33" t="s">
        <v>34</v>
      </c>
      <c r="C33" s="48">
        <v>52963</v>
      </c>
      <c r="D33">
        <v>0</v>
      </c>
    </row>
    <row r="34" spans="1:4" x14ac:dyDescent="0.2">
      <c r="A34" t="s">
        <v>287</v>
      </c>
      <c r="B34" t="s">
        <v>35</v>
      </c>
      <c r="C34" s="48">
        <v>52963</v>
      </c>
      <c r="D34">
        <v>0</v>
      </c>
    </row>
    <row r="35" spans="1:4" x14ac:dyDescent="0.2">
      <c r="A35" t="s">
        <v>287</v>
      </c>
      <c r="B35" t="s">
        <v>36</v>
      </c>
      <c r="C35" s="48">
        <v>52963</v>
      </c>
      <c r="D35">
        <v>0</v>
      </c>
    </row>
    <row r="36" spans="1:4" x14ac:dyDescent="0.2">
      <c r="A36" t="s">
        <v>287</v>
      </c>
      <c r="B36" t="s">
        <v>37</v>
      </c>
      <c r="C36" s="48">
        <v>52963</v>
      </c>
      <c r="D36">
        <v>0</v>
      </c>
    </row>
    <row r="37" spans="1:4" x14ac:dyDescent="0.2">
      <c r="A37" t="s">
        <v>287</v>
      </c>
      <c r="B37" t="s">
        <v>38</v>
      </c>
      <c r="C37" s="48">
        <v>52963</v>
      </c>
      <c r="D37">
        <v>0</v>
      </c>
    </row>
    <row r="38" spans="1:4" x14ac:dyDescent="0.2">
      <c r="A38" t="s">
        <v>287</v>
      </c>
      <c r="B38" t="s">
        <v>39</v>
      </c>
      <c r="C38" s="48">
        <v>52963</v>
      </c>
      <c r="D38">
        <v>0</v>
      </c>
    </row>
    <row r="39" spans="1:4" x14ac:dyDescent="0.2">
      <c r="A39" t="s">
        <v>287</v>
      </c>
      <c r="B39" t="s">
        <v>40</v>
      </c>
      <c r="C39" s="48">
        <v>52963</v>
      </c>
      <c r="D39">
        <v>0</v>
      </c>
    </row>
    <row r="40" spans="1:4" x14ac:dyDescent="0.2">
      <c r="A40" t="s">
        <v>287</v>
      </c>
      <c r="B40" t="s">
        <v>41</v>
      </c>
      <c r="C40" s="48">
        <v>52963</v>
      </c>
      <c r="D40">
        <v>0</v>
      </c>
    </row>
    <row r="41" spans="1:4" x14ac:dyDescent="0.2">
      <c r="A41" t="s">
        <v>287</v>
      </c>
      <c r="B41" t="s">
        <v>42</v>
      </c>
      <c r="C41" s="48">
        <v>52963</v>
      </c>
      <c r="D41">
        <v>0</v>
      </c>
    </row>
    <row r="42" spans="1:4" x14ac:dyDescent="0.2">
      <c r="A42" t="s">
        <v>287</v>
      </c>
      <c r="B42" t="s">
        <v>43</v>
      </c>
      <c r="C42" s="48">
        <v>52963</v>
      </c>
      <c r="D42">
        <v>0</v>
      </c>
    </row>
    <row r="43" spans="1:4" x14ac:dyDescent="0.2">
      <c r="A43" t="s">
        <v>287</v>
      </c>
      <c r="B43" t="s">
        <v>44</v>
      </c>
      <c r="C43" s="48">
        <v>52963</v>
      </c>
      <c r="D43">
        <v>0</v>
      </c>
    </row>
    <row r="44" spans="1:4" x14ac:dyDescent="0.2">
      <c r="A44" t="s">
        <v>287</v>
      </c>
      <c r="B44" t="s">
        <v>45</v>
      </c>
      <c r="C44" s="48">
        <v>52963</v>
      </c>
      <c r="D44">
        <v>4137041.4000000022</v>
      </c>
    </row>
    <row r="45" spans="1:4" x14ac:dyDescent="0.2">
      <c r="A45" t="s">
        <v>287</v>
      </c>
      <c r="B45" t="s">
        <v>46</v>
      </c>
      <c r="C45" s="48">
        <v>52963</v>
      </c>
      <c r="D45">
        <v>0</v>
      </c>
    </row>
    <row r="46" spans="1:4" x14ac:dyDescent="0.2">
      <c r="A46" t="s">
        <v>287</v>
      </c>
      <c r="B46" t="s">
        <v>47</v>
      </c>
      <c r="C46" s="48">
        <v>52963</v>
      </c>
      <c r="D46">
        <v>32739320.485103223</v>
      </c>
    </row>
    <row r="47" spans="1:4" x14ac:dyDescent="0.2">
      <c r="A47" t="s">
        <v>287</v>
      </c>
      <c r="B47" t="s">
        <v>48</v>
      </c>
      <c r="C47" s="48">
        <v>52963</v>
      </c>
      <c r="D47">
        <v>0</v>
      </c>
    </row>
    <row r="48" spans="1:4" x14ac:dyDescent="0.2">
      <c r="A48" t="s">
        <v>287</v>
      </c>
      <c r="B48" t="s">
        <v>49</v>
      </c>
      <c r="C48" s="48">
        <v>52963</v>
      </c>
      <c r="D48">
        <v>0</v>
      </c>
    </row>
    <row r="49" spans="1:4" x14ac:dyDescent="0.2">
      <c r="A49" t="s">
        <v>287</v>
      </c>
      <c r="B49" t="s">
        <v>50</v>
      </c>
      <c r="C49" s="48">
        <v>52963</v>
      </c>
      <c r="D49">
        <v>15490265.977214424</v>
      </c>
    </row>
    <row r="50" spans="1:4" x14ac:dyDescent="0.2">
      <c r="A50" t="s">
        <v>287</v>
      </c>
      <c r="B50" t="s">
        <v>51</v>
      </c>
      <c r="C50" s="48">
        <v>52963</v>
      </c>
      <c r="D50">
        <v>0</v>
      </c>
    </row>
    <row r="51" spans="1:4" x14ac:dyDescent="0.2">
      <c r="A51" t="s">
        <v>287</v>
      </c>
      <c r="B51" t="s">
        <v>52</v>
      </c>
      <c r="C51" s="48">
        <v>52963</v>
      </c>
      <c r="D51">
        <v>682055.87372319272</v>
      </c>
    </row>
    <row r="52" spans="1:4" x14ac:dyDescent="0.2">
      <c r="A52" t="s">
        <v>287</v>
      </c>
      <c r="B52" t="s">
        <v>53</v>
      </c>
      <c r="C52" s="48">
        <v>52963</v>
      </c>
      <c r="D52">
        <v>551821.07869016193</v>
      </c>
    </row>
    <row r="53" spans="1:4" x14ac:dyDescent="0.2">
      <c r="A53" t="s">
        <v>287</v>
      </c>
      <c r="B53" t="s">
        <v>54</v>
      </c>
      <c r="C53" s="48">
        <v>52963</v>
      </c>
      <c r="D53">
        <v>0</v>
      </c>
    </row>
    <row r="54" spans="1:4" x14ac:dyDescent="0.2">
      <c r="A54" t="s">
        <v>287</v>
      </c>
      <c r="B54" t="s">
        <v>55</v>
      </c>
      <c r="C54" s="48">
        <v>52963</v>
      </c>
      <c r="D54">
        <v>181900.91287090309</v>
      </c>
    </row>
    <row r="55" spans="1:4" x14ac:dyDescent="0.2">
      <c r="A55" t="s">
        <v>287</v>
      </c>
      <c r="B55" t="s">
        <v>56</v>
      </c>
      <c r="C55" s="48">
        <v>52963</v>
      </c>
      <c r="D55">
        <v>789443.82162898593</v>
      </c>
    </row>
    <row r="56" spans="1:4" x14ac:dyDescent="0.2">
      <c r="A56" t="s">
        <v>287</v>
      </c>
      <c r="B56" t="s">
        <v>57</v>
      </c>
      <c r="C56" s="48">
        <v>52963</v>
      </c>
      <c r="D56">
        <v>0</v>
      </c>
    </row>
    <row r="57" spans="1:4" x14ac:dyDescent="0.2">
      <c r="A57" t="s">
        <v>287</v>
      </c>
      <c r="B57" t="s">
        <v>58</v>
      </c>
      <c r="C57" s="48">
        <v>52963</v>
      </c>
      <c r="D57">
        <v>2085893.8720248409</v>
      </c>
    </row>
    <row r="58" spans="1:4" x14ac:dyDescent="0.2">
      <c r="A58" t="s">
        <v>287</v>
      </c>
      <c r="B58" t="s">
        <v>59</v>
      </c>
      <c r="C58" s="48">
        <v>52963</v>
      </c>
      <c r="D58">
        <v>0</v>
      </c>
    </row>
    <row r="59" spans="1:4" x14ac:dyDescent="0.2">
      <c r="A59" t="s">
        <v>287</v>
      </c>
      <c r="B59" t="s">
        <v>60</v>
      </c>
      <c r="C59" s="48">
        <v>52963</v>
      </c>
      <c r="D59">
        <v>8810399.2142728548</v>
      </c>
    </row>
    <row r="60" spans="1:4" x14ac:dyDescent="0.2">
      <c r="A60" t="s">
        <v>287</v>
      </c>
      <c r="B60" t="s">
        <v>61</v>
      </c>
      <c r="C60" s="48">
        <v>52963</v>
      </c>
      <c r="D60">
        <v>114790.7439402512</v>
      </c>
    </row>
    <row r="61" spans="1:4" x14ac:dyDescent="0.2">
      <c r="A61" t="s">
        <v>287</v>
      </c>
      <c r="B61" t="s">
        <v>62</v>
      </c>
      <c r="C61" s="48">
        <v>52963</v>
      </c>
      <c r="D61">
        <v>76121.672009624599</v>
      </c>
    </row>
    <row r="62" spans="1:4" x14ac:dyDescent="0.2">
      <c r="A62" t="s">
        <v>287</v>
      </c>
      <c r="B62" t="s">
        <v>63</v>
      </c>
      <c r="C62" s="48">
        <v>52963</v>
      </c>
      <c r="D62">
        <v>0</v>
      </c>
    </row>
    <row r="63" spans="1:4" x14ac:dyDescent="0.2">
      <c r="A63" t="s">
        <v>287</v>
      </c>
      <c r="B63" t="s">
        <v>651</v>
      </c>
      <c r="C63" s="48">
        <v>52963</v>
      </c>
      <c r="D63">
        <v>0</v>
      </c>
    </row>
    <row r="64" spans="1:4" x14ac:dyDescent="0.2">
      <c r="A64" t="s">
        <v>287</v>
      </c>
      <c r="B64" t="s">
        <v>64</v>
      </c>
      <c r="C64" s="48">
        <v>52963</v>
      </c>
      <c r="D64">
        <v>0</v>
      </c>
    </row>
    <row r="65" spans="1:4" x14ac:dyDescent="0.2">
      <c r="A65" t="s">
        <v>287</v>
      </c>
      <c r="B65" t="s">
        <v>652</v>
      </c>
      <c r="C65" s="48">
        <v>52963</v>
      </c>
      <c r="D65">
        <v>450789.59999999992</v>
      </c>
    </row>
    <row r="66" spans="1:4" x14ac:dyDescent="0.2">
      <c r="A66" t="s">
        <v>287</v>
      </c>
      <c r="B66" t="s">
        <v>653</v>
      </c>
      <c r="C66" s="48">
        <v>52963</v>
      </c>
      <c r="D66">
        <v>0</v>
      </c>
    </row>
    <row r="67" spans="1:4" x14ac:dyDescent="0.2">
      <c r="A67" t="s">
        <v>287</v>
      </c>
      <c r="B67" t="s">
        <v>654</v>
      </c>
      <c r="C67" s="48">
        <v>52963</v>
      </c>
      <c r="D67">
        <v>0</v>
      </c>
    </row>
    <row r="68" spans="1:4" x14ac:dyDescent="0.2">
      <c r="A68" t="s">
        <v>287</v>
      </c>
      <c r="B68" t="s">
        <v>65</v>
      </c>
      <c r="C68" s="48">
        <v>52963</v>
      </c>
      <c r="D68">
        <v>0</v>
      </c>
    </row>
    <row r="69" spans="1:4" x14ac:dyDescent="0.2">
      <c r="A69" t="s">
        <v>287</v>
      </c>
      <c r="B69" t="s">
        <v>655</v>
      </c>
      <c r="C69" s="48">
        <v>52963</v>
      </c>
      <c r="D69">
        <v>0</v>
      </c>
    </row>
    <row r="70" spans="1:4" x14ac:dyDescent="0.2">
      <c r="A70" t="s">
        <v>287</v>
      </c>
      <c r="B70" t="s">
        <v>656</v>
      </c>
      <c r="C70" s="48">
        <v>52963</v>
      </c>
      <c r="D70">
        <v>158115.27500612198</v>
      </c>
    </row>
    <row r="71" spans="1:4" x14ac:dyDescent="0.2">
      <c r="A71" t="s">
        <v>287</v>
      </c>
      <c r="B71" t="s">
        <v>657</v>
      </c>
      <c r="C71" s="48">
        <v>52963</v>
      </c>
      <c r="D71">
        <v>0</v>
      </c>
    </row>
    <row r="72" spans="1:4" x14ac:dyDescent="0.2">
      <c r="A72" t="s">
        <v>287</v>
      </c>
      <c r="B72" t="s">
        <v>658</v>
      </c>
      <c r="C72" s="48">
        <v>52963</v>
      </c>
      <c r="D72">
        <v>0</v>
      </c>
    </row>
    <row r="73" spans="1:4" x14ac:dyDescent="0.2">
      <c r="A73" t="s">
        <v>287</v>
      </c>
      <c r="B73" t="s">
        <v>66</v>
      </c>
      <c r="C73" s="48">
        <v>52963</v>
      </c>
      <c r="D73">
        <v>0</v>
      </c>
    </row>
    <row r="74" spans="1:4" x14ac:dyDescent="0.2">
      <c r="A74" t="s">
        <v>287</v>
      </c>
      <c r="B74" t="s">
        <v>67</v>
      </c>
      <c r="C74" s="48">
        <v>52963</v>
      </c>
      <c r="D74">
        <v>0</v>
      </c>
    </row>
    <row r="75" spans="1:4" x14ac:dyDescent="0.2">
      <c r="A75" t="s">
        <v>287</v>
      </c>
      <c r="B75" t="s">
        <v>68</v>
      </c>
      <c r="C75" s="48">
        <v>52963</v>
      </c>
      <c r="D75">
        <v>0</v>
      </c>
    </row>
    <row r="76" spans="1:4" x14ac:dyDescent="0.2">
      <c r="A76" t="s">
        <v>287</v>
      </c>
      <c r="B76" t="s">
        <v>69</v>
      </c>
      <c r="C76" s="48">
        <v>52963</v>
      </c>
      <c r="D76">
        <v>0</v>
      </c>
    </row>
    <row r="77" spans="1:4" x14ac:dyDescent="0.2">
      <c r="A77" t="s">
        <v>287</v>
      </c>
      <c r="B77" t="s">
        <v>70</v>
      </c>
      <c r="C77" s="48">
        <v>52963</v>
      </c>
      <c r="D77">
        <v>144828.65117447934</v>
      </c>
    </row>
    <row r="78" spans="1:4" x14ac:dyDescent="0.2">
      <c r="A78" t="s">
        <v>287</v>
      </c>
      <c r="B78" t="s">
        <v>659</v>
      </c>
      <c r="C78" s="48">
        <v>52963</v>
      </c>
      <c r="D78">
        <v>0</v>
      </c>
    </row>
    <row r="79" spans="1:4" x14ac:dyDescent="0.2">
      <c r="A79" t="s">
        <v>287</v>
      </c>
      <c r="B79" t="s">
        <v>71</v>
      </c>
      <c r="C79" s="48">
        <v>52963</v>
      </c>
      <c r="D79">
        <v>0</v>
      </c>
    </row>
    <row r="80" spans="1:4" x14ac:dyDescent="0.2">
      <c r="A80" t="s">
        <v>287</v>
      </c>
      <c r="B80" t="s">
        <v>72</v>
      </c>
      <c r="C80" s="48">
        <v>52963</v>
      </c>
      <c r="D80">
        <v>0</v>
      </c>
    </row>
    <row r="81" spans="1:4" x14ac:dyDescent="0.2">
      <c r="A81" t="s">
        <v>287</v>
      </c>
      <c r="B81" t="s">
        <v>660</v>
      </c>
      <c r="C81" s="48">
        <v>52963</v>
      </c>
      <c r="D81">
        <v>0</v>
      </c>
    </row>
    <row r="82" spans="1:4" x14ac:dyDescent="0.2">
      <c r="A82" t="s">
        <v>287</v>
      </c>
      <c r="B82" t="s">
        <v>661</v>
      </c>
      <c r="C82" s="48">
        <v>52963</v>
      </c>
      <c r="D82">
        <v>0</v>
      </c>
    </row>
    <row r="83" spans="1:4" x14ac:dyDescent="0.2">
      <c r="A83" t="s">
        <v>287</v>
      </c>
      <c r="B83" t="s">
        <v>662</v>
      </c>
      <c r="C83" s="48">
        <v>52963</v>
      </c>
      <c r="D83">
        <v>0</v>
      </c>
    </row>
    <row r="84" spans="1:4" x14ac:dyDescent="0.2">
      <c r="A84" t="s">
        <v>287</v>
      </c>
      <c r="B84" t="s">
        <v>73</v>
      </c>
      <c r="C84" s="48">
        <v>52963</v>
      </c>
      <c r="D84">
        <v>0</v>
      </c>
    </row>
    <row r="85" spans="1:4" x14ac:dyDescent="0.2">
      <c r="A85" t="s">
        <v>287</v>
      </c>
      <c r="B85" t="s">
        <v>663</v>
      </c>
      <c r="C85" s="48">
        <v>52963</v>
      </c>
      <c r="D85">
        <v>0</v>
      </c>
    </row>
    <row r="86" spans="1:4" x14ac:dyDescent="0.2">
      <c r="A86" t="s">
        <v>287</v>
      </c>
      <c r="B86" t="s">
        <v>664</v>
      </c>
      <c r="C86" s="48">
        <v>52963</v>
      </c>
      <c r="D86">
        <v>0</v>
      </c>
    </row>
    <row r="87" spans="1:4" x14ac:dyDescent="0.2">
      <c r="A87" t="s">
        <v>287</v>
      </c>
      <c r="B87" t="s">
        <v>74</v>
      </c>
      <c r="C87" s="48">
        <v>52963</v>
      </c>
      <c r="D87">
        <v>0</v>
      </c>
    </row>
    <row r="88" spans="1:4" x14ac:dyDescent="0.2">
      <c r="A88" t="s">
        <v>287</v>
      </c>
      <c r="B88" t="s">
        <v>665</v>
      </c>
      <c r="C88" s="48">
        <v>52963</v>
      </c>
      <c r="D88">
        <v>10302.118555766032</v>
      </c>
    </row>
    <row r="89" spans="1:4" x14ac:dyDescent="0.2">
      <c r="A89" t="s">
        <v>287</v>
      </c>
      <c r="B89" t="s">
        <v>666</v>
      </c>
      <c r="C89" s="48">
        <v>52963</v>
      </c>
      <c r="D89">
        <v>0</v>
      </c>
    </row>
    <row r="90" spans="1:4" x14ac:dyDescent="0.2">
      <c r="A90" t="s">
        <v>287</v>
      </c>
      <c r="B90" t="s">
        <v>75</v>
      </c>
      <c r="C90" s="48">
        <v>52963</v>
      </c>
      <c r="D90">
        <v>208114.51649070191</v>
      </c>
    </row>
    <row r="91" spans="1:4" x14ac:dyDescent="0.2">
      <c r="A91" t="s">
        <v>287</v>
      </c>
      <c r="B91" t="s">
        <v>76</v>
      </c>
      <c r="C91" s="48">
        <v>52963</v>
      </c>
      <c r="D91">
        <v>0</v>
      </c>
    </row>
    <row r="92" spans="1:4" x14ac:dyDescent="0.2">
      <c r="A92" t="s">
        <v>287</v>
      </c>
      <c r="B92" t="s">
        <v>77</v>
      </c>
      <c r="C92" s="48">
        <v>52963</v>
      </c>
      <c r="D92">
        <v>0</v>
      </c>
    </row>
    <row r="93" spans="1:4" x14ac:dyDescent="0.2">
      <c r="A93" t="s">
        <v>287</v>
      </c>
      <c r="B93" t="s">
        <v>78</v>
      </c>
      <c r="C93" s="48">
        <v>52963</v>
      </c>
      <c r="D93">
        <v>0</v>
      </c>
    </row>
    <row r="94" spans="1:4" x14ac:dyDescent="0.2">
      <c r="A94" t="s">
        <v>287</v>
      </c>
      <c r="B94" t="s">
        <v>79</v>
      </c>
      <c r="C94" s="48">
        <v>52963</v>
      </c>
      <c r="D94">
        <v>0</v>
      </c>
    </row>
    <row r="95" spans="1:4" x14ac:dyDescent="0.2">
      <c r="A95" t="s">
        <v>287</v>
      </c>
      <c r="B95" t="s">
        <v>80</v>
      </c>
      <c r="C95" s="48">
        <v>52963</v>
      </c>
      <c r="D95">
        <v>1564936.9477995168</v>
      </c>
    </row>
    <row r="96" spans="1:4" x14ac:dyDescent="0.2">
      <c r="A96" t="s">
        <v>287</v>
      </c>
      <c r="B96" t="s">
        <v>667</v>
      </c>
      <c r="C96" s="48">
        <v>52963</v>
      </c>
      <c r="D96">
        <v>233716.79999999935</v>
      </c>
    </row>
    <row r="97" spans="1:4" x14ac:dyDescent="0.2">
      <c r="A97" t="s">
        <v>287</v>
      </c>
      <c r="B97" t="s">
        <v>668</v>
      </c>
      <c r="C97" s="48">
        <v>52963</v>
      </c>
      <c r="D97">
        <v>0</v>
      </c>
    </row>
    <row r="98" spans="1:4" x14ac:dyDescent="0.2">
      <c r="A98" t="s">
        <v>287</v>
      </c>
      <c r="B98" t="s">
        <v>81</v>
      </c>
      <c r="C98" s="48">
        <v>52963</v>
      </c>
      <c r="D98">
        <v>0</v>
      </c>
    </row>
    <row r="99" spans="1:4" x14ac:dyDescent="0.2">
      <c r="A99" t="s">
        <v>287</v>
      </c>
      <c r="B99" t="s">
        <v>82</v>
      </c>
      <c r="C99" s="48">
        <v>52963</v>
      </c>
      <c r="D99">
        <v>0</v>
      </c>
    </row>
    <row r="100" spans="1:4" x14ac:dyDescent="0.2">
      <c r="A100" t="s">
        <v>287</v>
      </c>
      <c r="B100" t="s">
        <v>83</v>
      </c>
      <c r="C100" s="48">
        <v>52963</v>
      </c>
      <c r="D100">
        <v>0</v>
      </c>
    </row>
    <row r="101" spans="1:4" x14ac:dyDescent="0.2">
      <c r="A101" t="s">
        <v>287</v>
      </c>
      <c r="B101" t="s">
        <v>669</v>
      </c>
      <c r="C101" s="48">
        <v>52963</v>
      </c>
      <c r="D101">
        <v>0</v>
      </c>
    </row>
    <row r="102" spans="1:4" x14ac:dyDescent="0.2">
      <c r="A102" t="s">
        <v>287</v>
      </c>
      <c r="B102" t="s">
        <v>670</v>
      </c>
      <c r="C102" s="48">
        <v>52963</v>
      </c>
      <c r="D102">
        <v>0</v>
      </c>
    </row>
    <row r="103" spans="1:4" x14ac:dyDescent="0.2">
      <c r="A103" t="s">
        <v>287</v>
      </c>
      <c r="B103" t="s">
        <v>84</v>
      </c>
      <c r="C103" s="48">
        <v>52963</v>
      </c>
      <c r="D103">
        <v>0</v>
      </c>
    </row>
    <row r="104" spans="1:4" x14ac:dyDescent="0.2">
      <c r="A104" t="s">
        <v>287</v>
      </c>
      <c r="B104" t="s">
        <v>85</v>
      </c>
      <c r="C104" s="48">
        <v>52963</v>
      </c>
      <c r="D104">
        <v>0</v>
      </c>
    </row>
    <row r="105" spans="1:4" x14ac:dyDescent="0.2">
      <c r="A105" t="s">
        <v>287</v>
      </c>
      <c r="B105" t="s">
        <v>671</v>
      </c>
      <c r="C105" s="48">
        <v>52963</v>
      </c>
      <c r="D105">
        <v>0</v>
      </c>
    </row>
    <row r="106" spans="1:4" x14ac:dyDescent="0.2">
      <c r="A106" t="s">
        <v>287</v>
      </c>
      <c r="B106" t="s">
        <v>86</v>
      </c>
      <c r="C106" s="48">
        <v>52963</v>
      </c>
      <c r="D106">
        <v>0</v>
      </c>
    </row>
    <row r="107" spans="1:4" x14ac:dyDescent="0.2">
      <c r="A107" t="s">
        <v>287</v>
      </c>
      <c r="B107" t="s">
        <v>672</v>
      </c>
      <c r="C107" s="48">
        <v>52963</v>
      </c>
      <c r="D107">
        <v>30222.00000000008</v>
      </c>
    </row>
    <row r="108" spans="1:4" x14ac:dyDescent="0.2">
      <c r="A108" t="s">
        <v>287</v>
      </c>
      <c r="B108" t="s">
        <v>673</v>
      </c>
      <c r="C108" s="48">
        <v>52963</v>
      </c>
      <c r="D108">
        <v>0</v>
      </c>
    </row>
    <row r="109" spans="1:4" x14ac:dyDescent="0.2">
      <c r="A109" t="s">
        <v>287</v>
      </c>
      <c r="B109" t="s">
        <v>674</v>
      </c>
      <c r="C109" s="48">
        <v>52963</v>
      </c>
      <c r="D109">
        <v>0</v>
      </c>
    </row>
    <row r="110" spans="1:4" x14ac:dyDescent="0.2">
      <c r="A110" t="s">
        <v>287</v>
      </c>
      <c r="B110" t="s">
        <v>675</v>
      </c>
      <c r="C110" s="48">
        <v>52963</v>
      </c>
      <c r="D110">
        <v>2959980.4270955385</v>
      </c>
    </row>
    <row r="111" spans="1:4" x14ac:dyDescent="0.2">
      <c r="A111" t="s">
        <v>287</v>
      </c>
      <c r="B111" t="s">
        <v>676</v>
      </c>
      <c r="C111" s="48">
        <v>52963</v>
      </c>
      <c r="D111">
        <v>0</v>
      </c>
    </row>
    <row r="112" spans="1:4" x14ac:dyDescent="0.2">
      <c r="A112" t="s">
        <v>287</v>
      </c>
      <c r="B112" t="s">
        <v>87</v>
      </c>
      <c r="C112" s="48">
        <v>52963</v>
      </c>
      <c r="D112">
        <v>0</v>
      </c>
    </row>
    <row r="113" spans="1:4" x14ac:dyDescent="0.2">
      <c r="A113" t="s">
        <v>287</v>
      </c>
      <c r="B113" t="s">
        <v>88</v>
      </c>
      <c r="C113" s="48">
        <v>52963</v>
      </c>
      <c r="D113">
        <v>0</v>
      </c>
    </row>
    <row r="114" spans="1:4" x14ac:dyDescent="0.2">
      <c r="A114" t="s">
        <v>287</v>
      </c>
      <c r="B114" t="s">
        <v>89</v>
      </c>
      <c r="C114" s="48">
        <v>52963</v>
      </c>
      <c r="D114">
        <v>0</v>
      </c>
    </row>
    <row r="115" spans="1:4" x14ac:dyDescent="0.2">
      <c r="A115" t="s">
        <v>287</v>
      </c>
      <c r="B115" t="s">
        <v>90</v>
      </c>
      <c r="C115" s="48">
        <v>52963</v>
      </c>
      <c r="D115">
        <v>0</v>
      </c>
    </row>
    <row r="116" spans="1:4" x14ac:dyDescent="0.2">
      <c r="A116" t="s">
        <v>287</v>
      </c>
      <c r="B116" t="s">
        <v>91</v>
      </c>
      <c r="C116" s="48">
        <v>52963</v>
      </c>
      <c r="D116">
        <v>0</v>
      </c>
    </row>
    <row r="117" spans="1:4" x14ac:dyDescent="0.2">
      <c r="A117" t="s">
        <v>287</v>
      </c>
      <c r="B117" t="s">
        <v>92</v>
      </c>
      <c r="C117" s="48">
        <v>52963</v>
      </c>
      <c r="D117">
        <v>0</v>
      </c>
    </row>
    <row r="118" spans="1:4" x14ac:dyDescent="0.2">
      <c r="A118" t="s">
        <v>287</v>
      </c>
      <c r="B118" t="s">
        <v>93</v>
      </c>
      <c r="C118" s="48">
        <v>52963</v>
      </c>
      <c r="D118">
        <v>62170294.210429683</v>
      </c>
    </row>
    <row r="119" spans="1:4" x14ac:dyDescent="0.2">
      <c r="A119" t="s">
        <v>287</v>
      </c>
      <c r="B119" t="s">
        <v>94</v>
      </c>
      <c r="C119" s="48">
        <v>52963</v>
      </c>
      <c r="D119">
        <v>0</v>
      </c>
    </row>
    <row r="120" spans="1:4" x14ac:dyDescent="0.2">
      <c r="A120" t="s">
        <v>287</v>
      </c>
      <c r="B120" t="s">
        <v>95</v>
      </c>
      <c r="C120" s="48">
        <v>52963</v>
      </c>
      <c r="D120">
        <v>0</v>
      </c>
    </row>
    <row r="121" spans="1:4" x14ac:dyDescent="0.2">
      <c r="A121" t="s">
        <v>287</v>
      </c>
      <c r="B121" t="s">
        <v>96</v>
      </c>
      <c r="C121" s="48">
        <v>52963</v>
      </c>
      <c r="D121">
        <v>0</v>
      </c>
    </row>
    <row r="122" spans="1:4" x14ac:dyDescent="0.2">
      <c r="A122" t="s">
        <v>287</v>
      </c>
      <c r="B122" t="s">
        <v>97</v>
      </c>
      <c r="C122" s="48">
        <v>52963</v>
      </c>
      <c r="D122">
        <v>0</v>
      </c>
    </row>
    <row r="123" spans="1:4" x14ac:dyDescent="0.2">
      <c r="A123" t="s">
        <v>287</v>
      </c>
      <c r="B123" t="s">
        <v>98</v>
      </c>
      <c r="C123" s="48">
        <v>52963</v>
      </c>
      <c r="D123">
        <v>1958929.8971847112</v>
      </c>
    </row>
    <row r="124" spans="1:4" x14ac:dyDescent="0.2">
      <c r="A124" t="s">
        <v>287</v>
      </c>
      <c r="B124" t="s">
        <v>99</v>
      </c>
      <c r="C124" s="48">
        <v>52963</v>
      </c>
      <c r="D124">
        <v>0</v>
      </c>
    </row>
    <row r="125" spans="1:4" x14ac:dyDescent="0.2">
      <c r="A125" t="s">
        <v>287</v>
      </c>
      <c r="B125" t="s">
        <v>100</v>
      </c>
      <c r="C125" s="48">
        <v>52963</v>
      </c>
      <c r="D125">
        <v>355791.52919382829</v>
      </c>
    </row>
    <row r="126" spans="1:4" x14ac:dyDescent="0.2">
      <c r="A126" t="s">
        <v>287</v>
      </c>
      <c r="B126" t="s">
        <v>101</v>
      </c>
      <c r="C126" s="48">
        <v>52963</v>
      </c>
      <c r="D126">
        <v>0</v>
      </c>
    </row>
    <row r="127" spans="1:4" x14ac:dyDescent="0.2">
      <c r="A127" t="s">
        <v>287</v>
      </c>
      <c r="B127" t="s">
        <v>102</v>
      </c>
      <c r="C127" s="48">
        <v>52963</v>
      </c>
      <c r="D127">
        <v>26437845.795381453</v>
      </c>
    </row>
    <row r="128" spans="1:4" x14ac:dyDescent="0.2">
      <c r="A128" t="s">
        <v>287</v>
      </c>
      <c r="B128" t="s">
        <v>103</v>
      </c>
      <c r="C128" s="48">
        <v>52963</v>
      </c>
      <c r="D128">
        <v>0</v>
      </c>
    </row>
    <row r="129" spans="1:4" x14ac:dyDescent="0.2">
      <c r="A129" t="s">
        <v>287</v>
      </c>
      <c r="B129" t="s">
        <v>104</v>
      </c>
      <c r="C129" s="48">
        <v>52963</v>
      </c>
      <c r="D129">
        <v>62132489.957035251</v>
      </c>
    </row>
    <row r="130" spans="1:4" x14ac:dyDescent="0.2">
      <c r="A130" t="s">
        <v>287</v>
      </c>
      <c r="B130" t="s">
        <v>677</v>
      </c>
      <c r="C130" s="48">
        <v>52963</v>
      </c>
      <c r="D130">
        <v>0</v>
      </c>
    </row>
    <row r="131" spans="1:4" x14ac:dyDescent="0.2">
      <c r="A131" t="s">
        <v>287</v>
      </c>
      <c r="B131" t="s">
        <v>105</v>
      </c>
      <c r="C131" s="48">
        <v>52963</v>
      </c>
      <c r="D131">
        <v>0</v>
      </c>
    </row>
    <row r="132" spans="1:4" x14ac:dyDescent="0.2">
      <c r="A132" t="s">
        <v>287</v>
      </c>
      <c r="B132" t="s">
        <v>106</v>
      </c>
      <c r="C132" s="48">
        <v>52963</v>
      </c>
      <c r="D132">
        <v>0</v>
      </c>
    </row>
    <row r="133" spans="1:4" x14ac:dyDescent="0.2">
      <c r="A133" t="s">
        <v>287</v>
      </c>
      <c r="B133" t="s">
        <v>107</v>
      </c>
      <c r="C133" s="48">
        <v>52963</v>
      </c>
      <c r="D133">
        <v>651492.03143779584</v>
      </c>
    </row>
    <row r="134" spans="1:4" x14ac:dyDescent="0.2">
      <c r="A134" t="s">
        <v>287</v>
      </c>
      <c r="B134" t="s">
        <v>678</v>
      </c>
      <c r="C134" s="48">
        <v>52963</v>
      </c>
      <c r="D134">
        <v>0</v>
      </c>
    </row>
    <row r="135" spans="1:4" x14ac:dyDescent="0.2">
      <c r="A135" t="s">
        <v>287</v>
      </c>
      <c r="B135" t="s">
        <v>679</v>
      </c>
      <c r="C135" s="48">
        <v>52963</v>
      </c>
      <c r="D135">
        <v>0</v>
      </c>
    </row>
    <row r="136" spans="1:4" x14ac:dyDescent="0.2">
      <c r="A136" t="s">
        <v>287</v>
      </c>
      <c r="B136" t="s">
        <v>680</v>
      </c>
      <c r="C136" s="48">
        <v>52963</v>
      </c>
      <c r="D136">
        <v>0</v>
      </c>
    </row>
    <row r="137" spans="1:4" x14ac:dyDescent="0.2">
      <c r="A137" t="s">
        <v>287</v>
      </c>
      <c r="B137" t="s">
        <v>108</v>
      </c>
      <c r="C137" s="48">
        <v>52963</v>
      </c>
      <c r="D137">
        <v>0</v>
      </c>
    </row>
    <row r="138" spans="1:4" x14ac:dyDescent="0.2">
      <c r="A138" t="s">
        <v>287</v>
      </c>
      <c r="B138" t="s">
        <v>681</v>
      </c>
      <c r="C138" s="48">
        <v>52963</v>
      </c>
      <c r="D138">
        <v>0</v>
      </c>
    </row>
    <row r="139" spans="1:4" x14ac:dyDescent="0.2">
      <c r="A139" t="s">
        <v>287</v>
      </c>
      <c r="B139" t="s">
        <v>682</v>
      </c>
      <c r="C139" s="48">
        <v>52963</v>
      </c>
      <c r="D139">
        <v>200833.07201464841</v>
      </c>
    </row>
    <row r="140" spans="1:4" x14ac:dyDescent="0.2">
      <c r="A140" t="s">
        <v>287</v>
      </c>
      <c r="B140" t="s">
        <v>683</v>
      </c>
      <c r="C140" s="48">
        <v>52963</v>
      </c>
      <c r="D140">
        <v>0</v>
      </c>
    </row>
    <row r="141" spans="1:4" x14ac:dyDescent="0.2">
      <c r="A141" t="s">
        <v>287</v>
      </c>
      <c r="B141" t="s">
        <v>109</v>
      </c>
      <c r="C141" s="48">
        <v>52963</v>
      </c>
      <c r="D141">
        <v>0</v>
      </c>
    </row>
    <row r="142" spans="1:4" x14ac:dyDescent="0.2">
      <c r="A142" t="s">
        <v>287</v>
      </c>
      <c r="B142" t="s">
        <v>684</v>
      </c>
      <c r="C142" s="48">
        <v>52963</v>
      </c>
      <c r="D142">
        <v>185668.68882042752</v>
      </c>
    </row>
    <row r="143" spans="1:4" x14ac:dyDescent="0.2">
      <c r="A143" t="s">
        <v>287</v>
      </c>
      <c r="B143" t="s">
        <v>685</v>
      </c>
      <c r="C143" s="48">
        <v>52963</v>
      </c>
      <c r="D143">
        <v>0</v>
      </c>
    </row>
    <row r="144" spans="1:4" x14ac:dyDescent="0.2">
      <c r="A144" t="s">
        <v>287</v>
      </c>
      <c r="B144" t="s">
        <v>110</v>
      </c>
      <c r="C144" s="48">
        <v>52963</v>
      </c>
      <c r="D144">
        <v>0</v>
      </c>
    </row>
    <row r="145" spans="1:4" x14ac:dyDescent="0.2">
      <c r="A145" t="s">
        <v>287</v>
      </c>
      <c r="B145" t="s">
        <v>111</v>
      </c>
      <c r="C145" s="48">
        <v>52963</v>
      </c>
      <c r="D145">
        <v>0</v>
      </c>
    </row>
    <row r="146" spans="1:4" x14ac:dyDescent="0.2">
      <c r="A146" t="s">
        <v>287</v>
      </c>
      <c r="B146" t="s">
        <v>112</v>
      </c>
      <c r="C146" s="48">
        <v>52963</v>
      </c>
      <c r="D146">
        <v>18485927.400120061</v>
      </c>
    </row>
    <row r="147" spans="1:4" x14ac:dyDescent="0.2">
      <c r="A147" t="s">
        <v>287</v>
      </c>
      <c r="B147" t="s">
        <v>113</v>
      </c>
      <c r="C147" s="48">
        <v>52963</v>
      </c>
      <c r="D147">
        <v>708238.59913646232</v>
      </c>
    </row>
    <row r="148" spans="1:4" x14ac:dyDescent="0.2">
      <c r="A148" t="s">
        <v>287</v>
      </c>
      <c r="B148" t="s">
        <v>114</v>
      </c>
      <c r="C148" s="48">
        <v>52963</v>
      </c>
      <c r="D148">
        <v>0</v>
      </c>
    </row>
    <row r="149" spans="1:4" x14ac:dyDescent="0.2">
      <c r="A149" t="s">
        <v>287</v>
      </c>
      <c r="B149" t="s">
        <v>115</v>
      </c>
      <c r="C149" s="48">
        <v>52963</v>
      </c>
      <c r="D149">
        <v>6639751.5201684246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B4628-3B01-F141-AF6E-693CF6ABE3C9}">
  <sheetPr codeName="Sheet15">
    <tabColor theme="7" tint="0.79998168889431442"/>
  </sheetPr>
  <dimension ref="A1:D29"/>
  <sheetViews>
    <sheetView topLeftCell="H1" workbookViewId="0">
      <selection activeCell="D51" sqref="D51"/>
    </sheetView>
  </sheetViews>
  <sheetFormatPr defaultColWidth="11" defaultRowHeight="11.4" x14ac:dyDescent="0.2"/>
  <sheetData>
    <row r="1" spans="1:4" x14ac:dyDescent="0.2">
      <c r="A1" t="s">
        <v>633</v>
      </c>
      <c r="B1" t="s">
        <v>702</v>
      </c>
      <c r="C1" t="s">
        <v>626</v>
      </c>
      <c r="D1" t="s">
        <v>727</v>
      </c>
    </row>
    <row r="2" spans="1:4" x14ac:dyDescent="0.2">
      <c r="A2" t="s">
        <v>285</v>
      </c>
      <c r="B2" t="s">
        <v>251</v>
      </c>
      <c r="C2" s="48">
        <v>52963</v>
      </c>
      <c r="D2">
        <v>323161.6834178323</v>
      </c>
    </row>
    <row r="3" spans="1:4" x14ac:dyDescent="0.2">
      <c r="A3" t="s">
        <v>285</v>
      </c>
      <c r="B3" t="s">
        <v>713</v>
      </c>
      <c r="C3" s="48">
        <v>52963</v>
      </c>
    </row>
    <row r="4" spans="1:4" x14ac:dyDescent="0.2">
      <c r="A4" t="s">
        <v>285</v>
      </c>
      <c r="B4" t="s">
        <v>252</v>
      </c>
      <c r="C4" s="48">
        <v>52963</v>
      </c>
      <c r="D4">
        <v>210474.06300955097</v>
      </c>
    </row>
    <row r="5" spans="1:4" x14ac:dyDescent="0.2">
      <c r="A5" t="s">
        <v>285</v>
      </c>
      <c r="B5" t="s">
        <v>714</v>
      </c>
      <c r="C5" s="48">
        <v>52963</v>
      </c>
    </row>
    <row r="6" spans="1:4" x14ac:dyDescent="0.2">
      <c r="A6" t="s">
        <v>285</v>
      </c>
      <c r="B6" t="s">
        <v>253</v>
      </c>
      <c r="C6" s="48">
        <v>52963</v>
      </c>
      <c r="D6">
        <v>189719.71629325123</v>
      </c>
    </row>
    <row r="7" spans="1:4" x14ac:dyDescent="0.2">
      <c r="A7" t="s">
        <v>285</v>
      </c>
      <c r="B7" t="s">
        <v>715</v>
      </c>
      <c r="C7" s="48">
        <v>52963</v>
      </c>
    </row>
    <row r="8" spans="1:4" x14ac:dyDescent="0.2">
      <c r="A8" t="s">
        <v>285</v>
      </c>
      <c r="B8" t="s">
        <v>254</v>
      </c>
      <c r="C8" s="48">
        <v>52963</v>
      </c>
    </row>
    <row r="9" spans="1:4" x14ac:dyDescent="0.2">
      <c r="A9" t="s">
        <v>285</v>
      </c>
      <c r="B9" t="s">
        <v>255</v>
      </c>
      <c r="C9" s="48">
        <v>52963</v>
      </c>
      <c r="D9">
        <v>534877.77961940074</v>
      </c>
    </row>
    <row r="10" spans="1:4" x14ac:dyDescent="0.2">
      <c r="A10" t="s">
        <v>285</v>
      </c>
      <c r="B10" t="s">
        <v>716</v>
      </c>
      <c r="C10" s="48">
        <v>52963</v>
      </c>
    </row>
    <row r="11" spans="1:4" x14ac:dyDescent="0.2">
      <c r="A11" t="s">
        <v>285</v>
      </c>
      <c r="B11" t="s">
        <v>717</v>
      </c>
      <c r="C11" s="48">
        <v>52963</v>
      </c>
    </row>
    <row r="12" spans="1:4" x14ac:dyDescent="0.2">
      <c r="A12" t="s">
        <v>285</v>
      </c>
      <c r="B12" t="s">
        <v>718</v>
      </c>
      <c r="C12" s="48">
        <v>52963</v>
      </c>
    </row>
    <row r="13" spans="1:4" x14ac:dyDescent="0.2">
      <c r="A13" t="s">
        <v>285</v>
      </c>
      <c r="B13" t="s">
        <v>256</v>
      </c>
      <c r="C13" s="48">
        <v>52963</v>
      </c>
      <c r="D13">
        <v>5203926.3267169055</v>
      </c>
    </row>
    <row r="14" spans="1:4" x14ac:dyDescent="0.2">
      <c r="A14" t="s">
        <v>285</v>
      </c>
      <c r="B14" t="s">
        <v>719</v>
      </c>
      <c r="C14" s="48">
        <v>52963</v>
      </c>
    </row>
    <row r="15" spans="1:4" x14ac:dyDescent="0.2">
      <c r="A15" t="s">
        <v>285</v>
      </c>
      <c r="B15" t="s">
        <v>720</v>
      </c>
      <c r="C15" s="48">
        <v>52963</v>
      </c>
    </row>
    <row r="16" spans="1:4" x14ac:dyDescent="0.2">
      <c r="A16" t="s">
        <v>286</v>
      </c>
      <c r="B16" t="s">
        <v>251</v>
      </c>
      <c r="C16" s="48">
        <v>52963</v>
      </c>
    </row>
    <row r="17" spans="1:3" x14ac:dyDescent="0.2">
      <c r="A17" t="s">
        <v>286</v>
      </c>
      <c r="B17" t="s">
        <v>713</v>
      </c>
      <c r="C17" s="48">
        <v>52963</v>
      </c>
    </row>
    <row r="18" spans="1:3" x14ac:dyDescent="0.2">
      <c r="A18" t="s">
        <v>286</v>
      </c>
      <c r="B18" t="s">
        <v>252</v>
      </c>
      <c r="C18" s="48">
        <v>52963</v>
      </c>
    </row>
    <row r="19" spans="1:3" x14ac:dyDescent="0.2">
      <c r="A19" t="s">
        <v>286</v>
      </c>
      <c r="B19" t="s">
        <v>714</v>
      </c>
      <c r="C19" s="48">
        <v>52963</v>
      </c>
    </row>
    <row r="20" spans="1:3" x14ac:dyDescent="0.2">
      <c r="A20" t="s">
        <v>286</v>
      </c>
      <c r="B20" t="s">
        <v>253</v>
      </c>
      <c r="C20" s="48">
        <v>52963</v>
      </c>
    </row>
    <row r="21" spans="1:3" x14ac:dyDescent="0.2">
      <c r="A21" t="s">
        <v>286</v>
      </c>
      <c r="B21" t="s">
        <v>715</v>
      </c>
      <c r="C21" s="48">
        <v>52963</v>
      </c>
    </row>
    <row r="22" spans="1:3" x14ac:dyDescent="0.2">
      <c r="A22" t="s">
        <v>286</v>
      </c>
      <c r="B22" t="s">
        <v>254</v>
      </c>
      <c r="C22" s="48">
        <v>52963</v>
      </c>
    </row>
    <row r="23" spans="1:3" x14ac:dyDescent="0.2">
      <c r="A23" t="s">
        <v>286</v>
      </c>
      <c r="B23" t="s">
        <v>255</v>
      </c>
      <c r="C23" s="48">
        <v>52963</v>
      </c>
    </row>
    <row r="24" spans="1:3" x14ac:dyDescent="0.2">
      <c r="A24" t="s">
        <v>286</v>
      </c>
      <c r="B24" t="s">
        <v>716</v>
      </c>
      <c r="C24" s="48">
        <v>52963</v>
      </c>
    </row>
    <row r="25" spans="1:3" x14ac:dyDescent="0.2">
      <c r="A25" t="s">
        <v>286</v>
      </c>
      <c r="B25" t="s">
        <v>717</v>
      </c>
      <c r="C25" s="48">
        <v>52963</v>
      </c>
    </row>
    <row r="26" spans="1:3" x14ac:dyDescent="0.2">
      <c r="A26" t="s">
        <v>286</v>
      </c>
      <c r="B26" t="s">
        <v>718</v>
      </c>
      <c r="C26" s="48">
        <v>52963</v>
      </c>
    </row>
    <row r="27" spans="1:3" x14ac:dyDescent="0.2">
      <c r="A27" t="s">
        <v>286</v>
      </c>
      <c r="B27" t="s">
        <v>256</v>
      </c>
      <c r="C27" s="48">
        <v>52963</v>
      </c>
    </row>
    <row r="28" spans="1:3" x14ac:dyDescent="0.2">
      <c r="A28" t="s">
        <v>286</v>
      </c>
      <c r="B28" t="s">
        <v>719</v>
      </c>
      <c r="C28" s="48">
        <v>52963</v>
      </c>
    </row>
    <row r="29" spans="1:3" x14ac:dyDescent="0.2">
      <c r="A29" t="s">
        <v>286</v>
      </c>
      <c r="B29" t="s">
        <v>720</v>
      </c>
      <c r="C29" s="48">
        <v>52963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356A6-580F-CF49-BE02-B833CD889B7D}">
  <sheetPr codeName="Sheet16">
    <tabColor theme="7" tint="0.79998168889431442"/>
  </sheetPr>
  <dimension ref="A1:D297"/>
  <sheetViews>
    <sheetView topLeftCell="A2711" workbookViewId="0">
      <selection activeCell="D51" sqref="D51"/>
    </sheetView>
  </sheetViews>
  <sheetFormatPr defaultColWidth="11" defaultRowHeight="11.4" x14ac:dyDescent="0.2"/>
  <cols>
    <col min="2" max="2" width="34.625" bestFit="1" customWidth="1"/>
  </cols>
  <sheetData>
    <row r="1" spans="1:4" x14ac:dyDescent="0.2">
      <c r="A1" t="s">
        <v>633</v>
      </c>
      <c r="B1" t="s">
        <v>450</v>
      </c>
      <c r="C1" t="s">
        <v>626</v>
      </c>
      <c r="D1" t="s">
        <v>727</v>
      </c>
    </row>
    <row r="2" spans="1:4" x14ac:dyDescent="0.2">
      <c r="A2" t="s">
        <v>285</v>
      </c>
      <c r="B2" t="s">
        <v>10</v>
      </c>
      <c r="C2" s="48">
        <v>52963</v>
      </c>
    </row>
    <row r="3" spans="1:4" x14ac:dyDescent="0.2">
      <c r="A3" t="s">
        <v>285</v>
      </c>
      <c r="B3" t="s">
        <v>11</v>
      </c>
      <c r="C3" s="48">
        <v>52963</v>
      </c>
    </row>
    <row r="4" spans="1:4" x14ac:dyDescent="0.2">
      <c r="A4" t="s">
        <v>285</v>
      </c>
      <c r="B4" t="s">
        <v>12</v>
      </c>
      <c r="C4" s="48">
        <v>52963</v>
      </c>
    </row>
    <row r="5" spans="1:4" x14ac:dyDescent="0.2">
      <c r="A5" t="s">
        <v>285</v>
      </c>
      <c r="B5" t="s">
        <v>13</v>
      </c>
      <c r="C5" s="48">
        <v>52963</v>
      </c>
    </row>
    <row r="6" spans="1:4" x14ac:dyDescent="0.2">
      <c r="A6" t="s">
        <v>285</v>
      </c>
      <c r="B6" t="s">
        <v>644</v>
      </c>
      <c r="C6" s="48">
        <v>52963</v>
      </c>
    </row>
    <row r="7" spans="1:4" x14ac:dyDescent="0.2">
      <c r="A7" t="s">
        <v>285</v>
      </c>
      <c r="B7" t="s">
        <v>14</v>
      </c>
      <c r="C7" s="48">
        <v>52963</v>
      </c>
    </row>
    <row r="8" spans="1:4" x14ac:dyDescent="0.2">
      <c r="A8" t="s">
        <v>285</v>
      </c>
      <c r="B8" t="s">
        <v>645</v>
      </c>
      <c r="C8" s="48">
        <v>52963</v>
      </c>
    </row>
    <row r="9" spans="1:4" x14ac:dyDescent="0.2">
      <c r="A9" t="s">
        <v>285</v>
      </c>
      <c r="B9" t="s">
        <v>646</v>
      </c>
      <c r="C9" s="48">
        <v>52963</v>
      </c>
    </row>
    <row r="10" spans="1:4" x14ac:dyDescent="0.2">
      <c r="A10" t="s">
        <v>285</v>
      </c>
      <c r="B10" t="s">
        <v>15</v>
      </c>
      <c r="C10" s="48">
        <v>52963</v>
      </c>
    </row>
    <row r="11" spans="1:4" x14ac:dyDescent="0.2">
      <c r="A11" t="s">
        <v>285</v>
      </c>
      <c r="B11" t="s">
        <v>647</v>
      </c>
      <c r="C11" s="48">
        <v>52963</v>
      </c>
    </row>
    <row r="12" spans="1:4" x14ac:dyDescent="0.2">
      <c r="A12" t="s">
        <v>285</v>
      </c>
      <c r="B12" t="s">
        <v>648</v>
      </c>
      <c r="C12" s="48">
        <v>52963</v>
      </c>
    </row>
    <row r="13" spans="1:4" x14ac:dyDescent="0.2">
      <c r="A13" t="s">
        <v>285</v>
      </c>
      <c r="B13" t="s">
        <v>649</v>
      </c>
      <c r="C13" s="48">
        <v>52963</v>
      </c>
    </row>
    <row r="14" spans="1:4" x14ac:dyDescent="0.2">
      <c r="A14" t="s">
        <v>285</v>
      </c>
      <c r="B14" t="s">
        <v>650</v>
      </c>
      <c r="C14" s="48">
        <v>52963</v>
      </c>
    </row>
    <row r="15" spans="1:4" x14ac:dyDescent="0.2">
      <c r="A15" t="s">
        <v>285</v>
      </c>
      <c r="B15" t="s">
        <v>16</v>
      </c>
      <c r="C15" s="48">
        <v>52963</v>
      </c>
      <c r="D15">
        <v>2187428.8571879598</v>
      </c>
    </row>
    <row r="16" spans="1:4" x14ac:dyDescent="0.2">
      <c r="A16" t="s">
        <v>285</v>
      </c>
      <c r="B16" t="s">
        <v>17</v>
      </c>
      <c r="C16" s="48">
        <v>52963</v>
      </c>
      <c r="D16">
        <v>0</v>
      </c>
    </row>
    <row r="17" spans="1:4" x14ac:dyDescent="0.2">
      <c r="A17" t="s">
        <v>285</v>
      </c>
      <c r="B17" t="s">
        <v>18</v>
      </c>
      <c r="C17" s="48">
        <v>52963</v>
      </c>
    </row>
    <row r="18" spans="1:4" x14ac:dyDescent="0.2">
      <c r="A18" t="s">
        <v>285</v>
      </c>
      <c r="B18" t="s">
        <v>19</v>
      </c>
      <c r="C18" s="48">
        <v>52963</v>
      </c>
    </row>
    <row r="19" spans="1:4" x14ac:dyDescent="0.2">
      <c r="A19" t="s">
        <v>285</v>
      </c>
      <c r="B19" t="s">
        <v>20</v>
      </c>
      <c r="C19" s="48">
        <v>52963</v>
      </c>
    </row>
    <row r="20" spans="1:4" x14ac:dyDescent="0.2">
      <c r="A20" t="s">
        <v>285</v>
      </c>
      <c r="B20" t="s">
        <v>21</v>
      </c>
      <c r="C20" s="48">
        <v>52963</v>
      </c>
    </row>
    <row r="21" spans="1:4" x14ac:dyDescent="0.2">
      <c r="A21" t="s">
        <v>285</v>
      </c>
      <c r="B21" t="s">
        <v>22</v>
      </c>
      <c r="C21" s="48">
        <v>52963</v>
      </c>
      <c r="D21">
        <v>3601874.5678471881</v>
      </c>
    </row>
    <row r="22" spans="1:4" x14ac:dyDescent="0.2">
      <c r="A22" t="s">
        <v>285</v>
      </c>
      <c r="B22" t="s">
        <v>23</v>
      </c>
      <c r="C22" s="48">
        <v>52963</v>
      </c>
      <c r="D22">
        <v>0</v>
      </c>
    </row>
    <row r="23" spans="1:4" x14ac:dyDescent="0.2">
      <c r="A23" t="s">
        <v>285</v>
      </c>
      <c r="B23" t="s">
        <v>24</v>
      </c>
      <c r="C23" s="48">
        <v>52963</v>
      </c>
      <c r="D23">
        <v>0</v>
      </c>
    </row>
    <row r="24" spans="1:4" x14ac:dyDescent="0.2">
      <c r="A24" t="s">
        <v>285</v>
      </c>
      <c r="B24" t="s">
        <v>25</v>
      </c>
      <c r="C24" s="48">
        <v>52963</v>
      </c>
      <c r="D24">
        <v>0</v>
      </c>
    </row>
    <row r="25" spans="1:4" x14ac:dyDescent="0.2">
      <c r="A25" t="s">
        <v>285</v>
      </c>
      <c r="B25" t="s">
        <v>26</v>
      </c>
      <c r="C25" s="48">
        <v>52963</v>
      </c>
    </row>
    <row r="26" spans="1:4" x14ac:dyDescent="0.2">
      <c r="A26" t="s">
        <v>285</v>
      </c>
      <c r="B26" t="s">
        <v>27</v>
      </c>
      <c r="C26" s="48">
        <v>52963</v>
      </c>
    </row>
    <row r="27" spans="1:4" x14ac:dyDescent="0.2">
      <c r="A27" t="s">
        <v>285</v>
      </c>
      <c r="B27" t="s">
        <v>28</v>
      </c>
      <c r="C27" s="48">
        <v>52963</v>
      </c>
    </row>
    <row r="28" spans="1:4" x14ac:dyDescent="0.2">
      <c r="A28" t="s">
        <v>285</v>
      </c>
      <c r="B28" t="s">
        <v>29</v>
      </c>
      <c r="C28" s="48">
        <v>52963</v>
      </c>
    </row>
    <row r="29" spans="1:4" x14ac:dyDescent="0.2">
      <c r="A29" t="s">
        <v>285</v>
      </c>
      <c r="B29" t="s">
        <v>30</v>
      </c>
      <c r="C29" s="48">
        <v>52963</v>
      </c>
    </row>
    <row r="30" spans="1:4" x14ac:dyDescent="0.2">
      <c r="A30" t="s">
        <v>285</v>
      </c>
      <c r="B30" t="s">
        <v>31</v>
      </c>
      <c r="C30" s="48">
        <v>52963</v>
      </c>
    </row>
    <row r="31" spans="1:4" x14ac:dyDescent="0.2">
      <c r="A31" t="s">
        <v>285</v>
      </c>
      <c r="B31" t="s">
        <v>32</v>
      </c>
      <c r="C31" s="48">
        <v>52963</v>
      </c>
    </row>
    <row r="32" spans="1:4" x14ac:dyDescent="0.2">
      <c r="A32" t="s">
        <v>285</v>
      </c>
      <c r="B32" t="s">
        <v>33</v>
      </c>
      <c r="C32" s="48">
        <v>52963</v>
      </c>
      <c r="D32">
        <v>0</v>
      </c>
    </row>
    <row r="33" spans="1:4" x14ac:dyDescent="0.2">
      <c r="A33" t="s">
        <v>285</v>
      </c>
      <c r="B33" t="s">
        <v>34</v>
      </c>
      <c r="C33" s="48">
        <v>52963</v>
      </c>
      <c r="D33">
        <v>0</v>
      </c>
    </row>
    <row r="34" spans="1:4" x14ac:dyDescent="0.2">
      <c r="A34" t="s">
        <v>285</v>
      </c>
      <c r="B34" t="s">
        <v>35</v>
      </c>
      <c r="C34" s="48">
        <v>52963</v>
      </c>
      <c r="D34">
        <v>0</v>
      </c>
    </row>
    <row r="35" spans="1:4" x14ac:dyDescent="0.2">
      <c r="A35" t="s">
        <v>285</v>
      </c>
      <c r="B35" t="s">
        <v>36</v>
      </c>
      <c r="C35" s="48">
        <v>52963</v>
      </c>
    </row>
    <row r="36" spans="1:4" x14ac:dyDescent="0.2">
      <c r="A36" t="s">
        <v>285</v>
      </c>
      <c r="B36" t="s">
        <v>37</v>
      </c>
      <c r="C36" s="48">
        <v>52963</v>
      </c>
    </row>
    <row r="37" spans="1:4" x14ac:dyDescent="0.2">
      <c r="A37" t="s">
        <v>285</v>
      </c>
      <c r="B37" t="s">
        <v>38</v>
      </c>
      <c r="C37" s="48">
        <v>52963</v>
      </c>
    </row>
    <row r="38" spans="1:4" x14ac:dyDescent="0.2">
      <c r="A38" t="s">
        <v>285</v>
      </c>
      <c r="B38" t="s">
        <v>39</v>
      </c>
      <c r="C38" s="48">
        <v>52963</v>
      </c>
    </row>
    <row r="39" spans="1:4" x14ac:dyDescent="0.2">
      <c r="A39" t="s">
        <v>285</v>
      </c>
      <c r="B39" t="s">
        <v>40</v>
      </c>
      <c r="C39" s="48">
        <v>52963</v>
      </c>
    </row>
    <row r="40" spans="1:4" x14ac:dyDescent="0.2">
      <c r="A40" t="s">
        <v>285</v>
      </c>
      <c r="B40" t="s">
        <v>41</v>
      </c>
      <c r="C40" s="48">
        <v>52963</v>
      </c>
    </row>
    <row r="41" spans="1:4" x14ac:dyDescent="0.2">
      <c r="A41" t="s">
        <v>285</v>
      </c>
      <c r="B41" t="s">
        <v>42</v>
      </c>
      <c r="C41" s="48">
        <v>52963</v>
      </c>
    </row>
    <row r="42" spans="1:4" x14ac:dyDescent="0.2">
      <c r="A42" t="s">
        <v>285</v>
      </c>
      <c r="B42" t="s">
        <v>43</v>
      </c>
      <c r="C42" s="48">
        <v>52963</v>
      </c>
    </row>
    <row r="43" spans="1:4" x14ac:dyDescent="0.2">
      <c r="A43" t="s">
        <v>285</v>
      </c>
      <c r="B43" t="s">
        <v>44</v>
      </c>
      <c r="C43" s="48">
        <v>52963</v>
      </c>
    </row>
    <row r="44" spans="1:4" x14ac:dyDescent="0.2">
      <c r="A44" t="s">
        <v>285</v>
      </c>
      <c r="B44" t="s">
        <v>45</v>
      </c>
      <c r="C44" s="48">
        <v>52963</v>
      </c>
    </row>
    <row r="45" spans="1:4" x14ac:dyDescent="0.2">
      <c r="A45" t="s">
        <v>285</v>
      </c>
      <c r="B45" t="s">
        <v>46</v>
      </c>
      <c r="C45" s="48">
        <v>52963</v>
      </c>
    </row>
    <row r="46" spans="1:4" x14ac:dyDescent="0.2">
      <c r="A46" t="s">
        <v>285</v>
      </c>
      <c r="B46" t="s">
        <v>47</v>
      </c>
      <c r="C46" s="48">
        <v>52963</v>
      </c>
    </row>
    <row r="47" spans="1:4" x14ac:dyDescent="0.2">
      <c r="A47" t="s">
        <v>285</v>
      </c>
      <c r="B47" t="s">
        <v>48</v>
      </c>
      <c r="C47" s="48">
        <v>52963</v>
      </c>
    </row>
    <row r="48" spans="1:4" x14ac:dyDescent="0.2">
      <c r="A48" t="s">
        <v>285</v>
      </c>
      <c r="B48" t="s">
        <v>49</v>
      </c>
      <c r="C48" s="48">
        <v>52963</v>
      </c>
      <c r="D48">
        <v>0</v>
      </c>
    </row>
    <row r="49" spans="1:3" x14ac:dyDescent="0.2">
      <c r="A49" t="s">
        <v>285</v>
      </c>
      <c r="B49" t="s">
        <v>50</v>
      </c>
      <c r="C49" s="48">
        <v>52963</v>
      </c>
    </row>
    <row r="50" spans="1:3" x14ac:dyDescent="0.2">
      <c r="A50" t="s">
        <v>285</v>
      </c>
      <c r="B50" t="s">
        <v>51</v>
      </c>
      <c r="C50" s="48">
        <v>52963</v>
      </c>
    </row>
    <row r="51" spans="1:3" x14ac:dyDescent="0.2">
      <c r="A51" t="s">
        <v>285</v>
      </c>
      <c r="B51" t="s">
        <v>52</v>
      </c>
      <c r="C51" s="48">
        <v>52963</v>
      </c>
    </row>
    <row r="52" spans="1:3" x14ac:dyDescent="0.2">
      <c r="A52" t="s">
        <v>285</v>
      </c>
      <c r="B52" t="s">
        <v>53</v>
      </c>
      <c r="C52" s="48">
        <v>52963</v>
      </c>
    </row>
    <row r="53" spans="1:3" x14ac:dyDescent="0.2">
      <c r="A53" t="s">
        <v>285</v>
      </c>
      <c r="B53" t="s">
        <v>54</v>
      </c>
      <c r="C53" s="48">
        <v>52963</v>
      </c>
    </row>
    <row r="54" spans="1:3" x14ac:dyDescent="0.2">
      <c r="A54" t="s">
        <v>285</v>
      </c>
      <c r="B54" t="s">
        <v>55</v>
      </c>
      <c r="C54" s="48">
        <v>52963</v>
      </c>
    </row>
    <row r="55" spans="1:3" x14ac:dyDescent="0.2">
      <c r="A55" t="s">
        <v>285</v>
      </c>
      <c r="B55" t="s">
        <v>56</v>
      </c>
      <c r="C55" s="48">
        <v>52963</v>
      </c>
    </row>
    <row r="56" spans="1:3" x14ac:dyDescent="0.2">
      <c r="A56" t="s">
        <v>285</v>
      </c>
      <c r="B56" t="s">
        <v>57</v>
      </c>
      <c r="C56" s="48">
        <v>52963</v>
      </c>
    </row>
    <row r="57" spans="1:3" x14ac:dyDescent="0.2">
      <c r="A57" t="s">
        <v>285</v>
      </c>
      <c r="B57" t="s">
        <v>58</v>
      </c>
      <c r="C57" s="48">
        <v>52963</v>
      </c>
    </row>
    <row r="58" spans="1:3" x14ac:dyDescent="0.2">
      <c r="A58" t="s">
        <v>285</v>
      </c>
      <c r="B58" t="s">
        <v>59</v>
      </c>
      <c r="C58" s="48">
        <v>52963</v>
      </c>
    </row>
    <row r="59" spans="1:3" x14ac:dyDescent="0.2">
      <c r="A59" t="s">
        <v>285</v>
      </c>
      <c r="B59" t="s">
        <v>60</v>
      </c>
      <c r="C59" s="48">
        <v>52963</v>
      </c>
    </row>
    <row r="60" spans="1:3" x14ac:dyDescent="0.2">
      <c r="A60" t="s">
        <v>285</v>
      </c>
      <c r="B60" t="s">
        <v>61</v>
      </c>
      <c r="C60" s="48">
        <v>52963</v>
      </c>
    </row>
    <row r="61" spans="1:3" x14ac:dyDescent="0.2">
      <c r="A61" t="s">
        <v>285</v>
      </c>
      <c r="B61" t="s">
        <v>62</v>
      </c>
      <c r="C61" s="48">
        <v>52963</v>
      </c>
    </row>
    <row r="62" spans="1:3" x14ac:dyDescent="0.2">
      <c r="A62" t="s">
        <v>285</v>
      </c>
      <c r="B62" t="s">
        <v>63</v>
      </c>
      <c r="C62" s="48">
        <v>52963</v>
      </c>
    </row>
    <row r="63" spans="1:3" x14ac:dyDescent="0.2">
      <c r="A63" t="s">
        <v>285</v>
      </c>
      <c r="B63" t="s">
        <v>651</v>
      </c>
      <c r="C63" s="48">
        <v>52963</v>
      </c>
    </row>
    <row r="64" spans="1:3" x14ac:dyDescent="0.2">
      <c r="A64" t="s">
        <v>285</v>
      </c>
      <c r="B64" t="s">
        <v>64</v>
      </c>
      <c r="C64" s="48">
        <v>52963</v>
      </c>
    </row>
    <row r="65" spans="1:3" x14ac:dyDescent="0.2">
      <c r="A65" t="s">
        <v>285</v>
      </c>
      <c r="B65" t="s">
        <v>652</v>
      </c>
      <c r="C65" s="48">
        <v>52963</v>
      </c>
    </row>
    <row r="66" spans="1:3" x14ac:dyDescent="0.2">
      <c r="A66" t="s">
        <v>285</v>
      </c>
      <c r="B66" t="s">
        <v>653</v>
      </c>
      <c r="C66" s="48">
        <v>52963</v>
      </c>
    </row>
    <row r="67" spans="1:3" x14ac:dyDescent="0.2">
      <c r="A67" t="s">
        <v>285</v>
      </c>
      <c r="B67" t="s">
        <v>654</v>
      </c>
      <c r="C67" s="48">
        <v>52963</v>
      </c>
    </row>
    <row r="68" spans="1:3" x14ac:dyDescent="0.2">
      <c r="A68" t="s">
        <v>285</v>
      </c>
      <c r="B68" t="s">
        <v>65</v>
      </c>
      <c r="C68" s="48">
        <v>52963</v>
      </c>
    </row>
    <row r="69" spans="1:3" x14ac:dyDescent="0.2">
      <c r="A69" t="s">
        <v>285</v>
      </c>
      <c r="B69" t="s">
        <v>655</v>
      </c>
      <c r="C69" s="48">
        <v>52963</v>
      </c>
    </row>
    <row r="70" spans="1:3" x14ac:dyDescent="0.2">
      <c r="A70" t="s">
        <v>285</v>
      </c>
      <c r="B70" t="s">
        <v>656</v>
      </c>
      <c r="C70" s="48">
        <v>52963</v>
      </c>
    </row>
    <row r="71" spans="1:3" x14ac:dyDescent="0.2">
      <c r="A71" t="s">
        <v>285</v>
      </c>
      <c r="B71" t="s">
        <v>657</v>
      </c>
      <c r="C71" s="48">
        <v>52963</v>
      </c>
    </row>
    <row r="72" spans="1:3" x14ac:dyDescent="0.2">
      <c r="A72" t="s">
        <v>285</v>
      </c>
      <c r="B72" t="s">
        <v>658</v>
      </c>
      <c r="C72" s="48">
        <v>52963</v>
      </c>
    </row>
    <row r="73" spans="1:3" x14ac:dyDescent="0.2">
      <c r="A73" t="s">
        <v>285</v>
      </c>
      <c r="B73" t="s">
        <v>66</v>
      </c>
      <c r="C73" s="48">
        <v>52963</v>
      </c>
    </row>
    <row r="74" spans="1:3" x14ac:dyDescent="0.2">
      <c r="A74" t="s">
        <v>285</v>
      </c>
      <c r="B74" t="s">
        <v>67</v>
      </c>
      <c r="C74" s="48">
        <v>52963</v>
      </c>
    </row>
    <row r="75" spans="1:3" x14ac:dyDescent="0.2">
      <c r="A75" t="s">
        <v>285</v>
      </c>
      <c r="B75" t="s">
        <v>68</v>
      </c>
      <c r="C75" s="48">
        <v>52963</v>
      </c>
    </row>
    <row r="76" spans="1:3" x14ac:dyDescent="0.2">
      <c r="A76" t="s">
        <v>285</v>
      </c>
      <c r="B76" t="s">
        <v>69</v>
      </c>
      <c r="C76" s="48">
        <v>52963</v>
      </c>
    </row>
    <row r="77" spans="1:3" x14ac:dyDescent="0.2">
      <c r="A77" t="s">
        <v>285</v>
      </c>
      <c r="B77" t="s">
        <v>70</v>
      </c>
      <c r="C77" s="48">
        <v>52963</v>
      </c>
    </row>
    <row r="78" spans="1:3" x14ac:dyDescent="0.2">
      <c r="A78" t="s">
        <v>285</v>
      </c>
      <c r="B78" t="s">
        <v>659</v>
      </c>
      <c r="C78" s="48">
        <v>52963</v>
      </c>
    </row>
    <row r="79" spans="1:3" x14ac:dyDescent="0.2">
      <c r="A79" t="s">
        <v>285</v>
      </c>
      <c r="B79" t="s">
        <v>71</v>
      </c>
      <c r="C79" s="48">
        <v>52963</v>
      </c>
    </row>
    <row r="80" spans="1:3" x14ac:dyDescent="0.2">
      <c r="A80" t="s">
        <v>285</v>
      </c>
      <c r="B80" t="s">
        <v>72</v>
      </c>
      <c r="C80" s="48">
        <v>52963</v>
      </c>
    </row>
    <row r="81" spans="1:3" x14ac:dyDescent="0.2">
      <c r="A81" t="s">
        <v>285</v>
      </c>
      <c r="B81" t="s">
        <v>660</v>
      </c>
      <c r="C81" s="48">
        <v>52963</v>
      </c>
    </row>
    <row r="82" spans="1:3" x14ac:dyDescent="0.2">
      <c r="A82" t="s">
        <v>285</v>
      </c>
      <c r="B82" t="s">
        <v>661</v>
      </c>
      <c r="C82" s="48">
        <v>52963</v>
      </c>
    </row>
    <row r="83" spans="1:3" x14ac:dyDescent="0.2">
      <c r="A83" t="s">
        <v>285</v>
      </c>
      <c r="B83" t="s">
        <v>662</v>
      </c>
      <c r="C83" s="48">
        <v>52963</v>
      </c>
    </row>
    <row r="84" spans="1:3" x14ac:dyDescent="0.2">
      <c r="A84" t="s">
        <v>285</v>
      </c>
      <c r="B84" t="s">
        <v>73</v>
      </c>
      <c r="C84" s="48">
        <v>52963</v>
      </c>
    </row>
    <row r="85" spans="1:3" x14ac:dyDescent="0.2">
      <c r="A85" t="s">
        <v>285</v>
      </c>
      <c r="B85" t="s">
        <v>663</v>
      </c>
      <c r="C85" s="48">
        <v>52963</v>
      </c>
    </row>
    <row r="86" spans="1:3" x14ac:dyDescent="0.2">
      <c r="A86" t="s">
        <v>285</v>
      </c>
      <c r="B86" t="s">
        <v>664</v>
      </c>
      <c r="C86" s="48">
        <v>52963</v>
      </c>
    </row>
    <row r="87" spans="1:3" x14ac:dyDescent="0.2">
      <c r="A87" t="s">
        <v>285</v>
      </c>
      <c r="B87" t="s">
        <v>74</v>
      </c>
      <c r="C87" s="48">
        <v>52963</v>
      </c>
    </row>
    <row r="88" spans="1:3" x14ac:dyDescent="0.2">
      <c r="A88" t="s">
        <v>285</v>
      </c>
      <c r="B88" t="s">
        <v>665</v>
      </c>
      <c r="C88" s="48">
        <v>52963</v>
      </c>
    </row>
    <row r="89" spans="1:3" x14ac:dyDescent="0.2">
      <c r="A89" t="s">
        <v>285</v>
      </c>
      <c r="B89" t="s">
        <v>666</v>
      </c>
      <c r="C89" s="48">
        <v>52963</v>
      </c>
    </row>
    <row r="90" spans="1:3" x14ac:dyDescent="0.2">
      <c r="A90" t="s">
        <v>285</v>
      </c>
      <c r="B90" t="s">
        <v>75</v>
      </c>
      <c r="C90" s="48">
        <v>52963</v>
      </c>
    </row>
    <row r="91" spans="1:3" x14ac:dyDescent="0.2">
      <c r="A91" t="s">
        <v>285</v>
      </c>
      <c r="B91" t="s">
        <v>76</v>
      </c>
      <c r="C91" s="48">
        <v>52963</v>
      </c>
    </row>
    <row r="92" spans="1:3" x14ac:dyDescent="0.2">
      <c r="A92" t="s">
        <v>285</v>
      </c>
      <c r="B92" t="s">
        <v>77</v>
      </c>
      <c r="C92" s="48">
        <v>52963</v>
      </c>
    </row>
    <row r="93" spans="1:3" x14ac:dyDescent="0.2">
      <c r="A93" t="s">
        <v>285</v>
      </c>
      <c r="B93" t="s">
        <v>78</v>
      </c>
      <c r="C93" s="48">
        <v>52963</v>
      </c>
    </row>
    <row r="94" spans="1:3" x14ac:dyDescent="0.2">
      <c r="A94" t="s">
        <v>285</v>
      </c>
      <c r="B94" t="s">
        <v>79</v>
      </c>
      <c r="C94" s="48">
        <v>52963</v>
      </c>
    </row>
    <row r="95" spans="1:3" x14ac:dyDescent="0.2">
      <c r="A95" t="s">
        <v>285</v>
      </c>
      <c r="B95" t="s">
        <v>80</v>
      </c>
      <c r="C95" s="48">
        <v>52963</v>
      </c>
    </row>
    <row r="96" spans="1:3" x14ac:dyDescent="0.2">
      <c r="A96" t="s">
        <v>285</v>
      </c>
      <c r="B96" t="s">
        <v>667</v>
      </c>
      <c r="C96" s="48">
        <v>52963</v>
      </c>
    </row>
    <row r="97" spans="1:3" x14ac:dyDescent="0.2">
      <c r="A97" t="s">
        <v>285</v>
      </c>
      <c r="B97" t="s">
        <v>668</v>
      </c>
      <c r="C97" s="48">
        <v>52963</v>
      </c>
    </row>
    <row r="98" spans="1:3" x14ac:dyDescent="0.2">
      <c r="A98" t="s">
        <v>285</v>
      </c>
      <c r="B98" t="s">
        <v>81</v>
      </c>
      <c r="C98" s="48">
        <v>52963</v>
      </c>
    </row>
    <row r="99" spans="1:3" x14ac:dyDescent="0.2">
      <c r="A99" t="s">
        <v>285</v>
      </c>
      <c r="B99" t="s">
        <v>82</v>
      </c>
      <c r="C99" s="48">
        <v>52963</v>
      </c>
    </row>
    <row r="100" spans="1:3" x14ac:dyDescent="0.2">
      <c r="A100" t="s">
        <v>285</v>
      </c>
      <c r="B100" t="s">
        <v>83</v>
      </c>
      <c r="C100" s="48">
        <v>52963</v>
      </c>
    </row>
    <row r="101" spans="1:3" x14ac:dyDescent="0.2">
      <c r="A101" t="s">
        <v>285</v>
      </c>
      <c r="B101" t="s">
        <v>669</v>
      </c>
      <c r="C101" s="48">
        <v>52963</v>
      </c>
    </row>
    <row r="102" spans="1:3" x14ac:dyDescent="0.2">
      <c r="A102" t="s">
        <v>285</v>
      </c>
      <c r="B102" t="s">
        <v>670</v>
      </c>
      <c r="C102" s="48">
        <v>52963</v>
      </c>
    </row>
    <row r="103" spans="1:3" x14ac:dyDescent="0.2">
      <c r="A103" t="s">
        <v>285</v>
      </c>
      <c r="B103" t="s">
        <v>84</v>
      </c>
      <c r="C103" s="48">
        <v>52963</v>
      </c>
    </row>
    <row r="104" spans="1:3" x14ac:dyDescent="0.2">
      <c r="A104" t="s">
        <v>285</v>
      </c>
      <c r="B104" t="s">
        <v>85</v>
      </c>
      <c r="C104" s="48">
        <v>52963</v>
      </c>
    </row>
    <row r="105" spans="1:3" x14ac:dyDescent="0.2">
      <c r="A105" t="s">
        <v>285</v>
      </c>
      <c r="B105" t="s">
        <v>671</v>
      </c>
      <c r="C105" s="48">
        <v>52963</v>
      </c>
    </row>
    <row r="106" spans="1:3" x14ac:dyDescent="0.2">
      <c r="A106" t="s">
        <v>285</v>
      </c>
      <c r="B106" t="s">
        <v>86</v>
      </c>
      <c r="C106" s="48">
        <v>52963</v>
      </c>
    </row>
    <row r="107" spans="1:3" x14ac:dyDescent="0.2">
      <c r="A107" t="s">
        <v>285</v>
      </c>
      <c r="B107" t="s">
        <v>672</v>
      </c>
      <c r="C107" s="48">
        <v>52963</v>
      </c>
    </row>
    <row r="108" spans="1:3" x14ac:dyDescent="0.2">
      <c r="A108" t="s">
        <v>285</v>
      </c>
      <c r="B108" t="s">
        <v>673</v>
      </c>
      <c r="C108" s="48">
        <v>52963</v>
      </c>
    </row>
    <row r="109" spans="1:3" x14ac:dyDescent="0.2">
      <c r="A109" t="s">
        <v>285</v>
      </c>
      <c r="B109" t="s">
        <v>674</v>
      </c>
      <c r="C109" s="48">
        <v>52963</v>
      </c>
    </row>
    <row r="110" spans="1:3" x14ac:dyDescent="0.2">
      <c r="A110" t="s">
        <v>285</v>
      </c>
      <c r="B110" t="s">
        <v>675</v>
      </c>
      <c r="C110" s="48">
        <v>52963</v>
      </c>
    </row>
    <row r="111" spans="1:3" x14ac:dyDescent="0.2">
      <c r="A111" t="s">
        <v>285</v>
      </c>
      <c r="B111" t="s">
        <v>676</v>
      </c>
      <c r="C111" s="48">
        <v>52963</v>
      </c>
    </row>
    <row r="112" spans="1:3" x14ac:dyDescent="0.2">
      <c r="A112" t="s">
        <v>285</v>
      </c>
      <c r="B112" t="s">
        <v>87</v>
      </c>
      <c r="C112" s="48">
        <v>52963</v>
      </c>
    </row>
    <row r="113" spans="1:3" x14ac:dyDescent="0.2">
      <c r="A113" t="s">
        <v>285</v>
      </c>
      <c r="B113" t="s">
        <v>88</v>
      </c>
      <c r="C113" s="48">
        <v>52963</v>
      </c>
    </row>
    <row r="114" spans="1:3" x14ac:dyDescent="0.2">
      <c r="A114" t="s">
        <v>285</v>
      </c>
      <c r="B114" t="s">
        <v>89</v>
      </c>
      <c r="C114" s="48">
        <v>52963</v>
      </c>
    </row>
    <row r="115" spans="1:3" x14ac:dyDescent="0.2">
      <c r="A115" t="s">
        <v>285</v>
      </c>
      <c r="B115" t="s">
        <v>90</v>
      </c>
      <c r="C115" s="48">
        <v>52963</v>
      </c>
    </row>
    <row r="116" spans="1:3" x14ac:dyDescent="0.2">
      <c r="A116" t="s">
        <v>285</v>
      </c>
      <c r="B116" t="s">
        <v>91</v>
      </c>
      <c r="C116" s="48">
        <v>52963</v>
      </c>
    </row>
    <row r="117" spans="1:3" x14ac:dyDescent="0.2">
      <c r="A117" t="s">
        <v>285</v>
      </c>
      <c r="B117" t="s">
        <v>92</v>
      </c>
      <c r="C117" s="48">
        <v>52963</v>
      </c>
    </row>
    <row r="118" spans="1:3" x14ac:dyDescent="0.2">
      <c r="A118" t="s">
        <v>285</v>
      </c>
      <c r="B118" t="s">
        <v>93</v>
      </c>
      <c r="C118" s="48">
        <v>52963</v>
      </c>
    </row>
    <row r="119" spans="1:3" x14ac:dyDescent="0.2">
      <c r="A119" t="s">
        <v>285</v>
      </c>
      <c r="B119" t="s">
        <v>94</v>
      </c>
      <c r="C119" s="48">
        <v>52963</v>
      </c>
    </row>
    <row r="120" spans="1:3" x14ac:dyDescent="0.2">
      <c r="A120" t="s">
        <v>285</v>
      </c>
      <c r="B120" t="s">
        <v>95</v>
      </c>
      <c r="C120" s="48">
        <v>52963</v>
      </c>
    </row>
    <row r="121" spans="1:3" x14ac:dyDescent="0.2">
      <c r="A121" t="s">
        <v>285</v>
      </c>
      <c r="B121" t="s">
        <v>96</v>
      </c>
      <c r="C121" s="48">
        <v>52963</v>
      </c>
    </row>
    <row r="122" spans="1:3" x14ac:dyDescent="0.2">
      <c r="A122" t="s">
        <v>285</v>
      </c>
      <c r="B122" t="s">
        <v>97</v>
      </c>
      <c r="C122" s="48">
        <v>52963</v>
      </c>
    </row>
    <row r="123" spans="1:3" x14ac:dyDescent="0.2">
      <c r="A123" t="s">
        <v>285</v>
      </c>
      <c r="B123" t="s">
        <v>98</v>
      </c>
      <c r="C123" s="48">
        <v>52963</v>
      </c>
    </row>
    <row r="124" spans="1:3" x14ac:dyDescent="0.2">
      <c r="A124" t="s">
        <v>285</v>
      </c>
      <c r="B124" t="s">
        <v>99</v>
      </c>
      <c r="C124" s="48">
        <v>52963</v>
      </c>
    </row>
    <row r="125" spans="1:3" x14ac:dyDescent="0.2">
      <c r="A125" t="s">
        <v>285</v>
      </c>
      <c r="B125" t="s">
        <v>100</v>
      </c>
      <c r="C125" s="48">
        <v>52963</v>
      </c>
    </row>
    <row r="126" spans="1:3" x14ac:dyDescent="0.2">
      <c r="A126" t="s">
        <v>285</v>
      </c>
      <c r="B126" t="s">
        <v>101</v>
      </c>
      <c r="C126" s="48">
        <v>52963</v>
      </c>
    </row>
    <row r="127" spans="1:3" x14ac:dyDescent="0.2">
      <c r="A127" t="s">
        <v>285</v>
      </c>
      <c r="B127" t="s">
        <v>102</v>
      </c>
      <c r="C127" s="48">
        <v>52963</v>
      </c>
    </row>
    <row r="128" spans="1:3" x14ac:dyDescent="0.2">
      <c r="A128" t="s">
        <v>285</v>
      </c>
      <c r="B128" t="s">
        <v>103</v>
      </c>
      <c r="C128" s="48">
        <v>52963</v>
      </c>
    </row>
    <row r="129" spans="1:3" x14ac:dyDescent="0.2">
      <c r="A129" t="s">
        <v>285</v>
      </c>
      <c r="B129" t="s">
        <v>104</v>
      </c>
      <c r="C129" s="48">
        <v>52963</v>
      </c>
    </row>
    <row r="130" spans="1:3" x14ac:dyDescent="0.2">
      <c r="A130" t="s">
        <v>285</v>
      </c>
      <c r="B130" t="s">
        <v>677</v>
      </c>
      <c r="C130" s="48">
        <v>52963</v>
      </c>
    </row>
    <row r="131" spans="1:3" x14ac:dyDescent="0.2">
      <c r="A131" t="s">
        <v>285</v>
      </c>
      <c r="B131" t="s">
        <v>105</v>
      </c>
      <c r="C131" s="48">
        <v>52963</v>
      </c>
    </row>
    <row r="132" spans="1:3" x14ac:dyDescent="0.2">
      <c r="A132" t="s">
        <v>285</v>
      </c>
      <c r="B132" t="s">
        <v>106</v>
      </c>
      <c r="C132" s="48">
        <v>52963</v>
      </c>
    </row>
    <row r="133" spans="1:3" x14ac:dyDescent="0.2">
      <c r="A133" t="s">
        <v>285</v>
      </c>
      <c r="B133" t="s">
        <v>107</v>
      </c>
      <c r="C133" s="48">
        <v>52963</v>
      </c>
    </row>
    <row r="134" spans="1:3" x14ac:dyDescent="0.2">
      <c r="A134" t="s">
        <v>285</v>
      </c>
      <c r="B134" t="s">
        <v>678</v>
      </c>
      <c r="C134" s="48">
        <v>52963</v>
      </c>
    </row>
    <row r="135" spans="1:3" x14ac:dyDescent="0.2">
      <c r="A135" t="s">
        <v>285</v>
      </c>
      <c r="B135" t="s">
        <v>679</v>
      </c>
      <c r="C135" s="48">
        <v>52963</v>
      </c>
    </row>
    <row r="136" spans="1:3" x14ac:dyDescent="0.2">
      <c r="A136" t="s">
        <v>285</v>
      </c>
      <c r="B136" t="s">
        <v>680</v>
      </c>
      <c r="C136" s="48">
        <v>52963</v>
      </c>
    </row>
    <row r="137" spans="1:3" x14ac:dyDescent="0.2">
      <c r="A137" t="s">
        <v>285</v>
      </c>
      <c r="B137" t="s">
        <v>108</v>
      </c>
      <c r="C137" s="48">
        <v>52963</v>
      </c>
    </row>
    <row r="138" spans="1:3" x14ac:dyDescent="0.2">
      <c r="A138" t="s">
        <v>285</v>
      </c>
      <c r="B138" t="s">
        <v>681</v>
      </c>
      <c r="C138" s="48">
        <v>52963</v>
      </c>
    </row>
    <row r="139" spans="1:3" x14ac:dyDescent="0.2">
      <c r="A139" t="s">
        <v>285</v>
      </c>
      <c r="B139" t="s">
        <v>682</v>
      </c>
      <c r="C139" s="48">
        <v>52963</v>
      </c>
    </row>
    <row r="140" spans="1:3" x14ac:dyDescent="0.2">
      <c r="A140" t="s">
        <v>285</v>
      </c>
      <c r="B140" t="s">
        <v>683</v>
      </c>
      <c r="C140" s="48">
        <v>52963</v>
      </c>
    </row>
    <row r="141" spans="1:3" x14ac:dyDescent="0.2">
      <c r="A141" t="s">
        <v>285</v>
      </c>
      <c r="B141" t="s">
        <v>109</v>
      </c>
      <c r="C141" s="48">
        <v>52963</v>
      </c>
    </row>
    <row r="142" spans="1:3" x14ac:dyDescent="0.2">
      <c r="A142" t="s">
        <v>285</v>
      </c>
      <c r="B142" t="s">
        <v>684</v>
      </c>
      <c r="C142" s="48">
        <v>52963</v>
      </c>
    </row>
    <row r="143" spans="1:3" x14ac:dyDescent="0.2">
      <c r="A143" t="s">
        <v>285</v>
      </c>
      <c r="B143" t="s">
        <v>685</v>
      </c>
      <c r="C143" s="48">
        <v>52963</v>
      </c>
    </row>
    <row r="144" spans="1:3" x14ac:dyDescent="0.2">
      <c r="A144" t="s">
        <v>285</v>
      </c>
      <c r="B144" t="s">
        <v>110</v>
      </c>
      <c r="C144" s="48">
        <v>52963</v>
      </c>
    </row>
    <row r="145" spans="1:4" x14ac:dyDescent="0.2">
      <c r="A145" t="s">
        <v>285</v>
      </c>
      <c r="B145" t="s">
        <v>111</v>
      </c>
      <c r="C145" s="48">
        <v>52963</v>
      </c>
    </row>
    <row r="146" spans="1:4" x14ac:dyDescent="0.2">
      <c r="A146" t="s">
        <v>285</v>
      </c>
      <c r="B146" t="s">
        <v>112</v>
      </c>
      <c r="C146" s="48">
        <v>52963</v>
      </c>
    </row>
    <row r="147" spans="1:4" x14ac:dyDescent="0.2">
      <c r="A147" t="s">
        <v>285</v>
      </c>
      <c r="B147" t="s">
        <v>113</v>
      </c>
      <c r="C147" s="48">
        <v>52963</v>
      </c>
    </row>
    <row r="148" spans="1:4" x14ac:dyDescent="0.2">
      <c r="A148" t="s">
        <v>285</v>
      </c>
      <c r="B148" t="s">
        <v>114</v>
      </c>
      <c r="C148" s="48">
        <v>52963</v>
      </c>
    </row>
    <row r="149" spans="1:4" x14ac:dyDescent="0.2">
      <c r="A149" t="s">
        <v>285</v>
      </c>
      <c r="B149" t="s">
        <v>115</v>
      </c>
      <c r="C149" s="48">
        <v>52963</v>
      </c>
    </row>
    <row r="150" spans="1:4" x14ac:dyDescent="0.2">
      <c r="A150" t="s">
        <v>286</v>
      </c>
      <c r="B150" t="s">
        <v>10</v>
      </c>
      <c r="C150" s="48">
        <v>52963</v>
      </c>
    </row>
    <row r="151" spans="1:4" x14ac:dyDescent="0.2">
      <c r="A151" t="s">
        <v>286</v>
      </c>
      <c r="B151" t="s">
        <v>11</v>
      </c>
      <c r="C151" s="48">
        <v>52963</v>
      </c>
    </row>
    <row r="152" spans="1:4" x14ac:dyDescent="0.2">
      <c r="A152" t="s">
        <v>286</v>
      </c>
      <c r="B152" t="s">
        <v>12</v>
      </c>
      <c r="C152" s="48">
        <v>52963</v>
      </c>
    </row>
    <row r="153" spans="1:4" x14ac:dyDescent="0.2">
      <c r="A153" t="s">
        <v>286</v>
      </c>
      <c r="B153" t="s">
        <v>13</v>
      </c>
      <c r="C153" s="48">
        <v>52963</v>
      </c>
    </row>
    <row r="154" spans="1:4" x14ac:dyDescent="0.2">
      <c r="A154" t="s">
        <v>286</v>
      </c>
      <c r="B154" t="s">
        <v>644</v>
      </c>
      <c r="C154" s="48">
        <v>52963</v>
      </c>
    </row>
    <row r="155" spans="1:4" x14ac:dyDescent="0.2">
      <c r="A155" t="s">
        <v>286</v>
      </c>
      <c r="B155" t="s">
        <v>14</v>
      </c>
      <c r="C155" s="48">
        <v>52963</v>
      </c>
      <c r="D155">
        <v>328130.39761291695</v>
      </c>
    </row>
    <row r="156" spans="1:4" x14ac:dyDescent="0.2">
      <c r="A156" t="s">
        <v>286</v>
      </c>
      <c r="B156" t="s">
        <v>645</v>
      </c>
      <c r="C156" s="48">
        <v>52963</v>
      </c>
    </row>
    <row r="157" spans="1:4" x14ac:dyDescent="0.2">
      <c r="A157" t="s">
        <v>286</v>
      </c>
      <c r="B157" t="s">
        <v>646</v>
      </c>
      <c r="C157" s="48">
        <v>52963</v>
      </c>
    </row>
    <row r="158" spans="1:4" x14ac:dyDescent="0.2">
      <c r="A158" t="s">
        <v>286</v>
      </c>
      <c r="B158" t="s">
        <v>15</v>
      </c>
      <c r="C158" s="48">
        <v>52963</v>
      </c>
      <c r="D158">
        <v>0</v>
      </c>
    </row>
    <row r="159" spans="1:4" x14ac:dyDescent="0.2">
      <c r="A159" t="s">
        <v>286</v>
      </c>
      <c r="B159" t="s">
        <v>647</v>
      </c>
      <c r="C159" s="48">
        <v>52963</v>
      </c>
    </row>
    <row r="160" spans="1:4" x14ac:dyDescent="0.2">
      <c r="A160" t="s">
        <v>286</v>
      </c>
      <c r="B160" t="s">
        <v>648</v>
      </c>
      <c r="C160" s="48">
        <v>52963</v>
      </c>
    </row>
    <row r="161" spans="1:3" x14ac:dyDescent="0.2">
      <c r="A161" t="s">
        <v>286</v>
      </c>
      <c r="B161" t="s">
        <v>649</v>
      </c>
      <c r="C161" s="48">
        <v>52963</v>
      </c>
    </row>
    <row r="162" spans="1:3" x14ac:dyDescent="0.2">
      <c r="A162" t="s">
        <v>286</v>
      </c>
      <c r="B162" t="s">
        <v>650</v>
      </c>
      <c r="C162" s="48">
        <v>52963</v>
      </c>
    </row>
    <row r="163" spans="1:3" x14ac:dyDescent="0.2">
      <c r="A163" t="s">
        <v>286</v>
      </c>
      <c r="B163" t="s">
        <v>16</v>
      </c>
      <c r="C163" s="48">
        <v>52963</v>
      </c>
    </row>
    <row r="164" spans="1:3" x14ac:dyDescent="0.2">
      <c r="A164" t="s">
        <v>286</v>
      </c>
      <c r="B164" t="s">
        <v>17</v>
      </c>
      <c r="C164" s="48">
        <v>52963</v>
      </c>
    </row>
    <row r="165" spans="1:3" x14ac:dyDescent="0.2">
      <c r="A165" t="s">
        <v>286</v>
      </c>
      <c r="B165" t="s">
        <v>18</v>
      </c>
      <c r="C165" s="48">
        <v>52963</v>
      </c>
    </row>
    <row r="166" spans="1:3" x14ac:dyDescent="0.2">
      <c r="A166" t="s">
        <v>286</v>
      </c>
      <c r="B166" t="s">
        <v>19</v>
      </c>
      <c r="C166" s="48">
        <v>52963</v>
      </c>
    </row>
    <row r="167" spans="1:3" x14ac:dyDescent="0.2">
      <c r="A167" t="s">
        <v>286</v>
      </c>
      <c r="B167" t="s">
        <v>20</v>
      </c>
      <c r="C167" s="48">
        <v>52963</v>
      </c>
    </row>
    <row r="168" spans="1:3" x14ac:dyDescent="0.2">
      <c r="A168" t="s">
        <v>286</v>
      </c>
      <c r="B168" t="s">
        <v>21</v>
      </c>
      <c r="C168" s="48">
        <v>52963</v>
      </c>
    </row>
    <row r="169" spans="1:3" x14ac:dyDescent="0.2">
      <c r="A169" t="s">
        <v>286</v>
      </c>
      <c r="B169" t="s">
        <v>22</v>
      </c>
      <c r="C169" s="48">
        <v>52963</v>
      </c>
    </row>
    <row r="170" spans="1:3" x14ac:dyDescent="0.2">
      <c r="A170" t="s">
        <v>286</v>
      </c>
      <c r="B170" t="s">
        <v>23</v>
      </c>
      <c r="C170" s="48">
        <v>52963</v>
      </c>
    </row>
    <row r="171" spans="1:3" x14ac:dyDescent="0.2">
      <c r="A171" t="s">
        <v>286</v>
      </c>
      <c r="B171" t="s">
        <v>24</v>
      </c>
      <c r="C171" s="48">
        <v>52963</v>
      </c>
    </row>
    <row r="172" spans="1:3" x14ac:dyDescent="0.2">
      <c r="A172" t="s">
        <v>286</v>
      </c>
      <c r="B172" t="s">
        <v>25</v>
      </c>
      <c r="C172" s="48">
        <v>52963</v>
      </c>
    </row>
    <row r="173" spans="1:3" x14ac:dyDescent="0.2">
      <c r="A173" t="s">
        <v>286</v>
      </c>
      <c r="B173" t="s">
        <v>26</v>
      </c>
      <c r="C173" s="48">
        <v>52963</v>
      </c>
    </row>
    <row r="174" spans="1:3" x14ac:dyDescent="0.2">
      <c r="A174" t="s">
        <v>286</v>
      </c>
      <c r="B174" t="s">
        <v>27</v>
      </c>
      <c r="C174" s="48">
        <v>52963</v>
      </c>
    </row>
    <row r="175" spans="1:3" x14ac:dyDescent="0.2">
      <c r="A175" t="s">
        <v>286</v>
      </c>
      <c r="B175" t="s">
        <v>28</v>
      </c>
      <c r="C175" s="48">
        <v>52963</v>
      </c>
    </row>
    <row r="176" spans="1:3" x14ac:dyDescent="0.2">
      <c r="A176" t="s">
        <v>286</v>
      </c>
      <c r="B176" t="s">
        <v>29</v>
      </c>
      <c r="C176" s="48">
        <v>52963</v>
      </c>
    </row>
    <row r="177" spans="1:3" x14ac:dyDescent="0.2">
      <c r="A177" t="s">
        <v>286</v>
      </c>
      <c r="B177" t="s">
        <v>30</v>
      </c>
      <c r="C177" s="48">
        <v>52963</v>
      </c>
    </row>
    <row r="178" spans="1:3" x14ac:dyDescent="0.2">
      <c r="A178" t="s">
        <v>286</v>
      </c>
      <c r="B178" t="s">
        <v>31</v>
      </c>
      <c r="C178" s="48">
        <v>52963</v>
      </c>
    </row>
    <row r="179" spans="1:3" x14ac:dyDescent="0.2">
      <c r="A179" t="s">
        <v>286</v>
      </c>
      <c r="B179" t="s">
        <v>32</v>
      </c>
      <c r="C179" s="48">
        <v>52963</v>
      </c>
    </row>
    <row r="180" spans="1:3" x14ac:dyDescent="0.2">
      <c r="A180" t="s">
        <v>286</v>
      </c>
      <c r="B180" t="s">
        <v>33</v>
      </c>
      <c r="C180" s="48">
        <v>52963</v>
      </c>
    </row>
    <row r="181" spans="1:3" x14ac:dyDescent="0.2">
      <c r="A181" t="s">
        <v>286</v>
      </c>
      <c r="B181" t="s">
        <v>34</v>
      </c>
      <c r="C181" s="48">
        <v>52963</v>
      </c>
    </row>
    <row r="182" spans="1:3" x14ac:dyDescent="0.2">
      <c r="A182" t="s">
        <v>286</v>
      </c>
      <c r="B182" t="s">
        <v>35</v>
      </c>
      <c r="C182" s="48">
        <v>52963</v>
      </c>
    </row>
    <row r="183" spans="1:3" x14ac:dyDescent="0.2">
      <c r="A183" t="s">
        <v>286</v>
      </c>
      <c r="B183" t="s">
        <v>36</v>
      </c>
      <c r="C183" s="48">
        <v>52963</v>
      </c>
    </row>
    <row r="184" spans="1:3" x14ac:dyDescent="0.2">
      <c r="A184" t="s">
        <v>286</v>
      </c>
      <c r="B184" t="s">
        <v>37</v>
      </c>
      <c r="C184" s="48">
        <v>52963</v>
      </c>
    </row>
    <row r="185" spans="1:3" x14ac:dyDescent="0.2">
      <c r="A185" t="s">
        <v>286</v>
      </c>
      <c r="B185" t="s">
        <v>38</v>
      </c>
      <c r="C185" s="48">
        <v>52963</v>
      </c>
    </row>
    <row r="186" spans="1:3" x14ac:dyDescent="0.2">
      <c r="A186" t="s">
        <v>286</v>
      </c>
      <c r="B186" t="s">
        <v>39</v>
      </c>
      <c r="C186" s="48">
        <v>52963</v>
      </c>
    </row>
    <row r="187" spans="1:3" x14ac:dyDescent="0.2">
      <c r="A187" t="s">
        <v>286</v>
      </c>
      <c r="B187" t="s">
        <v>40</v>
      </c>
      <c r="C187" s="48">
        <v>52963</v>
      </c>
    </row>
    <row r="188" spans="1:3" x14ac:dyDescent="0.2">
      <c r="A188" t="s">
        <v>286</v>
      </c>
      <c r="B188" t="s">
        <v>41</v>
      </c>
      <c r="C188" s="48">
        <v>52963</v>
      </c>
    </row>
    <row r="189" spans="1:3" x14ac:dyDescent="0.2">
      <c r="A189" t="s">
        <v>286</v>
      </c>
      <c r="B189" t="s">
        <v>42</v>
      </c>
      <c r="C189" s="48">
        <v>52963</v>
      </c>
    </row>
    <row r="190" spans="1:3" x14ac:dyDescent="0.2">
      <c r="A190" t="s">
        <v>286</v>
      </c>
      <c r="B190" t="s">
        <v>43</v>
      </c>
      <c r="C190" s="48">
        <v>52963</v>
      </c>
    </row>
    <row r="191" spans="1:3" x14ac:dyDescent="0.2">
      <c r="A191" t="s">
        <v>286</v>
      </c>
      <c r="B191" t="s">
        <v>44</v>
      </c>
      <c r="C191" s="48">
        <v>52963</v>
      </c>
    </row>
    <row r="192" spans="1:3" x14ac:dyDescent="0.2">
      <c r="A192" t="s">
        <v>286</v>
      </c>
      <c r="B192" t="s">
        <v>45</v>
      </c>
      <c r="C192" s="48">
        <v>52963</v>
      </c>
    </row>
    <row r="193" spans="1:3" x14ac:dyDescent="0.2">
      <c r="A193" t="s">
        <v>286</v>
      </c>
      <c r="B193" t="s">
        <v>46</v>
      </c>
      <c r="C193" s="48">
        <v>52963</v>
      </c>
    </row>
    <row r="194" spans="1:3" x14ac:dyDescent="0.2">
      <c r="A194" t="s">
        <v>286</v>
      </c>
      <c r="B194" t="s">
        <v>47</v>
      </c>
      <c r="C194" s="48">
        <v>52963</v>
      </c>
    </row>
    <row r="195" spans="1:3" x14ac:dyDescent="0.2">
      <c r="A195" t="s">
        <v>286</v>
      </c>
      <c r="B195" t="s">
        <v>48</v>
      </c>
      <c r="C195" s="48">
        <v>52963</v>
      </c>
    </row>
    <row r="196" spans="1:3" x14ac:dyDescent="0.2">
      <c r="A196" t="s">
        <v>286</v>
      </c>
      <c r="B196" t="s">
        <v>49</v>
      </c>
      <c r="C196" s="48">
        <v>52963</v>
      </c>
    </row>
    <row r="197" spans="1:3" x14ac:dyDescent="0.2">
      <c r="A197" t="s">
        <v>286</v>
      </c>
      <c r="B197" t="s">
        <v>50</v>
      </c>
      <c r="C197" s="48">
        <v>52963</v>
      </c>
    </row>
    <row r="198" spans="1:3" x14ac:dyDescent="0.2">
      <c r="A198" t="s">
        <v>286</v>
      </c>
      <c r="B198" t="s">
        <v>51</v>
      </c>
      <c r="C198" s="48">
        <v>52963</v>
      </c>
    </row>
    <row r="199" spans="1:3" x14ac:dyDescent="0.2">
      <c r="A199" t="s">
        <v>286</v>
      </c>
      <c r="B199" t="s">
        <v>52</v>
      </c>
      <c r="C199" s="48">
        <v>52963</v>
      </c>
    </row>
    <row r="200" spans="1:3" x14ac:dyDescent="0.2">
      <c r="A200" t="s">
        <v>286</v>
      </c>
      <c r="B200" t="s">
        <v>53</v>
      </c>
      <c r="C200" s="48">
        <v>52963</v>
      </c>
    </row>
    <row r="201" spans="1:3" x14ac:dyDescent="0.2">
      <c r="A201" t="s">
        <v>286</v>
      </c>
      <c r="B201" t="s">
        <v>54</v>
      </c>
      <c r="C201" s="48">
        <v>52963</v>
      </c>
    </row>
    <row r="202" spans="1:3" x14ac:dyDescent="0.2">
      <c r="A202" t="s">
        <v>286</v>
      </c>
      <c r="B202" t="s">
        <v>55</v>
      </c>
      <c r="C202" s="48">
        <v>52963</v>
      </c>
    </row>
    <row r="203" spans="1:3" x14ac:dyDescent="0.2">
      <c r="A203" t="s">
        <v>286</v>
      </c>
      <c r="B203" t="s">
        <v>56</v>
      </c>
      <c r="C203" s="48">
        <v>52963</v>
      </c>
    </row>
    <row r="204" spans="1:3" x14ac:dyDescent="0.2">
      <c r="A204" t="s">
        <v>286</v>
      </c>
      <c r="B204" t="s">
        <v>57</v>
      </c>
      <c r="C204" s="48">
        <v>52963</v>
      </c>
    </row>
    <row r="205" spans="1:3" x14ac:dyDescent="0.2">
      <c r="A205" t="s">
        <v>286</v>
      </c>
      <c r="B205" t="s">
        <v>58</v>
      </c>
      <c r="C205" s="48">
        <v>52963</v>
      </c>
    </row>
    <row r="206" spans="1:3" x14ac:dyDescent="0.2">
      <c r="A206" t="s">
        <v>286</v>
      </c>
      <c r="B206" t="s">
        <v>59</v>
      </c>
      <c r="C206" s="48">
        <v>52963</v>
      </c>
    </row>
    <row r="207" spans="1:3" x14ac:dyDescent="0.2">
      <c r="A207" t="s">
        <v>286</v>
      </c>
      <c r="B207" t="s">
        <v>60</v>
      </c>
      <c r="C207" s="48">
        <v>52963</v>
      </c>
    </row>
    <row r="208" spans="1:3" x14ac:dyDescent="0.2">
      <c r="A208" t="s">
        <v>286</v>
      </c>
      <c r="B208" t="s">
        <v>61</v>
      </c>
      <c r="C208" s="48">
        <v>52963</v>
      </c>
    </row>
    <row r="209" spans="1:4" x14ac:dyDescent="0.2">
      <c r="A209" t="s">
        <v>286</v>
      </c>
      <c r="B209" t="s">
        <v>62</v>
      </c>
      <c r="C209" s="48">
        <v>52963</v>
      </c>
    </row>
    <row r="210" spans="1:4" x14ac:dyDescent="0.2">
      <c r="A210" t="s">
        <v>286</v>
      </c>
      <c r="B210" t="s">
        <v>63</v>
      </c>
      <c r="C210" s="48">
        <v>52963</v>
      </c>
    </row>
    <row r="211" spans="1:4" x14ac:dyDescent="0.2">
      <c r="A211" t="s">
        <v>286</v>
      </c>
      <c r="B211" t="s">
        <v>651</v>
      </c>
      <c r="C211" s="48">
        <v>52963</v>
      </c>
    </row>
    <row r="212" spans="1:4" x14ac:dyDescent="0.2">
      <c r="A212" t="s">
        <v>286</v>
      </c>
      <c r="B212" t="s">
        <v>64</v>
      </c>
      <c r="C212" s="48">
        <v>52963</v>
      </c>
      <c r="D212">
        <v>0</v>
      </c>
    </row>
    <row r="213" spans="1:4" x14ac:dyDescent="0.2">
      <c r="A213" t="s">
        <v>286</v>
      </c>
      <c r="B213" t="s">
        <v>652</v>
      </c>
      <c r="C213" s="48">
        <v>52963</v>
      </c>
    </row>
    <row r="214" spans="1:4" x14ac:dyDescent="0.2">
      <c r="A214" t="s">
        <v>286</v>
      </c>
      <c r="B214" t="s">
        <v>653</v>
      </c>
      <c r="C214" s="48">
        <v>52963</v>
      </c>
    </row>
    <row r="215" spans="1:4" x14ac:dyDescent="0.2">
      <c r="A215" t="s">
        <v>286</v>
      </c>
      <c r="B215" t="s">
        <v>654</v>
      </c>
      <c r="C215" s="48">
        <v>52963</v>
      </c>
    </row>
    <row r="216" spans="1:4" x14ac:dyDescent="0.2">
      <c r="A216" t="s">
        <v>286</v>
      </c>
      <c r="B216" t="s">
        <v>65</v>
      </c>
      <c r="C216" s="48">
        <v>52963</v>
      </c>
      <c r="D216">
        <v>0</v>
      </c>
    </row>
    <row r="217" spans="1:4" x14ac:dyDescent="0.2">
      <c r="A217" t="s">
        <v>286</v>
      </c>
      <c r="B217" t="s">
        <v>655</v>
      </c>
      <c r="C217" s="48">
        <v>52963</v>
      </c>
    </row>
    <row r="218" spans="1:4" x14ac:dyDescent="0.2">
      <c r="A218" t="s">
        <v>286</v>
      </c>
      <c r="B218" t="s">
        <v>656</v>
      </c>
      <c r="C218" s="48">
        <v>52963</v>
      </c>
    </row>
    <row r="219" spans="1:4" x14ac:dyDescent="0.2">
      <c r="A219" t="s">
        <v>286</v>
      </c>
      <c r="B219" t="s">
        <v>657</v>
      </c>
      <c r="C219" s="48">
        <v>52963</v>
      </c>
    </row>
    <row r="220" spans="1:4" x14ac:dyDescent="0.2">
      <c r="A220" t="s">
        <v>286</v>
      </c>
      <c r="B220" t="s">
        <v>658</v>
      </c>
      <c r="C220" s="48">
        <v>52963</v>
      </c>
    </row>
    <row r="221" spans="1:4" x14ac:dyDescent="0.2">
      <c r="A221" t="s">
        <v>286</v>
      </c>
      <c r="B221" t="s">
        <v>66</v>
      </c>
      <c r="C221" s="48">
        <v>52963</v>
      </c>
    </row>
    <row r="222" spans="1:4" x14ac:dyDescent="0.2">
      <c r="A222" t="s">
        <v>286</v>
      </c>
      <c r="B222" t="s">
        <v>67</v>
      </c>
      <c r="C222" s="48">
        <v>52963</v>
      </c>
    </row>
    <row r="223" spans="1:4" x14ac:dyDescent="0.2">
      <c r="A223" t="s">
        <v>286</v>
      </c>
      <c r="B223" t="s">
        <v>68</v>
      </c>
      <c r="C223" s="48">
        <v>52963</v>
      </c>
    </row>
    <row r="224" spans="1:4" x14ac:dyDescent="0.2">
      <c r="A224" t="s">
        <v>286</v>
      </c>
      <c r="B224" t="s">
        <v>69</v>
      </c>
      <c r="C224" s="48">
        <v>52963</v>
      </c>
    </row>
    <row r="225" spans="1:4" x14ac:dyDescent="0.2">
      <c r="A225" t="s">
        <v>286</v>
      </c>
      <c r="B225" t="s">
        <v>70</v>
      </c>
      <c r="C225" s="48">
        <v>52963</v>
      </c>
    </row>
    <row r="226" spans="1:4" x14ac:dyDescent="0.2">
      <c r="A226" t="s">
        <v>286</v>
      </c>
      <c r="B226" t="s">
        <v>659</v>
      </c>
      <c r="C226" s="48">
        <v>52963</v>
      </c>
    </row>
    <row r="227" spans="1:4" x14ac:dyDescent="0.2">
      <c r="A227" t="s">
        <v>286</v>
      </c>
      <c r="B227" t="s">
        <v>71</v>
      </c>
      <c r="C227" s="48">
        <v>52963</v>
      </c>
      <c r="D227">
        <v>359457.03390304104</v>
      </c>
    </row>
    <row r="228" spans="1:4" x14ac:dyDescent="0.2">
      <c r="A228" t="s">
        <v>286</v>
      </c>
      <c r="B228" t="s">
        <v>72</v>
      </c>
      <c r="C228" s="48">
        <v>52963</v>
      </c>
      <c r="D228">
        <v>0</v>
      </c>
    </row>
    <row r="229" spans="1:4" x14ac:dyDescent="0.2">
      <c r="A229" t="s">
        <v>286</v>
      </c>
      <c r="B229" t="s">
        <v>660</v>
      </c>
      <c r="C229" s="48">
        <v>52963</v>
      </c>
    </row>
    <row r="230" spans="1:4" x14ac:dyDescent="0.2">
      <c r="A230" t="s">
        <v>286</v>
      </c>
      <c r="B230" t="s">
        <v>661</v>
      </c>
      <c r="C230" s="48">
        <v>52963</v>
      </c>
    </row>
    <row r="231" spans="1:4" x14ac:dyDescent="0.2">
      <c r="A231" t="s">
        <v>286</v>
      </c>
      <c r="B231" t="s">
        <v>662</v>
      </c>
      <c r="C231" s="48">
        <v>52963</v>
      </c>
    </row>
    <row r="232" spans="1:4" x14ac:dyDescent="0.2">
      <c r="A232" t="s">
        <v>286</v>
      </c>
      <c r="B232" t="s">
        <v>73</v>
      </c>
      <c r="C232" s="48">
        <v>52963</v>
      </c>
      <c r="D232">
        <v>0</v>
      </c>
    </row>
    <row r="233" spans="1:4" x14ac:dyDescent="0.2">
      <c r="A233" t="s">
        <v>286</v>
      </c>
      <c r="B233" t="s">
        <v>663</v>
      </c>
      <c r="C233" s="48">
        <v>52963</v>
      </c>
    </row>
    <row r="234" spans="1:4" x14ac:dyDescent="0.2">
      <c r="A234" t="s">
        <v>286</v>
      </c>
      <c r="B234" t="s">
        <v>664</v>
      </c>
      <c r="C234" s="48">
        <v>52963</v>
      </c>
    </row>
    <row r="235" spans="1:4" x14ac:dyDescent="0.2">
      <c r="A235" t="s">
        <v>286</v>
      </c>
      <c r="B235" t="s">
        <v>74</v>
      </c>
      <c r="C235" s="48">
        <v>52963</v>
      </c>
      <c r="D235">
        <v>0</v>
      </c>
    </row>
    <row r="236" spans="1:4" x14ac:dyDescent="0.2">
      <c r="A236" t="s">
        <v>286</v>
      </c>
      <c r="B236" t="s">
        <v>665</v>
      </c>
      <c r="C236" s="48">
        <v>52963</v>
      </c>
    </row>
    <row r="237" spans="1:4" x14ac:dyDescent="0.2">
      <c r="A237" t="s">
        <v>286</v>
      </c>
      <c r="B237" t="s">
        <v>666</v>
      </c>
      <c r="C237" s="48">
        <v>52963</v>
      </c>
    </row>
    <row r="238" spans="1:4" x14ac:dyDescent="0.2">
      <c r="A238" t="s">
        <v>286</v>
      </c>
      <c r="B238" t="s">
        <v>75</v>
      </c>
      <c r="C238" s="48">
        <v>52963</v>
      </c>
    </row>
    <row r="239" spans="1:4" x14ac:dyDescent="0.2">
      <c r="A239" t="s">
        <v>286</v>
      </c>
      <c r="B239" t="s">
        <v>76</v>
      </c>
      <c r="C239" s="48">
        <v>52963</v>
      </c>
    </row>
    <row r="240" spans="1:4" x14ac:dyDescent="0.2">
      <c r="A240" t="s">
        <v>286</v>
      </c>
      <c r="B240" t="s">
        <v>77</v>
      </c>
      <c r="C240" s="48">
        <v>52963</v>
      </c>
    </row>
    <row r="241" spans="1:4" x14ac:dyDescent="0.2">
      <c r="A241" t="s">
        <v>286</v>
      </c>
      <c r="B241" t="s">
        <v>78</v>
      </c>
      <c r="C241" s="48">
        <v>52963</v>
      </c>
    </row>
    <row r="242" spans="1:4" x14ac:dyDescent="0.2">
      <c r="A242" t="s">
        <v>286</v>
      </c>
      <c r="B242" t="s">
        <v>79</v>
      </c>
      <c r="C242" s="48">
        <v>52963</v>
      </c>
    </row>
    <row r="243" spans="1:4" x14ac:dyDescent="0.2">
      <c r="A243" t="s">
        <v>286</v>
      </c>
      <c r="B243" t="s">
        <v>80</v>
      </c>
      <c r="C243" s="48">
        <v>52963</v>
      </c>
    </row>
    <row r="244" spans="1:4" x14ac:dyDescent="0.2">
      <c r="A244" t="s">
        <v>286</v>
      </c>
      <c r="B244" t="s">
        <v>667</v>
      </c>
      <c r="C244" s="48">
        <v>52963</v>
      </c>
    </row>
    <row r="245" spans="1:4" x14ac:dyDescent="0.2">
      <c r="A245" t="s">
        <v>286</v>
      </c>
      <c r="B245" t="s">
        <v>668</v>
      </c>
      <c r="C245" s="48">
        <v>52963</v>
      </c>
    </row>
    <row r="246" spans="1:4" x14ac:dyDescent="0.2">
      <c r="A246" t="s">
        <v>286</v>
      </c>
      <c r="B246" t="s">
        <v>81</v>
      </c>
      <c r="C246" s="48">
        <v>52963</v>
      </c>
      <c r="D246">
        <v>26647742.98012447</v>
      </c>
    </row>
    <row r="247" spans="1:4" x14ac:dyDescent="0.2">
      <c r="A247" t="s">
        <v>286</v>
      </c>
      <c r="B247" t="s">
        <v>82</v>
      </c>
      <c r="C247" s="48">
        <v>52963</v>
      </c>
      <c r="D247">
        <v>27147999.849773441</v>
      </c>
    </row>
    <row r="248" spans="1:4" x14ac:dyDescent="0.2">
      <c r="A248" t="s">
        <v>286</v>
      </c>
      <c r="B248" t="s">
        <v>83</v>
      </c>
      <c r="C248" s="48">
        <v>52963</v>
      </c>
    </row>
    <row r="249" spans="1:4" x14ac:dyDescent="0.2">
      <c r="A249" t="s">
        <v>286</v>
      </c>
      <c r="B249" t="s">
        <v>669</v>
      </c>
      <c r="C249" s="48">
        <v>52963</v>
      </c>
    </row>
    <row r="250" spans="1:4" x14ac:dyDescent="0.2">
      <c r="A250" t="s">
        <v>286</v>
      </c>
      <c r="B250" t="s">
        <v>670</v>
      </c>
      <c r="C250" s="48">
        <v>52963</v>
      </c>
    </row>
    <row r="251" spans="1:4" x14ac:dyDescent="0.2">
      <c r="A251" t="s">
        <v>286</v>
      </c>
      <c r="B251" t="s">
        <v>84</v>
      </c>
      <c r="C251" s="48">
        <v>52963</v>
      </c>
    </row>
    <row r="252" spans="1:4" x14ac:dyDescent="0.2">
      <c r="A252" t="s">
        <v>286</v>
      </c>
      <c r="B252" t="s">
        <v>85</v>
      </c>
      <c r="C252" s="48">
        <v>52963</v>
      </c>
    </row>
    <row r="253" spans="1:4" x14ac:dyDescent="0.2">
      <c r="A253" t="s">
        <v>286</v>
      </c>
      <c r="B253" t="s">
        <v>671</v>
      </c>
      <c r="C253" s="48">
        <v>52963</v>
      </c>
    </row>
    <row r="254" spans="1:4" x14ac:dyDescent="0.2">
      <c r="A254" t="s">
        <v>286</v>
      </c>
      <c r="B254" t="s">
        <v>86</v>
      </c>
      <c r="C254" s="48">
        <v>52963</v>
      </c>
      <c r="D254">
        <v>559069.78153223137</v>
      </c>
    </row>
    <row r="255" spans="1:4" x14ac:dyDescent="0.2">
      <c r="A255" t="s">
        <v>286</v>
      </c>
      <c r="B255" t="s">
        <v>672</v>
      </c>
      <c r="C255" s="48">
        <v>52963</v>
      </c>
    </row>
    <row r="256" spans="1:4" x14ac:dyDescent="0.2">
      <c r="A256" t="s">
        <v>286</v>
      </c>
      <c r="B256" t="s">
        <v>673</v>
      </c>
      <c r="C256" s="48">
        <v>52963</v>
      </c>
    </row>
    <row r="257" spans="1:3" x14ac:dyDescent="0.2">
      <c r="A257" t="s">
        <v>286</v>
      </c>
      <c r="B257" t="s">
        <v>674</v>
      </c>
      <c r="C257" s="48">
        <v>52963</v>
      </c>
    </row>
    <row r="258" spans="1:3" x14ac:dyDescent="0.2">
      <c r="A258" t="s">
        <v>286</v>
      </c>
      <c r="B258" t="s">
        <v>675</v>
      </c>
      <c r="C258" s="48">
        <v>52963</v>
      </c>
    </row>
    <row r="259" spans="1:3" x14ac:dyDescent="0.2">
      <c r="A259" t="s">
        <v>286</v>
      </c>
      <c r="B259" t="s">
        <v>676</v>
      </c>
      <c r="C259" s="48">
        <v>52963</v>
      </c>
    </row>
    <row r="260" spans="1:3" x14ac:dyDescent="0.2">
      <c r="A260" t="s">
        <v>286</v>
      </c>
      <c r="B260" t="s">
        <v>87</v>
      </c>
      <c r="C260" s="48">
        <v>52963</v>
      </c>
    </row>
    <row r="261" spans="1:3" x14ac:dyDescent="0.2">
      <c r="A261" t="s">
        <v>286</v>
      </c>
      <c r="B261" t="s">
        <v>88</v>
      </c>
      <c r="C261" s="48">
        <v>52963</v>
      </c>
    </row>
    <row r="262" spans="1:3" x14ac:dyDescent="0.2">
      <c r="A262" t="s">
        <v>286</v>
      </c>
      <c r="B262" t="s">
        <v>89</v>
      </c>
      <c r="C262" s="48">
        <v>52963</v>
      </c>
    </row>
    <row r="263" spans="1:3" x14ac:dyDescent="0.2">
      <c r="A263" t="s">
        <v>286</v>
      </c>
      <c r="B263" t="s">
        <v>90</v>
      </c>
      <c r="C263" s="48">
        <v>52963</v>
      </c>
    </row>
    <row r="264" spans="1:3" x14ac:dyDescent="0.2">
      <c r="A264" t="s">
        <v>286</v>
      </c>
      <c r="B264" t="s">
        <v>91</v>
      </c>
      <c r="C264" s="48">
        <v>52963</v>
      </c>
    </row>
    <row r="265" spans="1:3" x14ac:dyDescent="0.2">
      <c r="A265" t="s">
        <v>286</v>
      </c>
      <c r="B265" t="s">
        <v>92</v>
      </c>
      <c r="C265" s="48">
        <v>52963</v>
      </c>
    </row>
    <row r="266" spans="1:3" x14ac:dyDescent="0.2">
      <c r="A266" t="s">
        <v>286</v>
      </c>
      <c r="B266" t="s">
        <v>93</v>
      </c>
      <c r="C266" s="48">
        <v>52963</v>
      </c>
    </row>
    <row r="267" spans="1:3" x14ac:dyDescent="0.2">
      <c r="A267" t="s">
        <v>286</v>
      </c>
      <c r="B267" t="s">
        <v>94</v>
      </c>
      <c r="C267" s="48">
        <v>52963</v>
      </c>
    </row>
    <row r="268" spans="1:3" x14ac:dyDescent="0.2">
      <c r="A268" t="s">
        <v>286</v>
      </c>
      <c r="B268" t="s">
        <v>95</v>
      </c>
      <c r="C268" s="48">
        <v>52963</v>
      </c>
    </row>
    <row r="269" spans="1:3" x14ac:dyDescent="0.2">
      <c r="A269" t="s">
        <v>286</v>
      </c>
      <c r="B269" t="s">
        <v>96</v>
      </c>
      <c r="C269" s="48">
        <v>52963</v>
      </c>
    </row>
    <row r="270" spans="1:3" x14ac:dyDescent="0.2">
      <c r="A270" t="s">
        <v>286</v>
      </c>
      <c r="B270" t="s">
        <v>97</v>
      </c>
      <c r="C270" s="48">
        <v>52963</v>
      </c>
    </row>
    <row r="271" spans="1:3" x14ac:dyDescent="0.2">
      <c r="A271" t="s">
        <v>286</v>
      </c>
      <c r="B271" t="s">
        <v>98</v>
      </c>
      <c r="C271" s="48">
        <v>52963</v>
      </c>
    </row>
    <row r="272" spans="1:3" x14ac:dyDescent="0.2">
      <c r="A272" t="s">
        <v>286</v>
      </c>
      <c r="B272" t="s">
        <v>99</v>
      </c>
      <c r="C272" s="48">
        <v>52963</v>
      </c>
    </row>
    <row r="273" spans="1:4" x14ac:dyDescent="0.2">
      <c r="A273" t="s">
        <v>286</v>
      </c>
      <c r="B273" t="s">
        <v>100</v>
      </c>
      <c r="C273" s="48">
        <v>52963</v>
      </c>
    </row>
    <row r="274" spans="1:4" x14ac:dyDescent="0.2">
      <c r="A274" t="s">
        <v>286</v>
      </c>
      <c r="B274" t="s">
        <v>101</v>
      </c>
      <c r="C274" s="48">
        <v>52963</v>
      </c>
    </row>
    <row r="275" spans="1:4" x14ac:dyDescent="0.2">
      <c r="A275" t="s">
        <v>286</v>
      </c>
      <c r="B275" t="s">
        <v>102</v>
      </c>
      <c r="C275" s="48">
        <v>52963</v>
      </c>
    </row>
    <row r="276" spans="1:4" x14ac:dyDescent="0.2">
      <c r="A276" t="s">
        <v>286</v>
      </c>
      <c r="B276" t="s">
        <v>103</v>
      </c>
      <c r="C276" s="48">
        <v>52963</v>
      </c>
    </row>
    <row r="277" spans="1:4" x14ac:dyDescent="0.2">
      <c r="A277" t="s">
        <v>286</v>
      </c>
      <c r="B277" t="s">
        <v>104</v>
      </c>
      <c r="C277" s="48">
        <v>52963</v>
      </c>
    </row>
    <row r="278" spans="1:4" x14ac:dyDescent="0.2">
      <c r="A278" t="s">
        <v>286</v>
      </c>
      <c r="B278" t="s">
        <v>677</v>
      </c>
      <c r="C278" s="48">
        <v>52963</v>
      </c>
    </row>
    <row r="279" spans="1:4" x14ac:dyDescent="0.2">
      <c r="A279" t="s">
        <v>286</v>
      </c>
      <c r="B279" t="s">
        <v>105</v>
      </c>
      <c r="C279" s="48">
        <v>52963</v>
      </c>
      <c r="D279">
        <v>43278016.385601766</v>
      </c>
    </row>
    <row r="280" spans="1:4" x14ac:dyDescent="0.2">
      <c r="A280" t="s">
        <v>286</v>
      </c>
      <c r="B280" t="s">
        <v>106</v>
      </c>
      <c r="C280" s="48">
        <v>52963</v>
      </c>
      <c r="D280">
        <v>29583683.688725863</v>
      </c>
    </row>
    <row r="281" spans="1:4" x14ac:dyDescent="0.2">
      <c r="A281" t="s">
        <v>286</v>
      </c>
      <c r="B281" t="s">
        <v>107</v>
      </c>
      <c r="C281" s="48">
        <v>52963</v>
      </c>
    </row>
    <row r="282" spans="1:4" x14ac:dyDescent="0.2">
      <c r="A282" t="s">
        <v>286</v>
      </c>
      <c r="B282" t="s">
        <v>678</v>
      </c>
      <c r="C282" s="48">
        <v>52963</v>
      </c>
    </row>
    <row r="283" spans="1:4" x14ac:dyDescent="0.2">
      <c r="A283" t="s">
        <v>286</v>
      </c>
      <c r="B283" t="s">
        <v>679</v>
      </c>
      <c r="C283" s="48">
        <v>52963</v>
      </c>
    </row>
    <row r="284" spans="1:4" x14ac:dyDescent="0.2">
      <c r="A284" t="s">
        <v>286</v>
      </c>
      <c r="B284" t="s">
        <v>680</v>
      </c>
      <c r="C284" s="48">
        <v>52963</v>
      </c>
    </row>
    <row r="285" spans="1:4" x14ac:dyDescent="0.2">
      <c r="A285" t="s">
        <v>286</v>
      </c>
      <c r="B285" t="s">
        <v>108</v>
      </c>
      <c r="C285" s="48">
        <v>52963</v>
      </c>
      <c r="D285">
        <v>110278.4257668564</v>
      </c>
    </row>
    <row r="286" spans="1:4" x14ac:dyDescent="0.2">
      <c r="A286" t="s">
        <v>286</v>
      </c>
      <c r="B286" t="s">
        <v>681</v>
      </c>
      <c r="C286" s="48">
        <v>52963</v>
      </c>
    </row>
    <row r="287" spans="1:4" x14ac:dyDescent="0.2">
      <c r="A287" t="s">
        <v>286</v>
      </c>
      <c r="B287" t="s">
        <v>682</v>
      </c>
      <c r="C287" s="48">
        <v>52963</v>
      </c>
    </row>
    <row r="288" spans="1:4" x14ac:dyDescent="0.2">
      <c r="A288" t="s">
        <v>286</v>
      </c>
      <c r="B288" t="s">
        <v>683</v>
      </c>
      <c r="C288" s="48">
        <v>52963</v>
      </c>
    </row>
    <row r="289" spans="1:4" x14ac:dyDescent="0.2">
      <c r="A289" t="s">
        <v>286</v>
      </c>
      <c r="B289" t="s">
        <v>109</v>
      </c>
      <c r="C289" s="48">
        <v>52963</v>
      </c>
      <c r="D289">
        <v>0</v>
      </c>
    </row>
    <row r="290" spans="1:4" x14ac:dyDescent="0.2">
      <c r="A290" t="s">
        <v>286</v>
      </c>
      <c r="B290" t="s">
        <v>684</v>
      </c>
      <c r="C290" s="48">
        <v>52963</v>
      </c>
    </row>
    <row r="291" spans="1:4" x14ac:dyDescent="0.2">
      <c r="A291" t="s">
        <v>286</v>
      </c>
      <c r="B291" t="s">
        <v>685</v>
      </c>
      <c r="C291" s="48">
        <v>52963</v>
      </c>
    </row>
    <row r="292" spans="1:4" x14ac:dyDescent="0.2">
      <c r="A292" t="s">
        <v>286</v>
      </c>
      <c r="B292" t="s">
        <v>110</v>
      </c>
      <c r="C292" s="48">
        <v>52963</v>
      </c>
    </row>
    <row r="293" spans="1:4" x14ac:dyDescent="0.2">
      <c r="A293" t="s">
        <v>286</v>
      </c>
      <c r="B293" t="s">
        <v>111</v>
      </c>
      <c r="C293" s="48">
        <v>52963</v>
      </c>
    </row>
    <row r="294" spans="1:4" x14ac:dyDescent="0.2">
      <c r="A294" t="s">
        <v>286</v>
      </c>
      <c r="B294" t="s">
        <v>112</v>
      </c>
      <c r="C294" s="48">
        <v>52963</v>
      </c>
    </row>
    <row r="295" spans="1:4" x14ac:dyDescent="0.2">
      <c r="A295" t="s">
        <v>286</v>
      </c>
      <c r="B295" t="s">
        <v>113</v>
      </c>
      <c r="C295" s="48">
        <v>52963</v>
      </c>
    </row>
    <row r="296" spans="1:4" x14ac:dyDescent="0.2">
      <c r="A296" t="s">
        <v>286</v>
      </c>
      <c r="B296" t="s">
        <v>114</v>
      </c>
      <c r="C296" s="48">
        <v>52963</v>
      </c>
    </row>
    <row r="297" spans="1:4" x14ac:dyDescent="0.2">
      <c r="A297" t="s">
        <v>286</v>
      </c>
      <c r="B297" t="s">
        <v>115</v>
      </c>
      <c r="C297" s="48">
        <v>52963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F5752-FEA5-664F-880D-D010392D3B4F}">
  <sheetPr codeName="Sheet17">
    <tabColor theme="7" tint="0.79998168889431442"/>
  </sheetPr>
  <dimension ref="A1:E149"/>
  <sheetViews>
    <sheetView workbookViewId="0">
      <selection activeCell="D51" sqref="D51"/>
    </sheetView>
  </sheetViews>
  <sheetFormatPr defaultColWidth="11" defaultRowHeight="11.4" x14ac:dyDescent="0.2"/>
  <sheetData>
    <row r="1" spans="1:5" x14ac:dyDescent="0.2">
      <c r="A1" t="s">
        <v>633</v>
      </c>
      <c r="B1" t="s">
        <v>450</v>
      </c>
      <c r="C1" t="s">
        <v>626</v>
      </c>
      <c r="D1" t="s">
        <v>728</v>
      </c>
      <c r="E1" t="s">
        <v>729</v>
      </c>
    </row>
    <row r="2" spans="1:5" x14ac:dyDescent="0.2">
      <c r="A2" t="s">
        <v>288</v>
      </c>
      <c r="B2" t="s">
        <v>10</v>
      </c>
      <c r="C2" s="48">
        <v>52963</v>
      </c>
      <c r="D2">
        <v>255.01208549700056</v>
      </c>
      <c r="E2">
        <v>0</v>
      </c>
    </row>
    <row r="3" spans="1:5" x14ac:dyDescent="0.2">
      <c r="A3" t="s">
        <v>288</v>
      </c>
      <c r="B3" t="s">
        <v>11</v>
      </c>
      <c r="C3" s="48">
        <v>52963</v>
      </c>
      <c r="D3">
        <v>0</v>
      </c>
      <c r="E3">
        <v>0</v>
      </c>
    </row>
    <row r="4" spans="1:5" x14ac:dyDescent="0.2">
      <c r="A4" t="s">
        <v>288</v>
      </c>
      <c r="B4" t="s">
        <v>12</v>
      </c>
      <c r="C4" s="48">
        <v>52963</v>
      </c>
      <c r="D4">
        <v>0</v>
      </c>
      <c r="E4">
        <v>0</v>
      </c>
    </row>
    <row r="5" spans="1:5" x14ac:dyDescent="0.2">
      <c r="A5" t="s">
        <v>288</v>
      </c>
      <c r="B5" t="s">
        <v>13</v>
      </c>
      <c r="C5" s="48">
        <v>52963</v>
      </c>
      <c r="D5">
        <v>600</v>
      </c>
      <c r="E5">
        <v>0</v>
      </c>
    </row>
    <row r="6" spans="1:5" x14ac:dyDescent="0.2">
      <c r="A6" t="s">
        <v>288</v>
      </c>
      <c r="B6" t="s">
        <v>644</v>
      </c>
      <c r="C6" s="48">
        <v>52963</v>
      </c>
      <c r="D6">
        <v>17.5</v>
      </c>
      <c r="E6">
        <v>0</v>
      </c>
    </row>
    <row r="7" spans="1:5" x14ac:dyDescent="0.2">
      <c r="A7" t="s">
        <v>288</v>
      </c>
      <c r="B7" t="s">
        <v>14</v>
      </c>
      <c r="C7" s="48">
        <v>52963</v>
      </c>
      <c r="D7">
        <v>1797.5000000000002</v>
      </c>
      <c r="E7">
        <v>0</v>
      </c>
    </row>
    <row r="8" spans="1:5" x14ac:dyDescent="0.2">
      <c r="A8" t="s">
        <v>288</v>
      </c>
      <c r="B8" t="s">
        <v>645</v>
      </c>
      <c r="C8" s="48">
        <v>52963</v>
      </c>
      <c r="D8">
        <v>31</v>
      </c>
      <c r="E8">
        <v>0</v>
      </c>
    </row>
    <row r="9" spans="1:5" x14ac:dyDescent="0.2">
      <c r="A9" t="s">
        <v>288</v>
      </c>
      <c r="B9" t="s">
        <v>646</v>
      </c>
      <c r="C9" s="48">
        <v>52963</v>
      </c>
      <c r="D9">
        <v>2724.0600000000004</v>
      </c>
      <c r="E9">
        <v>0</v>
      </c>
    </row>
    <row r="10" spans="1:5" x14ac:dyDescent="0.2">
      <c r="A10" t="s">
        <v>288</v>
      </c>
      <c r="B10" t="s">
        <v>15</v>
      </c>
      <c r="C10" s="48">
        <v>52963</v>
      </c>
      <c r="D10">
        <v>866.99000000000012</v>
      </c>
      <c r="E10">
        <v>0</v>
      </c>
    </row>
    <row r="11" spans="1:5" x14ac:dyDescent="0.2">
      <c r="A11" t="s">
        <v>288</v>
      </c>
      <c r="B11" t="s">
        <v>647</v>
      </c>
      <c r="C11" s="48">
        <v>52963</v>
      </c>
      <c r="D11">
        <v>0</v>
      </c>
      <c r="E11">
        <v>0</v>
      </c>
    </row>
    <row r="12" spans="1:5" x14ac:dyDescent="0.2">
      <c r="A12" t="s">
        <v>288</v>
      </c>
      <c r="B12" t="s">
        <v>648</v>
      </c>
      <c r="C12" s="48">
        <v>52963</v>
      </c>
      <c r="D12">
        <v>41.2</v>
      </c>
      <c r="E12">
        <v>0</v>
      </c>
    </row>
    <row r="13" spans="1:5" x14ac:dyDescent="0.2">
      <c r="A13" t="s">
        <v>288</v>
      </c>
      <c r="B13" t="s">
        <v>649</v>
      </c>
      <c r="C13" s="48">
        <v>52963</v>
      </c>
      <c r="D13">
        <v>3747.2728994766248</v>
      </c>
      <c r="E13">
        <v>0</v>
      </c>
    </row>
    <row r="14" spans="1:5" x14ac:dyDescent="0.2">
      <c r="A14" t="s">
        <v>288</v>
      </c>
      <c r="B14" t="s">
        <v>650</v>
      </c>
      <c r="C14" s="48">
        <v>52963</v>
      </c>
      <c r="D14">
        <v>0</v>
      </c>
      <c r="E14">
        <v>0</v>
      </c>
    </row>
    <row r="15" spans="1:5" x14ac:dyDescent="0.2">
      <c r="A15" t="s">
        <v>288</v>
      </c>
      <c r="B15" t="s">
        <v>16</v>
      </c>
      <c r="C15" s="48">
        <v>52963</v>
      </c>
      <c r="D15">
        <v>3420.9643003847432</v>
      </c>
      <c r="E15">
        <v>3249.9160853655058</v>
      </c>
    </row>
    <row r="16" spans="1:5" x14ac:dyDescent="0.2">
      <c r="A16" t="s">
        <v>288</v>
      </c>
      <c r="B16" t="s">
        <v>17</v>
      </c>
      <c r="C16" s="48">
        <v>52963</v>
      </c>
      <c r="D16">
        <v>0</v>
      </c>
      <c r="E16">
        <v>0</v>
      </c>
    </row>
    <row r="17" spans="1:5" x14ac:dyDescent="0.2">
      <c r="A17" t="s">
        <v>288</v>
      </c>
      <c r="B17" t="s">
        <v>18</v>
      </c>
      <c r="C17" s="48">
        <v>52963</v>
      </c>
      <c r="D17">
        <v>1938.74</v>
      </c>
      <c r="E17">
        <v>0</v>
      </c>
    </row>
    <row r="18" spans="1:5" x14ac:dyDescent="0.2">
      <c r="A18" t="s">
        <v>288</v>
      </c>
      <c r="B18" t="s">
        <v>19</v>
      </c>
      <c r="C18" s="48">
        <v>52963</v>
      </c>
      <c r="D18">
        <v>796.02099999999996</v>
      </c>
      <c r="E18">
        <v>597.52659195237516</v>
      </c>
    </row>
    <row r="19" spans="1:5" x14ac:dyDescent="0.2">
      <c r="A19" t="s">
        <v>288</v>
      </c>
      <c r="B19" t="s">
        <v>20</v>
      </c>
      <c r="C19" s="48">
        <v>52963</v>
      </c>
      <c r="D19">
        <v>11.7</v>
      </c>
      <c r="E19">
        <v>8.3869306930693082</v>
      </c>
    </row>
    <row r="20" spans="1:5" x14ac:dyDescent="0.2">
      <c r="A20" t="s">
        <v>288</v>
      </c>
      <c r="B20" t="s">
        <v>21</v>
      </c>
      <c r="C20" s="48">
        <v>52963</v>
      </c>
      <c r="D20">
        <v>0</v>
      </c>
      <c r="E20">
        <v>0</v>
      </c>
    </row>
    <row r="21" spans="1:5" x14ac:dyDescent="0.2">
      <c r="A21" t="s">
        <v>288</v>
      </c>
      <c r="B21" t="s">
        <v>22</v>
      </c>
      <c r="C21" s="48">
        <v>52963</v>
      </c>
      <c r="D21">
        <v>13499.52</v>
      </c>
      <c r="E21">
        <v>12962.500540221636</v>
      </c>
    </row>
    <row r="22" spans="1:5" x14ac:dyDescent="0.2">
      <c r="A22" t="s">
        <v>288</v>
      </c>
      <c r="B22" t="s">
        <v>23</v>
      </c>
      <c r="C22" s="48">
        <v>52963</v>
      </c>
      <c r="D22">
        <v>2921.2200000000003</v>
      </c>
      <c r="E22">
        <v>2890.9300000000007</v>
      </c>
    </row>
    <row r="23" spans="1:5" x14ac:dyDescent="0.2">
      <c r="A23" t="s">
        <v>288</v>
      </c>
      <c r="B23" t="s">
        <v>24</v>
      </c>
      <c r="C23" s="48">
        <v>52963</v>
      </c>
      <c r="D23">
        <v>0</v>
      </c>
      <c r="E23">
        <v>0</v>
      </c>
    </row>
    <row r="24" spans="1:5" x14ac:dyDescent="0.2">
      <c r="A24" t="s">
        <v>288</v>
      </c>
      <c r="B24" t="s">
        <v>25</v>
      </c>
      <c r="C24" s="48">
        <v>52963</v>
      </c>
      <c r="D24">
        <v>0</v>
      </c>
      <c r="E24">
        <v>0</v>
      </c>
    </row>
    <row r="25" spans="1:5" x14ac:dyDescent="0.2">
      <c r="A25" t="s">
        <v>288</v>
      </c>
      <c r="B25" t="s">
        <v>26</v>
      </c>
      <c r="C25" s="48">
        <v>52963</v>
      </c>
      <c r="D25">
        <v>1898.5</v>
      </c>
      <c r="E25">
        <v>1898.5</v>
      </c>
    </row>
    <row r="26" spans="1:5" x14ac:dyDescent="0.2">
      <c r="A26" t="s">
        <v>288</v>
      </c>
      <c r="B26" t="s">
        <v>27</v>
      </c>
      <c r="C26" s="48">
        <v>52963</v>
      </c>
      <c r="D26">
        <v>1578.7720000000002</v>
      </c>
      <c r="E26">
        <v>1196.8466373490371</v>
      </c>
    </row>
    <row r="27" spans="1:5" x14ac:dyDescent="0.2">
      <c r="A27" t="s">
        <v>288</v>
      </c>
      <c r="B27" t="s">
        <v>28</v>
      </c>
      <c r="C27" s="48">
        <v>52963</v>
      </c>
      <c r="D27">
        <v>8.6679999999999993</v>
      </c>
      <c r="E27">
        <v>5.3394879999999993</v>
      </c>
    </row>
    <row r="28" spans="1:5" x14ac:dyDescent="0.2">
      <c r="A28" t="s">
        <v>288</v>
      </c>
      <c r="B28" t="s">
        <v>29</v>
      </c>
      <c r="C28" s="48">
        <v>52963</v>
      </c>
      <c r="D28">
        <v>7072.77</v>
      </c>
      <c r="E28">
        <v>4792.2260412000005</v>
      </c>
    </row>
    <row r="29" spans="1:5" x14ac:dyDescent="0.2">
      <c r="A29" t="s">
        <v>288</v>
      </c>
      <c r="B29" t="s">
        <v>30</v>
      </c>
      <c r="C29" s="48">
        <v>52963</v>
      </c>
      <c r="D29">
        <v>1.9750000000000001</v>
      </c>
      <c r="E29">
        <v>0</v>
      </c>
    </row>
    <row r="30" spans="1:5" x14ac:dyDescent="0.2">
      <c r="A30" t="s">
        <v>288</v>
      </c>
      <c r="B30" t="s">
        <v>31</v>
      </c>
      <c r="C30" s="48">
        <v>52963</v>
      </c>
      <c r="D30">
        <v>0</v>
      </c>
      <c r="E30">
        <v>0</v>
      </c>
    </row>
    <row r="31" spans="1:5" x14ac:dyDescent="0.2">
      <c r="A31" t="s">
        <v>288</v>
      </c>
      <c r="B31" t="s">
        <v>32</v>
      </c>
      <c r="C31" s="48">
        <v>52963</v>
      </c>
      <c r="D31">
        <v>635</v>
      </c>
      <c r="E31">
        <v>630.67291311754707</v>
      </c>
    </row>
    <row r="32" spans="1:5" x14ac:dyDescent="0.2">
      <c r="A32" t="s">
        <v>288</v>
      </c>
      <c r="B32" t="s">
        <v>33</v>
      </c>
      <c r="C32" s="48">
        <v>52963</v>
      </c>
      <c r="D32">
        <v>4940.7199999999993</v>
      </c>
      <c r="E32">
        <v>4612.8036327243026</v>
      </c>
    </row>
    <row r="33" spans="1:5" x14ac:dyDescent="0.2">
      <c r="A33" t="s">
        <v>288</v>
      </c>
      <c r="B33" t="s">
        <v>34</v>
      </c>
      <c r="C33" s="48">
        <v>52963</v>
      </c>
      <c r="D33">
        <v>3125.37</v>
      </c>
      <c r="E33">
        <v>2926.3743423803803</v>
      </c>
    </row>
    <row r="34" spans="1:5" x14ac:dyDescent="0.2">
      <c r="A34" t="s">
        <v>288</v>
      </c>
      <c r="B34" t="s">
        <v>35</v>
      </c>
      <c r="C34" s="48">
        <v>52963</v>
      </c>
      <c r="D34">
        <v>255.3</v>
      </c>
      <c r="E34">
        <v>254.7</v>
      </c>
    </row>
    <row r="35" spans="1:5" x14ac:dyDescent="0.2">
      <c r="A35" t="s">
        <v>288</v>
      </c>
      <c r="B35" t="s">
        <v>36</v>
      </c>
      <c r="C35" s="48">
        <v>52963</v>
      </c>
      <c r="D35">
        <v>2195</v>
      </c>
      <c r="E35">
        <v>2195</v>
      </c>
    </row>
    <row r="36" spans="1:5" x14ac:dyDescent="0.2">
      <c r="A36" t="s">
        <v>288</v>
      </c>
      <c r="B36" t="s">
        <v>37</v>
      </c>
      <c r="C36" s="48">
        <v>52963</v>
      </c>
      <c r="D36">
        <v>0</v>
      </c>
      <c r="E36">
        <v>0</v>
      </c>
    </row>
    <row r="37" spans="1:5" x14ac:dyDescent="0.2">
      <c r="A37" t="s">
        <v>288</v>
      </c>
      <c r="B37" t="s">
        <v>38</v>
      </c>
      <c r="C37" s="48">
        <v>52963</v>
      </c>
      <c r="D37">
        <v>0</v>
      </c>
      <c r="E37">
        <v>0</v>
      </c>
    </row>
    <row r="38" spans="1:5" x14ac:dyDescent="0.2">
      <c r="A38" t="s">
        <v>288</v>
      </c>
      <c r="B38" t="s">
        <v>39</v>
      </c>
      <c r="C38" s="48">
        <v>52963</v>
      </c>
      <c r="D38">
        <v>440.70415400000002</v>
      </c>
      <c r="E38">
        <v>440.70415400000002</v>
      </c>
    </row>
    <row r="39" spans="1:5" x14ac:dyDescent="0.2">
      <c r="A39" t="s">
        <v>288</v>
      </c>
      <c r="B39" t="s">
        <v>40</v>
      </c>
      <c r="C39" s="48">
        <v>52963</v>
      </c>
      <c r="D39">
        <v>0</v>
      </c>
      <c r="E39">
        <v>0</v>
      </c>
    </row>
    <row r="40" spans="1:5" x14ac:dyDescent="0.2">
      <c r="A40" t="s">
        <v>288</v>
      </c>
      <c r="B40" t="s">
        <v>41</v>
      </c>
      <c r="C40" s="48">
        <v>52963</v>
      </c>
      <c r="D40">
        <v>0</v>
      </c>
      <c r="E40">
        <v>0</v>
      </c>
    </row>
    <row r="41" spans="1:5" x14ac:dyDescent="0.2">
      <c r="A41" t="s">
        <v>288</v>
      </c>
      <c r="B41" t="s">
        <v>42</v>
      </c>
      <c r="C41" s="48">
        <v>52963</v>
      </c>
      <c r="D41">
        <v>0</v>
      </c>
      <c r="E41">
        <v>0</v>
      </c>
    </row>
    <row r="42" spans="1:5" x14ac:dyDescent="0.2">
      <c r="A42" t="s">
        <v>288</v>
      </c>
      <c r="B42" t="s">
        <v>43</v>
      </c>
      <c r="C42" s="48">
        <v>52963</v>
      </c>
      <c r="D42">
        <v>0</v>
      </c>
      <c r="E42">
        <v>0</v>
      </c>
    </row>
    <row r="43" spans="1:5" x14ac:dyDescent="0.2">
      <c r="A43" t="s">
        <v>288</v>
      </c>
      <c r="B43" t="s">
        <v>44</v>
      </c>
      <c r="C43" s="48">
        <v>52963</v>
      </c>
      <c r="D43">
        <v>0</v>
      </c>
      <c r="E43">
        <v>0</v>
      </c>
    </row>
    <row r="44" spans="1:5" x14ac:dyDescent="0.2">
      <c r="A44" t="s">
        <v>288</v>
      </c>
      <c r="B44" t="s">
        <v>45</v>
      </c>
      <c r="C44" s="48">
        <v>52963</v>
      </c>
      <c r="D44">
        <v>944.52999999999963</v>
      </c>
      <c r="E44">
        <v>410.81862631065042</v>
      </c>
    </row>
    <row r="45" spans="1:5" x14ac:dyDescent="0.2">
      <c r="A45" t="s">
        <v>288</v>
      </c>
      <c r="B45" t="s">
        <v>46</v>
      </c>
      <c r="C45" s="48">
        <v>52963</v>
      </c>
      <c r="D45">
        <v>13.8</v>
      </c>
      <c r="E45">
        <v>2.0699999999999998</v>
      </c>
    </row>
    <row r="46" spans="1:5" x14ac:dyDescent="0.2">
      <c r="A46" t="s">
        <v>288</v>
      </c>
      <c r="B46" t="s">
        <v>47</v>
      </c>
      <c r="C46" s="48">
        <v>52963</v>
      </c>
      <c r="D46">
        <v>16404.790999999997</v>
      </c>
      <c r="E46">
        <v>0</v>
      </c>
    </row>
    <row r="47" spans="1:5" x14ac:dyDescent="0.2">
      <c r="A47" t="s">
        <v>288</v>
      </c>
      <c r="B47" t="s">
        <v>48</v>
      </c>
      <c r="C47" s="48">
        <v>52963</v>
      </c>
      <c r="D47">
        <v>12</v>
      </c>
      <c r="E47">
        <v>0</v>
      </c>
    </row>
    <row r="48" spans="1:5" x14ac:dyDescent="0.2">
      <c r="A48" t="s">
        <v>288</v>
      </c>
      <c r="B48" t="s">
        <v>49</v>
      </c>
      <c r="C48" s="48">
        <v>52963</v>
      </c>
      <c r="D48">
        <v>0</v>
      </c>
      <c r="E48">
        <v>0</v>
      </c>
    </row>
    <row r="49" spans="1:5" x14ac:dyDescent="0.2">
      <c r="A49" t="s">
        <v>288</v>
      </c>
      <c r="B49" t="s">
        <v>50</v>
      </c>
      <c r="C49" s="48">
        <v>52963</v>
      </c>
      <c r="D49">
        <v>6690.1409999999996</v>
      </c>
      <c r="E49">
        <v>0</v>
      </c>
    </row>
    <row r="50" spans="1:5" x14ac:dyDescent="0.2">
      <c r="A50" t="s">
        <v>288</v>
      </c>
      <c r="B50" t="s">
        <v>51</v>
      </c>
      <c r="C50" s="48">
        <v>52963</v>
      </c>
      <c r="D50">
        <v>279.98</v>
      </c>
      <c r="E50">
        <v>0</v>
      </c>
    </row>
    <row r="51" spans="1:5" x14ac:dyDescent="0.2">
      <c r="A51" t="s">
        <v>288</v>
      </c>
      <c r="B51" t="s">
        <v>52</v>
      </c>
      <c r="C51" s="48">
        <v>52963</v>
      </c>
      <c r="D51">
        <v>287</v>
      </c>
      <c r="E51">
        <v>0</v>
      </c>
    </row>
    <row r="52" spans="1:5" x14ac:dyDescent="0.2">
      <c r="A52" t="s">
        <v>288</v>
      </c>
      <c r="B52" t="s">
        <v>53</v>
      </c>
      <c r="C52" s="48">
        <v>52963</v>
      </c>
      <c r="D52">
        <v>173</v>
      </c>
      <c r="E52">
        <v>0</v>
      </c>
    </row>
    <row r="53" spans="1:5" x14ac:dyDescent="0.2">
      <c r="A53" t="s">
        <v>288</v>
      </c>
      <c r="B53" t="s">
        <v>54</v>
      </c>
      <c r="C53" s="48">
        <v>52963</v>
      </c>
      <c r="D53">
        <v>37373.517441210686</v>
      </c>
      <c r="E53">
        <v>0</v>
      </c>
    </row>
    <row r="54" spans="1:5" x14ac:dyDescent="0.2">
      <c r="A54" t="s">
        <v>288</v>
      </c>
      <c r="B54" t="s">
        <v>55</v>
      </c>
      <c r="C54" s="48">
        <v>52963</v>
      </c>
      <c r="D54">
        <v>125.18999999999998</v>
      </c>
      <c r="E54">
        <v>0</v>
      </c>
    </row>
    <row r="55" spans="1:5" x14ac:dyDescent="0.2">
      <c r="A55" t="s">
        <v>288</v>
      </c>
      <c r="B55" t="s">
        <v>56</v>
      </c>
      <c r="C55" s="48">
        <v>52963</v>
      </c>
      <c r="D55">
        <v>102.300458628</v>
      </c>
      <c r="E55">
        <v>90.119157720203859</v>
      </c>
    </row>
    <row r="56" spans="1:5" x14ac:dyDescent="0.2">
      <c r="A56" t="s">
        <v>288</v>
      </c>
      <c r="B56" t="s">
        <v>57</v>
      </c>
      <c r="C56" s="48">
        <v>52963</v>
      </c>
      <c r="D56">
        <v>2556</v>
      </c>
      <c r="E56">
        <v>0</v>
      </c>
    </row>
    <row r="57" spans="1:5" x14ac:dyDescent="0.2">
      <c r="A57" t="s">
        <v>288</v>
      </c>
      <c r="B57" t="s">
        <v>58</v>
      </c>
      <c r="C57" s="48">
        <v>52963</v>
      </c>
      <c r="D57">
        <v>0</v>
      </c>
      <c r="E57">
        <v>0</v>
      </c>
    </row>
    <row r="58" spans="1:5" x14ac:dyDescent="0.2">
      <c r="A58" t="s">
        <v>288</v>
      </c>
      <c r="B58" t="s">
        <v>59</v>
      </c>
      <c r="C58" s="48">
        <v>52963</v>
      </c>
      <c r="D58">
        <v>7241</v>
      </c>
      <c r="E58">
        <v>0</v>
      </c>
    </row>
    <row r="59" spans="1:5" x14ac:dyDescent="0.2">
      <c r="A59" t="s">
        <v>288</v>
      </c>
      <c r="B59" t="s">
        <v>60</v>
      </c>
      <c r="C59" s="48">
        <v>52963</v>
      </c>
      <c r="D59">
        <v>0</v>
      </c>
      <c r="E59">
        <v>0</v>
      </c>
    </row>
    <row r="60" spans="1:5" x14ac:dyDescent="0.2">
      <c r="A60" t="s">
        <v>288</v>
      </c>
      <c r="B60" t="s">
        <v>61</v>
      </c>
      <c r="C60" s="48">
        <v>52963</v>
      </c>
      <c r="D60">
        <v>20.52</v>
      </c>
      <c r="E60">
        <v>0</v>
      </c>
    </row>
    <row r="61" spans="1:5" x14ac:dyDescent="0.2">
      <c r="A61" t="s">
        <v>288</v>
      </c>
      <c r="B61" t="s">
        <v>62</v>
      </c>
      <c r="C61" s="48">
        <v>52963</v>
      </c>
      <c r="D61">
        <v>0</v>
      </c>
      <c r="E61">
        <v>0</v>
      </c>
    </row>
    <row r="62" spans="1:5" x14ac:dyDescent="0.2">
      <c r="A62" t="s">
        <v>288</v>
      </c>
      <c r="B62" t="s">
        <v>63</v>
      </c>
      <c r="C62" s="48">
        <v>52963</v>
      </c>
      <c r="D62">
        <v>0</v>
      </c>
      <c r="E62">
        <v>0</v>
      </c>
    </row>
    <row r="63" spans="1:5" x14ac:dyDescent="0.2">
      <c r="A63" t="s">
        <v>288</v>
      </c>
      <c r="B63" t="s">
        <v>651</v>
      </c>
      <c r="C63" s="48">
        <v>52963</v>
      </c>
      <c r="D63">
        <v>77</v>
      </c>
      <c r="E63">
        <v>0</v>
      </c>
    </row>
    <row r="64" spans="1:5" x14ac:dyDescent="0.2">
      <c r="A64" t="s">
        <v>288</v>
      </c>
      <c r="B64" t="s">
        <v>64</v>
      </c>
      <c r="C64" s="48">
        <v>52963</v>
      </c>
      <c r="D64">
        <v>255.3</v>
      </c>
      <c r="E64">
        <v>0</v>
      </c>
    </row>
    <row r="65" spans="1:5" x14ac:dyDescent="0.2">
      <c r="A65" t="s">
        <v>288</v>
      </c>
      <c r="B65" t="s">
        <v>652</v>
      </c>
      <c r="C65" s="48">
        <v>52963</v>
      </c>
      <c r="D65">
        <v>83</v>
      </c>
      <c r="E65">
        <v>0</v>
      </c>
    </row>
    <row r="66" spans="1:5" x14ac:dyDescent="0.2">
      <c r="A66" t="s">
        <v>288</v>
      </c>
      <c r="B66" t="s">
        <v>653</v>
      </c>
      <c r="C66" s="48">
        <v>52963</v>
      </c>
      <c r="D66">
        <v>401.22</v>
      </c>
      <c r="E66">
        <v>0</v>
      </c>
    </row>
    <row r="67" spans="1:5" x14ac:dyDescent="0.2">
      <c r="A67" t="s">
        <v>288</v>
      </c>
      <c r="B67" t="s">
        <v>654</v>
      </c>
      <c r="C67" s="48">
        <v>52963</v>
      </c>
      <c r="D67">
        <v>83.5</v>
      </c>
      <c r="E67">
        <v>0</v>
      </c>
    </row>
    <row r="68" spans="1:5" x14ac:dyDescent="0.2">
      <c r="A68" t="s">
        <v>288</v>
      </c>
      <c r="B68" t="s">
        <v>65</v>
      </c>
      <c r="C68" s="48">
        <v>52963</v>
      </c>
      <c r="D68">
        <v>327</v>
      </c>
      <c r="E68">
        <v>0</v>
      </c>
    </row>
    <row r="69" spans="1:5" x14ac:dyDescent="0.2">
      <c r="A69" t="s">
        <v>288</v>
      </c>
      <c r="B69" t="s">
        <v>655</v>
      </c>
      <c r="C69" s="48">
        <v>52963</v>
      </c>
      <c r="D69">
        <v>0</v>
      </c>
      <c r="E69">
        <v>0</v>
      </c>
    </row>
    <row r="70" spans="1:5" x14ac:dyDescent="0.2">
      <c r="A70" t="s">
        <v>288</v>
      </c>
      <c r="B70" t="s">
        <v>656</v>
      </c>
      <c r="C70" s="48">
        <v>52963</v>
      </c>
      <c r="D70">
        <v>49.9</v>
      </c>
      <c r="E70">
        <v>0</v>
      </c>
    </row>
    <row r="71" spans="1:5" x14ac:dyDescent="0.2">
      <c r="A71" t="s">
        <v>288</v>
      </c>
      <c r="B71" t="s">
        <v>657</v>
      </c>
      <c r="C71" s="48">
        <v>52963</v>
      </c>
      <c r="D71">
        <v>115.7</v>
      </c>
      <c r="E71">
        <v>0</v>
      </c>
    </row>
    <row r="72" spans="1:5" x14ac:dyDescent="0.2">
      <c r="A72" t="s">
        <v>288</v>
      </c>
      <c r="B72" t="s">
        <v>658</v>
      </c>
      <c r="C72" s="48">
        <v>52963</v>
      </c>
      <c r="D72">
        <v>0</v>
      </c>
      <c r="E72">
        <v>0</v>
      </c>
    </row>
    <row r="73" spans="1:5" x14ac:dyDescent="0.2">
      <c r="A73" t="s">
        <v>288</v>
      </c>
      <c r="B73" t="s">
        <v>66</v>
      </c>
      <c r="C73" s="48">
        <v>52963</v>
      </c>
      <c r="D73">
        <v>-5.6843418860808015E-13</v>
      </c>
      <c r="E73">
        <v>0</v>
      </c>
    </row>
    <row r="74" spans="1:5" x14ac:dyDescent="0.2">
      <c r="A74" t="s">
        <v>288</v>
      </c>
      <c r="B74" t="s">
        <v>67</v>
      </c>
      <c r="C74" s="48">
        <v>52963</v>
      </c>
      <c r="D74">
        <v>0</v>
      </c>
      <c r="E74">
        <v>0</v>
      </c>
    </row>
    <row r="75" spans="1:5" x14ac:dyDescent="0.2">
      <c r="A75" t="s">
        <v>288</v>
      </c>
      <c r="B75" t="s">
        <v>68</v>
      </c>
      <c r="C75" s="48">
        <v>52963</v>
      </c>
      <c r="D75">
        <v>0</v>
      </c>
      <c r="E75">
        <v>0</v>
      </c>
    </row>
    <row r="76" spans="1:5" x14ac:dyDescent="0.2">
      <c r="A76" t="s">
        <v>288</v>
      </c>
      <c r="B76" t="s">
        <v>69</v>
      </c>
      <c r="C76" s="48">
        <v>52963</v>
      </c>
      <c r="D76">
        <v>0</v>
      </c>
      <c r="E76">
        <v>0</v>
      </c>
    </row>
    <row r="77" spans="1:5" x14ac:dyDescent="0.2">
      <c r="A77" t="s">
        <v>288</v>
      </c>
      <c r="B77" t="s">
        <v>70</v>
      </c>
      <c r="C77" s="48">
        <v>52963</v>
      </c>
      <c r="D77">
        <v>60</v>
      </c>
      <c r="E77">
        <v>0</v>
      </c>
    </row>
    <row r="78" spans="1:5" x14ac:dyDescent="0.2">
      <c r="A78" t="s">
        <v>288</v>
      </c>
      <c r="B78" t="s">
        <v>659</v>
      </c>
      <c r="C78" s="48">
        <v>52963</v>
      </c>
      <c r="D78">
        <v>0</v>
      </c>
      <c r="E78">
        <v>0</v>
      </c>
    </row>
    <row r="79" spans="1:5" x14ac:dyDescent="0.2">
      <c r="A79" t="s">
        <v>288</v>
      </c>
      <c r="B79" t="s">
        <v>71</v>
      </c>
      <c r="C79" s="48">
        <v>52963</v>
      </c>
      <c r="D79">
        <v>2754.7</v>
      </c>
      <c r="E79">
        <v>0</v>
      </c>
    </row>
    <row r="80" spans="1:5" x14ac:dyDescent="0.2">
      <c r="A80" t="s">
        <v>288</v>
      </c>
      <c r="B80" t="s">
        <v>72</v>
      </c>
      <c r="C80" s="48">
        <v>52963</v>
      </c>
      <c r="D80">
        <v>0</v>
      </c>
      <c r="E80">
        <v>0</v>
      </c>
    </row>
    <row r="81" spans="1:5" x14ac:dyDescent="0.2">
      <c r="A81" t="s">
        <v>288</v>
      </c>
      <c r="B81" t="s">
        <v>660</v>
      </c>
      <c r="C81" s="48">
        <v>52963</v>
      </c>
      <c r="D81">
        <v>0</v>
      </c>
      <c r="E81">
        <v>0</v>
      </c>
    </row>
    <row r="82" spans="1:5" x14ac:dyDescent="0.2">
      <c r="A82" t="s">
        <v>288</v>
      </c>
      <c r="B82" t="s">
        <v>661</v>
      </c>
      <c r="C82" s="48">
        <v>52963</v>
      </c>
      <c r="D82">
        <v>233.7</v>
      </c>
      <c r="E82">
        <v>0</v>
      </c>
    </row>
    <row r="83" spans="1:5" x14ac:dyDescent="0.2">
      <c r="A83" t="s">
        <v>288</v>
      </c>
      <c r="B83" t="s">
        <v>662</v>
      </c>
      <c r="C83" s="48">
        <v>52963</v>
      </c>
      <c r="D83">
        <v>407</v>
      </c>
      <c r="E83">
        <v>0</v>
      </c>
    </row>
    <row r="84" spans="1:5" x14ac:dyDescent="0.2">
      <c r="A84" t="s">
        <v>288</v>
      </c>
      <c r="B84" t="s">
        <v>73</v>
      </c>
      <c r="C84" s="48">
        <v>52963</v>
      </c>
      <c r="D84">
        <v>1647</v>
      </c>
      <c r="E84">
        <v>0</v>
      </c>
    </row>
    <row r="85" spans="1:5" x14ac:dyDescent="0.2">
      <c r="A85" t="s">
        <v>288</v>
      </c>
      <c r="B85" t="s">
        <v>663</v>
      </c>
      <c r="C85" s="48">
        <v>52963</v>
      </c>
      <c r="D85">
        <v>56</v>
      </c>
      <c r="E85">
        <v>0</v>
      </c>
    </row>
    <row r="86" spans="1:5" x14ac:dyDescent="0.2">
      <c r="A86" t="s">
        <v>288</v>
      </c>
      <c r="B86" t="s">
        <v>664</v>
      </c>
      <c r="C86" s="48">
        <v>52963</v>
      </c>
      <c r="D86">
        <v>3459.4316353886315</v>
      </c>
      <c r="E86">
        <v>0</v>
      </c>
    </row>
    <row r="87" spans="1:5" x14ac:dyDescent="0.2">
      <c r="A87" t="s">
        <v>288</v>
      </c>
      <c r="B87" t="s">
        <v>74</v>
      </c>
      <c r="C87" s="48">
        <v>52963</v>
      </c>
      <c r="D87">
        <v>197</v>
      </c>
      <c r="E87">
        <v>0</v>
      </c>
    </row>
    <row r="88" spans="1:5" x14ac:dyDescent="0.2">
      <c r="A88" t="s">
        <v>288</v>
      </c>
      <c r="B88" t="s">
        <v>665</v>
      </c>
      <c r="C88" s="48">
        <v>52963</v>
      </c>
      <c r="D88">
        <v>5.0875000000000004</v>
      </c>
      <c r="E88">
        <v>0</v>
      </c>
    </row>
    <row r="89" spans="1:5" x14ac:dyDescent="0.2">
      <c r="A89" t="s">
        <v>288</v>
      </c>
      <c r="B89" t="s">
        <v>666</v>
      </c>
      <c r="C89" s="48">
        <v>52963</v>
      </c>
      <c r="D89">
        <v>704.83749999999998</v>
      </c>
      <c r="E89">
        <v>0</v>
      </c>
    </row>
    <row r="90" spans="1:5" x14ac:dyDescent="0.2">
      <c r="A90" t="s">
        <v>288</v>
      </c>
      <c r="B90" t="s">
        <v>75</v>
      </c>
      <c r="C90" s="48">
        <v>52963</v>
      </c>
      <c r="D90">
        <v>75</v>
      </c>
      <c r="E90">
        <v>0</v>
      </c>
    </row>
    <row r="91" spans="1:5" x14ac:dyDescent="0.2">
      <c r="A91" t="s">
        <v>288</v>
      </c>
      <c r="B91" t="s">
        <v>76</v>
      </c>
      <c r="C91" s="48">
        <v>52963</v>
      </c>
      <c r="D91">
        <v>0</v>
      </c>
      <c r="E91">
        <v>0</v>
      </c>
    </row>
    <row r="92" spans="1:5" x14ac:dyDescent="0.2">
      <c r="A92" t="s">
        <v>288</v>
      </c>
      <c r="B92" t="s">
        <v>77</v>
      </c>
      <c r="C92" s="48">
        <v>52963</v>
      </c>
      <c r="D92">
        <v>0</v>
      </c>
      <c r="E92">
        <v>0</v>
      </c>
    </row>
    <row r="93" spans="1:5" x14ac:dyDescent="0.2">
      <c r="A93" t="s">
        <v>288</v>
      </c>
      <c r="B93" t="s">
        <v>78</v>
      </c>
      <c r="C93" s="48">
        <v>52963</v>
      </c>
      <c r="D93">
        <v>0</v>
      </c>
      <c r="E93">
        <v>0</v>
      </c>
    </row>
    <row r="94" spans="1:5" x14ac:dyDescent="0.2">
      <c r="A94" t="s">
        <v>288</v>
      </c>
      <c r="B94" t="s">
        <v>79</v>
      </c>
      <c r="C94" s="48">
        <v>52963</v>
      </c>
      <c r="D94">
        <v>0</v>
      </c>
      <c r="E94">
        <v>0</v>
      </c>
    </row>
    <row r="95" spans="1:5" x14ac:dyDescent="0.2">
      <c r="A95" t="s">
        <v>288</v>
      </c>
      <c r="B95" t="s">
        <v>80</v>
      </c>
      <c r="C95" s="48">
        <v>52963</v>
      </c>
      <c r="D95">
        <v>91.849624060150319</v>
      </c>
      <c r="E95">
        <v>0</v>
      </c>
    </row>
    <row r="96" spans="1:5" x14ac:dyDescent="0.2">
      <c r="A96" t="s">
        <v>288</v>
      </c>
      <c r="B96" t="s">
        <v>667</v>
      </c>
      <c r="C96" s="48">
        <v>52963</v>
      </c>
      <c r="D96">
        <v>46</v>
      </c>
      <c r="E96">
        <v>0</v>
      </c>
    </row>
    <row r="97" spans="1:5" x14ac:dyDescent="0.2">
      <c r="A97" t="s">
        <v>288</v>
      </c>
      <c r="B97" t="s">
        <v>668</v>
      </c>
      <c r="C97" s="48">
        <v>52963</v>
      </c>
      <c r="D97">
        <v>544.1</v>
      </c>
      <c r="E97">
        <v>0</v>
      </c>
    </row>
    <row r="98" spans="1:5" x14ac:dyDescent="0.2">
      <c r="A98" t="s">
        <v>288</v>
      </c>
      <c r="B98" t="s">
        <v>81</v>
      </c>
      <c r="C98" s="48">
        <v>52963</v>
      </c>
      <c r="D98">
        <v>9573.4280000000017</v>
      </c>
      <c r="E98">
        <v>0</v>
      </c>
    </row>
    <row r="99" spans="1:5" x14ac:dyDescent="0.2">
      <c r="A99" t="s">
        <v>288</v>
      </c>
      <c r="B99" t="s">
        <v>82</v>
      </c>
      <c r="C99" s="48">
        <v>52963</v>
      </c>
      <c r="D99">
        <v>7363.8029999999999</v>
      </c>
      <c r="E99">
        <v>0</v>
      </c>
    </row>
    <row r="100" spans="1:5" x14ac:dyDescent="0.2">
      <c r="A100" t="s">
        <v>288</v>
      </c>
      <c r="B100" t="s">
        <v>83</v>
      </c>
      <c r="C100" s="48">
        <v>52963</v>
      </c>
      <c r="D100">
        <v>0</v>
      </c>
      <c r="E100">
        <v>0</v>
      </c>
    </row>
    <row r="101" spans="1:5" x14ac:dyDescent="0.2">
      <c r="A101" t="s">
        <v>288</v>
      </c>
      <c r="B101" t="s">
        <v>669</v>
      </c>
      <c r="C101" s="48">
        <v>52963</v>
      </c>
      <c r="D101">
        <v>0</v>
      </c>
      <c r="E101">
        <v>0</v>
      </c>
    </row>
    <row r="102" spans="1:5" x14ac:dyDescent="0.2">
      <c r="A102" t="s">
        <v>288</v>
      </c>
      <c r="B102" t="s">
        <v>670</v>
      </c>
      <c r="C102" s="48">
        <v>52963</v>
      </c>
      <c r="D102">
        <v>154.095</v>
      </c>
      <c r="E102">
        <v>0</v>
      </c>
    </row>
    <row r="103" spans="1:5" x14ac:dyDescent="0.2">
      <c r="A103" t="s">
        <v>288</v>
      </c>
      <c r="B103" t="s">
        <v>84</v>
      </c>
      <c r="C103" s="48">
        <v>52963</v>
      </c>
      <c r="D103">
        <v>31287.61580671135</v>
      </c>
      <c r="E103">
        <v>0</v>
      </c>
    </row>
    <row r="104" spans="1:5" x14ac:dyDescent="0.2">
      <c r="A104" t="s">
        <v>288</v>
      </c>
      <c r="B104" t="s">
        <v>85</v>
      </c>
      <c r="C104" s="48">
        <v>52963</v>
      </c>
      <c r="D104">
        <v>2851.7671932886424</v>
      </c>
      <c r="E104">
        <v>0</v>
      </c>
    </row>
    <row r="105" spans="1:5" x14ac:dyDescent="0.2">
      <c r="A105" t="s">
        <v>288</v>
      </c>
      <c r="B105" t="s">
        <v>671</v>
      </c>
      <c r="C105" s="48">
        <v>52963</v>
      </c>
      <c r="D105">
        <v>1756.56</v>
      </c>
      <c r="E105">
        <v>0</v>
      </c>
    </row>
    <row r="106" spans="1:5" x14ac:dyDescent="0.2">
      <c r="A106" t="s">
        <v>288</v>
      </c>
      <c r="B106" t="s">
        <v>86</v>
      </c>
      <c r="C106" s="48">
        <v>52963</v>
      </c>
      <c r="D106">
        <v>2587.5300000000011</v>
      </c>
      <c r="E106">
        <v>0</v>
      </c>
    </row>
    <row r="107" spans="1:5" x14ac:dyDescent="0.2">
      <c r="A107" t="s">
        <v>288</v>
      </c>
      <c r="B107" t="s">
        <v>672</v>
      </c>
      <c r="C107" s="48">
        <v>52963</v>
      </c>
      <c r="D107">
        <v>6.9</v>
      </c>
      <c r="E107">
        <v>0</v>
      </c>
    </row>
    <row r="108" spans="1:5" x14ac:dyDescent="0.2">
      <c r="A108" t="s">
        <v>288</v>
      </c>
      <c r="B108" t="s">
        <v>673</v>
      </c>
      <c r="C108" s="48">
        <v>52963</v>
      </c>
      <c r="D108">
        <v>41</v>
      </c>
      <c r="E108">
        <v>0</v>
      </c>
    </row>
    <row r="109" spans="1:5" x14ac:dyDescent="0.2">
      <c r="A109" t="s">
        <v>288</v>
      </c>
      <c r="B109" t="s">
        <v>674</v>
      </c>
      <c r="C109" s="48">
        <v>52963</v>
      </c>
      <c r="D109">
        <v>2599.6999999999998</v>
      </c>
      <c r="E109">
        <v>0</v>
      </c>
    </row>
    <row r="110" spans="1:5" x14ac:dyDescent="0.2">
      <c r="A110" t="s">
        <v>288</v>
      </c>
      <c r="B110" t="s">
        <v>675</v>
      </c>
      <c r="C110" s="48">
        <v>52963</v>
      </c>
      <c r="D110">
        <v>1417.2920800000002</v>
      </c>
      <c r="E110">
        <v>0</v>
      </c>
    </row>
    <row r="111" spans="1:5" x14ac:dyDescent="0.2">
      <c r="A111" t="s">
        <v>288</v>
      </c>
      <c r="B111" t="s">
        <v>676</v>
      </c>
      <c r="C111" s="48">
        <v>52963</v>
      </c>
      <c r="D111">
        <v>10989.48792</v>
      </c>
      <c r="E111">
        <v>0</v>
      </c>
    </row>
    <row r="112" spans="1:5" x14ac:dyDescent="0.2">
      <c r="A112" t="s">
        <v>288</v>
      </c>
      <c r="B112" t="s">
        <v>87</v>
      </c>
      <c r="C112" s="48">
        <v>52963</v>
      </c>
      <c r="D112">
        <v>0</v>
      </c>
      <c r="E112">
        <v>0</v>
      </c>
    </row>
    <row r="113" spans="1:5" x14ac:dyDescent="0.2">
      <c r="A113" t="s">
        <v>288</v>
      </c>
      <c r="B113" t="s">
        <v>88</v>
      </c>
      <c r="C113" s="48">
        <v>52963</v>
      </c>
      <c r="D113">
        <v>0</v>
      </c>
      <c r="E113">
        <v>0</v>
      </c>
    </row>
    <row r="114" spans="1:5" x14ac:dyDescent="0.2">
      <c r="A114" t="s">
        <v>288</v>
      </c>
      <c r="B114" t="s">
        <v>89</v>
      </c>
      <c r="C114" s="48">
        <v>52963</v>
      </c>
      <c r="D114">
        <v>0</v>
      </c>
      <c r="E114">
        <v>0</v>
      </c>
    </row>
    <row r="115" spans="1:5" x14ac:dyDescent="0.2">
      <c r="A115" t="s">
        <v>288</v>
      </c>
      <c r="B115" t="s">
        <v>90</v>
      </c>
      <c r="C115" s="48">
        <v>52963</v>
      </c>
      <c r="D115">
        <v>5171.2</v>
      </c>
      <c r="E115">
        <v>0</v>
      </c>
    </row>
    <row r="116" spans="1:5" x14ac:dyDescent="0.2">
      <c r="A116" t="s">
        <v>288</v>
      </c>
      <c r="B116" t="s">
        <v>91</v>
      </c>
      <c r="C116" s="48">
        <v>52963</v>
      </c>
      <c r="D116">
        <v>0</v>
      </c>
      <c r="E116">
        <v>0</v>
      </c>
    </row>
    <row r="117" spans="1:5" x14ac:dyDescent="0.2">
      <c r="A117" t="s">
        <v>288</v>
      </c>
      <c r="B117" t="s">
        <v>92</v>
      </c>
      <c r="C117" s="48">
        <v>52963</v>
      </c>
      <c r="D117">
        <v>0</v>
      </c>
      <c r="E117">
        <v>0</v>
      </c>
    </row>
    <row r="118" spans="1:5" x14ac:dyDescent="0.2">
      <c r="A118" t="s">
        <v>288</v>
      </c>
      <c r="B118" t="s">
        <v>93</v>
      </c>
      <c r="C118" s="48">
        <v>52963</v>
      </c>
      <c r="D118">
        <v>0</v>
      </c>
      <c r="E118">
        <v>0</v>
      </c>
    </row>
    <row r="119" spans="1:5" x14ac:dyDescent="0.2">
      <c r="A119" t="s">
        <v>288</v>
      </c>
      <c r="B119" t="s">
        <v>94</v>
      </c>
      <c r="C119" s="48">
        <v>52963</v>
      </c>
      <c r="D119">
        <v>0</v>
      </c>
      <c r="E119">
        <v>0</v>
      </c>
    </row>
    <row r="120" spans="1:5" x14ac:dyDescent="0.2">
      <c r="A120" t="s">
        <v>288</v>
      </c>
      <c r="B120" t="s">
        <v>95</v>
      </c>
      <c r="C120" s="48">
        <v>52963</v>
      </c>
      <c r="D120">
        <v>2596.4995413720007</v>
      </c>
      <c r="E120">
        <v>0</v>
      </c>
    </row>
    <row r="121" spans="1:5" x14ac:dyDescent="0.2">
      <c r="A121" t="s">
        <v>288</v>
      </c>
      <c r="B121" t="s">
        <v>96</v>
      </c>
      <c r="C121" s="48">
        <v>52963</v>
      </c>
      <c r="D121">
        <v>0</v>
      </c>
      <c r="E121">
        <v>0</v>
      </c>
    </row>
    <row r="122" spans="1:5" x14ac:dyDescent="0.2">
      <c r="A122" t="s">
        <v>288</v>
      </c>
      <c r="B122" t="s">
        <v>97</v>
      </c>
      <c r="C122" s="48">
        <v>52963</v>
      </c>
      <c r="D122">
        <v>0</v>
      </c>
      <c r="E122">
        <v>0</v>
      </c>
    </row>
    <row r="123" spans="1:5" x14ac:dyDescent="0.2">
      <c r="A123" t="s">
        <v>288</v>
      </c>
      <c r="B123" t="s">
        <v>98</v>
      </c>
      <c r="C123" s="48">
        <v>52963</v>
      </c>
      <c r="D123">
        <v>560</v>
      </c>
      <c r="E123">
        <v>0</v>
      </c>
    </row>
    <row r="124" spans="1:5" x14ac:dyDescent="0.2">
      <c r="A124" t="s">
        <v>288</v>
      </c>
      <c r="B124" t="s">
        <v>99</v>
      </c>
      <c r="C124" s="48">
        <v>52963</v>
      </c>
      <c r="D124">
        <v>0</v>
      </c>
      <c r="E124">
        <v>0</v>
      </c>
    </row>
    <row r="125" spans="1:5" x14ac:dyDescent="0.2">
      <c r="A125" t="s">
        <v>288</v>
      </c>
      <c r="B125" t="s">
        <v>100</v>
      </c>
      <c r="C125" s="48">
        <v>52963</v>
      </c>
      <c r="D125">
        <v>177</v>
      </c>
      <c r="E125">
        <v>0</v>
      </c>
    </row>
    <row r="126" spans="1:5" x14ac:dyDescent="0.2">
      <c r="A126" t="s">
        <v>288</v>
      </c>
      <c r="B126" t="s">
        <v>101</v>
      </c>
      <c r="C126" s="48">
        <v>52963</v>
      </c>
      <c r="D126">
        <v>3661.4110000000001</v>
      </c>
      <c r="E126">
        <v>0</v>
      </c>
    </row>
    <row r="127" spans="1:5" x14ac:dyDescent="0.2">
      <c r="A127" t="s">
        <v>288</v>
      </c>
      <c r="B127" t="s">
        <v>102</v>
      </c>
      <c r="C127" s="48">
        <v>52963</v>
      </c>
      <c r="D127">
        <v>0</v>
      </c>
      <c r="E127">
        <v>0</v>
      </c>
    </row>
    <row r="128" spans="1:5" x14ac:dyDescent="0.2">
      <c r="A128" t="s">
        <v>288</v>
      </c>
      <c r="B128" t="s">
        <v>103</v>
      </c>
      <c r="C128" s="48">
        <v>52963</v>
      </c>
      <c r="D128">
        <v>10520.317708262062</v>
      </c>
      <c r="E128">
        <v>0</v>
      </c>
    </row>
    <row r="129" spans="1:5" x14ac:dyDescent="0.2">
      <c r="A129" t="s">
        <v>288</v>
      </c>
      <c r="B129" t="s">
        <v>104</v>
      </c>
      <c r="C129" s="48">
        <v>52963</v>
      </c>
      <c r="D129">
        <v>438.27291737938361</v>
      </c>
      <c r="E129">
        <v>0</v>
      </c>
    </row>
    <row r="130" spans="1:5" x14ac:dyDescent="0.2">
      <c r="A130" t="s">
        <v>288</v>
      </c>
      <c r="B130" t="s">
        <v>677</v>
      </c>
      <c r="C130" s="48">
        <v>52963</v>
      </c>
      <c r="D130">
        <v>107.53499999999998</v>
      </c>
      <c r="E130">
        <v>0</v>
      </c>
    </row>
    <row r="131" spans="1:5" x14ac:dyDescent="0.2">
      <c r="A131" t="s">
        <v>288</v>
      </c>
      <c r="B131" t="s">
        <v>105</v>
      </c>
      <c r="C131" s="48">
        <v>52963</v>
      </c>
      <c r="D131">
        <v>16156.700000000004</v>
      </c>
      <c r="E131">
        <v>0</v>
      </c>
    </row>
    <row r="132" spans="1:5" x14ac:dyDescent="0.2">
      <c r="A132" t="s">
        <v>288</v>
      </c>
      <c r="B132" t="s">
        <v>106</v>
      </c>
      <c r="C132" s="48">
        <v>52963</v>
      </c>
      <c r="D132">
        <v>6140.6</v>
      </c>
      <c r="E132">
        <v>0</v>
      </c>
    </row>
    <row r="133" spans="1:5" x14ac:dyDescent="0.2">
      <c r="A133" t="s">
        <v>288</v>
      </c>
      <c r="B133" t="s">
        <v>107</v>
      </c>
      <c r="C133" s="48">
        <v>52963</v>
      </c>
      <c r="D133">
        <v>265</v>
      </c>
      <c r="E133">
        <v>0</v>
      </c>
    </row>
    <row r="134" spans="1:5" x14ac:dyDescent="0.2">
      <c r="A134" t="s">
        <v>288</v>
      </c>
      <c r="B134" t="s">
        <v>678</v>
      </c>
      <c r="C134" s="48">
        <v>52963</v>
      </c>
      <c r="D134">
        <v>778.09</v>
      </c>
      <c r="E134">
        <v>0</v>
      </c>
    </row>
    <row r="135" spans="1:5" x14ac:dyDescent="0.2">
      <c r="A135" t="s">
        <v>288</v>
      </c>
      <c r="B135" t="s">
        <v>679</v>
      </c>
      <c r="C135" s="48">
        <v>52963</v>
      </c>
      <c r="D135">
        <v>2532.4300000000007</v>
      </c>
      <c r="E135">
        <v>0</v>
      </c>
    </row>
    <row r="136" spans="1:5" x14ac:dyDescent="0.2">
      <c r="A136" t="s">
        <v>288</v>
      </c>
      <c r="B136" t="s">
        <v>680</v>
      </c>
      <c r="C136" s="48">
        <v>52963</v>
      </c>
      <c r="D136">
        <v>2998</v>
      </c>
      <c r="E136">
        <v>0</v>
      </c>
    </row>
    <row r="137" spans="1:5" x14ac:dyDescent="0.2">
      <c r="A137" t="s">
        <v>288</v>
      </c>
      <c r="B137" t="s">
        <v>108</v>
      </c>
      <c r="C137" s="48">
        <v>52963</v>
      </c>
      <c r="D137">
        <v>5481.9199999999983</v>
      </c>
      <c r="E137">
        <v>0</v>
      </c>
    </row>
    <row r="138" spans="1:5" x14ac:dyDescent="0.2">
      <c r="A138" t="s">
        <v>288</v>
      </c>
      <c r="B138" t="s">
        <v>681</v>
      </c>
      <c r="C138" s="48">
        <v>52963</v>
      </c>
      <c r="D138">
        <v>0</v>
      </c>
      <c r="E138">
        <v>0</v>
      </c>
    </row>
    <row r="139" spans="1:5" x14ac:dyDescent="0.2">
      <c r="A139" t="s">
        <v>288</v>
      </c>
      <c r="B139" t="s">
        <v>682</v>
      </c>
      <c r="C139" s="48">
        <v>52963</v>
      </c>
      <c r="D139">
        <v>65</v>
      </c>
      <c r="E139">
        <v>0</v>
      </c>
    </row>
    <row r="140" spans="1:5" x14ac:dyDescent="0.2">
      <c r="A140" t="s">
        <v>288</v>
      </c>
      <c r="B140" t="s">
        <v>683</v>
      </c>
      <c r="C140" s="48">
        <v>52963</v>
      </c>
      <c r="D140">
        <v>1637.2599999999998</v>
      </c>
      <c r="E140">
        <v>0</v>
      </c>
    </row>
    <row r="141" spans="1:5" x14ac:dyDescent="0.2">
      <c r="A141" t="s">
        <v>288</v>
      </c>
      <c r="B141" t="s">
        <v>109</v>
      </c>
      <c r="C141" s="48">
        <v>52963</v>
      </c>
      <c r="D141">
        <v>824.5</v>
      </c>
      <c r="E141">
        <v>0</v>
      </c>
    </row>
    <row r="142" spans="1:5" x14ac:dyDescent="0.2">
      <c r="A142" t="s">
        <v>288</v>
      </c>
      <c r="B142" t="s">
        <v>684</v>
      </c>
      <c r="C142" s="48">
        <v>52963</v>
      </c>
      <c r="D142">
        <v>50.4</v>
      </c>
      <c r="E142">
        <v>0</v>
      </c>
    </row>
    <row r="143" spans="1:5" x14ac:dyDescent="0.2">
      <c r="A143" t="s">
        <v>288</v>
      </c>
      <c r="B143" t="s">
        <v>685</v>
      </c>
      <c r="C143" s="48">
        <v>52963</v>
      </c>
      <c r="D143">
        <v>1876.6</v>
      </c>
      <c r="E143">
        <v>0</v>
      </c>
    </row>
    <row r="144" spans="1:5" x14ac:dyDescent="0.2">
      <c r="A144" t="s">
        <v>288</v>
      </c>
      <c r="B144" t="s">
        <v>110</v>
      </c>
      <c r="C144" s="48">
        <v>52963</v>
      </c>
      <c r="D144">
        <v>6511.5383956386295</v>
      </c>
      <c r="E144">
        <v>0</v>
      </c>
    </row>
    <row r="145" spans="1:5" x14ac:dyDescent="0.2">
      <c r="A145" t="s">
        <v>288</v>
      </c>
      <c r="B145" t="s">
        <v>111</v>
      </c>
      <c r="C145" s="48">
        <v>52963</v>
      </c>
      <c r="D145">
        <v>0</v>
      </c>
      <c r="E145">
        <v>0</v>
      </c>
    </row>
    <row r="146" spans="1:5" x14ac:dyDescent="0.2">
      <c r="A146" t="s">
        <v>288</v>
      </c>
      <c r="B146" t="s">
        <v>112</v>
      </c>
      <c r="C146" s="48">
        <v>52963</v>
      </c>
      <c r="D146">
        <v>430.06230529595069</v>
      </c>
      <c r="E146">
        <v>0</v>
      </c>
    </row>
    <row r="147" spans="1:5" x14ac:dyDescent="0.2">
      <c r="A147" t="s">
        <v>288</v>
      </c>
      <c r="B147" t="s">
        <v>113</v>
      </c>
      <c r="C147" s="48">
        <v>52963</v>
      </c>
      <c r="D147">
        <v>275</v>
      </c>
      <c r="E147">
        <v>0</v>
      </c>
    </row>
    <row r="148" spans="1:5" x14ac:dyDescent="0.2">
      <c r="A148" t="s">
        <v>288</v>
      </c>
      <c r="B148" t="s">
        <v>114</v>
      </c>
      <c r="C148" s="48">
        <v>52963</v>
      </c>
      <c r="D148">
        <v>0</v>
      </c>
      <c r="E148">
        <v>0</v>
      </c>
    </row>
    <row r="149" spans="1:5" x14ac:dyDescent="0.2">
      <c r="A149" t="s">
        <v>288</v>
      </c>
      <c r="B149" t="s">
        <v>115</v>
      </c>
      <c r="C149" s="48">
        <v>52963</v>
      </c>
      <c r="D149">
        <v>1970.1708231434195</v>
      </c>
      <c r="E149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37098-1244-CD4B-8C8B-A6E61DD64409}">
  <sheetPr codeName="Sheet18">
    <tabColor theme="7" tint="0.79998168889431442"/>
  </sheetPr>
  <dimension ref="A1:I35"/>
  <sheetViews>
    <sheetView workbookViewId="0">
      <selection activeCell="D51" sqref="D51"/>
    </sheetView>
  </sheetViews>
  <sheetFormatPr defaultColWidth="11" defaultRowHeight="11.4" x14ac:dyDescent="0.2"/>
  <sheetData>
    <row r="1" spans="1:9" x14ac:dyDescent="0.2">
      <c r="A1" t="s">
        <v>918</v>
      </c>
      <c r="B1" t="s">
        <v>919</v>
      </c>
      <c r="C1" t="s">
        <v>920</v>
      </c>
      <c r="D1" t="s">
        <v>921</v>
      </c>
      <c r="E1" t="s">
        <v>731</v>
      </c>
      <c r="F1" t="s">
        <v>732</v>
      </c>
      <c r="G1" t="s">
        <v>733</v>
      </c>
      <c r="H1" t="s">
        <v>734</v>
      </c>
      <c r="I1" t="s">
        <v>735</v>
      </c>
    </row>
    <row r="2" spans="1:9" x14ac:dyDescent="0.2">
      <c r="A2">
        <v>2045</v>
      </c>
      <c r="B2" t="s">
        <v>288</v>
      </c>
      <c r="C2" t="s">
        <v>423</v>
      </c>
      <c r="D2">
        <v>1</v>
      </c>
      <c r="F2">
        <v>-13835.441862173006</v>
      </c>
      <c r="G2">
        <v>0</v>
      </c>
      <c r="H2">
        <v>0</v>
      </c>
    </row>
    <row r="3" spans="1:9" x14ac:dyDescent="0.2">
      <c r="A3">
        <v>2045</v>
      </c>
      <c r="B3" t="s">
        <v>288</v>
      </c>
      <c r="C3" t="s">
        <v>423</v>
      </c>
      <c r="D3">
        <v>10</v>
      </c>
      <c r="F3">
        <v>-5628.290896188626</v>
      </c>
      <c r="G3">
        <v>0</v>
      </c>
      <c r="H3">
        <v>0</v>
      </c>
    </row>
    <row r="4" spans="1:9" x14ac:dyDescent="0.2">
      <c r="A4">
        <v>2045</v>
      </c>
      <c r="B4" t="s">
        <v>288</v>
      </c>
      <c r="C4" t="s">
        <v>423</v>
      </c>
      <c r="D4">
        <v>11</v>
      </c>
      <c r="F4">
        <v>-5686.7609258047723</v>
      </c>
      <c r="G4">
        <v>0</v>
      </c>
      <c r="H4">
        <v>0</v>
      </c>
    </row>
    <row r="5" spans="1:9" x14ac:dyDescent="0.2">
      <c r="A5">
        <v>2045</v>
      </c>
      <c r="B5" t="s">
        <v>288</v>
      </c>
      <c r="C5" t="s">
        <v>423</v>
      </c>
      <c r="D5">
        <v>12</v>
      </c>
      <c r="F5">
        <v>-6690.467127663369</v>
      </c>
      <c r="G5">
        <v>0</v>
      </c>
      <c r="H5">
        <v>0</v>
      </c>
    </row>
    <row r="6" spans="1:9" x14ac:dyDescent="0.2">
      <c r="A6">
        <v>2045</v>
      </c>
      <c r="B6" t="s">
        <v>288</v>
      </c>
      <c r="C6" t="s">
        <v>423</v>
      </c>
      <c r="D6">
        <v>13</v>
      </c>
      <c r="F6">
        <v>-689.37795229922995</v>
      </c>
      <c r="G6">
        <v>0</v>
      </c>
      <c r="H6">
        <v>0</v>
      </c>
    </row>
    <row r="7" spans="1:9" x14ac:dyDescent="0.2">
      <c r="A7">
        <v>2045</v>
      </c>
      <c r="B7" t="s">
        <v>288</v>
      </c>
      <c r="C7" t="s">
        <v>423</v>
      </c>
      <c r="D7">
        <v>14</v>
      </c>
      <c r="F7">
        <v>-1335.8038526304426</v>
      </c>
      <c r="G7">
        <v>0</v>
      </c>
      <c r="H7">
        <v>0</v>
      </c>
    </row>
    <row r="8" spans="1:9" x14ac:dyDescent="0.2">
      <c r="A8">
        <v>2045</v>
      </c>
      <c r="B8" t="s">
        <v>288</v>
      </c>
      <c r="C8" t="s">
        <v>423</v>
      </c>
      <c r="D8">
        <v>15</v>
      </c>
      <c r="F8">
        <v>-1421.9877001785771</v>
      </c>
      <c r="G8">
        <v>0</v>
      </c>
      <c r="H8">
        <v>0</v>
      </c>
    </row>
    <row r="9" spans="1:9" x14ac:dyDescent="0.2">
      <c r="A9">
        <v>2045</v>
      </c>
      <c r="B9" t="s">
        <v>288</v>
      </c>
      <c r="C9" t="s">
        <v>423</v>
      </c>
      <c r="D9">
        <v>16</v>
      </c>
      <c r="F9">
        <v>-1843.4712730144656</v>
      </c>
      <c r="G9">
        <v>0</v>
      </c>
      <c r="H9">
        <v>0</v>
      </c>
    </row>
    <row r="10" spans="1:9" x14ac:dyDescent="0.2">
      <c r="A10">
        <v>2045</v>
      </c>
      <c r="B10" t="s">
        <v>288</v>
      </c>
      <c r="C10" t="s">
        <v>423</v>
      </c>
      <c r="D10">
        <v>17</v>
      </c>
      <c r="F10">
        <v>-118.14583372505876</v>
      </c>
      <c r="G10">
        <v>0</v>
      </c>
      <c r="H10">
        <v>0</v>
      </c>
    </row>
    <row r="11" spans="1:9" x14ac:dyDescent="0.2">
      <c r="A11">
        <v>2045</v>
      </c>
      <c r="B11" t="s">
        <v>288</v>
      </c>
      <c r="C11" t="s">
        <v>423</v>
      </c>
      <c r="D11">
        <v>18</v>
      </c>
      <c r="F11">
        <v>-199.17947727603129</v>
      </c>
      <c r="G11">
        <v>0</v>
      </c>
      <c r="H11">
        <v>0</v>
      </c>
    </row>
    <row r="12" spans="1:9" x14ac:dyDescent="0.2">
      <c r="A12">
        <v>2045</v>
      </c>
      <c r="B12" t="s">
        <v>288</v>
      </c>
      <c r="C12" t="s">
        <v>423</v>
      </c>
      <c r="D12">
        <v>19</v>
      </c>
      <c r="F12">
        <v>-307.9726966750477</v>
      </c>
      <c r="G12">
        <v>0</v>
      </c>
      <c r="H12">
        <v>0</v>
      </c>
    </row>
    <row r="13" spans="1:9" x14ac:dyDescent="0.2">
      <c r="A13">
        <v>2045</v>
      </c>
      <c r="B13" t="s">
        <v>288</v>
      </c>
      <c r="C13" t="s">
        <v>423</v>
      </c>
      <c r="D13">
        <v>2</v>
      </c>
      <c r="F13">
        <v>-15249.271424340252</v>
      </c>
      <c r="G13">
        <v>0</v>
      </c>
      <c r="H13">
        <v>0</v>
      </c>
    </row>
    <row r="14" spans="1:9" x14ac:dyDescent="0.2">
      <c r="A14">
        <v>2045</v>
      </c>
      <c r="B14" t="s">
        <v>288</v>
      </c>
      <c r="C14" t="s">
        <v>423</v>
      </c>
      <c r="D14">
        <v>20</v>
      </c>
      <c r="F14">
        <v>-351.7244580906372</v>
      </c>
      <c r="G14">
        <v>0</v>
      </c>
      <c r="H14">
        <v>0</v>
      </c>
    </row>
    <row r="15" spans="1:9" x14ac:dyDescent="0.2">
      <c r="A15">
        <v>2045</v>
      </c>
      <c r="B15" t="s">
        <v>288</v>
      </c>
      <c r="C15" t="s">
        <v>423</v>
      </c>
      <c r="D15">
        <v>21</v>
      </c>
      <c r="F15">
        <v>0</v>
      </c>
      <c r="G15">
        <v>0</v>
      </c>
      <c r="H15">
        <v>-373974.17624160479</v>
      </c>
    </row>
    <row r="16" spans="1:9" x14ac:dyDescent="0.2">
      <c r="A16">
        <v>2045</v>
      </c>
      <c r="B16" t="s">
        <v>288</v>
      </c>
      <c r="C16" t="s">
        <v>423</v>
      </c>
      <c r="D16">
        <v>22</v>
      </c>
      <c r="F16">
        <v>-14.355756951497824</v>
      </c>
      <c r="G16">
        <v>0</v>
      </c>
      <c r="H16">
        <v>0</v>
      </c>
    </row>
    <row r="17" spans="1:8" x14ac:dyDescent="0.2">
      <c r="A17">
        <v>2045</v>
      </c>
      <c r="B17" t="s">
        <v>288</v>
      </c>
      <c r="C17" t="s">
        <v>423</v>
      </c>
      <c r="D17">
        <v>23</v>
      </c>
      <c r="F17">
        <v>-127.62645817644081</v>
      </c>
      <c r="G17">
        <v>0</v>
      </c>
      <c r="H17">
        <v>0</v>
      </c>
    </row>
    <row r="18" spans="1:8" x14ac:dyDescent="0.2">
      <c r="A18">
        <v>2045</v>
      </c>
      <c r="B18" t="s">
        <v>288</v>
      </c>
      <c r="C18" t="s">
        <v>423</v>
      </c>
      <c r="D18">
        <v>24</v>
      </c>
      <c r="F18">
        <v>-132.45090824441286</v>
      </c>
      <c r="G18">
        <v>0</v>
      </c>
      <c r="H18">
        <v>0</v>
      </c>
    </row>
    <row r="19" spans="1:8" x14ac:dyDescent="0.2">
      <c r="A19">
        <v>2045</v>
      </c>
      <c r="B19" t="s">
        <v>288</v>
      </c>
      <c r="C19" t="s">
        <v>423</v>
      </c>
      <c r="D19">
        <v>3</v>
      </c>
      <c r="F19">
        <v>-15279.062843715406</v>
      </c>
      <c r="G19">
        <v>0</v>
      </c>
      <c r="H19">
        <v>0</v>
      </c>
    </row>
    <row r="20" spans="1:8" x14ac:dyDescent="0.2">
      <c r="A20">
        <v>2045</v>
      </c>
      <c r="B20" t="s">
        <v>288</v>
      </c>
      <c r="C20" t="s">
        <v>423</v>
      </c>
      <c r="D20">
        <v>4</v>
      </c>
      <c r="F20">
        <v>-16089.840652958586</v>
      </c>
      <c r="G20">
        <v>0</v>
      </c>
      <c r="H20">
        <v>0</v>
      </c>
    </row>
    <row r="21" spans="1:8" x14ac:dyDescent="0.2">
      <c r="A21">
        <v>2045</v>
      </c>
      <c r="B21" t="s">
        <v>288</v>
      </c>
      <c r="C21" t="s">
        <v>423</v>
      </c>
      <c r="D21">
        <v>5</v>
      </c>
      <c r="F21">
        <v>-9840.1134970582661</v>
      </c>
      <c r="G21">
        <v>0</v>
      </c>
      <c r="H21">
        <v>0</v>
      </c>
    </row>
    <row r="22" spans="1:8" x14ac:dyDescent="0.2">
      <c r="A22">
        <v>2045</v>
      </c>
      <c r="B22" t="s">
        <v>288</v>
      </c>
      <c r="C22" t="s">
        <v>423</v>
      </c>
      <c r="D22">
        <v>6</v>
      </c>
      <c r="F22">
        <v>-11676.553584905148</v>
      </c>
      <c r="G22">
        <v>0</v>
      </c>
      <c r="H22">
        <v>0</v>
      </c>
    </row>
    <row r="23" spans="1:8" x14ac:dyDescent="0.2">
      <c r="A23">
        <v>2045</v>
      </c>
      <c r="B23" t="s">
        <v>288</v>
      </c>
      <c r="C23" t="s">
        <v>423</v>
      </c>
      <c r="D23">
        <v>7</v>
      </c>
      <c r="F23">
        <v>-11716.891825108429</v>
      </c>
      <c r="G23">
        <v>0</v>
      </c>
      <c r="H23">
        <v>0</v>
      </c>
    </row>
    <row r="24" spans="1:8" x14ac:dyDescent="0.2">
      <c r="A24">
        <v>2045</v>
      </c>
      <c r="B24" t="s">
        <v>288</v>
      </c>
      <c r="C24" t="s">
        <v>423</v>
      </c>
      <c r="D24">
        <v>8</v>
      </c>
      <c r="F24">
        <v>-12544.717550760965</v>
      </c>
      <c r="G24">
        <v>0</v>
      </c>
      <c r="H24">
        <v>0</v>
      </c>
    </row>
    <row r="25" spans="1:8" x14ac:dyDescent="0.2">
      <c r="A25">
        <v>2045</v>
      </c>
      <c r="B25" t="s">
        <v>288</v>
      </c>
      <c r="C25" t="s">
        <v>423</v>
      </c>
      <c r="D25">
        <v>9</v>
      </c>
      <c r="F25">
        <v>-4201.0357558043688</v>
      </c>
      <c r="G25">
        <v>0</v>
      </c>
      <c r="H25">
        <v>0</v>
      </c>
    </row>
    <row r="26" spans="1:8" x14ac:dyDescent="0.2">
      <c r="A26">
        <v>2045</v>
      </c>
      <c r="B26" t="s">
        <v>288</v>
      </c>
      <c r="C26" t="s">
        <v>424</v>
      </c>
      <c r="D26">
        <v>1</v>
      </c>
      <c r="F26">
        <v>-19103.107020439234</v>
      </c>
      <c r="G26">
        <v>0</v>
      </c>
      <c r="H26">
        <v>0</v>
      </c>
    </row>
    <row r="27" spans="1:8" x14ac:dyDescent="0.2">
      <c r="A27">
        <v>2045</v>
      </c>
      <c r="B27" t="s">
        <v>288</v>
      </c>
      <c r="C27" t="s">
        <v>424</v>
      </c>
      <c r="D27">
        <v>10</v>
      </c>
      <c r="F27">
        <v>0</v>
      </c>
      <c r="G27">
        <v>0</v>
      </c>
      <c r="H27">
        <v>-373974.17624160479</v>
      </c>
    </row>
    <row r="28" spans="1:8" x14ac:dyDescent="0.2">
      <c r="A28">
        <v>2045</v>
      </c>
      <c r="B28" t="s">
        <v>288</v>
      </c>
      <c r="C28" t="s">
        <v>424</v>
      </c>
      <c r="D28">
        <v>2</v>
      </c>
      <c r="F28">
        <v>-18594.530054096776</v>
      </c>
      <c r="G28">
        <v>0</v>
      </c>
      <c r="H28">
        <v>0</v>
      </c>
    </row>
    <row r="29" spans="1:8" x14ac:dyDescent="0.2">
      <c r="A29">
        <v>2045</v>
      </c>
      <c r="B29" t="s">
        <v>288</v>
      </c>
      <c r="C29" t="s">
        <v>424</v>
      </c>
      <c r="D29">
        <v>3</v>
      </c>
      <c r="F29">
        <v>-12853.43340621133</v>
      </c>
      <c r="G29">
        <v>0</v>
      </c>
      <c r="H29">
        <v>0</v>
      </c>
    </row>
    <row r="30" spans="1:8" x14ac:dyDescent="0.2">
      <c r="A30">
        <v>2045</v>
      </c>
      <c r="B30" t="s">
        <v>288</v>
      </c>
      <c r="C30" t="s">
        <v>424</v>
      </c>
      <c r="D30">
        <v>4</v>
      </c>
      <c r="F30">
        <v>-10920.98105667892</v>
      </c>
      <c r="G30">
        <v>0</v>
      </c>
      <c r="H30">
        <v>0</v>
      </c>
    </row>
    <row r="31" spans="1:8" x14ac:dyDescent="0.2">
      <c r="A31">
        <v>2045</v>
      </c>
      <c r="B31" t="s">
        <v>288</v>
      </c>
      <c r="C31" t="s">
        <v>424</v>
      </c>
      <c r="D31">
        <v>5</v>
      </c>
      <c r="F31">
        <v>-7632.6118296066634</v>
      </c>
      <c r="G31">
        <v>0</v>
      </c>
      <c r="H31">
        <v>0</v>
      </c>
    </row>
    <row r="32" spans="1:8" x14ac:dyDescent="0.2">
      <c r="A32">
        <v>2045</v>
      </c>
      <c r="B32" t="s">
        <v>288</v>
      </c>
      <c r="C32" t="s">
        <v>424</v>
      </c>
      <c r="D32">
        <v>6</v>
      </c>
      <c r="F32">
        <v>-5494.7254548416277</v>
      </c>
      <c r="G32">
        <v>0</v>
      </c>
      <c r="H32">
        <v>0</v>
      </c>
    </row>
    <row r="33" spans="1:8" x14ac:dyDescent="0.2">
      <c r="A33">
        <v>2045</v>
      </c>
      <c r="B33" t="s">
        <v>288</v>
      </c>
      <c r="C33" t="s">
        <v>424</v>
      </c>
      <c r="D33">
        <v>7</v>
      </c>
      <c r="F33">
        <v>-3777.9924403593432</v>
      </c>
      <c r="G33">
        <v>0</v>
      </c>
      <c r="H33">
        <v>0</v>
      </c>
    </row>
    <row r="34" spans="1:8" x14ac:dyDescent="0.2">
      <c r="A34">
        <v>2045</v>
      </c>
      <c r="B34" t="s">
        <v>288</v>
      </c>
      <c r="C34" t="s">
        <v>424</v>
      </c>
      <c r="D34">
        <v>8</v>
      </c>
      <c r="F34">
        <v>-2064.6963975404469</v>
      </c>
      <c r="G34">
        <v>0</v>
      </c>
      <c r="H34">
        <v>0</v>
      </c>
    </row>
    <row r="35" spans="1:8" x14ac:dyDescent="0.2">
      <c r="A35">
        <v>2045</v>
      </c>
      <c r="B35" t="s">
        <v>288</v>
      </c>
      <c r="C35" t="s">
        <v>424</v>
      </c>
      <c r="D35">
        <v>9</v>
      </c>
      <c r="F35">
        <v>-1309.6929821859922</v>
      </c>
      <c r="G35">
        <v>0</v>
      </c>
      <c r="H35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00FA7-4B68-E245-BA4A-09771574CD57}">
  <sheetPr codeName="Sheet19">
    <tabColor theme="7" tint="0.79998168889431442"/>
  </sheetPr>
  <dimension ref="A1:E49"/>
  <sheetViews>
    <sheetView topLeftCell="A17" zoomScale="132" workbookViewId="0">
      <selection activeCell="D51" sqref="D51"/>
    </sheetView>
  </sheetViews>
  <sheetFormatPr defaultColWidth="11" defaultRowHeight="11.4" x14ac:dyDescent="0.2"/>
  <sheetData>
    <row r="1" spans="1:5" x14ac:dyDescent="0.2">
      <c r="A1" t="s">
        <v>918</v>
      </c>
      <c r="B1" t="s">
        <v>919</v>
      </c>
      <c r="C1" t="s">
        <v>920</v>
      </c>
      <c r="D1" t="s">
        <v>921</v>
      </c>
      <c r="E1" t="s">
        <v>922</v>
      </c>
    </row>
    <row r="2" spans="1:5" x14ac:dyDescent="0.2">
      <c r="A2">
        <v>2045</v>
      </c>
      <c r="B2" t="s">
        <v>288</v>
      </c>
      <c r="C2" t="s">
        <v>423</v>
      </c>
      <c r="D2">
        <v>1</v>
      </c>
      <c r="E2">
        <v>25061.540590680877</v>
      </c>
    </row>
    <row r="3" spans="1:5" x14ac:dyDescent="0.2">
      <c r="A3">
        <v>2045</v>
      </c>
      <c r="B3" t="s">
        <v>288</v>
      </c>
      <c r="C3" t="s">
        <v>423</v>
      </c>
      <c r="D3">
        <v>10</v>
      </c>
      <c r="E3">
        <v>16854.389624696494</v>
      </c>
    </row>
    <row r="4" spans="1:5" x14ac:dyDescent="0.2">
      <c r="A4">
        <v>2045</v>
      </c>
      <c r="B4" t="s">
        <v>288</v>
      </c>
      <c r="C4" t="s">
        <v>423</v>
      </c>
      <c r="D4">
        <v>11</v>
      </c>
      <c r="E4">
        <v>16912.85965431264</v>
      </c>
    </row>
    <row r="5" spans="1:5" x14ac:dyDescent="0.2">
      <c r="A5">
        <v>2045</v>
      </c>
      <c r="B5" t="s">
        <v>288</v>
      </c>
      <c r="C5" t="s">
        <v>423</v>
      </c>
      <c r="D5">
        <v>12</v>
      </c>
      <c r="E5">
        <v>17916.565856171237</v>
      </c>
    </row>
    <row r="6" spans="1:5" x14ac:dyDescent="0.2">
      <c r="A6">
        <v>2045</v>
      </c>
      <c r="B6" t="s">
        <v>288</v>
      </c>
      <c r="C6" t="s">
        <v>423</v>
      </c>
      <c r="D6">
        <v>13</v>
      </c>
      <c r="E6">
        <v>11915.476680807098</v>
      </c>
    </row>
    <row r="7" spans="1:5" x14ac:dyDescent="0.2">
      <c r="A7">
        <v>2045</v>
      </c>
      <c r="B7" t="s">
        <v>288</v>
      </c>
      <c r="C7" t="s">
        <v>423</v>
      </c>
      <c r="D7">
        <v>14</v>
      </c>
      <c r="E7">
        <v>12561.902581138311</v>
      </c>
    </row>
    <row r="8" spans="1:5" x14ac:dyDescent="0.2">
      <c r="A8">
        <v>2045</v>
      </c>
      <c r="B8" t="s">
        <v>288</v>
      </c>
      <c r="C8" t="s">
        <v>423</v>
      </c>
      <c r="D8">
        <v>15</v>
      </c>
      <c r="E8">
        <v>12648.086428686443</v>
      </c>
    </row>
    <row r="9" spans="1:5" x14ac:dyDescent="0.2">
      <c r="A9">
        <v>2045</v>
      </c>
      <c r="B9" t="s">
        <v>288</v>
      </c>
      <c r="C9" t="s">
        <v>423</v>
      </c>
      <c r="D9">
        <v>16</v>
      </c>
      <c r="E9">
        <v>13069.570001522334</v>
      </c>
    </row>
    <row r="10" spans="1:5" x14ac:dyDescent="0.2">
      <c r="A10">
        <v>2045</v>
      </c>
      <c r="B10" t="s">
        <v>288</v>
      </c>
      <c r="C10" t="s">
        <v>423</v>
      </c>
      <c r="D10">
        <v>17</v>
      </c>
      <c r="E10">
        <v>11344.244562232929</v>
      </c>
    </row>
    <row r="11" spans="1:5" x14ac:dyDescent="0.2">
      <c r="A11">
        <v>2045</v>
      </c>
      <c r="B11" t="s">
        <v>288</v>
      </c>
      <c r="C11" t="s">
        <v>423</v>
      </c>
      <c r="D11">
        <v>18</v>
      </c>
      <c r="E11">
        <v>11425.278205783899</v>
      </c>
    </row>
    <row r="12" spans="1:5" x14ac:dyDescent="0.2">
      <c r="A12">
        <v>2045</v>
      </c>
      <c r="B12" t="s">
        <v>288</v>
      </c>
      <c r="C12" t="s">
        <v>423</v>
      </c>
      <c r="D12">
        <v>19</v>
      </c>
      <c r="E12">
        <v>11534.071425182916</v>
      </c>
    </row>
    <row r="13" spans="1:5" x14ac:dyDescent="0.2">
      <c r="A13">
        <v>2045</v>
      </c>
      <c r="B13" t="s">
        <v>288</v>
      </c>
      <c r="C13" t="s">
        <v>423</v>
      </c>
      <c r="D13">
        <v>2</v>
      </c>
      <c r="E13">
        <v>26475.370152848122</v>
      </c>
    </row>
    <row r="14" spans="1:5" x14ac:dyDescent="0.2">
      <c r="A14">
        <v>2045</v>
      </c>
      <c r="B14" t="s">
        <v>288</v>
      </c>
      <c r="C14" t="s">
        <v>423</v>
      </c>
      <c r="D14">
        <v>20</v>
      </c>
      <c r="E14">
        <v>11577.823186598504</v>
      </c>
    </row>
    <row r="15" spans="1:5" x14ac:dyDescent="0.2">
      <c r="A15">
        <v>2045</v>
      </c>
      <c r="B15" t="s">
        <v>288</v>
      </c>
      <c r="C15" t="s">
        <v>423</v>
      </c>
      <c r="D15">
        <v>21</v>
      </c>
      <c r="E15">
        <v>11226.098728507868</v>
      </c>
    </row>
    <row r="16" spans="1:5" x14ac:dyDescent="0.2">
      <c r="A16">
        <v>2045</v>
      </c>
      <c r="B16" t="s">
        <v>288</v>
      </c>
      <c r="C16" t="s">
        <v>423</v>
      </c>
      <c r="D16">
        <v>22</v>
      </c>
      <c r="E16">
        <v>11240.454485459366</v>
      </c>
    </row>
    <row r="17" spans="1:5" x14ac:dyDescent="0.2">
      <c r="A17">
        <v>2045</v>
      </c>
      <c r="B17" t="s">
        <v>288</v>
      </c>
      <c r="C17" t="s">
        <v>423</v>
      </c>
      <c r="D17">
        <v>23</v>
      </c>
      <c r="E17">
        <v>11353.725186684307</v>
      </c>
    </row>
    <row r="18" spans="1:5" x14ac:dyDescent="0.2">
      <c r="A18">
        <v>2045</v>
      </c>
      <c r="B18" t="s">
        <v>288</v>
      </c>
      <c r="C18" t="s">
        <v>423</v>
      </c>
      <c r="D18">
        <v>24</v>
      </c>
      <c r="E18">
        <v>11358.549636752279</v>
      </c>
    </row>
    <row r="19" spans="1:5" x14ac:dyDescent="0.2">
      <c r="A19">
        <v>2045</v>
      </c>
      <c r="B19" t="s">
        <v>288</v>
      </c>
      <c r="C19" t="s">
        <v>423</v>
      </c>
      <c r="D19">
        <v>3</v>
      </c>
      <c r="E19">
        <v>26505.161572223275</v>
      </c>
    </row>
    <row r="20" spans="1:5" x14ac:dyDescent="0.2">
      <c r="A20">
        <v>2045</v>
      </c>
      <c r="B20" t="s">
        <v>288</v>
      </c>
      <c r="C20" t="s">
        <v>423</v>
      </c>
      <c r="D20">
        <v>4</v>
      </c>
      <c r="E20">
        <v>27315.939381466451</v>
      </c>
    </row>
    <row r="21" spans="1:5" x14ac:dyDescent="0.2">
      <c r="A21">
        <v>2045</v>
      </c>
      <c r="B21" t="s">
        <v>288</v>
      </c>
      <c r="C21" t="s">
        <v>423</v>
      </c>
      <c r="D21">
        <v>5</v>
      </c>
      <c r="E21">
        <v>21066.212225566131</v>
      </c>
    </row>
    <row r="22" spans="1:5" x14ac:dyDescent="0.2">
      <c r="A22">
        <v>2045</v>
      </c>
      <c r="B22" t="s">
        <v>288</v>
      </c>
      <c r="C22" t="s">
        <v>423</v>
      </c>
      <c r="D22">
        <v>6</v>
      </c>
      <c r="E22">
        <v>22902.652313413011</v>
      </c>
    </row>
    <row r="23" spans="1:5" x14ac:dyDescent="0.2">
      <c r="A23">
        <v>2045</v>
      </c>
      <c r="B23" t="s">
        <v>288</v>
      </c>
      <c r="C23" t="s">
        <v>423</v>
      </c>
      <c r="D23">
        <v>7</v>
      </c>
      <c r="E23">
        <v>22942.990553616291</v>
      </c>
    </row>
    <row r="24" spans="1:5" x14ac:dyDescent="0.2">
      <c r="A24">
        <v>2045</v>
      </c>
      <c r="B24" t="s">
        <v>288</v>
      </c>
      <c r="C24" t="s">
        <v>423</v>
      </c>
      <c r="D24">
        <v>8</v>
      </c>
      <c r="E24">
        <v>23770.816279268831</v>
      </c>
    </row>
    <row r="25" spans="1:5" x14ac:dyDescent="0.2">
      <c r="A25">
        <v>2045</v>
      </c>
      <c r="B25" t="s">
        <v>288</v>
      </c>
      <c r="C25" t="s">
        <v>423</v>
      </c>
      <c r="D25">
        <v>9</v>
      </c>
      <c r="E25">
        <v>15427.134484312235</v>
      </c>
    </row>
    <row r="26" spans="1:5" x14ac:dyDescent="0.2">
      <c r="A26">
        <v>2045</v>
      </c>
      <c r="B26" t="s">
        <v>288</v>
      </c>
      <c r="C26" t="s">
        <v>424</v>
      </c>
      <c r="D26">
        <v>1</v>
      </c>
      <c r="E26">
        <v>40453.693730769694</v>
      </c>
    </row>
    <row r="27" spans="1:5" x14ac:dyDescent="0.2">
      <c r="A27">
        <v>2045</v>
      </c>
      <c r="B27" t="s">
        <v>288</v>
      </c>
      <c r="C27" t="s">
        <v>424</v>
      </c>
      <c r="D27">
        <v>10</v>
      </c>
      <c r="E27">
        <v>21350.586710330459</v>
      </c>
    </row>
    <row r="28" spans="1:5" x14ac:dyDescent="0.2">
      <c r="A28">
        <v>2045</v>
      </c>
      <c r="B28" t="s">
        <v>288</v>
      </c>
      <c r="C28" t="s">
        <v>424</v>
      </c>
      <c r="D28">
        <v>11</v>
      </c>
      <c r="E28">
        <v>65535</v>
      </c>
    </row>
    <row r="29" spans="1:5" x14ac:dyDescent="0.2">
      <c r="A29">
        <v>2045</v>
      </c>
      <c r="B29" t="s">
        <v>288</v>
      </c>
      <c r="C29" t="s">
        <v>424</v>
      </c>
      <c r="D29">
        <v>12</v>
      </c>
      <c r="E29">
        <v>65535</v>
      </c>
    </row>
    <row r="30" spans="1:5" x14ac:dyDescent="0.2">
      <c r="A30">
        <v>2045</v>
      </c>
      <c r="B30" t="s">
        <v>288</v>
      </c>
      <c r="C30" t="s">
        <v>424</v>
      </c>
      <c r="D30">
        <v>13</v>
      </c>
      <c r="E30">
        <v>65535</v>
      </c>
    </row>
    <row r="31" spans="1:5" x14ac:dyDescent="0.2">
      <c r="A31">
        <v>2045</v>
      </c>
      <c r="B31" t="s">
        <v>288</v>
      </c>
      <c r="C31" t="s">
        <v>424</v>
      </c>
      <c r="D31">
        <v>14</v>
      </c>
      <c r="E31">
        <v>65535</v>
      </c>
    </row>
    <row r="32" spans="1:5" x14ac:dyDescent="0.2">
      <c r="A32">
        <v>2045</v>
      </c>
      <c r="B32" t="s">
        <v>288</v>
      </c>
      <c r="C32" t="s">
        <v>424</v>
      </c>
      <c r="D32">
        <v>15</v>
      </c>
      <c r="E32">
        <v>65535</v>
      </c>
    </row>
    <row r="33" spans="1:5" x14ac:dyDescent="0.2">
      <c r="A33">
        <v>2045</v>
      </c>
      <c r="B33" t="s">
        <v>288</v>
      </c>
      <c r="C33" t="s">
        <v>424</v>
      </c>
      <c r="D33">
        <v>16</v>
      </c>
      <c r="E33">
        <v>65535</v>
      </c>
    </row>
    <row r="34" spans="1:5" x14ac:dyDescent="0.2">
      <c r="A34">
        <v>2045</v>
      </c>
      <c r="B34" t="s">
        <v>288</v>
      </c>
      <c r="C34" t="s">
        <v>424</v>
      </c>
      <c r="D34">
        <v>17</v>
      </c>
      <c r="E34">
        <v>65535</v>
      </c>
    </row>
    <row r="35" spans="1:5" x14ac:dyDescent="0.2">
      <c r="A35">
        <v>2045</v>
      </c>
      <c r="B35" t="s">
        <v>288</v>
      </c>
      <c r="C35" t="s">
        <v>424</v>
      </c>
      <c r="D35">
        <v>18</v>
      </c>
      <c r="E35">
        <v>65535</v>
      </c>
    </row>
    <row r="36" spans="1:5" x14ac:dyDescent="0.2">
      <c r="A36">
        <v>2045</v>
      </c>
      <c r="B36" t="s">
        <v>288</v>
      </c>
      <c r="C36" t="s">
        <v>424</v>
      </c>
      <c r="D36">
        <v>19</v>
      </c>
      <c r="E36">
        <v>65535</v>
      </c>
    </row>
    <row r="37" spans="1:5" x14ac:dyDescent="0.2">
      <c r="A37">
        <v>2045</v>
      </c>
      <c r="B37" t="s">
        <v>288</v>
      </c>
      <c r="C37" t="s">
        <v>424</v>
      </c>
      <c r="D37">
        <v>2</v>
      </c>
      <c r="E37">
        <v>39945.116764427243</v>
      </c>
    </row>
    <row r="38" spans="1:5" x14ac:dyDescent="0.2">
      <c r="A38">
        <v>2045</v>
      </c>
      <c r="B38" t="s">
        <v>288</v>
      </c>
      <c r="C38" t="s">
        <v>424</v>
      </c>
      <c r="D38">
        <v>20</v>
      </c>
      <c r="E38">
        <v>65535</v>
      </c>
    </row>
    <row r="39" spans="1:5" x14ac:dyDescent="0.2">
      <c r="A39">
        <v>2045</v>
      </c>
      <c r="B39" t="s">
        <v>288</v>
      </c>
      <c r="C39" t="s">
        <v>424</v>
      </c>
      <c r="D39">
        <v>21</v>
      </c>
      <c r="E39">
        <v>65535</v>
      </c>
    </row>
    <row r="40" spans="1:5" x14ac:dyDescent="0.2">
      <c r="A40">
        <v>2045</v>
      </c>
      <c r="B40" t="s">
        <v>288</v>
      </c>
      <c r="C40" t="s">
        <v>424</v>
      </c>
      <c r="D40">
        <v>22</v>
      </c>
      <c r="E40">
        <v>65535</v>
      </c>
    </row>
    <row r="41" spans="1:5" x14ac:dyDescent="0.2">
      <c r="A41">
        <v>2045</v>
      </c>
      <c r="B41" t="s">
        <v>288</v>
      </c>
      <c r="C41" t="s">
        <v>424</v>
      </c>
      <c r="D41">
        <v>23</v>
      </c>
      <c r="E41">
        <v>65535</v>
      </c>
    </row>
    <row r="42" spans="1:5" x14ac:dyDescent="0.2">
      <c r="A42">
        <v>2045</v>
      </c>
      <c r="B42" t="s">
        <v>288</v>
      </c>
      <c r="C42" t="s">
        <v>424</v>
      </c>
      <c r="D42">
        <v>24</v>
      </c>
      <c r="E42">
        <v>65535</v>
      </c>
    </row>
    <row r="43" spans="1:5" x14ac:dyDescent="0.2">
      <c r="A43">
        <v>2045</v>
      </c>
      <c r="B43" t="s">
        <v>288</v>
      </c>
      <c r="C43" t="s">
        <v>424</v>
      </c>
      <c r="D43">
        <v>3</v>
      </c>
      <c r="E43">
        <v>34204.020116541789</v>
      </c>
    </row>
    <row r="44" spans="1:5" x14ac:dyDescent="0.2">
      <c r="A44">
        <v>2045</v>
      </c>
      <c r="B44" t="s">
        <v>288</v>
      </c>
      <c r="C44" t="s">
        <v>424</v>
      </c>
      <c r="D44">
        <v>4</v>
      </c>
      <c r="E44">
        <v>32271.567767009379</v>
      </c>
    </row>
    <row r="45" spans="1:5" x14ac:dyDescent="0.2">
      <c r="A45">
        <v>2045</v>
      </c>
      <c r="B45" t="s">
        <v>288</v>
      </c>
      <c r="C45" t="s">
        <v>424</v>
      </c>
      <c r="D45">
        <v>5</v>
      </c>
      <c r="E45">
        <v>28983.198539937119</v>
      </c>
    </row>
    <row r="46" spans="1:5" x14ac:dyDescent="0.2">
      <c r="A46">
        <v>2045</v>
      </c>
      <c r="B46" t="s">
        <v>288</v>
      </c>
      <c r="C46" t="s">
        <v>424</v>
      </c>
      <c r="D46">
        <v>6</v>
      </c>
      <c r="E46">
        <v>26845.312165172087</v>
      </c>
    </row>
    <row r="47" spans="1:5" x14ac:dyDescent="0.2">
      <c r="A47">
        <v>2045</v>
      </c>
      <c r="B47" t="s">
        <v>288</v>
      </c>
      <c r="C47" t="s">
        <v>424</v>
      </c>
      <c r="D47">
        <v>7</v>
      </c>
      <c r="E47">
        <v>25128.579150689799</v>
      </c>
    </row>
    <row r="48" spans="1:5" x14ac:dyDescent="0.2">
      <c r="A48">
        <v>2045</v>
      </c>
      <c r="B48" t="s">
        <v>288</v>
      </c>
      <c r="C48" t="s">
        <v>424</v>
      </c>
      <c r="D48">
        <v>8</v>
      </c>
      <c r="E48">
        <v>23415.283107870902</v>
      </c>
    </row>
    <row r="49" spans="1:5" x14ac:dyDescent="0.2">
      <c r="A49">
        <v>2045</v>
      </c>
      <c r="B49" t="s">
        <v>288</v>
      </c>
      <c r="C49" t="s">
        <v>424</v>
      </c>
      <c r="D49">
        <v>9</v>
      </c>
      <c r="E49">
        <v>22660.279692516451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C4896-921D-D94E-BB63-E1C5054195D7}">
  <sheetPr codeName="Sheet14">
    <tabColor theme="2"/>
  </sheetPr>
  <dimension ref="A1:F93"/>
  <sheetViews>
    <sheetView workbookViewId="0">
      <selection activeCell="F126" sqref="F126"/>
    </sheetView>
  </sheetViews>
  <sheetFormatPr defaultColWidth="11.375" defaultRowHeight="11.4" x14ac:dyDescent="0.2"/>
  <cols>
    <col min="1" max="1" width="81.25" bestFit="1" customWidth="1"/>
  </cols>
  <sheetData>
    <row r="1" spans="1:6" x14ac:dyDescent="0.2">
      <c r="A1" t="s">
        <v>730</v>
      </c>
      <c r="B1" t="s">
        <v>731</v>
      </c>
      <c r="C1" t="s">
        <v>732</v>
      </c>
      <c r="D1" t="s">
        <v>733</v>
      </c>
      <c r="E1" t="s">
        <v>734</v>
      </c>
      <c r="F1" t="s">
        <v>735</v>
      </c>
    </row>
    <row r="2" spans="1:6" x14ac:dyDescent="0.2">
      <c r="A2" t="s">
        <v>736</v>
      </c>
      <c r="B2">
        <v>0</v>
      </c>
      <c r="C2">
        <v>0</v>
      </c>
      <c r="D2">
        <v>0</v>
      </c>
      <c r="E2">
        <v>343747.22368091735</v>
      </c>
      <c r="F2" t="s">
        <v>737</v>
      </c>
    </row>
    <row r="3" spans="1:6" x14ac:dyDescent="0.2">
      <c r="A3" t="s">
        <v>738</v>
      </c>
      <c r="B3">
        <v>0</v>
      </c>
      <c r="C3">
        <v>0</v>
      </c>
      <c r="D3">
        <v>0</v>
      </c>
      <c r="E3">
        <v>-94159.811836974884</v>
      </c>
      <c r="F3" t="s">
        <v>739</v>
      </c>
    </row>
    <row r="4" spans="1:6" x14ac:dyDescent="0.2">
      <c r="A4" t="s">
        <v>740</v>
      </c>
      <c r="B4">
        <v>0</v>
      </c>
      <c r="C4">
        <v>0</v>
      </c>
      <c r="D4">
        <v>0</v>
      </c>
      <c r="E4">
        <v>-15428.670530815189</v>
      </c>
      <c r="F4" t="s">
        <v>741</v>
      </c>
    </row>
    <row r="5" spans="1:6" x14ac:dyDescent="0.2">
      <c r="A5" t="s">
        <v>742</v>
      </c>
      <c r="B5">
        <v>0</v>
      </c>
      <c r="C5">
        <v>0</v>
      </c>
      <c r="D5">
        <v>0</v>
      </c>
      <c r="E5">
        <v>-4995.8037539592424</v>
      </c>
      <c r="F5" t="s">
        <v>743</v>
      </c>
    </row>
    <row r="6" spans="1:6" x14ac:dyDescent="0.2">
      <c r="A6" t="s">
        <v>744</v>
      </c>
      <c r="C6">
        <v>0</v>
      </c>
      <c r="D6">
        <v>1490</v>
      </c>
      <c r="E6">
        <v>0</v>
      </c>
      <c r="F6" t="s">
        <v>745</v>
      </c>
    </row>
    <row r="7" spans="1:6" x14ac:dyDescent="0.2">
      <c r="A7" t="s">
        <v>746</v>
      </c>
      <c r="C7">
        <v>0</v>
      </c>
      <c r="D7">
        <v>1490</v>
      </c>
      <c r="E7">
        <v>0</v>
      </c>
      <c r="F7" t="s">
        <v>747</v>
      </c>
    </row>
    <row r="8" spans="1:6" x14ac:dyDescent="0.2">
      <c r="A8" t="s">
        <v>748</v>
      </c>
      <c r="C8">
        <v>0</v>
      </c>
      <c r="D8">
        <v>1739</v>
      </c>
      <c r="E8">
        <v>0</v>
      </c>
      <c r="F8" t="s">
        <v>749</v>
      </c>
    </row>
    <row r="9" spans="1:6" x14ac:dyDescent="0.2">
      <c r="A9" t="s">
        <v>750</v>
      </c>
      <c r="C9">
        <v>372.4</v>
      </c>
      <c r="D9">
        <v>1523</v>
      </c>
      <c r="E9">
        <v>0</v>
      </c>
      <c r="F9" t="s">
        <v>751</v>
      </c>
    </row>
    <row r="10" spans="1:6" x14ac:dyDescent="0.2">
      <c r="A10" t="s">
        <v>752</v>
      </c>
      <c r="C10">
        <v>91.28</v>
      </c>
      <c r="D10">
        <v>1523</v>
      </c>
      <c r="E10">
        <v>0</v>
      </c>
      <c r="F10" t="s">
        <v>753</v>
      </c>
    </row>
    <row r="11" spans="1:6" x14ac:dyDescent="0.2">
      <c r="A11" t="s">
        <v>754</v>
      </c>
      <c r="C11">
        <v>358.40000000000003</v>
      </c>
      <c r="D11">
        <v>1523</v>
      </c>
      <c r="E11">
        <v>0</v>
      </c>
      <c r="F11" t="s">
        <v>755</v>
      </c>
    </row>
    <row r="12" spans="1:6" x14ac:dyDescent="0.2">
      <c r="A12" t="s">
        <v>756</v>
      </c>
      <c r="C12">
        <v>454</v>
      </c>
      <c r="D12">
        <v>454</v>
      </c>
      <c r="E12">
        <v>-127124.77323888974</v>
      </c>
      <c r="F12" t="s">
        <v>757</v>
      </c>
    </row>
    <row r="13" spans="1:6" x14ac:dyDescent="0.2">
      <c r="A13" t="s">
        <v>758</v>
      </c>
      <c r="C13">
        <v>112.32865787912451</v>
      </c>
      <c r="D13">
        <v>454</v>
      </c>
      <c r="E13">
        <v>0</v>
      </c>
      <c r="F13" t="s">
        <v>759</v>
      </c>
    </row>
    <row r="14" spans="1:6" x14ac:dyDescent="0.2">
      <c r="A14" t="s">
        <v>760</v>
      </c>
      <c r="C14">
        <v>795</v>
      </c>
      <c r="D14">
        <v>795</v>
      </c>
      <c r="E14">
        <v>-65817.565400799678</v>
      </c>
      <c r="F14" t="s">
        <v>761</v>
      </c>
    </row>
    <row r="15" spans="1:6" x14ac:dyDescent="0.2">
      <c r="A15" t="s">
        <v>762</v>
      </c>
      <c r="C15">
        <v>426.49954137200052</v>
      </c>
      <c r="D15">
        <v>5400</v>
      </c>
      <c r="E15">
        <v>0</v>
      </c>
      <c r="F15" t="s">
        <v>763</v>
      </c>
    </row>
    <row r="16" spans="1:6" x14ac:dyDescent="0.2">
      <c r="A16" t="s">
        <v>764</v>
      </c>
      <c r="C16">
        <v>319.05048904200049</v>
      </c>
      <c r="D16">
        <v>5400</v>
      </c>
      <c r="E16">
        <v>0</v>
      </c>
      <c r="F16" t="s">
        <v>765</v>
      </c>
    </row>
    <row r="17" spans="1:6" x14ac:dyDescent="0.2">
      <c r="A17" t="s">
        <v>766</v>
      </c>
      <c r="C17">
        <v>583.69954137199932</v>
      </c>
      <c r="D17">
        <v>5820</v>
      </c>
      <c r="E17">
        <v>0</v>
      </c>
      <c r="F17" t="s">
        <v>767</v>
      </c>
    </row>
    <row r="18" spans="1:6" x14ac:dyDescent="0.2">
      <c r="A18" t="s">
        <v>768</v>
      </c>
      <c r="C18">
        <v>731</v>
      </c>
      <c r="D18">
        <v>731</v>
      </c>
      <c r="E18">
        <v>-23990.904821128788</v>
      </c>
      <c r="F18" t="s">
        <v>769</v>
      </c>
    </row>
    <row r="19" spans="1:6" x14ac:dyDescent="0.2">
      <c r="A19" t="s">
        <v>770</v>
      </c>
      <c r="C19">
        <v>488.55094767000003</v>
      </c>
      <c r="D19">
        <v>731</v>
      </c>
      <c r="E19">
        <v>0</v>
      </c>
      <c r="F19" t="s">
        <v>771</v>
      </c>
    </row>
    <row r="20" spans="1:6" x14ac:dyDescent="0.2">
      <c r="A20" t="s">
        <v>772</v>
      </c>
      <c r="C20">
        <v>950</v>
      </c>
      <c r="D20">
        <v>950</v>
      </c>
      <c r="E20">
        <v>-23990.904821130505</v>
      </c>
      <c r="F20" t="s">
        <v>773</v>
      </c>
    </row>
    <row r="21" spans="1:6" x14ac:dyDescent="0.2">
      <c r="A21" t="s">
        <v>774</v>
      </c>
      <c r="C21">
        <v>3360</v>
      </c>
      <c r="D21">
        <v>3360</v>
      </c>
      <c r="E21">
        <v>-124500.34321455048</v>
      </c>
      <c r="F21" t="s">
        <v>775</v>
      </c>
    </row>
    <row r="22" spans="1:6" x14ac:dyDescent="0.2">
      <c r="A22" t="s">
        <v>776</v>
      </c>
      <c r="C22">
        <v>3298.2269999999999</v>
      </c>
      <c r="D22">
        <v>3360</v>
      </c>
      <c r="E22">
        <v>0</v>
      </c>
      <c r="F22" t="s">
        <v>777</v>
      </c>
    </row>
    <row r="23" spans="1:6" x14ac:dyDescent="0.2">
      <c r="A23" t="s">
        <v>778</v>
      </c>
      <c r="C23">
        <v>3360</v>
      </c>
      <c r="D23">
        <v>3360</v>
      </c>
      <c r="E23">
        <v>-75390.639845129655</v>
      </c>
      <c r="F23" t="s">
        <v>779</v>
      </c>
    </row>
    <row r="24" spans="1:6" x14ac:dyDescent="0.2">
      <c r="A24" t="s">
        <v>780</v>
      </c>
      <c r="C24">
        <v>2901</v>
      </c>
      <c r="D24">
        <v>2901</v>
      </c>
      <c r="E24">
        <v>-8702.3873422113393</v>
      </c>
      <c r="F24" t="s">
        <v>781</v>
      </c>
    </row>
    <row r="25" spans="1:6" x14ac:dyDescent="0.2">
      <c r="A25" t="s">
        <v>782</v>
      </c>
      <c r="C25">
        <v>2766</v>
      </c>
      <c r="D25">
        <v>2901</v>
      </c>
      <c r="E25">
        <v>0</v>
      </c>
      <c r="F25" t="s">
        <v>783</v>
      </c>
    </row>
    <row r="26" spans="1:6" x14ac:dyDescent="0.2">
      <c r="A26" t="s">
        <v>784</v>
      </c>
      <c r="C26">
        <v>-2230.1990827440004</v>
      </c>
      <c r="D26">
        <v>3035</v>
      </c>
      <c r="E26">
        <v>0</v>
      </c>
      <c r="F26" t="s">
        <v>785</v>
      </c>
    </row>
    <row r="27" spans="1:6" x14ac:dyDescent="0.2">
      <c r="A27" t="s">
        <v>786</v>
      </c>
      <c r="C27">
        <v>420.80000000000007</v>
      </c>
      <c r="D27">
        <v>3151</v>
      </c>
      <c r="E27">
        <v>0</v>
      </c>
      <c r="F27" t="s">
        <v>787</v>
      </c>
    </row>
    <row r="28" spans="1:6" x14ac:dyDescent="0.2">
      <c r="A28" t="s">
        <v>788</v>
      </c>
      <c r="C28">
        <v>103.981549675</v>
      </c>
      <c r="D28">
        <v>3151</v>
      </c>
      <c r="E28">
        <v>0</v>
      </c>
      <c r="F28" t="s">
        <v>789</v>
      </c>
    </row>
    <row r="29" spans="1:6" x14ac:dyDescent="0.2">
      <c r="A29" t="s">
        <v>790</v>
      </c>
      <c r="C29">
        <v>280.68639185000001</v>
      </c>
      <c r="D29">
        <v>3279</v>
      </c>
      <c r="E29">
        <v>0</v>
      </c>
      <c r="F29" t="s">
        <v>791</v>
      </c>
    </row>
    <row r="30" spans="1:6" x14ac:dyDescent="0.2">
      <c r="A30" t="s">
        <v>792</v>
      </c>
      <c r="C30">
        <v>305.755</v>
      </c>
      <c r="D30">
        <v>1431</v>
      </c>
      <c r="E30">
        <v>0</v>
      </c>
      <c r="F30" t="s">
        <v>793</v>
      </c>
    </row>
    <row r="31" spans="1:6" x14ac:dyDescent="0.2">
      <c r="A31" t="s">
        <v>794</v>
      </c>
      <c r="C31">
        <v>75.782549674999999</v>
      </c>
      <c r="D31">
        <v>1431</v>
      </c>
      <c r="E31">
        <v>0</v>
      </c>
      <c r="F31" t="s">
        <v>795</v>
      </c>
    </row>
    <row r="32" spans="1:6" x14ac:dyDescent="0.2">
      <c r="A32" t="s">
        <v>796</v>
      </c>
      <c r="C32">
        <v>204.56639185</v>
      </c>
      <c r="D32">
        <v>2568</v>
      </c>
      <c r="E32">
        <v>0</v>
      </c>
      <c r="F32" t="s">
        <v>797</v>
      </c>
    </row>
    <row r="33" spans="1:6" x14ac:dyDescent="0.2">
      <c r="A33" t="s">
        <v>798</v>
      </c>
      <c r="C33">
        <v>10830</v>
      </c>
      <c r="D33">
        <v>10830</v>
      </c>
      <c r="E33">
        <v>-46815.595951258241</v>
      </c>
      <c r="F33" t="s">
        <v>799</v>
      </c>
    </row>
    <row r="34" spans="1:6" x14ac:dyDescent="0.2">
      <c r="A34" t="s">
        <v>800</v>
      </c>
      <c r="C34">
        <v>10830</v>
      </c>
      <c r="D34">
        <v>10830</v>
      </c>
      <c r="E34">
        <v>-2294.1074181669046</v>
      </c>
      <c r="F34" t="s">
        <v>801</v>
      </c>
    </row>
    <row r="35" spans="1:6" x14ac:dyDescent="0.2">
      <c r="A35" t="s">
        <v>802</v>
      </c>
      <c r="C35">
        <v>8478.0898426227723</v>
      </c>
      <c r="D35">
        <v>10830</v>
      </c>
      <c r="E35">
        <v>0</v>
      </c>
      <c r="F35" t="s">
        <v>803</v>
      </c>
    </row>
    <row r="36" spans="1:6" x14ac:dyDescent="0.2">
      <c r="A36" t="s">
        <v>804</v>
      </c>
      <c r="C36">
        <v>98.588999999999999</v>
      </c>
      <c r="D36">
        <v>300</v>
      </c>
      <c r="E36">
        <v>0</v>
      </c>
      <c r="F36" t="s">
        <v>805</v>
      </c>
    </row>
    <row r="37" spans="1:6" x14ac:dyDescent="0.2">
      <c r="A37" t="s">
        <v>806</v>
      </c>
      <c r="C37">
        <v>36.816000000000003</v>
      </c>
      <c r="D37">
        <v>300</v>
      </c>
      <c r="E37">
        <v>0</v>
      </c>
      <c r="F37" t="s">
        <v>807</v>
      </c>
    </row>
    <row r="38" spans="1:6" x14ac:dyDescent="0.2">
      <c r="A38" t="s">
        <v>808</v>
      </c>
      <c r="C38">
        <v>77.88</v>
      </c>
      <c r="D38">
        <v>269</v>
      </c>
      <c r="E38">
        <v>0</v>
      </c>
      <c r="F38" t="s">
        <v>809</v>
      </c>
    </row>
    <row r="39" spans="1:6" x14ac:dyDescent="0.2">
      <c r="A39" t="s">
        <v>810</v>
      </c>
      <c r="C39">
        <v>7241</v>
      </c>
      <c r="D39">
        <v>7241</v>
      </c>
      <c r="E39">
        <v>0</v>
      </c>
      <c r="F39" t="s">
        <v>811</v>
      </c>
    </row>
    <row r="40" spans="1:6" x14ac:dyDescent="0.2">
      <c r="A40" t="s">
        <v>812</v>
      </c>
      <c r="C40">
        <v>7241</v>
      </c>
      <c r="D40">
        <v>7241</v>
      </c>
      <c r="E40">
        <v>-49109.703369421673</v>
      </c>
      <c r="F40" t="s">
        <v>813</v>
      </c>
    </row>
    <row r="41" spans="1:6" x14ac:dyDescent="0.2">
      <c r="A41" t="s">
        <v>814</v>
      </c>
      <c r="C41">
        <v>-4931</v>
      </c>
      <c r="D41">
        <v>7241</v>
      </c>
      <c r="E41">
        <v>0</v>
      </c>
      <c r="F41" t="s">
        <v>815</v>
      </c>
    </row>
    <row r="42" spans="1:6" x14ac:dyDescent="0.2">
      <c r="A42" t="s">
        <v>816</v>
      </c>
      <c r="C42">
        <v>20.52</v>
      </c>
      <c r="D42">
        <v>20.52</v>
      </c>
      <c r="E42">
        <v>-370221.3843635568</v>
      </c>
      <c r="F42" t="s">
        <v>817</v>
      </c>
    </row>
    <row r="43" spans="1:6" x14ac:dyDescent="0.2">
      <c r="A43" t="s">
        <v>818</v>
      </c>
      <c r="C43">
        <v>6.0771691573199993</v>
      </c>
      <c r="D43">
        <v>20.52</v>
      </c>
      <c r="E43">
        <v>0</v>
      </c>
      <c r="F43" t="s">
        <v>819</v>
      </c>
    </row>
    <row r="44" spans="1:6" x14ac:dyDescent="0.2">
      <c r="A44" t="s">
        <v>820</v>
      </c>
      <c r="C44">
        <v>40.36</v>
      </c>
      <c r="D44">
        <v>63</v>
      </c>
      <c r="E44">
        <v>0</v>
      </c>
      <c r="F44" t="s">
        <v>821</v>
      </c>
    </row>
    <row r="45" spans="1:6" x14ac:dyDescent="0.2">
      <c r="A45" t="s">
        <v>822</v>
      </c>
      <c r="C45">
        <v>102.30045862799945</v>
      </c>
      <c r="D45">
        <v>1959</v>
      </c>
      <c r="E45">
        <v>0</v>
      </c>
      <c r="F45" t="s">
        <v>823</v>
      </c>
    </row>
    <row r="46" spans="1:6" x14ac:dyDescent="0.2">
      <c r="A46" t="s">
        <v>824</v>
      </c>
      <c r="C46">
        <v>102.30045862799945</v>
      </c>
      <c r="D46">
        <v>1959</v>
      </c>
      <c r="E46">
        <v>0</v>
      </c>
      <c r="F46" t="s">
        <v>825</v>
      </c>
    </row>
    <row r="47" spans="1:6" x14ac:dyDescent="0.2">
      <c r="A47" t="s">
        <v>826</v>
      </c>
      <c r="C47">
        <v>102.30045862800056</v>
      </c>
      <c r="D47">
        <v>1959</v>
      </c>
      <c r="E47">
        <v>0</v>
      </c>
      <c r="F47" t="s">
        <v>827</v>
      </c>
    </row>
    <row r="48" spans="1:6" x14ac:dyDescent="0.2">
      <c r="A48" t="s">
        <v>828</v>
      </c>
      <c r="C48">
        <v>968</v>
      </c>
      <c r="D48">
        <v>968</v>
      </c>
      <c r="E48">
        <v>-16736.349617344684</v>
      </c>
      <c r="F48" t="s">
        <v>829</v>
      </c>
    </row>
    <row r="49" spans="1:6" x14ac:dyDescent="0.2">
      <c r="A49" t="s">
        <v>830</v>
      </c>
      <c r="C49">
        <v>832.99999999999989</v>
      </c>
      <c r="D49">
        <v>968</v>
      </c>
      <c r="E49">
        <v>0</v>
      </c>
      <c r="F49" t="s">
        <v>831</v>
      </c>
    </row>
    <row r="50" spans="1:6" x14ac:dyDescent="0.2">
      <c r="A50" t="s">
        <v>832</v>
      </c>
      <c r="C50">
        <v>-2486.4361419890001</v>
      </c>
      <c r="D50">
        <v>290</v>
      </c>
      <c r="E50">
        <v>0</v>
      </c>
      <c r="F50" t="s">
        <v>833</v>
      </c>
    </row>
    <row r="51" spans="1:6" x14ac:dyDescent="0.2">
      <c r="A51" t="s">
        <v>834</v>
      </c>
      <c r="C51">
        <v>115.045</v>
      </c>
      <c r="D51">
        <v>1127</v>
      </c>
      <c r="E51">
        <v>0</v>
      </c>
      <c r="F51" t="s">
        <v>835</v>
      </c>
    </row>
    <row r="52" spans="1:6" x14ac:dyDescent="0.2">
      <c r="A52" t="s">
        <v>836</v>
      </c>
      <c r="C52">
        <v>28.199000000000002</v>
      </c>
      <c r="D52">
        <v>1127</v>
      </c>
      <c r="E52">
        <v>0</v>
      </c>
      <c r="F52" t="s">
        <v>837</v>
      </c>
    </row>
    <row r="53" spans="1:6" x14ac:dyDescent="0.2">
      <c r="A53" t="s">
        <v>838</v>
      </c>
      <c r="C53">
        <v>76.12</v>
      </c>
      <c r="D53">
        <v>2534</v>
      </c>
      <c r="E53">
        <v>0</v>
      </c>
      <c r="F53" t="s">
        <v>839</v>
      </c>
    </row>
    <row r="54" spans="1:6" x14ac:dyDescent="0.2">
      <c r="A54" t="s">
        <v>840</v>
      </c>
      <c r="C54">
        <v>230.755</v>
      </c>
      <c r="D54">
        <v>1273</v>
      </c>
      <c r="E54">
        <v>0</v>
      </c>
      <c r="F54" t="s">
        <v>841</v>
      </c>
    </row>
    <row r="55" spans="1:6" x14ac:dyDescent="0.2">
      <c r="A55" t="s">
        <v>842</v>
      </c>
      <c r="C55">
        <v>56.561</v>
      </c>
      <c r="D55">
        <v>1273</v>
      </c>
      <c r="E55">
        <v>0</v>
      </c>
      <c r="F55" t="s">
        <v>843</v>
      </c>
    </row>
    <row r="56" spans="1:6" x14ac:dyDescent="0.2">
      <c r="A56" t="s">
        <v>844</v>
      </c>
      <c r="C56">
        <v>152.68</v>
      </c>
      <c r="D56">
        <v>2425</v>
      </c>
      <c r="E56">
        <v>0</v>
      </c>
      <c r="F56" t="s">
        <v>845</v>
      </c>
    </row>
    <row r="57" spans="1:6" x14ac:dyDescent="0.2">
      <c r="A57" t="s">
        <v>846</v>
      </c>
      <c r="C57">
        <v>1576</v>
      </c>
      <c r="D57">
        <v>1576</v>
      </c>
      <c r="E57">
        <v>0</v>
      </c>
      <c r="F57" t="s">
        <v>847</v>
      </c>
    </row>
    <row r="58" spans="1:6" x14ac:dyDescent="0.2">
      <c r="A58" t="s">
        <v>848</v>
      </c>
      <c r="C58">
        <v>1576</v>
      </c>
      <c r="D58">
        <v>1576</v>
      </c>
      <c r="E58">
        <v>-49109.703369422277</v>
      </c>
      <c r="F58" t="s">
        <v>849</v>
      </c>
    </row>
    <row r="59" spans="1:6" x14ac:dyDescent="0.2">
      <c r="A59" t="s">
        <v>850</v>
      </c>
      <c r="C59">
        <v>-1901.2683425970999</v>
      </c>
      <c r="D59">
        <v>1619</v>
      </c>
      <c r="E59">
        <v>0</v>
      </c>
      <c r="F59" t="s">
        <v>851</v>
      </c>
    </row>
    <row r="60" spans="1:6" x14ac:dyDescent="0.2">
      <c r="A60" t="s">
        <v>852</v>
      </c>
      <c r="C60">
        <v>1560</v>
      </c>
      <c r="D60">
        <v>1560</v>
      </c>
      <c r="E60">
        <v>-155333.36256860028</v>
      </c>
      <c r="F60" t="s">
        <v>853</v>
      </c>
    </row>
    <row r="61" spans="1:6" x14ac:dyDescent="0.2">
      <c r="A61" t="s">
        <v>854</v>
      </c>
      <c r="C61">
        <v>582.54937273025666</v>
      </c>
      <c r="D61">
        <v>1560</v>
      </c>
      <c r="E61">
        <v>0</v>
      </c>
      <c r="F61" t="s">
        <v>855</v>
      </c>
    </row>
    <row r="62" spans="1:6" x14ac:dyDescent="0.2">
      <c r="A62" t="s">
        <v>856</v>
      </c>
      <c r="C62">
        <v>1232.31597956313</v>
      </c>
      <c r="D62">
        <v>1560</v>
      </c>
      <c r="E62">
        <v>0</v>
      </c>
      <c r="F62" t="s">
        <v>857</v>
      </c>
    </row>
    <row r="63" spans="1:6" x14ac:dyDescent="0.2">
      <c r="A63" t="s">
        <v>858</v>
      </c>
      <c r="C63">
        <v>420.80000000000007</v>
      </c>
      <c r="D63">
        <v>1707.56</v>
      </c>
      <c r="E63">
        <v>0</v>
      </c>
      <c r="F63" t="s">
        <v>859</v>
      </c>
    </row>
    <row r="64" spans="1:6" x14ac:dyDescent="0.2">
      <c r="A64" t="s">
        <v>860</v>
      </c>
      <c r="C64">
        <v>103.981549675</v>
      </c>
      <c r="D64">
        <v>1707.56</v>
      </c>
      <c r="E64">
        <v>0</v>
      </c>
      <c r="F64" t="s">
        <v>861</v>
      </c>
    </row>
    <row r="65" spans="1:6" x14ac:dyDescent="0.2">
      <c r="A65" t="s">
        <v>862</v>
      </c>
      <c r="C65">
        <v>280.68639185000001</v>
      </c>
      <c r="D65">
        <v>1903</v>
      </c>
      <c r="E65">
        <v>0</v>
      </c>
      <c r="F65" t="s">
        <v>863</v>
      </c>
    </row>
    <row r="66" spans="1:6" x14ac:dyDescent="0.2">
      <c r="A66" t="s">
        <v>864</v>
      </c>
      <c r="C66">
        <v>345.80000000000007</v>
      </c>
      <c r="D66">
        <v>1611</v>
      </c>
      <c r="E66">
        <v>0</v>
      </c>
      <c r="F66" t="s">
        <v>865</v>
      </c>
    </row>
    <row r="67" spans="1:6" x14ac:dyDescent="0.2">
      <c r="A67" t="s">
        <v>866</v>
      </c>
      <c r="C67">
        <v>84.76</v>
      </c>
      <c r="D67">
        <v>1611</v>
      </c>
      <c r="E67">
        <v>0</v>
      </c>
      <c r="F67" t="s">
        <v>867</v>
      </c>
    </row>
    <row r="68" spans="1:6" x14ac:dyDescent="0.2">
      <c r="A68" t="s">
        <v>868</v>
      </c>
      <c r="C68">
        <v>228.8</v>
      </c>
      <c r="D68">
        <v>3102</v>
      </c>
      <c r="E68">
        <v>0</v>
      </c>
      <c r="F68" t="s">
        <v>869</v>
      </c>
    </row>
    <row r="69" spans="1:6" x14ac:dyDescent="0.2">
      <c r="A69" t="s">
        <v>870</v>
      </c>
      <c r="C69">
        <v>1748.0000000000005</v>
      </c>
      <c r="D69">
        <v>1748</v>
      </c>
      <c r="E69">
        <v>-18417.555958376332</v>
      </c>
      <c r="F69" t="s">
        <v>871</v>
      </c>
    </row>
    <row r="70" spans="1:6" x14ac:dyDescent="0.2">
      <c r="A70" t="s">
        <v>872</v>
      </c>
      <c r="C70">
        <v>1613.0000000000005</v>
      </c>
      <c r="D70">
        <v>1748</v>
      </c>
      <c r="E70">
        <v>0</v>
      </c>
      <c r="F70" t="s">
        <v>873</v>
      </c>
    </row>
    <row r="71" spans="1:6" x14ac:dyDescent="0.2">
      <c r="A71" t="s">
        <v>874</v>
      </c>
      <c r="C71">
        <v>-2230.1990827440004</v>
      </c>
      <c r="D71">
        <v>3281</v>
      </c>
      <c r="E71">
        <v>0</v>
      </c>
      <c r="F71" t="s">
        <v>875</v>
      </c>
    </row>
    <row r="72" spans="1:6" x14ac:dyDescent="0.2">
      <c r="A72" t="s">
        <v>876</v>
      </c>
      <c r="C72">
        <v>5700</v>
      </c>
      <c r="D72">
        <v>5700</v>
      </c>
      <c r="E72">
        <v>-118077.10341515826</v>
      </c>
      <c r="F72" t="s">
        <v>877</v>
      </c>
    </row>
    <row r="73" spans="1:6" x14ac:dyDescent="0.2">
      <c r="A73" t="s">
        <v>878</v>
      </c>
      <c r="C73">
        <v>5592.5509476699999</v>
      </c>
      <c r="D73">
        <v>5700</v>
      </c>
      <c r="E73">
        <v>0</v>
      </c>
      <c r="F73" t="s">
        <v>879</v>
      </c>
    </row>
    <row r="74" spans="1:6" x14ac:dyDescent="0.2">
      <c r="A74" t="s">
        <v>880</v>
      </c>
      <c r="C74">
        <v>11799.999999999998</v>
      </c>
      <c r="D74">
        <v>11800</v>
      </c>
      <c r="E74">
        <v>-68967.400045733331</v>
      </c>
      <c r="F74" t="s">
        <v>881</v>
      </c>
    </row>
    <row r="75" spans="1:6" x14ac:dyDescent="0.2">
      <c r="A75" t="s">
        <v>882</v>
      </c>
      <c r="C75">
        <v>1202.0000000000005</v>
      </c>
      <c r="D75">
        <v>1202</v>
      </c>
      <c r="E75">
        <v>-5253.4104514926912</v>
      </c>
      <c r="F75" t="s">
        <v>883</v>
      </c>
    </row>
    <row r="76" spans="1:6" x14ac:dyDescent="0.2">
      <c r="A76" t="s">
        <v>884</v>
      </c>
      <c r="C76">
        <v>1067.0000000000005</v>
      </c>
      <c r="D76">
        <v>1202</v>
      </c>
      <c r="E76">
        <v>0</v>
      </c>
      <c r="F76" t="s">
        <v>885</v>
      </c>
    </row>
    <row r="77" spans="1:6" x14ac:dyDescent="0.2">
      <c r="A77" t="s">
        <v>886</v>
      </c>
      <c r="C77">
        <v>-2080.1990827440004</v>
      </c>
      <c r="D77">
        <v>2163</v>
      </c>
      <c r="E77">
        <v>0</v>
      </c>
      <c r="F77" t="s">
        <v>887</v>
      </c>
    </row>
    <row r="78" spans="1:6" x14ac:dyDescent="0.2">
      <c r="A78" t="s">
        <v>888</v>
      </c>
      <c r="C78">
        <v>0</v>
      </c>
      <c r="D78">
        <v>826</v>
      </c>
      <c r="E78">
        <v>0</v>
      </c>
      <c r="F78" t="s">
        <v>889</v>
      </c>
    </row>
    <row r="79" spans="1:6" x14ac:dyDescent="0.2">
      <c r="A79" t="s">
        <v>890</v>
      </c>
      <c r="C79">
        <v>0</v>
      </c>
      <c r="D79">
        <v>826</v>
      </c>
      <c r="E79">
        <v>0</v>
      </c>
      <c r="F79" t="s">
        <v>889</v>
      </c>
    </row>
    <row r="80" spans="1:6" x14ac:dyDescent="0.2">
      <c r="A80" t="s">
        <v>891</v>
      </c>
      <c r="C80">
        <v>0</v>
      </c>
      <c r="D80">
        <v>1156</v>
      </c>
      <c r="E80">
        <v>0</v>
      </c>
      <c r="F80" t="s">
        <v>892</v>
      </c>
    </row>
    <row r="81" spans="1:6" x14ac:dyDescent="0.2">
      <c r="A81" t="s">
        <v>893</v>
      </c>
      <c r="C81">
        <v>0</v>
      </c>
      <c r="D81">
        <v>1156</v>
      </c>
      <c r="E81">
        <v>0</v>
      </c>
      <c r="F81" t="s">
        <v>892</v>
      </c>
    </row>
    <row r="82" spans="1:6" x14ac:dyDescent="0.2">
      <c r="A82" t="s">
        <v>894</v>
      </c>
      <c r="C82">
        <v>0</v>
      </c>
      <c r="D82">
        <v>1311</v>
      </c>
      <c r="E82">
        <v>0</v>
      </c>
      <c r="F82" t="s">
        <v>895</v>
      </c>
    </row>
    <row r="83" spans="1:6" x14ac:dyDescent="0.2">
      <c r="A83" t="s">
        <v>896</v>
      </c>
      <c r="C83">
        <v>0</v>
      </c>
      <c r="D83">
        <v>1237.02</v>
      </c>
      <c r="E83">
        <v>0</v>
      </c>
      <c r="F83" t="s">
        <v>897</v>
      </c>
    </row>
    <row r="84" spans="1:6" x14ac:dyDescent="0.2">
      <c r="A84" t="s">
        <v>898</v>
      </c>
      <c r="C84">
        <v>4040.0000000000009</v>
      </c>
      <c r="D84">
        <v>4040</v>
      </c>
      <c r="E84">
        <v>-45847.436607999131</v>
      </c>
      <c r="F84" t="s">
        <v>899</v>
      </c>
    </row>
    <row r="85" spans="1:6" x14ac:dyDescent="0.2">
      <c r="A85" t="s">
        <v>900</v>
      </c>
      <c r="C85">
        <v>4040</v>
      </c>
      <c r="D85">
        <v>4040</v>
      </c>
      <c r="E85">
        <v>-3262.2667614240127</v>
      </c>
      <c r="F85" t="s">
        <v>901</v>
      </c>
    </row>
    <row r="86" spans="1:6" x14ac:dyDescent="0.2">
      <c r="A86" t="s">
        <v>902</v>
      </c>
      <c r="C86">
        <v>-1548.0083956386234</v>
      </c>
      <c r="D86">
        <v>5171</v>
      </c>
      <c r="E86">
        <v>0</v>
      </c>
      <c r="F86" t="s">
        <v>903</v>
      </c>
    </row>
    <row r="87" spans="1:6" x14ac:dyDescent="0.2">
      <c r="A87" t="s">
        <v>904</v>
      </c>
      <c r="C87">
        <v>115.045</v>
      </c>
      <c r="D87">
        <v>1098</v>
      </c>
      <c r="E87">
        <v>0</v>
      </c>
      <c r="F87" t="s">
        <v>905</v>
      </c>
    </row>
    <row r="88" spans="1:6" x14ac:dyDescent="0.2">
      <c r="A88" t="s">
        <v>906</v>
      </c>
      <c r="C88">
        <v>28.199000000000002</v>
      </c>
      <c r="D88">
        <v>1098</v>
      </c>
      <c r="E88">
        <v>0</v>
      </c>
      <c r="F88" t="s">
        <v>907</v>
      </c>
    </row>
    <row r="89" spans="1:6" x14ac:dyDescent="0.2">
      <c r="A89" t="s">
        <v>908</v>
      </c>
      <c r="C89">
        <v>76.12</v>
      </c>
      <c r="D89">
        <v>1098</v>
      </c>
      <c r="E89">
        <v>0</v>
      </c>
      <c r="F89" t="s">
        <v>909</v>
      </c>
    </row>
    <row r="90" spans="1:6" x14ac:dyDescent="0.2">
      <c r="A90" t="s">
        <v>910</v>
      </c>
      <c r="B90">
        <v>0</v>
      </c>
      <c r="C90">
        <v>0</v>
      </c>
      <c r="E90">
        <v>5675.9870070690295</v>
      </c>
      <c r="F90" t="s">
        <v>911</v>
      </c>
    </row>
    <row r="91" spans="1:6" x14ac:dyDescent="0.2">
      <c r="A91" t="s">
        <v>912</v>
      </c>
      <c r="B91">
        <v>0</v>
      </c>
      <c r="C91">
        <v>0</v>
      </c>
      <c r="E91">
        <v>8593.1128186226215</v>
      </c>
      <c r="F91" t="s">
        <v>913</v>
      </c>
    </row>
    <row r="92" spans="1:6" x14ac:dyDescent="0.2">
      <c r="A92" t="s">
        <v>914</v>
      </c>
      <c r="B92">
        <v>0</v>
      </c>
      <c r="C92">
        <v>0</v>
      </c>
      <c r="E92">
        <v>35877.67518269681</v>
      </c>
      <c r="F92" t="s">
        <v>915</v>
      </c>
    </row>
    <row r="93" spans="1:6" x14ac:dyDescent="0.2">
      <c r="A93" t="s">
        <v>916</v>
      </c>
      <c r="B93">
        <v>0</v>
      </c>
      <c r="C93">
        <v>0</v>
      </c>
      <c r="E93">
        <v>36118.274722666363</v>
      </c>
      <c r="F93" t="s">
        <v>917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DD95B-BF02-6C4C-8527-A6E08EF5C8F6}">
  <sheetPr codeName="Sheet5">
    <tabColor theme="2"/>
  </sheetPr>
  <dimension ref="A1:F85"/>
  <sheetViews>
    <sheetView workbookViewId="0">
      <selection activeCell="F126" sqref="F126"/>
    </sheetView>
  </sheetViews>
  <sheetFormatPr defaultColWidth="11" defaultRowHeight="11.4" x14ac:dyDescent="0.2"/>
  <cols>
    <col min="1" max="1" width="22.625" bestFit="1" customWidth="1"/>
    <col min="2" max="2" width="59.625" bestFit="1" customWidth="1"/>
    <col min="3" max="3" width="33" bestFit="1" customWidth="1"/>
    <col min="4" max="4" width="40" bestFit="1" customWidth="1"/>
    <col min="5" max="5" width="7.625" bestFit="1" customWidth="1"/>
    <col min="6" max="6" width="10.375" bestFit="1" customWidth="1"/>
  </cols>
  <sheetData>
    <row r="1" spans="1:6" x14ac:dyDescent="0.2">
      <c r="A1" t="s">
        <v>316</v>
      </c>
      <c r="B1" t="s">
        <v>317</v>
      </c>
      <c r="C1" t="s">
        <v>318</v>
      </c>
      <c r="D1" t="s">
        <v>319</v>
      </c>
      <c r="E1" t="s">
        <v>320</v>
      </c>
      <c r="F1">
        <v>2020</v>
      </c>
    </row>
    <row r="2" spans="1:6" x14ac:dyDescent="0.2">
      <c r="A2" t="s">
        <v>321</v>
      </c>
      <c r="B2" t="s">
        <v>322</v>
      </c>
      <c r="C2" t="s">
        <v>323</v>
      </c>
      <c r="D2" t="s">
        <v>257</v>
      </c>
      <c r="F2">
        <v>-1</v>
      </c>
    </row>
    <row r="3" spans="1:6" x14ac:dyDescent="0.2">
      <c r="A3" t="s">
        <v>321</v>
      </c>
      <c r="B3" t="s">
        <v>324</v>
      </c>
      <c r="C3" t="s">
        <v>323</v>
      </c>
      <c r="D3" t="s">
        <v>257</v>
      </c>
      <c r="F3">
        <v>-1</v>
      </c>
    </row>
    <row r="4" spans="1:6" x14ac:dyDescent="0.2">
      <c r="A4" t="s">
        <v>321</v>
      </c>
      <c r="B4" t="s">
        <v>325</v>
      </c>
      <c r="C4" t="s">
        <v>323</v>
      </c>
      <c r="D4" t="s">
        <v>257</v>
      </c>
      <c r="F4">
        <v>-1</v>
      </c>
    </row>
    <row r="5" spans="1:6" x14ac:dyDescent="0.2">
      <c r="A5" t="s">
        <v>321</v>
      </c>
      <c r="B5" t="s">
        <v>326</v>
      </c>
      <c r="C5" t="s">
        <v>323</v>
      </c>
      <c r="D5" t="s">
        <v>258</v>
      </c>
      <c r="F5">
        <v>-1</v>
      </c>
    </row>
    <row r="6" spans="1:6" x14ac:dyDescent="0.2">
      <c r="A6" t="s">
        <v>321</v>
      </c>
      <c r="B6" t="s">
        <v>327</v>
      </c>
      <c r="C6" t="s">
        <v>323</v>
      </c>
      <c r="D6" t="s">
        <v>258</v>
      </c>
      <c r="F6">
        <v>-1</v>
      </c>
    </row>
    <row r="7" spans="1:6" x14ac:dyDescent="0.2">
      <c r="A7" t="s">
        <v>321</v>
      </c>
      <c r="B7" t="s">
        <v>328</v>
      </c>
      <c r="C7" t="s">
        <v>323</v>
      </c>
      <c r="D7" t="s">
        <v>258</v>
      </c>
      <c r="F7">
        <v>0</v>
      </c>
    </row>
    <row r="8" spans="1:6" x14ac:dyDescent="0.2">
      <c r="A8" t="s">
        <v>321</v>
      </c>
      <c r="B8" t="s">
        <v>329</v>
      </c>
      <c r="C8" t="s">
        <v>323</v>
      </c>
      <c r="D8" t="s">
        <v>259</v>
      </c>
      <c r="F8">
        <v>-1</v>
      </c>
    </row>
    <row r="9" spans="1:6" x14ac:dyDescent="0.2">
      <c r="A9" t="s">
        <v>321</v>
      </c>
      <c r="B9" t="s">
        <v>330</v>
      </c>
      <c r="C9" t="s">
        <v>323</v>
      </c>
      <c r="D9" t="s">
        <v>259</v>
      </c>
      <c r="F9">
        <v>-1</v>
      </c>
    </row>
    <row r="10" spans="1:6" x14ac:dyDescent="0.2">
      <c r="A10" t="s">
        <v>321</v>
      </c>
      <c r="B10" t="s">
        <v>331</v>
      </c>
      <c r="C10" t="s">
        <v>323</v>
      </c>
      <c r="D10" t="s">
        <v>259</v>
      </c>
      <c r="F10">
        <v>0</v>
      </c>
    </row>
    <row r="11" spans="1:6" x14ac:dyDescent="0.2">
      <c r="A11" t="s">
        <v>321</v>
      </c>
      <c r="B11" t="s">
        <v>332</v>
      </c>
      <c r="C11" t="s">
        <v>323</v>
      </c>
      <c r="D11" t="s">
        <v>260</v>
      </c>
      <c r="F11">
        <v>-1</v>
      </c>
    </row>
    <row r="12" spans="1:6" x14ac:dyDescent="0.2">
      <c r="A12" t="s">
        <v>321</v>
      </c>
      <c r="B12" t="s">
        <v>333</v>
      </c>
      <c r="C12" t="s">
        <v>323</v>
      </c>
      <c r="D12" t="s">
        <v>260</v>
      </c>
      <c r="F12">
        <v>-1</v>
      </c>
    </row>
    <row r="13" spans="1:6" x14ac:dyDescent="0.2">
      <c r="A13" t="s">
        <v>321</v>
      </c>
      <c r="B13" t="s">
        <v>334</v>
      </c>
      <c r="C13" t="s">
        <v>323</v>
      </c>
      <c r="D13" t="s">
        <v>260</v>
      </c>
      <c r="F13">
        <v>-0.60499999999999998</v>
      </c>
    </row>
    <row r="14" spans="1:6" x14ac:dyDescent="0.2">
      <c r="A14" t="s">
        <v>321</v>
      </c>
      <c r="B14" t="s">
        <v>335</v>
      </c>
      <c r="C14" t="s">
        <v>323</v>
      </c>
      <c r="D14" t="s">
        <v>261</v>
      </c>
      <c r="F14">
        <v>-1</v>
      </c>
    </row>
    <row r="15" spans="1:6" x14ac:dyDescent="0.2">
      <c r="A15" t="s">
        <v>321</v>
      </c>
      <c r="B15" t="s">
        <v>336</v>
      </c>
      <c r="C15" t="s">
        <v>323</v>
      </c>
      <c r="D15" t="s">
        <v>261</v>
      </c>
      <c r="F15">
        <v>-1</v>
      </c>
    </row>
    <row r="16" spans="1:6" x14ac:dyDescent="0.2">
      <c r="A16" t="s">
        <v>321</v>
      </c>
      <c r="B16" t="s">
        <v>337</v>
      </c>
      <c r="C16" t="s">
        <v>323</v>
      </c>
      <c r="D16" t="s">
        <v>261</v>
      </c>
      <c r="F16">
        <v>-0.66800000000000004</v>
      </c>
    </row>
    <row r="17" spans="1:6" x14ac:dyDescent="0.2">
      <c r="A17" t="s">
        <v>321</v>
      </c>
      <c r="B17" t="s">
        <v>338</v>
      </c>
      <c r="C17" t="s">
        <v>323</v>
      </c>
      <c r="D17" t="s">
        <v>262</v>
      </c>
      <c r="F17">
        <v>-1</v>
      </c>
    </row>
    <row r="18" spans="1:6" x14ac:dyDescent="0.2">
      <c r="A18" t="s">
        <v>321</v>
      </c>
      <c r="B18" t="s">
        <v>339</v>
      </c>
      <c r="C18" t="s">
        <v>323</v>
      </c>
      <c r="D18" t="s">
        <v>262</v>
      </c>
      <c r="F18">
        <v>-1</v>
      </c>
    </row>
    <row r="19" spans="1:6" x14ac:dyDescent="0.2">
      <c r="A19" t="s">
        <v>321</v>
      </c>
      <c r="B19" t="s">
        <v>340</v>
      </c>
      <c r="C19" t="s">
        <v>323</v>
      </c>
      <c r="D19" t="s">
        <v>262</v>
      </c>
      <c r="F19">
        <v>0</v>
      </c>
    </row>
    <row r="20" spans="1:6" x14ac:dyDescent="0.2">
      <c r="A20" t="s">
        <v>321</v>
      </c>
      <c r="B20" t="s">
        <v>341</v>
      </c>
      <c r="C20" t="s">
        <v>323</v>
      </c>
      <c r="D20" t="s">
        <v>263</v>
      </c>
      <c r="F20">
        <v>-1</v>
      </c>
    </row>
    <row r="21" spans="1:6" x14ac:dyDescent="0.2">
      <c r="A21" t="s">
        <v>321</v>
      </c>
      <c r="B21" t="s">
        <v>342</v>
      </c>
      <c r="C21" t="s">
        <v>323</v>
      </c>
      <c r="D21" t="s">
        <v>263</v>
      </c>
      <c r="F21">
        <v>-1</v>
      </c>
    </row>
    <row r="22" spans="1:6" x14ac:dyDescent="0.2">
      <c r="A22" t="s">
        <v>321</v>
      </c>
      <c r="B22" t="s">
        <v>343</v>
      </c>
      <c r="C22" t="s">
        <v>323</v>
      </c>
      <c r="D22" t="s">
        <v>263</v>
      </c>
      <c r="F22">
        <v>0</v>
      </c>
    </row>
    <row r="23" spans="1:6" x14ac:dyDescent="0.2">
      <c r="A23" t="s">
        <v>321</v>
      </c>
      <c r="B23" t="s">
        <v>344</v>
      </c>
      <c r="C23" t="s">
        <v>323</v>
      </c>
      <c r="D23" t="s">
        <v>264</v>
      </c>
      <c r="F23">
        <v>-1</v>
      </c>
    </row>
    <row r="24" spans="1:6" x14ac:dyDescent="0.2">
      <c r="A24" t="s">
        <v>321</v>
      </c>
      <c r="B24" t="s">
        <v>345</v>
      </c>
      <c r="C24" t="s">
        <v>323</v>
      </c>
      <c r="D24" t="s">
        <v>264</v>
      </c>
      <c r="F24">
        <v>-1</v>
      </c>
    </row>
    <row r="25" spans="1:6" x14ac:dyDescent="0.2">
      <c r="A25" t="s">
        <v>321</v>
      </c>
      <c r="B25" t="s">
        <v>346</v>
      </c>
      <c r="C25" t="s">
        <v>323</v>
      </c>
      <c r="D25" t="s">
        <v>264</v>
      </c>
      <c r="F25">
        <v>-0.216</v>
      </c>
    </row>
    <row r="26" spans="1:6" x14ac:dyDescent="0.2">
      <c r="A26" t="s">
        <v>321</v>
      </c>
      <c r="B26" t="s">
        <v>347</v>
      </c>
      <c r="C26" t="s">
        <v>323</v>
      </c>
      <c r="D26" t="s">
        <v>265</v>
      </c>
      <c r="F26">
        <v>-1</v>
      </c>
    </row>
    <row r="27" spans="1:6" x14ac:dyDescent="0.2">
      <c r="A27" t="s">
        <v>321</v>
      </c>
      <c r="B27" t="s">
        <v>348</v>
      </c>
      <c r="C27" t="s">
        <v>323</v>
      </c>
      <c r="D27" t="s">
        <v>265</v>
      </c>
      <c r="F27">
        <v>-1</v>
      </c>
    </row>
    <row r="28" spans="1:6" x14ac:dyDescent="0.2">
      <c r="A28" t="s">
        <v>321</v>
      </c>
      <c r="B28" t="s">
        <v>349</v>
      </c>
      <c r="C28" t="s">
        <v>323</v>
      </c>
      <c r="D28" t="s">
        <v>265</v>
      </c>
      <c r="F28">
        <v>0</v>
      </c>
    </row>
    <row r="29" spans="1:6" x14ac:dyDescent="0.2">
      <c r="A29" t="s">
        <v>321</v>
      </c>
      <c r="B29" t="s">
        <v>350</v>
      </c>
      <c r="C29" t="s">
        <v>323</v>
      </c>
      <c r="D29" t="s">
        <v>266</v>
      </c>
      <c r="F29">
        <v>-1</v>
      </c>
    </row>
    <row r="30" spans="1:6" x14ac:dyDescent="0.2">
      <c r="A30" t="s">
        <v>321</v>
      </c>
      <c r="B30" t="s">
        <v>351</v>
      </c>
      <c r="C30" t="s">
        <v>323</v>
      </c>
      <c r="D30" t="s">
        <v>266</v>
      </c>
      <c r="F30">
        <v>-1</v>
      </c>
    </row>
    <row r="31" spans="1:6" x14ac:dyDescent="0.2">
      <c r="A31" t="s">
        <v>321</v>
      </c>
      <c r="B31" t="s">
        <v>352</v>
      </c>
      <c r="C31" t="s">
        <v>323</v>
      </c>
      <c r="D31" t="s">
        <v>266</v>
      </c>
      <c r="F31">
        <v>0</v>
      </c>
    </row>
    <row r="32" spans="1:6" x14ac:dyDescent="0.2">
      <c r="A32" t="s">
        <v>321</v>
      </c>
      <c r="B32" t="s">
        <v>353</v>
      </c>
      <c r="C32" t="s">
        <v>323</v>
      </c>
      <c r="D32" t="s">
        <v>267</v>
      </c>
      <c r="F32">
        <v>-1</v>
      </c>
    </row>
    <row r="33" spans="1:6" x14ac:dyDescent="0.2">
      <c r="A33" t="s">
        <v>321</v>
      </c>
      <c r="B33" t="s">
        <v>354</v>
      </c>
      <c r="C33" t="s">
        <v>323</v>
      </c>
      <c r="D33" t="s">
        <v>267</v>
      </c>
      <c r="F33">
        <v>-1</v>
      </c>
    </row>
    <row r="34" spans="1:6" x14ac:dyDescent="0.2">
      <c r="A34" t="s">
        <v>321</v>
      </c>
      <c r="B34" t="s">
        <v>355</v>
      </c>
      <c r="C34" t="s">
        <v>323</v>
      </c>
      <c r="D34" t="s">
        <v>267</v>
      </c>
      <c r="F34">
        <v>-1.1100000000000001</v>
      </c>
    </row>
    <row r="35" spans="1:6" x14ac:dyDescent="0.2">
      <c r="A35" t="s">
        <v>321</v>
      </c>
      <c r="B35" t="s">
        <v>356</v>
      </c>
      <c r="C35" t="s">
        <v>323</v>
      </c>
      <c r="D35" t="s">
        <v>268</v>
      </c>
      <c r="F35">
        <v>-1</v>
      </c>
    </row>
    <row r="36" spans="1:6" x14ac:dyDescent="0.2">
      <c r="A36" t="s">
        <v>321</v>
      </c>
      <c r="B36" t="s">
        <v>357</v>
      </c>
      <c r="C36" t="s">
        <v>323</v>
      </c>
      <c r="D36" t="s">
        <v>268</v>
      </c>
      <c r="F36">
        <v>-1</v>
      </c>
    </row>
    <row r="37" spans="1:6" x14ac:dyDescent="0.2">
      <c r="A37" t="s">
        <v>321</v>
      </c>
      <c r="B37" t="s">
        <v>358</v>
      </c>
      <c r="C37" t="s">
        <v>323</v>
      </c>
      <c r="D37" t="s">
        <v>268</v>
      </c>
      <c r="F37">
        <v>-1</v>
      </c>
    </row>
    <row r="38" spans="1:6" x14ac:dyDescent="0.2">
      <c r="A38" t="s">
        <v>321</v>
      </c>
      <c r="B38" t="s">
        <v>359</v>
      </c>
      <c r="C38" t="s">
        <v>323</v>
      </c>
      <c r="D38" t="s">
        <v>269</v>
      </c>
      <c r="F38">
        <v>-1</v>
      </c>
    </row>
    <row r="39" spans="1:6" x14ac:dyDescent="0.2">
      <c r="A39" t="s">
        <v>321</v>
      </c>
      <c r="B39" t="s">
        <v>360</v>
      </c>
      <c r="C39" t="s">
        <v>323</v>
      </c>
      <c r="D39" t="s">
        <v>269</v>
      </c>
      <c r="F39">
        <v>-1</v>
      </c>
    </row>
    <row r="40" spans="1:6" x14ac:dyDescent="0.2">
      <c r="A40" t="s">
        <v>321</v>
      </c>
      <c r="B40" t="s">
        <v>361</v>
      </c>
      <c r="C40" t="s">
        <v>323</v>
      </c>
      <c r="D40" t="s">
        <v>269</v>
      </c>
      <c r="F40">
        <v>0</v>
      </c>
    </row>
    <row r="41" spans="1:6" x14ac:dyDescent="0.2">
      <c r="A41" t="s">
        <v>321</v>
      </c>
      <c r="B41" t="s">
        <v>362</v>
      </c>
      <c r="C41" t="s">
        <v>323</v>
      </c>
      <c r="D41" t="s">
        <v>270</v>
      </c>
      <c r="F41">
        <v>-1</v>
      </c>
    </row>
    <row r="42" spans="1:6" x14ac:dyDescent="0.2">
      <c r="A42" t="s">
        <v>321</v>
      </c>
      <c r="B42" t="s">
        <v>363</v>
      </c>
      <c r="C42" t="s">
        <v>323</v>
      </c>
      <c r="D42" t="s">
        <v>270</v>
      </c>
      <c r="F42">
        <v>-1</v>
      </c>
    </row>
    <row r="43" spans="1:6" x14ac:dyDescent="0.2">
      <c r="A43" t="s">
        <v>321</v>
      </c>
      <c r="B43" t="s">
        <v>364</v>
      </c>
      <c r="C43" t="s">
        <v>323</v>
      </c>
      <c r="D43" t="s">
        <v>270</v>
      </c>
      <c r="F43">
        <v>0</v>
      </c>
    </row>
    <row r="44" spans="1:6" x14ac:dyDescent="0.2">
      <c r="A44" t="s">
        <v>321</v>
      </c>
      <c r="B44" t="s">
        <v>365</v>
      </c>
      <c r="C44" t="s">
        <v>323</v>
      </c>
      <c r="D44" t="s">
        <v>271</v>
      </c>
      <c r="F44">
        <v>-1</v>
      </c>
    </row>
    <row r="45" spans="1:6" x14ac:dyDescent="0.2">
      <c r="A45" t="s">
        <v>321</v>
      </c>
      <c r="B45" t="s">
        <v>366</v>
      </c>
      <c r="C45" t="s">
        <v>323</v>
      </c>
      <c r="D45" t="s">
        <v>271</v>
      </c>
      <c r="F45">
        <v>-1</v>
      </c>
    </row>
    <row r="46" spans="1:6" x14ac:dyDescent="0.2">
      <c r="A46" t="s">
        <v>321</v>
      </c>
      <c r="B46" t="s">
        <v>367</v>
      </c>
      <c r="C46" t="s">
        <v>323</v>
      </c>
      <c r="D46" t="s">
        <v>271</v>
      </c>
      <c r="F46">
        <v>-0.13300000000000001</v>
      </c>
    </row>
    <row r="47" spans="1:6" x14ac:dyDescent="0.2">
      <c r="A47" t="s">
        <v>321</v>
      </c>
      <c r="B47" t="s">
        <v>368</v>
      </c>
      <c r="C47" t="s">
        <v>323</v>
      </c>
      <c r="D47" t="s">
        <v>272</v>
      </c>
      <c r="F47">
        <v>-1</v>
      </c>
    </row>
    <row r="48" spans="1:6" x14ac:dyDescent="0.2">
      <c r="A48" t="s">
        <v>321</v>
      </c>
      <c r="B48" t="s">
        <v>369</v>
      </c>
      <c r="C48" t="s">
        <v>323</v>
      </c>
      <c r="D48" t="s">
        <v>272</v>
      </c>
      <c r="F48">
        <v>-1</v>
      </c>
    </row>
    <row r="49" spans="1:6" x14ac:dyDescent="0.2">
      <c r="A49" t="s">
        <v>321</v>
      </c>
      <c r="B49" t="s">
        <v>370</v>
      </c>
      <c r="C49" t="s">
        <v>323</v>
      </c>
      <c r="D49" t="s">
        <v>272</v>
      </c>
      <c r="F49">
        <v>0</v>
      </c>
    </row>
    <row r="50" spans="1:6" x14ac:dyDescent="0.2">
      <c r="A50" t="s">
        <v>321</v>
      </c>
      <c r="B50" t="s">
        <v>371</v>
      </c>
      <c r="C50" t="s">
        <v>323</v>
      </c>
      <c r="D50" t="s">
        <v>273</v>
      </c>
      <c r="F50">
        <v>0</v>
      </c>
    </row>
    <row r="51" spans="1:6" x14ac:dyDescent="0.2">
      <c r="A51" t="s">
        <v>321</v>
      </c>
      <c r="B51" t="s">
        <v>372</v>
      </c>
      <c r="C51" t="s">
        <v>323</v>
      </c>
      <c r="D51" t="s">
        <v>273</v>
      </c>
      <c r="F51">
        <v>0</v>
      </c>
    </row>
    <row r="52" spans="1:6" x14ac:dyDescent="0.2">
      <c r="A52" t="s">
        <v>321</v>
      </c>
      <c r="B52" t="s">
        <v>373</v>
      </c>
      <c r="C52" t="s">
        <v>323</v>
      </c>
      <c r="D52" t="s">
        <v>273</v>
      </c>
      <c r="F52">
        <v>-1</v>
      </c>
    </row>
    <row r="53" spans="1:6" x14ac:dyDescent="0.2">
      <c r="A53" t="s">
        <v>321</v>
      </c>
      <c r="B53" t="s">
        <v>374</v>
      </c>
      <c r="C53" t="s">
        <v>323</v>
      </c>
      <c r="D53" t="s">
        <v>274</v>
      </c>
      <c r="F53">
        <v>-1</v>
      </c>
    </row>
    <row r="54" spans="1:6" x14ac:dyDescent="0.2">
      <c r="A54" t="s">
        <v>321</v>
      </c>
      <c r="B54" t="s">
        <v>375</v>
      </c>
      <c r="C54" t="s">
        <v>323</v>
      </c>
      <c r="D54" t="s">
        <v>274</v>
      </c>
      <c r="F54">
        <v>-1</v>
      </c>
    </row>
    <row r="55" spans="1:6" x14ac:dyDescent="0.2">
      <c r="A55" t="s">
        <v>321</v>
      </c>
      <c r="B55" t="s">
        <v>376</v>
      </c>
      <c r="C55" t="s">
        <v>323</v>
      </c>
      <c r="D55" t="s">
        <v>274</v>
      </c>
      <c r="F55">
        <v>0</v>
      </c>
    </row>
    <row r="56" spans="1:6" x14ac:dyDescent="0.2">
      <c r="A56" t="s">
        <v>321</v>
      </c>
      <c r="B56" t="s">
        <v>377</v>
      </c>
      <c r="C56" t="s">
        <v>323</v>
      </c>
      <c r="D56" t="s">
        <v>275</v>
      </c>
      <c r="F56">
        <v>0</v>
      </c>
    </row>
    <row r="57" spans="1:6" x14ac:dyDescent="0.2">
      <c r="A57" t="s">
        <v>321</v>
      </c>
      <c r="B57" t="s">
        <v>378</v>
      </c>
      <c r="C57" t="s">
        <v>323</v>
      </c>
      <c r="D57" t="s">
        <v>275</v>
      </c>
      <c r="F57">
        <v>0</v>
      </c>
    </row>
    <row r="58" spans="1:6" x14ac:dyDescent="0.2">
      <c r="A58" t="s">
        <v>321</v>
      </c>
      <c r="B58" t="s">
        <v>379</v>
      </c>
      <c r="C58" t="s">
        <v>323</v>
      </c>
      <c r="D58" t="s">
        <v>275</v>
      </c>
      <c r="F58">
        <v>0</v>
      </c>
    </row>
    <row r="59" spans="1:6" x14ac:dyDescent="0.2">
      <c r="A59" t="s">
        <v>321</v>
      </c>
      <c r="B59" t="s">
        <v>380</v>
      </c>
      <c r="C59" t="s">
        <v>323</v>
      </c>
      <c r="D59" t="s">
        <v>276</v>
      </c>
      <c r="F59">
        <v>-1</v>
      </c>
    </row>
    <row r="60" spans="1:6" x14ac:dyDescent="0.2">
      <c r="A60" t="s">
        <v>321</v>
      </c>
      <c r="B60" t="s">
        <v>381</v>
      </c>
      <c r="C60" t="s">
        <v>323</v>
      </c>
      <c r="D60" t="s">
        <v>276</v>
      </c>
      <c r="F60">
        <v>-1</v>
      </c>
    </row>
    <row r="61" spans="1:6" x14ac:dyDescent="0.2">
      <c r="A61" t="s">
        <v>321</v>
      </c>
      <c r="B61" t="s">
        <v>382</v>
      </c>
      <c r="C61" t="s">
        <v>323</v>
      </c>
      <c r="D61" t="s">
        <v>276</v>
      </c>
      <c r="F61">
        <v>0</v>
      </c>
    </row>
    <row r="62" spans="1:6" x14ac:dyDescent="0.2">
      <c r="A62" t="s">
        <v>321</v>
      </c>
      <c r="B62" t="s">
        <v>383</v>
      </c>
      <c r="C62" t="s">
        <v>323</v>
      </c>
      <c r="D62" t="s">
        <v>277</v>
      </c>
      <c r="F62">
        <v>0</v>
      </c>
    </row>
    <row r="63" spans="1:6" x14ac:dyDescent="0.2">
      <c r="A63" t="s">
        <v>321</v>
      </c>
      <c r="B63" t="s">
        <v>384</v>
      </c>
      <c r="C63" t="s">
        <v>323</v>
      </c>
      <c r="D63" t="s">
        <v>277</v>
      </c>
      <c r="F63">
        <v>0</v>
      </c>
    </row>
    <row r="64" spans="1:6" x14ac:dyDescent="0.2">
      <c r="A64" t="s">
        <v>321</v>
      </c>
      <c r="B64" t="s">
        <v>385</v>
      </c>
      <c r="C64" t="s">
        <v>323</v>
      </c>
      <c r="D64" t="s">
        <v>277</v>
      </c>
      <c r="F64">
        <v>-1</v>
      </c>
    </row>
    <row r="65" spans="1:6" x14ac:dyDescent="0.2">
      <c r="A65" t="s">
        <v>321</v>
      </c>
      <c r="B65" t="s">
        <v>386</v>
      </c>
      <c r="C65" t="s">
        <v>323</v>
      </c>
      <c r="D65" t="s">
        <v>278</v>
      </c>
      <c r="F65">
        <v>-1</v>
      </c>
    </row>
    <row r="66" spans="1:6" x14ac:dyDescent="0.2">
      <c r="A66" t="s">
        <v>321</v>
      </c>
      <c r="B66" t="s">
        <v>387</v>
      </c>
      <c r="C66" t="s">
        <v>323</v>
      </c>
      <c r="D66" t="s">
        <v>278</v>
      </c>
      <c r="F66">
        <v>-1</v>
      </c>
    </row>
    <row r="67" spans="1:6" x14ac:dyDescent="0.2">
      <c r="A67" t="s">
        <v>321</v>
      </c>
      <c r="B67" t="s">
        <v>388</v>
      </c>
      <c r="C67" t="s">
        <v>323</v>
      </c>
      <c r="D67" t="s">
        <v>278</v>
      </c>
      <c r="F67">
        <v>0</v>
      </c>
    </row>
    <row r="68" spans="1:6" x14ac:dyDescent="0.2">
      <c r="A68" t="s">
        <v>321</v>
      </c>
      <c r="B68" t="s">
        <v>389</v>
      </c>
      <c r="C68" t="s">
        <v>323</v>
      </c>
      <c r="D68" t="s">
        <v>279</v>
      </c>
      <c r="F68">
        <v>-1</v>
      </c>
    </row>
    <row r="69" spans="1:6" x14ac:dyDescent="0.2">
      <c r="A69" t="s">
        <v>321</v>
      </c>
      <c r="B69" t="s">
        <v>390</v>
      </c>
      <c r="C69" t="s">
        <v>323</v>
      </c>
      <c r="D69" t="s">
        <v>279</v>
      </c>
      <c r="F69">
        <v>-1</v>
      </c>
    </row>
    <row r="70" spans="1:6" x14ac:dyDescent="0.2">
      <c r="A70" t="s">
        <v>321</v>
      </c>
      <c r="B70" t="s">
        <v>391</v>
      </c>
      <c r="C70" t="s">
        <v>323</v>
      </c>
      <c r="D70" t="s">
        <v>279</v>
      </c>
      <c r="F70">
        <v>0</v>
      </c>
    </row>
    <row r="71" spans="1:6" x14ac:dyDescent="0.2">
      <c r="A71" t="s">
        <v>321</v>
      </c>
      <c r="B71" t="s">
        <v>392</v>
      </c>
      <c r="C71" t="s">
        <v>323</v>
      </c>
      <c r="D71" t="s">
        <v>280</v>
      </c>
      <c r="F71">
        <v>-1</v>
      </c>
    </row>
    <row r="72" spans="1:6" x14ac:dyDescent="0.2">
      <c r="A72" t="s">
        <v>321</v>
      </c>
      <c r="B72" t="s">
        <v>393</v>
      </c>
      <c r="C72" t="s">
        <v>323</v>
      </c>
      <c r="D72" t="s">
        <v>280</v>
      </c>
      <c r="F72">
        <v>-1</v>
      </c>
    </row>
    <row r="73" spans="1:6" x14ac:dyDescent="0.2">
      <c r="A73" t="s">
        <v>321</v>
      </c>
      <c r="B73" t="s">
        <v>394</v>
      </c>
      <c r="C73" t="s">
        <v>323</v>
      </c>
      <c r="D73" t="s">
        <v>280</v>
      </c>
      <c r="F73">
        <v>0</v>
      </c>
    </row>
    <row r="74" spans="1:6" x14ac:dyDescent="0.2">
      <c r="A74" t="s">
        <v>321</v>
      </c>
      <c r="B74" t="s">
        <v>395</v>
      </c>
      <c r="C74" t="s">
        <v>323</v>
      </c>
      <c r="D74" t="s">
        <v>281</v>
      </c>
      <c r="F74">
        <v>-1</v>
      </c>
    </row>
    <row r="75" spans="1:6" x14ac:dyDescent="0.2">
      <c r="A75" t="s">
        <v>321</v>
      </c>
      <c r="B75" t="s">
        <v>396</v>
      </c>
      <c r="C75" t="s">
        <v>323</v>
      </c>
      <c r="D75" t="s">
        <v>281</v>
      </c>
      <c r="F75">
        <v>-1</v>
      </c>
    </row>
    <row r="76" spans="1:6" x14ac:dyDescent="0.2">
      <c r="A76" t="s">
        <v>321</v>
      </c>
      <c r="B76" t="s">
        <v>397</v>
      </c>
      <c r="C76" t="s">
        <v>323</v>
      </c>
      <c r="D76" t="s">
        <v>282</v>
      </c>
      <c r="F76">
        <v>-1</v>
      </c>
    </row>
    <row r="77" spans="1:6" x14ac:dyDescent="0.2">
      <c r="A77" t="s">
        <v>321</v>
      </c>
      <c r="B77" t="s">
        <v>398</v>
      </c>
      <c r="C77" t="s">
        <v>323</v>
      </c>
      <c r="D77" t="s">
        <v>282</v>
      </c>
      <c r="F77">
        <v>-1</v>
      </c>
    </row>
    <row r="78" spans="1:6" x14ac:dyDescent="0.2">
      <c r="A78" t="s">
        <v>321</v>
      </c>
      <c r="B78" t="s">
        <v>399</v>
      </c>
      <c r="C78" t="s">
        <v>323</v>
      </c>
      <c r="D78" t="s">
        <v>282</v>
      </c>
      <c r="F78">
        <v>0</v>
      </c>
    </row>
    <row r="79" spans="1:6" x14ac:dyDescent="0.2">
      <c r="A79" t="s">
        <v>321</v>
      </c>
      <c r="B79" t="s">
        <v>400</v>
      </c>
      <c r="C79" t="s">
        <v>323</v>
      </c>
      <c r="D79" t="s">
        <v>281</v>
      </c>
      <c r="F79">
        <v>-1.1160000000000001</v>
      </c>
    </row>
    <row r="80" spans="1:6" x14ac:dyDescent="0.2">
      <c r="A80" t="s">
        <v>321</v>
      </c>
      <c r="B80" t="s">
        <v>401</v>
      </c>
      <c r="C80" t="s">
        <v>323</v>
      </c>
      <c r="D80" t="s">
        <v>283</v>
      </c>
      <c r="F80">
        <v>-1</v>
      </c>
    </row>
    <row r="81" spans="1:6" x14ac:dyDescent="0.2">
      <c r="A81" t="s">
        <v>321</v>
      </c>
      <c r="B81" t="s">
        <v>402</v>
      </c>
      <c r="C81" t="s">
        <v>323</v>
      </c>
      <c r="D81" t="s">
        <v>283</v>
      </c>
      <c r="F81">
        <v>-1</v>
      </c>
    </row>
    <row r="82" spans="1:6" x14ac:dyDescent="0.2">
      <c r="A82" t="s">
        <v>321</v>
      </c>
      <c r="B82" t="s">
        <v>403</v>
      </c>
      <c r="C82" t="s">
        <v>323</v>
      </c>
      <c r="D82" t="s">
        <v>283</v>
      </c>
      <c r="F82">
        <v>0</v>
      </c>
    </row>
    <row r="83" spans="1:6" x14ac:dyDescent="0.2">
      <c r="A83" t="s">
        <v>321</v>
      </c>
      <c r="B83" t="s">
        <v>404</v>
      </c>
      <c r="C83" t="s">
        <v>323</v>
      </c>
      <c r="D83" t="s">
        <v>284</v>
      </c>
      <c r="F83">
        <v>-1</v>
      </c>
    </row>
    <row r="84" spans="1:6" x14ac:dyDescent="0.2">
      <c r="A84" t="s">
        <v>321</v>
      </c>
      <c r="B84" t="s">
        <v>405</v>
      </c>
      <c r="C84" t="s">
        <v>323</v>
      </c>
      <c r="D84" t="s">
        <v>284</v>
      </c>
      <c r="F84">
        <v>-1</v>
      </c>
    </row>
    <row r="85" spans="1:6" x14ac:dyDescent="0.2">
      <c r="A85" t="s">
        <v>321</v>
      </c>
      <c r="B85" t="s">
        <v>406</v>
      </c>
      <c r="C85" t="s">
        <v>323</v>
      </c>
      <c r="D85" t="s">
        <v>284</v>
      </c>
      <c r="F85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58DE4-60E1-9F47-80C9-FDFF248C20FD}">
  <dimension ref="A1:G2"/>
  <sheetViews>
    <sheetView workbookViewId="0">
      <selection activeCell="C1" sqref="C1"/>
    </sheetView>
  </sheetViews>
  <sheetFormatPr defaultColWidth="11" defaultRowHeight="11.4" x14ac:dyDescent="0.2"/>
  <sheetData>
    <row r="1" spans="1:7" x14ac:dyDescent="0.2">
      <c r="A1" t="s">
        <v>926</v>
      </c>
      <c r="B1" t="s">
        <v>626</v>
      </c>
      <c r="C1" t="s">
        <v>927</v>
      </c>
      <c r="D1" t="s">
        <v>928</v>
      </c>
      <c r="E1" t="s">
        <v>929</v>
      </c>
      <c r="F1" t="s">
        <v>930</v>
      </c>
      <c r="G1" t="s">
        <v>931</v>
      </c>
    </row>
    <row r="2" spans="1:7" x14ac:dyDescent="0.2">
      <c r="A2" t="s">
        <v>932</v>
      </c>
      <c r="B2" s="48">
        <v>52963</v>
      </c>
      <c r="C2">
        <v>10008.152232532317</v>
      </c>
      <c r="D2">
        <v>5117.5016109006438</v>
      </c>
      <c r="E2">
        <v>25319.301404030564</v>
      </c>
      <c r="F2">
        <v>4398.5926919186295</v>
      </c>
      <c r="G2">
        <v>1460.9426043505889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3B3D7-7049-CB41-AEA5-5109145ECCD5}">
  <dimension ref="A1:D2"/>
  <sheetViews>
    <sheetView workbookViewId="0">
      <selection activeCell="C1" sqref="C1"/>
    </sheetView>
  </sheetViews>
  <sheetFormatPr defaultColWidth="11" defaultRowHeight="11.4" x14ac:dyDescent="0.2"/>
  <sheetData>
    <row r="1" spans="1:4" x14ac:dyDescent="0.2">
      <c r="A1" t="s">
        <v>626</v>
      </c>
      <c r="B1" t="s">
        <v>923</v>
      </c>
      <c r="C1" t="s">
        <v>924</v>
      </c>
      <c r="D1" t="s">
        <v>925</v>
      </c>
    </row>
    <row r="2" spans="1:4" x14ac:dyDescent="0.2">
      <c r="A2" s="48">
        <v>52963</v>
      </c>
      <c r="B2">
        <v>3.8641315184141982</v>
      </c>
      <c r="C2">
        <v>2020</v>
      </c>
      <c r="D2">
        <v>20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8EBF2820B64B4EB9D32959209F47BE" ma:contentTypeVersion="2" ma:contentTypeDescription="Create a new document." ma:contentTypeScope="" ma:versionID="1df5dac8d2b4244012f33bd0d3237b4f">
  <xsd:schema xmlns:xsd="http://www.w3.org/2001/XMLSchema" xmlns:xs="http://www.w3.org/2001/XMLSchema" xmlns:p="http://schemas.microsoft.com/office/2006/metadata/properties" xmlns:ns2="dfc47abc-3033-4421-9d18-1d4465274a5d" targetNamespace="http://schemas.microsoft.com/office/2006/metadata/properties" ma:root="true" ma:fieldsID="0ed33b1377eba927b234e6e5873f2048" ns2:_="">
    <xsd:import namespace="dfc47abc-3033-4421-9d18-1d4465274a5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c47abc-3033-4421-9d18-1d4465274a5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31B2F40-BE42-4A7E-82C9-31BDAE1A21B2}">
  <ds:schemaRefs>
    <ds:schemaRef ds:uri="http://www.w3.org/XML/1998/namespace"/>
    <ds:schemaRef ds:uri="http://purl.org/dc/terms/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dfc47abc-3033-4421-9d18-1d4465274a5d"/>
  </ds:schemaRefs>
</ds:datastoreItem>
</file>

<file path=customXml/itemProps2.xml><?xml version="1.0" encoding="utf-8"?>
<ds:datastoreItem xmlns:ds="http://schemas.openxmlformats.org/officeDocument/2006/customXml" ds:itemID="{8A775AB7-AAF4-4D0D-91D0-858D293F51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c47abc-3033-4421-9d18-1d4465274a5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0721155-47D6-477F-9A2B-C20E8BCCE3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9</vt:i4>
      </vt:variant>
    </vt:vector>
  </HeadingPairs>
  <TitlesOfParts>
    <vt:vector size="31" baseType="lpstr">
      <vt:lpstr>Cover</vt:lpstr>
      <vt:lpstr>Dashboard</vt:lpstr>
      <vt:lpstr>Results Grouping</vt:lpstr>
      <vt:lpstr>Lists</vt:lpstr>
      <vt:lpstr>xlwings.conf</vt:lpstr>
      <vt:lpstr>Raw Summary Files →</vt:lpstr>
      <vt:lpstr>Asset Summary</vt:lpstr>
      <vt:lpstr>Resource Summary</vt:lpstr>
      <vt:lpstr>Resource Fuel Burn</vt:lpstr>
      <vt:lpstr>Transmission Summary</vt:lpstr>
      <vt:lpstr>Zonal Summary</vt:lpstr>
      <vt:lpstr>Policy Summary</vt:lpstr>
      <vt:lpstr>Energy Policy Summary</vt:lpstr>
      <vt:lpstr>Emissions Policy TxPath</vt:lpstr>
      <vt:lpstr>Emissions Policy Resource</vt:lpstr>
      <vt:lpstr>PRM Resource Summary</vt:lpstr>
      <vt:lpstr>ELCC_Facet_Constraint_LHS</vt:lpstr>
      <vt:lpstr>ELCC_Facet_Value</vt:lpstr>
      <vt:lpstr>Custom Constraints</vt:lpstr>
      <vt:lpstr>Deliverability Upgrade Factors</vt:lpstr>
      <vt:lpstr>System</vt:lpstr>
      <vt:lpstr>Temporal Settings</vt:lpstr>
      <vt:lpstr>active_case</vt:lpstr>
      <vt:lpstr>component_results_groups</vt:lpstr>
      <vt:lpstr>lists_cases</vt:lpstr>
      <vt:lpstr>lists_results_types</vt:lpstr>
      <vt:lpstr>resource_build__new_build_capacity</vt:lpstr>
      <vt:lpstr>resource_build__operational_capacity</vt:lpstr>
      <vt:lpstr>results_folders</vt:lpstr>
      <vt:lpstr>results_groups</vt:lpstr>
      <vt:lpstr>zones_to_group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Roderick Go</dc:creator>
  <cp:lastModifiedBy>Yuchi Sun</cp:lastModifiedBy>
  <dcterms:created xsi:type="dcterms:W3CDTF">2019-02-09T00:17:20Z</dcterms:created>
  <dcterms:modified xsi:type="dcterms:W3CDTF">2022-08-15T22:25:30Z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53bbb04a-1947-4eb6-967e-69cb9492be51</vt:lpwstr>
  </property>
  <property fmtid="{D5CDD505-2E9C-101B-9397-08002B2CF9AE}" pid="3" name="ContentTypeId">
    <vt:lpwstr>0x0101000A8EBF2820B64B4EB9D32959209F47BE</vt:lpwstr>
  </property>
  <property fmtid="{D5CDD505-2E9C-101B-9397-08002B2CF9AE}" pid="4" name="{A44787D4-0540-4523-9961-78E4036D8C6D}">
    <vt:lpwstr>{2ECBBC32-10FE-47BE-8DB5-22A938906143}</vt:lpwstr>
  </property>
  <property fmtid="{D5CDD505-2E9C-101B-9397-08002B2CF9AE}" pid="5" name="Order">
    <vt:r8>8500</vt:r8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_ExtendedDescription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